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pivotTables/pivotTable2.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3.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hidePivotFieldList="1"/>
  <mc:AlternateContent xmlns:mc="http://schemas.openxmlformats.org/markup-compatibility/2006">
    <mc:Choice Requires="x15">
      <x15ac:absPath xmlns:x15ac="http://schemas.microsoft.com/office/spreadsheetml/2010/11/ac" url="https://exlservicenam-my.sharepoint.com/personal/roopak885_exlservice_com/Documents/Documents/Backup/P&amp;C Strategy/"/>
    </mc:Choice>
  </mc:AlternateContent>
  <xr:revisionPtr revIDLastSave="0" documentId="11_5B2810876B0EA3B2DB8A3670C7607B507041436B" xr6:coauthVersionLast="47" xr6:coauthVersionMax="47" xr10:uidLastSave="{00000000-0000-0000-0000-000000000000}"/>
  <bookViews>
    <workbookView xWindow="-110" yWindow="-110" windowWidth="19420" windowHeight="11500" tabRatio="853" firstSheet="6" activeTab="10" xr2:uid="{00000000-000D-0000-FFFF-FFFF00000000}"/>
  </bookViews>
  <sheets>
    <sheet name="Sheet3" sheetId="14" state="hidden" r:id="rId1"/>
    <sheet name="Home" sheetId="26" r:id="rId2"/>
    <sheet name="Go-To-Market Plan" sheetId="37" r:id="rId3"/>
    <sheet name="Top Insurers and Brokers" sheetId="15" r:id="rId4"/>
    <sheet name="Buyer Priorities" sheetId="16" r:id="rId5"/>
    <sheet name="Competitor Analysis" sheetId="25" r:id="rId6"/>
    <sheet name="Dashboard" sheetId="21" r:id="rId7"/>
    <sheet name="Top Clients Shortlist" sheetId="13" r:id="rId8"/>
    <sheet name="Partnerships and Alliances" sheetId="35" r:id="rId9"/>
    <sheet name="Capability Gap Assessment " sheetId="31" r:id="rId10"/>
    <sheet name="Build-Buy-Partner Analysis" sheetId="30" r:id="rId11"/>
    <sheet name="Collated Collaterals List" sheetId="34" r:id="rId12"/>
    <sheet name="Reference Tab - Do not Delete" sheetId="12" state="hidden" r:id="rId13"/>
    <sheet name="Consolidated Solutions" sheetId="9" state="hidden" r:id="rId14"/>
    <sheet name="Capability Gap Assessment 2" sheetId="10" state="hidden" r:id="rId15"/>
    <sheet name="Capability Gap Assessment -Ver2" sheetId="23" state="hidden" r:id="rId16"/>
    <sheet name="White Spaces - Experience" sheetId="4" state="hidden" r:id="rId17"/>
    <sheet name="Insuretch Anlaysis - Roopak" sheetId="11" state="hidden" r:id="rId18"/>
    <sheet name="InsureTech Landscape" sheetId="29" r:id="rId19"/>
    <sheet name="Partnership Landscape" sheetId="28" r:id="rId20"/>
    <sheet name="P&amp;C Solutions List" sheetId="32" r:id="rId21"/>
    <sheet name="Client Prioritization Framework" sheetId="27" r:id="rId22"/>
    <sheet name="Solution Evaluation Criteria" sheetId="33" r:id="rId23"/>
  </sheets>
  <definedNames>
    <definedName name="_xlnm._FilterDatabase" localSheetId="15" hidden="1">'Capability Gap Assessment -Ver2'!$A$1:$S$67</definedName>
    <definedName name="_xlnm._FilterDatabase" localSheetId="5" hidden="1">'Competitor Analysis'!$A$4:$S$4</definedName>
    <definedName name="_xlnm._FilterDatabase" localSheetId="18" hidden="1">'InsureTech Landscape'!$A$7:$AC$88</definedName>
    <definedName name="_xlnm._FilterDatabase" localSheetId="19" hidden="1">'Partnership Landscape'!$A$7:$W$70</definedName>
    <definedName name="_xlnm._FilterDatabase" localSheetId="0" hidden="1">Sheet3!$A$1:$Q$15</definedName>
    <definedName name="_xlnm._FilterDatabase" localSheetId="7" hidden="1">'Top Clients Shortlist'!$A$1:$V$33</definedName>
    <definedName name="_xlnm._FilterDatabase" localSheetId="3" hidden="1">'Top Insurers and Brokers'!$A$6:$AQ$231</definedName>
    <definedName name="Audit_ATC">'Reference Tab - Do not Delete'!$I$21:$I$27</definedName>
    <definedName name="BIE">'Reference Tab - Do not Delete'!$G$21:$G$27</definedName>
    <definedName name="DT_WC">'Reference Tab - Do not Delete'!$D$21:$D$27</definedName>
    <definedName name="E_E2E">'Reference Tab - Do not Delete'!$F$21:$F$27</definedName>
    <definedName name="Fin_Auto">'Reference Tab - Do not Delete'!$K$21:$K$27</definedName>
    <definedName name="FNOL">'Reference Tab - Do not Delete'!$B$21:$B$27</definedName>
    <definedName name="Food">'Reference Tab - Do not Delete'!$A$21:$A$31</definedName>
    <definedName name="Int_Col">'Reference Tab - Do not Delete'!$H$21:$H$27</definedName>
    <definedName name="Life_Cycle">'Reference Tab - Do not Delete'!$C$35:$C$42</definedName>
    <definedName name="NB_PaaS">'Reference Tab - Do not Delete'!$E$21:$E$27</definedName>
    <definedName name="PaaS">'Reference Tab - Do not Delete'!$C$21:$C$27</definedName>
    <definedName name="PRA">'Reference Tab - Do not Delete'!$J$21:$J$27</definedName>
    <definedName name="Sign_Off___Next_Steps">'Reference Tab - Do not Delete'!$B$35:$B$40</definedName>
    <definedName name="TrRFF">'Reference Tab - Do not Delete'!$L$21:$L$27</definedName>
    <definedName name="VOC_Source">'Reference Tab - Do not Delete'!$A$35:$A$40</definedName>
  </definedNames>
  <calcPr calcId="191029"/>
  <pivotCaches>
    <pivotCache cacheId="0"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27" l="1"/>
  <c r="D18" i="27"/>
  <c r="E109" i="16" l="1"/>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5" i="16"/>
  <c r="E24" i="16"/>
  <c r="E23" i="16"/>
  <c r="E22" i="16"/>
  <c r="E21" i="16"/>
  <c r="E20" i="16"/>
  <c r="E19" i="16"/>
  <c r="E18" i="16"/>
  <c r="E17" i="16"/>
  <c r="E16" i="16"/>
  <c r="E15" i="16"/>
  <c r="E14" i="16"/>
  <c r="E13" i="16"/>
  <c r="E12" i="16"/>
  <c r="E11" i="16"/>
  <c r="E10" i="16"/>
  <c r="E9" i="16"/>
  <c r="E8" i="16"/>
  <c r="E7" i="16"/>
  <c r="D109" i="16" l="1"/>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AI231" i="15"/>
  <c r="AI230" i="15"/>
  <c r="AI229" i="15"/>
  <c r="AI228" i="15"/>
  <c r="AI227" i="15"/>
  <c r="AI226" i="15"/>
  <c r="AI225" i="15"/>
  <c r="AI224" i="15"/>
  <c r="AI223" i="15"/>
  <c r="AI222" i="15"/>
  <c r="AI221" i="15"/>
  <c r="AI220" i="15"/>
  <c r="AI219" i="15"/>
  <c r="AI218" i="15"/>
  <c r="AI217" i="15"/>
  <c r="AI216" i="15"/>
  <c r="AI215" i="15"/>
  <c r="AI214" i="15"/>
  <c r="AI213" i="15"/>
  <c r="AI212" i="15"/>
  <c r="AI211" i="15"/>
  <c r="AI210" i="15"/>
  <c r="AI209" i="15"/>
  <c r="AI208" i="15"/>
  <c r="AI207" i="15"/>
  <c r="AI206" i="15"/>
  <c r="AI205" i="15"/>
  <c r="AI204" i="15"/>
  <c r="AI203" i="15"/>
  <c r="AI202" i="15"/>
  <c r="AI201" i="15"/>
  <c r="AI200" i="15"/>
  <c r="AI199" i="15"/>
  <c r="AI198" i="15"/>
  <c r="AI197" i="15"/>
  <c r="AI196" i="15"/>
  <c r="AI195" i="15"/>
  <c r="AI194" i="15"/>
  <c r="AI193" i="15"/>
  <c r="AI192" i="15"/>
  <c r="AI191" i="15"/>
  <c r="AI190" i="15"/>
  <c r="AI189" i="15"/>
  <c r="AI188" i="15"/>
  <c r="AI187" i="15"/>
  <c r="AI186" i="15"/>
  <c r="AI185" i="15"/>
  <c r="AI184" i="15"/>
  <c r="AI183" i="15"/>
  <c r="AI182" i="15"/>
  <c r="AI181" i="15"/>
  <c r="AI180" i="15"/>
  <c r="AI179" i="15"/>
  <c r="AI178" i="15"/>
  <c r="AI177" i="15"/>
  <c r="AI176" i="15"/>
  <c r="AI175" i="15"/>
  <c r="AI174" i="15"/>
  <c r="AI173" i="15"/>
  <c r="AI172" i="15"/>
  <c r="AI171" i="15"/>
  <c r="AI170" i="15"/>
  <c r="AI169" i="15"/>
  <c r="AI168" i="15"/>
  <c r="AI167" i="15"/>
  <c r="AI166" i="15"/>
  <c r="AI165" i="15"/>
  <c r="AI164" i="15"/>
  <c r="AI163" i="15"/>
  <c r="AI162" i="15"/>
  <c r="AI161" i="15"/>
  <c r="AI160" i="15"/>
  <c r="AI159" i="15"/>
  <c r="AI158" i="15"/>
  <c r="AI157" i="15"/>
  <c r="AI156" i="15"/>
  <c r="AI155" i="15"/>
  <c r="AI154" i="15"/>
  <c r="AI153" i="15"/>
  <c r="AI152" i="15"/>
  <c r="AI151" i="15"/>
  <c r="AI150" i="15"/>
  <c r="AI149" i="15"/>
  <c r="AI148" i="15"/>
  <c r="AI147" i="15"/>
  <c r="AI146" i="15"/>
  <c r="AI145" i="15"/>
  <c r="AI144" i="15"/>
  <c r="AI143" i="15"/>
  <c r="AI142" i="15"/>
  <c r="AI141" i="15"/>
  <c r="AI140" i="15"/>
  <c r="AI139" i="15"/>
  <c r="AI138" i="15"/>
  <c r="AI137" i="15"/>
  <c r="AI136" i="15"/>
  <c r="AI135" i="15"/>
  <c r="AI134" i="15"/>
  <c r="AI133" i="15"/>
  <c r="AI132" i="15"/>
  <c r="AI131" i="15"/>
  <c r="AI130" i="15"/>
  <c r="AI129" i="15"/>
  <c r="AI128" i="15"/>
  <c r="AI127" i="15"/>
  <c r="AI126" i="15"/>
  <c r="AI125" i="15"/>
  <c r="AI124" i="15"/>
  <c r="AI123" i="15"/>
  <c r="AI122" i="15"/>
  <c r="AI121" i="15"/>
  <c r="AI120" i="15"/>
  <c r="AI119" i="15"/>
  <c r="AI118" i="15"/>
  <c r="AI117" i="15"/>
  <c r="AI116" i="15"/>
  <c r="AI115" i="15"/>
  <c r="AI114" i="15"/>
  <c r="AI113" i="15"/>
  <c r="AI112" i="15"/>
  <c r="AI111" i="15"/>
  <c r="AI110" i="15"/>
  <c r="AI109" i="15"/>
  <c r="AI108" i="15"/>
  <c r="AI107" i="15"/>
  <c r="AI106" i="15"/>
  <c r="AI105" i="15"/>
  <c r="AI104" i="15"/>
  <c r="AI103" i="15"/>
  <c r="AI102" i="15"/>
  <c r="AI101" i="15"/>
  <c r="AI100" i="15"/>
  <c r="AI99" i="15"/>
  <c r="AI98" i="15"/>
  <c r="AI97" i="15"/>
  <c r="AI96" i="15"/>
  <c r="AI95" i="15"/>
  <c r="AI94" i="15"/>
  <c r="AI93" i="15"/>
  <c r="AI92" i="15"/>
  <c r="AI91" i="15"/>
  <c r="AI90" i="15"/>
  <c r="AI89" i="15"/>
  <c r="AI88" i="15"/>
  <c r="AI87" i="15"/>
  <c r="AI86" i="15"/>
  <c r="AI85" i="15"/>
  <c r="AI84" i="15"/>
  <c r="AI83" i="15"/>
  <c r="AI82" i="15"/>
  <c r="AI81" i="15"/>
  <c r="AI80" i="15"/>
  <c r="AI79" i="15"/>
  <c r="AI78" i="15"/>
  <c r="AI77" i="15"/>
  <c r="AI76" i="15"/>
  <c r="AI75" i="15"/>
  <c r="AI74" i="15"/>
  <c r="AI73" i="15"/>
  <c r="AI72" i="15"/>
  <c r="AI71" i="15"/>
  <c r="AI70" i="15"/>
  <c r="AI69" i="15"/>
  <c r="AI68" i="15"/>
  <c r="AI67" i="15"/>
  <c r="AI66" i="15"/>
  <c r="AI65" i="15"/>
  <c r="AI64" i="15"/>
  <c r="AI63" i="15"/>
  <c r="AI62" i="15"/>
  <c r="AI61" i="15"/>
  <c r="AI60" i="15"/>
  <c r="AI59" i="15"/>
  <c r="AI58" i="15"/>
  <c r="AI57" i="15"/>
  <c r="AI56" i="15"/>
  <c r="AI55" i="15"/>
  <c r="AI54" i="15"/>
  <c r="AI53" i="15"/>
  <c r="AI52" i="15"/>
  <c r="AI51" i="15"/>
  <c r="AI50" i="15"/>
  <c r="AI49" i="15"/>
  <c r="AI48" i="15"/>
  <c r="AI47" i="15"/>
  <c r="AI46" i="15"/>
  <c r="AI45" i="15"/>
  <c r="AI44" i="15"/>
  <c r="AI43" i="15"/>
  <c r="AI42" i="15"/>
  <c r="AI41" i="15"/>
  <c r="AI40" i="15"/>
  <c r="AI39" i="15"/>
  <c r="AI38" i="15"/>
  <c r="AI37" i="15"/>
  <c r="AI36" i="15"/>
  <c r="AI35" i="15"/>
  <c r="AI34" i="15"/>
  <c r="AI33" i="15"/>
  <c r="AI32" i="15"/>
  <c r="AI31" i="15"/>
  <c r="AI30" i="15"/>
  <c r="AI29" i="15"/>
  <c r="AI28" i="15"/>
  <c r="AI27" i="15"/>
  <c r="AI26" i="15"/>
  <c r="AI25" i="15"/>
  <c r="AI24" i="15"/>
  <c r="AI23" i="15"/>
  <c r="AI22" i="15"/>
  <c r="AI21" i="15"/>
  <c r="AI20" i="15"/>
  <c r="AI19" i="15"/>
  <c r="AI18" i="15"/>
  <c r="AI17" i="15"/>
  <c r="AI16" i="15"/>
  <c r="AI15" i="15"/>
  <c r="AI14" i="15"/>
  <c r="AI13" i="15"/>
  <c r="AI12" i="15"/>
  <c r="AI11" i="15"/>
  <c r="AI10" i="15"/>
  <c r="AI9" i="15"/>
  <c r="AI8" i="15"/>
  <c r="AI7" i="15"/>
  <c r="L70" i="28" l="1"/>
  <c r="L69" i="28"/>
  <c r="L68" i="28"/>
  <c r="L67" i="28"/>
  <c r="L66" i="28"/>
  <c r="L65" i="28"/>
  <c r="L64" i="28"/>
  <c r="L63" i="28"/>
  <c r="L62" i="28"/>
  <c r="L61" i="28"/>
  <c r="L60" i="28"/>
  <c r="L59" i="28"/>
  <c r="L58" i="28"/>
  <c r="L57" i="28"/>
  <c r="L56" i="28"/>
  <c r="L55" i="28"/>
  <c r="L54" i="28"/>
  <c r="L53" i="28"/>
  <c r="L52" i="28"/>
  <c r="L51" i="28"/>
  <c r="L50" i="28"/>
  <c r="L49" i="28"/>
  <c r="L48" i="28"/>
  <c r="L47" i="28"/>
  <c r="L46" i="28"/>
  <c r="L45" i="28"/>
  <c r="L44" i="28"/>
  <c r="L43" i="28"/>
  <c r="L42" i="28"/>
  <c r="L41" i="28"/>
  <c r="L40" i="28"/>
  <c r="L39" i="28"/>
  <c r="L38" i="28"/>
  <c r="L37" i="28"/>
  <c r="L36" i="28"/>
  <c r="L35" i="28"/>
  <c r="L34" i="28"/>
  <c r="L33" i="28"/>
  <c r="L32" i="28"/>
  <c r="L31" i="28"/>
  <c r="L30" i="28"/>
  <c r="L29" i="28"/>
  <c r="L28" i="28"/>
  <c r="L27" i="28"/>
  <c r="L26" i="28"/>
  <c r="L25" i="28"/>
  <c r="L24" i="28"/>
  <c r="L23" i="28"/>
  <c r="L22" i="28"/>
  <c r="L21" i="28"/>
  <c r="L20" i="28"/>
  <c r="L19" i="28"/>
  <c r="L18" i="28"/>
  <c r="L17" i="28"/>
  <c r="L16" i="28"/>
  <c r="L15" i="28"/>
  <c r="L14" i="28"/>
  <c r="L13" i="28"/>
  <c r="L12" i="28"/>
  <c r="L11" i="28"/>
  <c r="L10" i="28"/>
  <c r="L9" i="28"/>
  <c r="L8" i="28"/>
  <c r="C108" i="16" l="1"/>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3" i="16"/>
  <c r="C12" i="16"/>
  <c r="C11" i="16"/>
  <c r="C10" i="16"/>
  <c r="C9" i="16"/>
  <c r="C8" i="16"/>
  <c r="C7" i="16"/>
  <c r="C14" i="16"/>
  <c r="AG132" i="15"/>
  <c r="AH132" i="15"/>
  <c r="AG133" i="15"/>
  <c r="AH133" i="15"/>
  <c r="AG134" i="15"/>
  <c r="AH134" i="15"/>
  <c r="AG135" i="15"/>
  <c r="AH135" i="15"/>
  <c r="AG136" i="15"/>
  <c r="AH136" i="15"/>
  <c r="AG137" i="15"/>
  <c r="AH137" i="15"/>
  <c r="AG138" i="15"/>
  <c r="AH138" i="15"/>
  <c r="AG139" i="15"/>
  <c r="AH139" i="15"/>
  <c r="AG140" i="15"/>
  <c r="AH140" i="15"/>
  <c r="AG141" i="15"/>
  <c r="AH141" i="15"/>
  <c r="AG142" i="15"/>
  <c r="AH142" i="15"/>
  <c r="AG143" i="15"/>
  <c r="AH143" i="15"/>
  <c r="AG144" i="15"/>
  <c r="AH144" i="15"/>
  <c r="AG145" i="15"/>
  <c r="AH145" i="15"/>
  <c r="AG146" i="15"/>
  <c r="AH146" i="15"/>
  <c r="AG147" i="15"/>
  <c r="AH147" i="15"/>
  <c r="AG148" i="15"/>
  <c r="AH148" i="15"/>
  <c r="AG149" i="15"/>
  <c r="AH149" i="15"/>
  <c r="AG150" i="15"/>
  <c r="AH150" i="15"/>
  <c r="AG151" i="15"/>
  <c r="AH151" i="15"/>
  <c r="AG152" i="15"/>
  <c r="AH152" i="15"/>
  <c r="AG153" i="15"/>
  <c r="AH153" i="15"/>
  <c r="AG154" i="15"/>
  <c r="AH154" i="15"/>
  <c r="AG155" i="15"/>
  <c r="AH155" i="15"/>
  <c r="AG156" i="15"/>
  <c r="AH156" i="15"/>
  <c r="AG157" i="15"/>
  <c r="AH157" i="15"/>
  <c r="AG158" i="15"/>
  <c r="AH158" i="15"/>
  <c r="AG159" i="15"/>
  <c r="AH159" i="15"/>
  <c r="AG160" i="15"/>
  <c r="AH160" i="15"/>
  <c r="AG161" i="15"/>
  <c r="AH161" i="15"/>
  <c r="AG162" i="15"/>
  <c r="AH162" i="15"/>
  <c r="AG163" i="15"/>
  <c r="AH163" i="15"/>
  <c r="AG164" i="15"/>
  <c r="AH164" i="15"/>
  <c r="AG165" i="15"/>
  <c r="AH165" i="15"/>
  <c r="AG166" i="15"/>
  <c r="AH166" i="15"/>
  <c r="AG167" i="15"/>
  <c r="AH167" i="15"/>
  <c r="AG168" i="15"/>
  <c r="AH168" i="15"/>
  <c r="AG169" i="15"/>
  <c r="AH169" i="15"/>
  <c r="AG170" i="15"/>
  <c r="AH170" i="15"/>
  <c r="AG171" i="15"/>
  <c r="AH171" i="15"/>
  <c r="AG172" i="15"/>
  <c r="AH172" i="15"/>
  <c r="AG173" i="15"/>
  <c r="AH173" i="15"/>
  <c r="AG174" i="15"/>
  <c r="AH174" i="15"/>
  <c r="AG175" i="15"/>
  <c r="AH175" i="15"/>
  <c r="AG176" i="15"/>
  <c r="AH176" i="15"/>
  <c r="AG177" i="15"/>
  <c r="AH177" i="15"/>
  <c r="AG178" i="15"/>
  <c r="AH178" i="15"/>
  <c r="AG179" i="15"/>
  <c r="AH179" i="15"/>
  <c r="AG180" i="15"/>
  <c r="AH180" i="15"/>
  <c r="AG181" i="15"/>
  <c r="AH181" i="15"/>
  <c r="AG182" i="15"/>
  <c r="AH182" i="15"/>
  <c r="AG183" i="15"/>
  <c r="AH183" i="15"/>
  <c r="AG184" i="15"/>
  <c r="AH184" i="15"/>
  <c r="AG185" i="15"/>
  <c r="AH185" i="15"/>
  <c r="AG186" i="15"/>
  <c r="AH186" i="15"/>
  <c r="AG187" i="15"/>
  <c r="AH187" i="15"/>
  <c r="AG188" i="15"/>
  <c r="AH188" i="15"/>
  <c r="AG189" i="15"/>
  <c r="AH189" i="15"/>
  <c r="AG190" i="15"/>
  <c r="AH190" i="15"/>
  <c r="AG191" i="15"/>
  <c r="AH191" i="15"/>
  <c r="AG192" i="15"/>
  <c r="AH192" i="15"/>
  <c r="AG193" i="15"/>
  <c r="AH193" i="15"/>
  <c r="AG194" i="15"/>
  <c r="AH194" i="15"/>
  <c r="AG195" i="15"/>
  <c r="AH195" i="15"/>
  <c r="AG196" i="15"/>
  <c r="AH196" i="15"/>
  <c r="AG197" i="15"/>
  <c r="AH197" i="15"/>
  <c r="AG198" i="15"/>
  <c r="AH198" i="15"/>
  <c r="AG199" i="15"/>
  <c r="AH199" i="15"/>
  <c r="AG200" i="15"/>
  <c r="AH200" i="15"/>
  <c r="AG201" i="15"/>
  <c r="AH201" i="15"/>
  <c r="AG202" i="15"/>
  <c r="AH202" i="15"/>
  <c r="AG203" i="15"/>
  <c r="AH203" i="15"/>
  <c r="AG204" i="15"/>
  <c r="AH204" i="15"/>
  <c r="AG205" i="15"/>
  <c r="AH205" i="15"/>
  <c r="AG206" i="15"/>
  <c r="AH206" i="15"/>
  <c r="AG207" i="15"/>
  <c r="AH207" i="15"/>
  <c r="AG208" i="15"/>
  <c r="AH208" i="15"/>
  <c r="AG209" i="15"/>
  <c r="AH209" i="15"/>
  <c r="AG210" i="15"/>
  <c r="AH210" i="15"/>
  <c r="AG211" i="15"/>
  <c r="AH211" i="15"/>
  <c r="AG212" i="15"/>
  <c r="AH212" i="15"/>
  <c r="AG213" i="15"/>
  <c r="AH213" i="15"/>
  <c r="AG214" i="15"/>
  <c r="AH214" i="15"/>
  <c r="AG215" i="15"/>
  <c r="AH215" i="15"/>
  <c r="AG216" i="15"/>
  <c r="AH216" i="15"/>
  <c r="AG217" i="15"/>
  <c r="AH217" i="15"/>
  <c r="AG218" i="15"/>
  <c r="AH218" i="15"/>
  <c r="AG219" i="15"/>
  <c r="AH219" i="15"/>
  <c r="AG220" i="15"/>
  <c r="AH220" i="15"/>
  <c r="AG221" i="15"/>
  <c r="AH221" i="15"/>
  <c r="AG222" i="15"/>
  <c r="AH222" i="15"/>
  <c r="AG223" i="15"/>
  <c r="AH223" i="15"/>
  <c r="AG224" i="15"/>
  <c r="AH224" i="15"/>
  <c r="AG225" i="15"/>
  <c r="AH225" i="15"/>
  <c r="AG226" i="15"/>
  <c r="AH226" i="15"/>
  <c r="AG227" i="15"/>
  <c r="AH227" i="15"/>
  <c r="AG228" i="15"/>
  <c r="AH228" i="15"/>
  <c r="AG229" i="15"/>
  <c r="AH229" i="15"/>
  <c r="AG230" i="15"/>
  <c r="AH230" i="15"/>
  <c r="AG231" i="15"/>
  <c r="AH231" i="15"/>
  <c r="AH8" i="15"/>
  <c r="AH9" i="15"/>
  <c r="AH10" i="15"/>
  <c r="AH11" i="15"/>
  <c r="AH12" i="15"/>
  <c r="AH13" i="15"/>
  <c r="AH14" i="15"/>
  <c r="AH15" i="15"/>
  <c r="AH16" i="15"/>
  <c r="AH17" i="15"/>
  <c r="AH18" i="15"/>
  <c r="AH19" i="15"/>
  <c r="AH20" i="15"/>
  <c r="AH21" i="15"/>
  <c r="AH22" i="15"/>
  <c r="AH23" i="15"/>
  <c r="AH24" i="15"/>
  <c r="AH25" i="15"/>
  <c r="AH26" i="15"/>
  <c r="AH27" i="15"/>
  <c r="AH28" i="15"/>
  <c r="AH29" i="15"/>
  <c r="AH30" i="15"/>
  <c r="AH31" i="15"/>
  <c r="AH32" i="15"/>
  <c r="AH33" i="15"/>
  <c r="AH34" i="15"/>
  <c r="AH35" i="15"/>
  <c r="AH36" i="15"/>
  <c r="AH37" i="15"/>
  <c r="AH38" i="15"/>
  <c r="AH39" i="15"/>
  <c r="AH40" i="15"/>
  <c r="AH41" i="15"/>
  <c r="AH42" i="15"/>
  <c r="AH43" i="15"/>
  <c r="AH44" i="15"/>
  <c r="AH45" i="15"/>
  <c r="AH46" i="15"/>
  <c r="AH47" i="15"/>
  <c r="AH48" i="15"/>
  <c r="AH49" i="15"/>
  <c r="AH50" i="15"/>
  <c r="AH51" i="15"/>
  <c r="AH52" i="15"/>
  <c r="AH53" i="15"/>
  <c r="AH54" i="15"/>
  <c r="AH55" i="15"/>
  <c r="AH56" i="15"/>
  <c r="AH57" i="15"/>
  <c r="AH58" i="15"/>
  <c r="AH59" i="15"/>
  <c r="AH60" i="15"/>
  <c r="AH61" i="15"/>
  <c r="AH62" i="15"/>
  <c r="AH63" i="15"/>
  <c r="AH64" i="15"/>
  <c r="AH65" i="15"/>
  <c r="AH66" i="15"/>
  <c r="AH67" i="15"/>
  <c r="AH68" i="15"/>
  <c r="AH69" i="15"/>
  <c r="AH70" i="15"/>
  <c r="AH71" i="15"/>
  <c r="AH72" i="15"/>
  <c r="AH73" i="15"/>
  <c r="AH74" i="15"/>
  <c r="AH75" i="15"/>
  <c r="AH76" i="15"/>
  <c r="AH77" i="15"/>
  <c r="AH78" i="15"/>
  <c r="AH79" i="15"/>
  <c r="AH80" i="15"/>
  <c r="AH81" i="15"/>
  <c r="AH82" i="15"/>
  <c r="AH83" i="15"/>
  <c r="AH84" i="15"/>
  <c r="AH85" i="15"/>
  <c r="AH86" i="15"/>
  <c r="AH87" i="15"/>
  <c r="AH88" i="15"/>
  <c r="AH89" i="15"/>
  <c r="AH90" i="15"/>
  <c r="AH91" i="15"/>
  <c r="AH92" i="15"/>
  <c r="AH93" i="15"/>
  <c r="AH94" i="15"/>
  <c r="AH95" i="15"/>
  <c r="AH96" i="15"/>
  <c r="AH97" i="15"/>
  <c r="AH98" i="15"/>
  <c r="AH99" i="15"/>
  <c r="AH100" i="15"/>
  <c r="AH101" i="15"/>
  <c r="AH102" i="15"/>
  <c r="AH103" i="15"/>
  <c r="AH104" i="15"/>
  <c r="AH105" i="15"/>
  <c r="AH106" i="15"/>
  <c r="AH107" i="15"/>
  <c r="AH108" i="15"/>
  <c r="AH109" i="15"/>
  <c r="AH110" i="15"/>
  <c r="AH111" i="15"/>
  <c r="AH112" i="15"/>
  <c r="AH113" i="15"/>
  <c r="AH114" i="15"/>
  <c r="AH115" i="15"/>
  <c r="AH116" i="15"/>
  <c r="AH117" i="15"/>
  <c r="AH118" i="15"/>
  <c r="AH119" i="15"/>
  <c r="AH120" i="15"/>
  <c r="AH121" i="15"/>
  <c r="AH122" i="15"/>
  <c r="AH123" i="15"/>
  <c r="AH124" i="15"/>
  <c r="AH125" i="15"/>
  <c r="AH126" i="15"/>
  <c r="AH127" i="15"/>
  <c r="AH128" i="15"/>
  <c r="AH129" i="15"/>
  <c r="AH130" i="15"/>
  <c r="AH131" i="15"/>
  <c r="AH7" i="15"/>
  <c r="AG8" i="15"/>
  <c r="AG9" i="15"/>
  <c r="AG10" i="15"/>
  <c r="AG11" i="15"/>
  <c r="AG12" i="15"/>
  <c r="AG13" i="15"/>
  <c r="AG14" i="15"/>
  <c r="AG15" i="15"/>
  <c r="AG16" i="15"/>
  <c r="AG17" i="15"/>
  <c r="AG18" i="15"/>
  <c r="AG19" i="15"/>
  <c r="AG20" i="15"/>
  <c r="AG21" i="15"/>
  <c r="AG22" i="15"/>
  <c r="AG23" i="15"/>
  <c r="AG24" i="15"/>
  <c r="AG25" i="15"/>
  <c r="AG26" i="15"/>
  <c r="AG27" i="15"/>
  <c r="AG28" i="15"/>
  <c r="AG29" i="15"/>
  <c r="AG30" i="15"/>
  <c r="AG31" i="15"/>
  <c r="AG32" i="15"/>
  <c r="AG33" i="15"/>
  <c r="AG34" i="15"/>
  <c r="AG35" i="15"/>
  <c r="AG36" i="15"/>
  <c r="AG37" i="15"/>
  <c r="AG38" i="15"/>
  <c r="AG39" i="15"/>
  <c r="AG40" i="15"/>
  <c r="AG41" i="15"/>
  <c r="AG42" i="15"/>
  <c r="AG43" i="15"/>
  <c r="AG44" i="15"/>
  <c r="AG45" i="15"/>
  <c r="AG46" i="15"/>
  <c r="AG47" i="15"/>
  <c r="AG48" i="15"/>
  <c r="AG49" i="15"/>
  <c r="AG50" i="15"/>
  <c r="AG51" i="15"/>
  <c r="AG52" i="15"/>
  <c r="AG53" i="15"/>
  <c r="AG54" i="15"/>
  <c r="AG55" i="15"/>
  <c r="AG56" i="15"/>
  <c r="AG57" i="15"/>
  <c r="AG58" i="15"/>
  <c r="AG59" i="15"/>
  <c r="AG60" i="15"/>
  <c r="AG61" i="15"/>
  <c r="AG62" i="15"/>
  <c r="AG63" i="15"/>
  <c r="AG64" i="15"/>
  <c r="AG65" i="15"/>
  <c r="AG66" i="15"/>
  <c r="AG67" i="15"/>
  <c r="AG68" i="15"/>
  <c r="AG69" i="15"/>
  <c r="AG70" i="15"/>
  <c r="AG71" i="15"/>
  <c r="AG72" i="15"/>
  <c r="AG73" i="15"/>
  <c r="AG74" i="15"/>
  <c r="AG75" i="15"/>
  <c r="AG76" i="15"/>
  <c r="AG77" i="15"/>
  <c r="AG78" i="15"/>
  <c r="AG79" i="15"/>
  <c r="AG80" i="15"/>
  <c r="AG81" i="15"/>
  <c r="AG82" i="15"/>
  <c r="AG83" i="15"/>
  <c r="AG84" i="15"/>
  <c r="AG85" i="15"/>
  <c r="AG86" i="15"/>
  <c r="AG87" i="15"/>
  <c r="AG88" i="15"/>
  <c r="AG89" i="15"/>
  <c r="AG90" i="15"/>
  <c r="AG91" i="15"/>
  <c r="AG92" i="15"/>
  <c r="AG93" i="15"/>
  <c r="AG94" i="15"/>
  <c r="AG95" i="15"/>
  <c r="AG96" i="15"/>
  <c r="AG97" i="15"/>
  <c r="AG98" i="15"/>
  <c r="AG99" i="15"/>
  <c r="AG100" i="15"/>
  <c r="AG101" i="15"/>
  <c r="AG102" i="15"/>
  <c r="AG103" i="15"/>
  <c r="AG104" i="15"/>
  <c r="AG105" i="15"/>
  <c r="AG106" i="15"/>
  <c r="AG107" i="15"/>
  <c r="AG108" i="15"/>
  <c r="AG109" i="15"/>
  <c r="AG110" i="15"/>
  <c r="AG111" i="15"/>
  <c r="AG112" i="15"/>
  <c r="AG113" i="15"/>
  <c r="AG114" i="15"/>
  <c r="AG115" i="15"/>
  <c r="AG116" i="15"/>
  <c r="AG117" i="15"/>
  <c r="AG118" i="15"/>
  <c r="AG119" i="15"/>
  <c r="AG120" i="15"/>
  <c r="AG121" i="15"/>
  <c r="AG122" i="15"/>
  <c r="AG123" i="15"/>
  <c r="AG124" i="15"/>
  <c r="AG125" i="15"/>
  <c r="AG126" i="15"/>
  <c r="AG127" i="15"/>
  <c r="AG128" i="15"/>
  <c r="AG129" i="15"/>
  <c r="AG130" i="15"/>
  <c r="AG131" i="15"/>
  <c r="AG7" i="15"/>
  <c r="W45" i="16"/>
  <c r="W44" i="16"/>
  <c r="W27" i="16"/>
  <c r="C109" i="16" l="1"/>
  <c r="F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Rashmi Ashrafi</author>
    <author>S M Faraz Ashrafi</author>
  </authors>
  <commentList>
    <comment ref="I8" authorId="0" shapeId="0" xr:uid="{00000000-0006-0000-0900-000001000000}">
      <text>
        <r>
          <rPr>
            <sz val="9"/>
            <color indexed="81"/>
            <rFont val="Tahoma"/>
            <family val="2"/>
          </rPr>
          <t>Web and Mobile reporting platform</t>
        </r>
      </text>
    </comment>
    <comment ref="K10" authorId="1" shapeId="0" xr:uid="{00000000-0006-0000-0900-000002000000}">
      <text>
        <r>
          <rPr>
            <b/>
            <sz val="9"/>
            <color indexed="81"/>
            <rFont val="Tahoma"/>
            <family val="2"/>
          </rPr>
          <t>Onshore contact center partner</t>
        </r>
      </text>
    </comment>
    <comment ref="K14" authorId="0" shapeId="0" xr:uid="{00000000-0006-0000-0900-000003000000}">
      <text>
        <r>
          <rPr>
            <b/>
            <sz val="9"/>
            <color indexed="81"/>
            <rFont val="Tahoma"/>
            <family val="2"/>
          </rPr>
          <t>Technology, (Info Sec?)</t>
        </r>
      </text>
    </comment>
    <comment ref="K17" authorId="1" shapeId="0" xr:uid="{00000000-0006-0000-0900-000004000000}">
      <text>
        <r>
          <rPr>
            <b/>
            <sz val="9"/>
            <color indexed="81"/>
            <rFont val="Tahoma"/>
            <family val="2"/>
          </rPr>
          <t>Potentially a tech company with market leading content extraction capability</t>
        </r>
      </text>
    </comment>
    <comment ref="K19" authorId="1" shapeId="0" xr:uid="{00000000-0006-0000-0900-000005000000}">
      <text>
        <r>
          <rPr>
            <b/>
            <sz val="9"/>
            <color indexed="81"/>
            <rFont val="Tahoma"/>
            <family val="2"/>
          </rPr>
          <t>Payment vendors like VISA etc.</t>
        </r>
      </text>
    </comment>
    <comment ref="K23" authorId="1" shapeId="0" xr:uid="{00000000-0006-0000-0900-000006000000}">
      <text>
        <r>
          <rPr>
            <b/>
            <sz val="9"/>
            <color indexed="81"/>
            <rFont val="Tahoma"/>
            <family val="2"/>
          </rPr>
          <t>Potentially a tech company with market leading content extraction capability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Rashmi Ashrafi</author>
    <author>S M Faraz Ashrafi</author>
  </authors>
  <commentList>
    <comment ref="I3" authorId="0" shapeId="0" xr:uid="{00000000-0006-0000-0E00-000001000000}">
      <text>
        <r>
          <rPr>
            <sz val="9"/>
            <color indexed="81"/>
            <rFont val="Tahoma"/>
            <family val="2"/>
          </rPr>
          <t>Web and Mobile reporting platform</t>
        </r>
      </text>
    </comment>
    <comment ref="K5" authorId="1" shapeId="0" xr:uid="{00000000-0006-0000-0E00-000002000000}">
      <text>
        <r>
          <rPr>
            <b/>
            <sz val="9"/>
            <color indexed="81"/>
            <rFont val="Tahoma"/>
            <family val="2"/>
          </rPr>
          <t>Onshore contact center partner</t>
        </r>
      </text>
    </comment>
    <comment ref="K9" authorId="0" shapeId="0" xr:uid="{00000000-0006-0000-0E00-000003000000}">
      <text>
        <r>
          <rPr>
            <b/>
            <sz val="9"/>
            <color indexed="81"/>
            <rFont val="Tahoma"/>
            <family val="2"/>
          </rPr>
          <t>Technology, (Info Sec?)</t>
        </r>
      </text>
    </comment>
    <comment ref="K12" authorId="1" shapeId="0" xr:uid="{00000000-0006-0000-0E00-000004000000}">
      <text>
        <r>
          <rPr>
            <b/>
            <sz val="9"/>
            <color indexed="81"/>
            <rFont val="Tahoma"/>
            <family val="2"/>
          </rPr>
          <t>Potentially a tech company with market leading content extraction capability</t>
        </r>
      </text>
    </comment>
    <comment ref="K14" authorId="1" shapeId="0" xr:uid="{00000000-0006-0000-0E00-000005000000}">
      <text>
        <r>
          <rPr>
            <b/>
            <sz val="9"/>
            <color indexed="81"/>
            <rFont val="Tahoma"/>
            <family val="2"/>
          </rPr>
          <t>Payment vendors like VISA etc.</t>
        </r>
      </text>
    </comment>
    <comment ref="K18" authorId="1" shapeId="0" xr:uid="{00000000-0006-0000-0E00-000006000000}">
      <text>
        <r>
          <rPr>
            <b/>
            <sz val="9"/>
            <color indexed="81"/>
            <rFont val="Tahoma"/>
            <family val="2"/>
          </rPr>
          <t>Potentially a tech company with market leading content extraction capability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Rashmi Ashrafi</author>
    <author>S M Faraz Ashrafi</author>
  </authors>
  <commentList>
    <comment ref="K3" authorId="0" shapeId="0" xr:uid="{00000000-0006-0000-0F00-000001000000}">
      <text>
        <r>
          <rPr>
            <sz val="9"/>
            <color indexed="81"/>
            <rFont val="Tahoma"/>
            <family val="2"/>
          </rPr>
          <t>Web and Mobile reporting platform</t>
        </r>
      </text>
    </comment>
    <comment ref="M5" authorId="1" shapeId="0" xr:uid="{00000000-0006-0000-0F00-000002000000}">
      <text>
        <r>
          <rPr>
            <b/>
            <sz val="9"/>
            <color indexed="81"/>
            <rFont val="Tahoma"/>
            <family val="2"/>
          </rPr>
          <t>Onshore contact center partner</t>
        </r>
      </text>
    </comment>
    <comment ref="M9" authorId="0" shapeId="0" xr:uid="{00000000-0006-0000-0F00-000003000000}">
      <text>
        <r>
          <rPr>
            <b/>
            <sz val="9"/>
            <color indexed="81"/>
            <rFont val="Tahoma"/>
            <family val="2"/>
          </rPr>
          <t>Technology, (Info Sec?)</t>
        </r>
      </text>
    </comment>
    <comment ref="M12" authorId="1" shapeId="0" xr:uid="{00000000-0006-0000-0F00-000004000000}">
      <text>
        <r>
          <rPr>
            <b/>
            <sz val="9"/>
            <color indexed="81"/>
            <rFont val="Tahoma"/>
            <family val="2"/>
          </rPr>
          <t>Potentially a tech company with market leading content extraction capability</t>
        </r>
      </text>
    </comment>
    <comment ref="M14" authorId="1" shapeId="0" xr:uid="{00000000-0006-0000-0F00-000005000000}">
      <text>
        <r>
          <rPr>
            <b/>
            <sz val="9"/>
            <color indexed="81"/>
            <rFont val="Tahoma"/>
            <family val="2"/>
          </rPr>
          <t>Payment vendors like VISA etc.</t>
        </r>
      </text>
    </comment>
    <comment ref="M18" authorId="1" shapeId="0" xr:uid="{00000000-0006-0000-0F00-000006000000}">
      <text>
        <r>
          <rPr>
            <b/>
            <sz val="9"/>
            <color indexed="81"/>
            <rFont val="Tahoma"/>
            <family val="2"/>
          </rPr>
          <t>Potentially a tech company with market leading content extraction capability</t>
        </r>
      </text>
    </comment>
  </commentList>
</comments>
</file>

<file path=xl/sharedStrings.xml><?xml version="1.0" encoding="utf-8"?>
<sst xmlns="http://schemas.openxmlformats.org/spreadsheetml/2006/main" count="7060" uniqueCount="2208">
  <si>
    <t>What they do</t>
  </si>
  <si>
    <t>Shift Technology</t>
  </si>
  <si>
    <t>Cape Analytics</t>
  </si>
  <si>
    <t>Snapsheet</t>
  </si>
  <si>
    <t>2019 EXL Ranking</t>
  </si>
  <si>
    <t>High</t>
  </si>
  <si>
    <t>Trōv</t>
  </si>
  <si>
    <t>An on-demand insurance platform that provides cover for items of importance, managed via an application on the user's mobile phone. Trōv powers digital insurance solutions for innovative businesses in the finance, insurance, mobility, and retail sectors. Mobility insurance, Single item insurance, Renters, Small business insurance</t>
  </si>
  <si>
    <t>Low</t>
  </si>
  <si>
    <t>PolicyGenius</t>
  </si>
  <si>
    <t>The company offers a highly tailored insurance checkup platform where users can discover their coverage gaps and review solutions for their exact needs. PolicyGenius provides the only place online to shop for life, long-term disability and renters and pet insurance through its highly accurate quoting engines that offer side-by-side comparisons of tailored policies. Life, Health, Accident, Critical Illness, Dental, Vision, Disability, Long Term Care</t>
  </si>
  <si>
    <t>Atidot</t>
  </si>
  <si>
    <t>A cloud-based platform harnessing insurers' untapped data and integrating new and growing sources of social, open and sensor data to turn it into monitored and actionable business insights. Auto and Home</t>
  </si>
  <si>
    <t>Medium</t>
  </si>
  <si>
    <t>Clover Health</t>
  </si>
  <si>
    <t>Metromile</t>
  </si>
  <si>
    <t>A car insurance company helping low-mileage drivers save money with a pay-per-mile insurance model.  Personal auto.  Telematics</t>
  </si>
  <si>
    <t>Oscar</t>
  </si>
  <si>
    <t xml:space="preserve">A health insurance carrier that employs technology, design, and data to transform the customer experience from end-to-end. The company also provides commercial health insurance to small businesses. </t>
  </si>
  <si>
    <t>Lemonade</t>
  </si>
  <si>
    <t>Lemonade is a licensed insurance carrier that offers homeowners and renters insurance powered by artificial intelligence and behavioral economics.  Homeowners</t>
  </si>
  <si>
    <t>BIMA</t>
  </si>
  <si>
    <t>A mobile technology venture that provides insurance and health services to low-income families and emerging markets.</t>
  </si>
  <si>
    <t>Zhong An</t>
  </si>
  <si>
    <t>China's first completely online insurer, with end-to-end insurance capabilities. It sells property insurance company that sells all its products online along with handling claims.  Homeowners</t>
  </si>
  <si>
    <t>Acko General Insurance</t>
  </si>
  <si>
    <t>Neos</t>
  </si>
  <si>
    <t>A wholly independent digital platform proving general insurance in India, which recently received investment from Amazon. Company is transforming insurance through technology and data-based underwriting and a unique customer-centric approach. The company uses a direct-to-consumer approach for distributing motor insurance, allowing for favorable risk selection and superior underwriting. Personal Auto</t>
  </si>
  <si>
    <t>A home insurance offering that uses technology to help prevent situations that could result in claims. Neos is an insurance company that provides smart home technology and home insurance. Neos’ home technology, which includes cameras, motion sensors and smoke detectors, alerts homeowners of a break-in, leak or fire and contacts the 24 hour monitoring team to send out the right tradespeople.  Homeowners</t>
  </si>
  <si>
    <t>Slice Labs</t>
  </si>
  <si>
    <t>An Insure Tech start-up offering periodic insurance specifically to support the on-demand economy. Personal Auto.  On demand insurance with digital customer engagement</t>
  </si>
  <si>
    <t>Quantemplate</t>
  </si>
  <si>
    <t>A data analytics venture using AI to help insurance clients rapidly turn raw data into actionable insights. Quantemplate enables business users to take raw data sources, cleanse and harmonize them with tools powered by machine learning, then perform analysis to develop competitive advantage through proprietary insights. Leading insurance businesses use Quantemplate to grow their business, collapse their costs and enable digital transformation.</t>
  </si>
  <si>
    <t>iCarbonX</t>
  </si>
  <si>
    <t>A health data venture using a combination of biological, behavioral and psychological data with AI to improve health services. iCarbonX aimed at building an ecosystem of digital life based on the combination of consumers’ big life data, internet and artificial intelligence. They will create the first and also most professional data collection platform of millions of health data in China, combine the best biotechnology and the top team of artificial intelligence, and integrate the advantages of artificial intelligence into the abundant analyses and applications of big life data through data mining and machine learning.  HealthCare</t>
  </si>
  <si>
    <t>Jetty</t>
  </si>
  <si>
    <t>Renters</t>
  </si>
  <si>
    <t>A property insurance venture providing simple personalized cover for both landlords and tenants. In an industry that’s historically been riddled with jargon, high costs, and outdated technology, company believe that everyone needs better, more affordable coverage that protects the things they love.  Renters</t>
  </si>
  <si>
    <t>Alan</t>
  </si>
  <si>
    <t>A digital health insurance platform that utilizes a smart user interface to make policy purchasing and managing a simplified experience. It is focused focus on user experience with an excellent price-quality ratio health plan. Alan is the insurance company that makes healthcare simpler, smarter, and better.  Healthcare</t>
  </si>
  <si>
    <t>Kin Insurance</t>
  </si>
  <si>
    <t xml:space="preserve">A home insurer, utilizing open data to improve upon customer experience. Kin Insurance is an Insure Tech startup that sells affordable, user-friendly homeowners insurance. Company policies are underwritten by top-rated partners that have decades of experience and write over a billion dollars in premium each year. Homeowners </t>
  </si>
  <si>
    <t>LOB</t>
  </si>
  <si>
    <t>Agnostic</t>
  </si>
  <si>
    <t>Auto</t>
  </si>
  <si>
    <t>Mobility
Renters
Small Business</t>
  </si>
  <si>
    <t>Life
Health
Accident
Dental
Vision
LTC</t>
  </si>
  <si>
    <t>Healthcare</t>
  </si>
  <si>
    <t>Cytora</t>
  </si>
  <si>
    <t>A start-up utilising AI and data analytics to help insurers and reinsurers improve their understanding and pricing of risk. Cytora transforms underwriting for commercial insurance. Company's platform enables insurers to underwrite more accurately, reduce frictional costs, and achieve profitable growth.</t>
  </si>
  <si>
    <t>Small Business - Auto, Health, Workers' Compensation</t>
  </si>
  <si>
    <t>Arya</t>
  </si>
  <si>
    <t>A digital platform offering tools to build, manage and scale complex deep learning applications to a number of industries, including insurance, banking healthcare and more. Arya.ai is a Deep Learning platform offering multiple tools to build, manage and scale complex Deep Learning applications.</t>
  </si>
  <si>
    <t>Product Agnostic</t>
  </si>
  <si>
    <t>Bought By Many</t>
  </si>
  <si>
    <t>An insurance start-up utilising data analytics and social power to demand better insurance deals for customers. Company is an Insure Tech start-up using social media to disrupt insurance distribution.</t>
  </si>
  <si>
    <t>Pet</t>
  </si>
  <si>
    <t>Embroker</t>
  </si>
  <si>
    <t xml:space="preserve">An online commercial insurer providing on-demand policy purchase and management services to corporates. Embroker is a digital insurance brokerage company. As the leading digital insurance brokerage, Embroker is working to massively improve the $800 billion property and casualty (P&amp;C) insurance market. </t>
  </si>
  <si>
    <t>Huize</t>
  </si>
  <si>
    <t>An online insurance agency connecting users to over 60 insurance companies. Huize is a Chinese third-party insurance services platform. Huize.com is an online insurance agency that focuses on travel, life, property, health, and casualty insurance. Its users have the ability to connect to the internal system of more than sixty insurance companies.</t>
  </si>
  <si>
    <t>Travel, life, property, health, and casualty insurance</t>
  </si>
  <si>
    <t>Joany</t>
  </si>
  <si>
    <t>A health insurance venture utilising data analytics and predictive modelling to provide simplified searching and purchasing services. Company uses Using data, machine learning and humans to help in selecting health plans.</t>
  </si>
  <si>
    <t>Coya</t>
  </si>
  <si>
    <t xml:space="preserve">An AI-powered, customer focused digital insurer targeting millennials. Coya offers a redesigning and extending the insurance value chain, working backward from the customers' real-life needs. Coya will offer scalable protection at the point of need with an AI risk guardian and simple, transparent and personalized insurance cover. </t>
  </si>
  <si>
    <t>Beam Dental</t>
  </si>
  <si>
    <t>Smart dental hygiene technology designed to lower employee benefit premiums through better health.</t>
  </si>
  <si>
    <t>Dental</t>
  </si>
  <si>
    <t>Stride Health</t>
  </si>
  <si>
    <t>A healthcare insurance platform that helps users find plan recommendations based on salary and doctors customers would prefer to use in their network.</t>
  </si>
  <si>
    <t>Boundlss</t>
  </si>
  <si>
    <t>A healthcare venture utilising data analytics and the internet of things to provide digital insights into an individual's wellbeing.</t>
  </si>
  <si>
    <t>Next Insurance</t>
  </si>
  <si>
    <t>A start-up providing on-demand specialized and small business insurance.</t>
  </si>
  <si>
    <t>Small Business Auto, Property, Liability</t>
  </si>
  <si>
    <t>The Zebra</t>
  </si>
  <si>
    <t xml:space="preserve">An unbiased online comparison website for auto, property and boat cover. </t>
  </si>
  <si>
    <t>Sherpa</t>
  </si>
  <si>
    <t>An unbiased online insurance platform that gives users insight on their coverage and how it can be bettered. Sherpa’s technology is designed for manufacturers of consumer products like cars, intelligent headphones, home speakers, appliances, and electronic accessories that are looking to add intelligence to their products and explore new business models based on offering digital services.</t>
  </si>
  <si>
    <t>Bunker</t>
  </si>
  <si>
    <t>An online platform making easier for gig economy workers, contractors, and small businesses to affordably fulfill their insurance requirements.</t>
  </si>
  <si>
    <t>General &amp; Professional Liability, Corporate Insurance, Marketplace Insurance Solutions</t>
  </si>
  <si>
    <t>Goji</t>
  </si>
  <si>
    <t>An insurance comparison platform for home and auto policies, providing a service switching solution for users.</t>
  </si>
  <si>
    <t>Brolly</t>
  </si>
  <si>
    <t>An AI-enabled insurance concierge providing advisory services to consumers via an online and mobile app.</t>
  </si>
  <si>
    <t>Otonomo</t>
  </si>
  <si>
    <t>A cloud-based SAAS solution for the auto industry which creates an environment to share and monetize car data. The company offers the first neutral automotive data services platform, which provides simple, secure data access and transforms data into actionable insights for services such as predictive maintenance, emergency services, on-demand fueling, insurance, and smart cities.</t>
  </si>
  <si>
    <t>ROOT</t>
  </si>
  <si>
    <t>The Root app uses technology in smartphones to measure driving behavior—such as braking, speed of turns, driving times, and route consistency—and determines who is a safe driver and who isn’t. By only insuring safe drivers, Root can offer more affordable rates</t>
  </si>
  <si>
    <t>We Fox</t>
  </si>
  <si>
    <t>A platform connecting insurers to brokers and enabling users to manage their policies digitally.</t>
  </si>
  <si>
    <t>Lumity</t>
  </si>
  <si>
    <t>A venture providing businesses with data analytics tools which deliver cost-saving advice for their company health plans. With one dashboard, users can control and measure their plan’s design, match recommendations to group needs, and receive real-time insights into benefits.</t>
  </si>
  <si>
    <t>PolicyPal</t>
  </si>
  <si>
    <t>An insurance app helping users manage and acquire insurance policies at affordable prices.</t>
  </si>
  <si>
    <t>Gravie</t>
  </si>
  <si>
    <t>An employer-focused health insurance venture that helps users choose, buy and manage their health care.</t>
  </si>
  <si>
    <t>Baozhunniu</t>
  </si>
  <si>
    <t>An online insurance platform offering customizable policies and packages.</t>
  </si>
  <si>
    <t>Disability, Hospitalization and medical care</t>
  </si>
  <si>
    <t>Coru</t>
  </si>
  <si>
    <t>A start-up that uses AI to provide consumers in Mexico with a motor insurance price comparison service.</t>
  </si>
  <si>
    <t>Cuvva</t>
  </si>
  <si>
    <t>A motor insurance broker providing on-demand insurance for the specific amount of time a driver requires.</t>
  </si>
  <si>
    <t>Cover Wallet</t>
  </si>
  <si>
    <t>A concierge-style service for small business to manage their insurance cover requirements.</t>
  </si>
  <si>
    <t>Small Business - General liability, Worker's compensation</t>
  </si>
  <si>
    <t>League</t>
  </si>
  <si>
    <t>A digital health platform using technology to connect customers and their employees to health services and benefits.</t>
  </si>
  <si>
    <t>Neura</t>
  </si>
  <si>
    <t>An AI-as-a-service venture helping companies increase engagement and retention by analyzing data from apps and IoT devices.</t>
  </si>
  <si>
    <t>Coverfox Insurance</t>
  </si>
  <si>
    <t xml:space="preserve">An online insurance broker focusing on providing transparent and simplified insurance policies to individuals. Coverfox is the biggest InsureTech platform in India. Coverfox offers both life and non-life insurance policies. It has 50,000 agents and offers products from 45 insurance companies. The company sold premiums worth $100 million through its platform and generated $22 million in revenue with a million transactions done last year. </t>
  </si>
  <si>
    <t>Qover</t>
  </si>
  <si>
    <t>An insurance - as - a - service platform offering digital white label insurance products to providers via open API's.</t>
  </si>
  <si>
    <t>Sentiance</t>
  </si>
  <si>
    <t>A data science company turning IoT sensor data into rich insights about people’s behavior and real - time context.</t>
  </si>
  <si>
    <t>Avaamo</t>
  </si>
  <si>
    <t xml:space="preserve">A scalable conversational AI platform for financial services, healthcare and more. </t>
  </si>
  <si>
    <t>The Care Voice</t>
  </si>
  <si>
    <t>An independent mobile social platform that provides trusted, community-sourced ratings and recommendations on top-quality healthcare services. The CareVoice is a health Insure Tech company transforming healthcare experience to be more consumer-centric. They bring unique mobile-based and data-driven solutions that digitalize healthcare and insurance journey with consumers’ interest first.</t>
  </si>
  <si>
    <t>Datacubes</t>
  </si>
  <si>
    <t>DataCubes is the first data science platform for commercial underwriting. DataCubes helps carriers improve customer engagement, underwriting productivity, and profitability. DataCubes' platform uses data science to eliminate paperwork, provide a holistic view of risks by analyzing a broad array of internal and external data sources, and score and prioritize commercial risks.</t>
  </si>
  <si>
    <t>Huddle</t>
  </si>
  <si>
    <t>A peer-to-peer insurance venture utilizing AI and data analytics to offer personalized car, travel, home and renters insurance via their online and mobile platform. Huddle applies artificial intelligence, machine learning and community thinking to the insurance company model, allowing customers to submit claim forms and pictures online, and to receive money or vouchers for replacement items within minutes.</t>
  </si>
  <si>
    <t>Root Insurance</t>
  </si>
  <si>
    <t>A motor insurance company providing driving apps that help drivers get better insurance rates based on their driving behavior.</t>
  </si>
  <si>
    <t>Concirrus</t>
  </si>
  <si>
    <t>A provider of intelligent insurance solutions for the marine insurance industry. Concirrus Quest products access and interpret large sets of static demographic and dynamic behavior-based data sets, and combine these with historical claims information to reveal the behaviors that correlate to claims.</t>
  </si>
  <si>
    <t>Marine</t>
  </si>
  <si>
    <t>Sure</t>
  </si>
  <si>
    <t>An on-demand insurance venture that offers personal insurance purchasing and management services.</t>
  </si>
  <si>
    <t>Tractable</t>
  </si>
  <si>
    <t>A data analytics venture using AI to compares policy holder image data against previous claims data, to make recommendations on the cost of repair.</t>
  </si>
  <si>
    <t>Osigu</t>
  </si>
  <si>
    <t>A platform connecting policy holders, providers, and insurance companies to process insurance claims in real time. Osigu provides an insurance management platform intended to be used for data processes and data transfers. The company's insurance management platform helps in all the transactions and data transfers that happen between insurance providers, insurance partners, and the customers eliminating all the over processed and haphazard paperwork found in the back end systems, enabling clients with a reliable and efficient technology that helps them to serve their millions of customers easily without any hassle.</t>
  </si>
  <si>
    <t>Singapore Life</t>
  </si>
  <si>
    <t>A life insurance venture that provides on-demand solutions for users through their online platform. It provides customers with a better life insurance experience by using the efficiency that technology creates.</t>
  </si>
  <si>
    <t>Life</t>
  </si>
  <si>
    <t>Ladder</t>
  </si>
  <si>
    <t>An insurance broker offering users quick, online access to life insurance that is easy to adapt as their lives change.</t>
  </si>
  <si>
    <t>Go Bear</t>
  </si>
  <si>
    <t>A complete and easy to use comparison site for financial and insurance products.</t>
  </si>
  <si>
    <t>Clearsurance</t>
  </si>
  <si>
    <t xml:space="preserve">A crowdsourced ratings and reviews platform that helps people make smarter insurance decisions where people can find the best insurance companies and products to meet their specific needs and unique buying preferences. </t>
  </si>
  <si>
    <t>Digital Fineprint</t>
  </si>
  <si>
    <t>Startup that builds AI and big data tech solutions to help insurers and brokers protect businesses. They help to solve the data challenges facing the commercial insurance industry.</t>
  </si>
  <si>
    <t>Small Business</t>
  </si>
  <si>
    <t>Swyfft</t>
  </si>
  <si>
    <t>A home insurance venture that utilizes AI and data analytics to find personalized cover and provide switching services.</t>
  </si>
  <si>
    <t>Cambridge Mobile Telematics</t>
  </si>
  <si>
    <t>A telematics venture developing usage - based and behavior - based programs, making roads and drivers safer.</t>
  </si>
  <si>
    <t>Cyberwrite</t>
  </si>
  <si>
    <t>A cyber insurance venture using machine learning to provide improved underwriting and pricing solutions to insurers.</t>
  </si>
  <si>
    <t>Cyber insurance</t>
  </si>
  <si>
    <t>Xiaoyusan</t>
  </si>
  <si>
    <t>An online insurance platform leveraging big data analytics to provide health and life policies for the elderly, children and adults.</t>
  </si>
  <si>
    <t>Cover</t>
  </si>
  <si>
    <t>An app that allows its users to insure anything by taking a picture of what they need to protect.</t>
  </si>
  <si>
    <t>Toffee Insurance</t>
  </si>
  <si>
    <t>A mobile - first micro - insurance venture aimed at the younger demographic.</t>
  </si>
  <si>
    <t>Turtlemint</t>
  </si>
  <si>
    <t>An insurance platform that provides tools and services to help individuals find and buy policies.</t>
  </si>
  <si>
    <t>Wrisk</t>
  </si>
  <si>
    <t>A personal insurance platform targeting the purchase, policy management and claims processes.</t>
  </si>
  <si>
    <t>Figo Pet Insurance</t>
  </si>
  <si>
    <t>A start-up reimagining the pet insurance value proposition by using technology to making life easier for people and their pets.</t>
  </si>
  <si>
    <t>Hey Mondo</t>
  </si>
  <si>
    <t xml:space="preserve">A travel insurance venture utilising data analytics and AI to provide customizable insurance products in an instant. </t>
  </si>
  <si>
    <t>Travel</t>
  </si>
  <si>
    <t>Cover Genius</t>
  </si>
  <si>
    <t>A distribution platform enabling ecommerce companies to sell insurance to their global customers with the use of an API.</t>
  </si>
  <si>
    <t>Stonestep</t>
  </si>
  <si>
    <t>A micro-insurance as a service platform providing a packaged insurance solution for first-generation customers in emerging markets. Stonestep is a Swiss-based Insure Tech firm that is changing how insurance is delivered in emerging markets. Stonestep enables mobile network operators, retailers and other corporations to easily diversify their services and generate additional revenue, by offering risk products designed to address the needs of first-generation insurance customers at an affordable price.</t>
  </si>
  <si>
    <t>Tikkr</t>
  </si>
  <si>
    <t>Buzzmove</t>
  </si>
  <si>
    <t>An online marketplace which enables users to compare removals companies and book them online, as well as accurately insure their household contents via Buzzvault.</t>
  </si>
  <si>
    <t>Market</t>
  </si>
  <si>
    <t>Both</t>
  </si>
  <si>
    <t>Personal</t>
  </si>
  <si>
    <t>Commercial</t>
  </si>
  <si>
    <t>Life and Health</t>
  </si>
  <si>
    <t>Heathcare</t>
  </si>
  <si>
    <t>Healthcare, Life</t>
  </si>
  <si>
    <t>TikkR is a third party insurance processor that provides short-duration, bundled insurance solutions that integrates with user lifestyles by providing protection during periods wherein they perceive rise (e.g., while cycling, running, commuting, etc.).  Mobile app</t>
  </si>
  <si>
    <t xml:space="preserve">Auto
</t>
  </si>
  <si>
    <t>Auto, Property</t>
  </si>
  <si>
    <t>Auto, Property, Health</t>
  </si>
  <si>
    <t>Auto, Property and Life</t>
  </si>
  <si>
    <t>Auto, Property, Travel</t>
  </si>
  <si>
    <t>Auto, Property, Health, Travel</t>
  </si>
  <si>
    <t>Property</t>
  </si>
  <si>
    <t>Property
Renters</t>
  </si>
  <si>
    <t>Zesty AI</t>
  </si>
  <si>
    <t>N/A</t>
  </si>
  <si>
    <t>2020 EXL Rating</t>
  </si>
  <si>
    <t>American Well</t>
  </si>
  <si>
    <t>Workers' Comp</t>
  </si>
  <si>
    <t>Bold Penguin</t>
  </si>
  <si>
    <t>TBD</t>
  </si>
  <si>
    <t>Cake</t>
  </si>
  <si>
    <t>Zesty harnesses the power of AI to change the way the trillion dollar property insurance industry is assessing risk.  They use the elates advancements I computer vision and deep learning on 115+Bn data points on residential and commercial properties to extract key building features to accurately model the potential impact of both non-catastrophic and catastrophic loss events.  insurance carriers and reinsurers have partnered with Zesty to underwrite risk more accurately, provide their customers a smoother purchasing experience and manage inspections more cost-effectively</t>
  </si>
  <si>
    <t>American Well is a telehealth platform that connects and enables providers, insurers, patients, and innovators to deliver greater access to affordable, high quality care.  With its belief that digital care delivery will transform healthcare, the insurtech offers a single, comprehensive platform to support all telehealth needs from urgent to acute and post-acute care as well as chronic care management and healthy living</t>
  </si>
  <si>
    <t>Care Insure offers an intuitive, easy-to-use and fast mobile platform to help small business owners provide workers' compensation insurance to their employees.  The platform allows organizations to buy WC insurance easily online, is built on top of Salesforce, and bypasses traditional insurance buying approach.  Cake Insure leverages AI to accurately classify the businesses of its clients based not eh description they provide in the platform.  Care also manages digital proof of coverage.  www.cakeinsure.com</t>
  </si>
  <si>
    <t>A data provider drawing on computer vision, geospatial imagery, and machine learning to extract property data for insurers.  Currently only in Personal but appears they may be branching out to Commercial.  Www.capeanalytics.com</t>
  </si>
  <si>
    <t>A cloud-based SAAS solution used by motor insurance providers to guide claimants through a photo &amp; information gathering process on the scene of an accident. The company was founded in 2010 as BodyShopBids and rebranded as Snapsheet in 2012.  Virtual appraisal platform , payments, managing rental reimbursement</t>
  </si>
  <si>
    <t>Hyperscience</t>
  </si>
  <si>
    <t>Riskgenius</t>
  </si>
  <si>
    <t xml:space="preserve">Software as a solution for insurers, which utilizes Big Data analytics and Machine Learning technology to improve fraud detection. Company's flagship product provides insurers a decision-making platform speciﬁcally designed for their fraud handlers to scale their capacity to detect a wide spectrum of fraudulent insurance behaviors, from opportunistic to organized crime!  LUKE delivers powerful claims capabilities built around Shift's highly accurate AI decision engine.  Delivers claim automation, easy claim submission, accurate claim vaidation and fraud detection, immediate settlement and payout of simple cliams - augments claim handlers capabilities.   FORCE is the fraud detection suite.  </t>
  </si>
  <si>
    <t>This insurtech is changing the way car insurers handle claims by applying AI to accident and disaster recovery.  The technology looks at the asset damage and predicts repair costs from photos in real time so claims can be settle faster.  Founded in 2014.  Tractable trains its deep learning technology on over 100 million images to make their models work more accurately.  Creates damage estimates and cost estimates</t>
  </si>
  <si>
    <t>Matterport</t>
  </si>
  <si>
    <t>Hover</t>
  </si>
  <si>
    <t>Slice</t>
  </si>
  <si>
    <t>Hippo</t>
  </si>
  <si>
    <t>BriteCore</t>
  </si>
  <si>
    <t>Jooycar</t>
  </si>
  <si>
    <t>TrakGlobalGroup</t>
  </si>
  <si>
    <t>otonomo</t>
  </si>
  <si>
    <t>omni:us</t>
  </si>
  <si>
    <t>concirrus</t>
  </si>
  <si>
    <t>FNOL</t>
  </si>
  <si>
    <t>TensorFlight</t>
  </si>
  <si>
    <t>Plnar</t>
  </si>
  <si>
    <t>Flyreel</t>
  </si>
  <si>
    <t>Setoo</t>
  </si>
  <si>
    <t>FloodFlash</t>
  </si>
  <si>
    <t>Clara</t>
  </si>
  <si>
    <t>Gradient</t>
  </si>
  <si>
    <t>Westhill</t>
  </si>
  <si>
    <t>Function/Capability</t>
  </si>
  <si>
    <t>Value Chain</t>
  </si>
  <si>
    <t>Specialty</t>
  </si>
  <si>
    <t>Liability</t>
  </si>
  <si>
    <t>Worker's Comp</t>
  </si>
  <si>
    <t>Broker/Agency Management</t>
  </si>
  <si>
    <t>Underwriting</t>
  </si>
  <si>
    <t>Policy acquisition</t>
  </si>
  <si>
    <t>New Business</t>
  </si>
  <si>
    <t>Risk Assessment</t>
  </si>
  <si>
    <t>Policy Administration</t>
  </si>
  <si>
    <t>Policy Renewal</t>
  </si>
  <si>
    <t>Premium Audit</t>
  </si>
  <si>
    <t>Claim Intake</t>
  </si>
  <si>
    <t>Claim Support tasks</t>
  </si>
  <si>
    <t>Claim Bill Review &amp; payment</t>
  </si>
  <si>
    <t>Nurse Case Management</t>
  </si>
  <si>
    <t>Utilization Review</t>
  </si>
  <si>
    <t>Subrogation/Recovery</t>
  </si>
  <si>
    <t>Litigation Support</t>
  </si>
  <si>
    <t>Billing Function (Cash App, Disbursement, recon)</t>
  </si>
  <si>
    <t>Collections</t>
  </si>
  <si>
    <t>Contact Center</t>
  </si>
  <si>
    <t>Mailroom services</t>
  </si>
  <si>
    <t>Risk Control</t>
  </si>
  <si>
    <t>White Spaces - Experience</t>
  </si>
  <si>
    <t>#</t>
  </si>
  <si>
    <t>Area</t>
  </si>
  <si>
    <t>Platform</t>
  </si>
  <si>
    <t>Analytics</t>
  </si>
  <si>
    <t>Digital</t>
  </si>
  <si>
    <t>Solutions</t>
  </si>
  <si>
    <t>Solution Components</t>
  </si>
  <si>
    <t>Solution Features</t>
  </si>
  <si>
    <t>EXL Capability</t>
  </si>
  <si>
    <t>Challenges we are trying to solve</t>
  </si>
  <si>
    <t>Capability Gap Description</t>
  </si>
  <si>
    <t>Partnership Required</t>
  </si>
  <si>
    <t>Competition Capability</t>
  </si>
  <si>
    <t>Benchmarks</t>
  </si>
  <si>
    <t>Business Outcomes</t>
  </si>
  <si>
    <t>InsurTech</t>
  </si>
  <si>
    <t>TPA</t>
  </si>
  <si>
    <t>Other</t>
  </si>
  <si>
    <t>Genpact</t>
  </si>
  <si>
    <t>WNS</t>
  </si>
  <si>
    <t>TCS</t>
  </si>
  <si>
    <t>Cognizant</t>
  </si>
  <si>
    <t>Metrics that Matter</t>
  </si>
  <si>
    <t>Claim</t>
  </si>
  <si>
    <t>FNOL-as-a- Service</t>
  </si>
  <si>
    <t>Omni Channel Intake</t>
  </si>
  <si>
    <t>Provides a channel agnostic claim reporting solution for customers (broker and insured)</t>
  </si>
  <si>
    <t xml:space="preserve">-Brokers and Insureds want the choice of reporting channels (Mobile, Web, Email, Fax, Phone) and expect a carrier to provide them with all options 
-Carriers and customers desire FNOL set up (claim # assignment) and adjuster assignment as quickly as possible in order to ensure timely investigation, evaluation reserving and resolution.  Anything more than 4 hours is often perceived as too long leading to adverse impacts on the claim and the customer experience.   
-An FNOL contains a number of data points which are important to capture quickly and accurately so they can be immediately used to predict claim outcomes, properly reserve, report losses to underwriting, price risks and manage aggregate loss costs. 
-Significant effort and cost is needed to convert unstructured, semi-structured and structured documents, embedded files, notes, ACORD forms, scans, images etc...) to useable formats.
-Customers often complain of insufficient transparency into the claim assignment process.  They do not receive timely notification of the claim number nor the adjuster ID leading to unnecessary phone calls and emails and ultimately poor customer satisfaction.  .  
-Customers and regulators require data privacy and security for all PHI, PII information shared when reporting a loss.  
</t>
  </si>
  <si>
    <t>N</t>
  </si>
  <si>
    <t>Automated Entry FNOL capability (Thin Human/Heavy Digital)</t>
  </si>
  <si>
    <t>Provides front end capability to ingest all types of FNOL documents across all  lines of business (Commercial and Personal) from all channels (except Voice). 
App needs to extract data/content and auto populate carrier claim systems (Guidewire, Duck Creek etc..)</t>
  </si>
  <si>
    <t>1. Robust and functioning extraction capability
2. A functioning bolt on FNOL interface that could work with various Claims platforms like Guidewire and DuckCreek</t>
  </si>
  <si>
    <t>Y</t>
  </si>
  <si>
    <t>Voice Center of Excellence (COE)</t>
  </si>
  <si>
    <t>Provides insured/broker with the ability to report claims via phone in a workflow enabled call flow using dynamic scripts, triage and adjuster assignment. 
Claims Inquiry and Provider Help lines may also be part of the module.</t>
  </si>
  <si>
    <t>Acknowledgement Notice Automation</t>
  </si>
  <si>
    <t>Provides immediate notice to insured and broker that the claim has been received and a claim number assigned</t>
  </si>
  <si>
    <t>None</t>
  </si>
  <si>
    <t>Reports and Dashboards</t>
  </si>
  <si>
    <t>Provides ability to capture and report real time on TAT, Volume by LOB, Volume by Channel, Quality etc..)</t>
  </si>
  <si>
    <t>Predictive Analytics</t>
  </si>
  <si>
    <t>Provides early indicator flags (Fraud, Litigation, Recovery, Total Loss) to improve assignment, investigation cues, improved cycle time, decision support</t>
  </si>
  <si>
    <t>Capability exists.
1. Predictive Analytics have not been applied at FNOL but have been applied further downstream.  Decision whether to build or buy and which parts to build.</t>
  </si>
  <si>
    <t>Cloud Hosted</t>
  </si>
  <si>
    <t>Provides ability to host data in the cloud while protecting security and data privacy</t>
  </si>
  <si>
    <t>Conversational IVR</t>
  </si>
  <si>
    <t>Provides for reduced FNOL Call AHT, improved call routing abilit to answer basic claim inquiry calls</t>
  </si>
  <si>
    <t>Speech Analytics</t>
  </si>
  <si>
    <t>Fraud propensity, Customer Experience analytics, call flow/script optimization</t>
  </si>
  <si>
    <t>Payment-as-a Service</t>
  </si>
  <si>
    <t xml:space="preserve">Content Extraction
</t>
  </si>
  <si>
    <t>Intelligent data extraction from bills/invoices sent via paper/email/fax to enable automated entry and into payment systems</t>
  </si>
  <si>
    <t>1. Robust and functioning extraction capability
2. A functioning bolt on interface that could work with various systems</t>
  </si>
  <si>
    <t>Payee Portal</t>
  </si>
  <si>
    <t xml:space="preserve">A payee portal allows the payee to easily handle their payment processes online. Those intended for an individual usually allow the payee to set up their payment preference, add or manage accounts for payment deposits, and view real time status of payments. </t>
  </si>
  <si>
    <t>1. EXL does not have a portal, tool, platform or bolt on solution today that could work with client ERP and claim systems</t>
  </si>
  <si>
    <t xml:space="preserve">Transactional Servicing Features
</t>
  </si>
  <si>
    <t>Provides automated Payment Methods, Payment Transactions, EOB Remittance, Payee Types,Workflow,Party Types, Fraud Management &amp; Controls</t>
  </si>
  <si>
    <t>The people capabilityt to execute these transactions exists today and there are automated features which do exist
1.  A holistic, integrated solution with payment processing vendors (E.g. VISA) does not exist</t>
  </si>
  <si>
    <t xml:space="preserve">Customer Service 
</t>
  </si>
  <si>
    <t>Payment-as-a-Service providers typically provide the frontline customer service to the payee, answering questions about the timing or amount of the payment, processing individual transactions such as stop payments, or providing support for changing payment preferences or accounts.</t>
  </si>
  <si>
    <t>Administrative Support and Services</t>
  </si>
  <si>
    <t>The solution needs to provide for a number of administrative services.
'-Account Funding - Some vendors can use the insurers’ own bank accounts. 
-Escheatment - PaaS providers can handle the escheatmnet processes for each state as needed.  
-Marketing Services - MostPaaS providers include some support for marketing (insurer branded cards, drive demand for paper-free payments, marketing messages within payee portal)
-Reporting Data - real time data or regular data files that aggregate data across all payment channels for easy reconciliation
-Reconciliation Tools
-Administrative Portal - provides the insurer with access to data and admin tools (access to scheduled reports, recon tools, admin access to add insurer users and manage permissions, search, manage and view real time status of each payment, stop pay/voids/reissue
-Payment Integrity</t>
  </si>
  <si>
    <t>The people capabilityt to execute these transactions exists today and there are automated features which do exist
1.  An Admin portal does not exist</t>
  </si>
  <si>
    <t>Digitally Transforming Workers’ Compensation Claims 
Optimizing Medical and Disability Management</t>
  </si>
  <si>
    <t xml:space="preserve">Medical Case Management Platform
</t>
  </si>
  <si>
    <t>AI Powered platform to manage medical case assignment, co-ordinate appointments (Physicians, Diagnostics etc.) and order services (Therapy, testing, Medical Supplies, transportation etc.)</t>
  </si>
  <si>
    <t>-Platform or bolt-on solution that could work with multiple client and medical provider systems for case management, appointment co-ordination and ordering services</t>
  </si>
  <si>
    <t xml:space="preserve">Automated Entry Medical Record and Bill Management capability (Thin Human/Heavy Digital). </t>
  </si>
  <si>
    <t>Provides front end capability to ingest all medical records and bills from all channels.  App needs to ingest data, extract data/content, auto populate carrier systems and feed data to Bill Review platforms, Bill Payment systems and Medical Summarization tools.</t>
  </si>
  <si>
    <t xml:space="preserve">Medical Record Summarization
</t>
  </si>
  <si>
    <t>Leverage EXLs MedConnection tool to intake, tag, catalogue and summarize medical records and create a comprehensive medical summary for adjusters and attorneys</t>
  </si>
  <si>
    <t xml:space="preserve">End to End Utilization Review
</t>
  </si>
  <si>
    <t>Provide full service Utilization Review capability beyond existing USRN &amp; PHRN capability 
Typically need a Physician Peer Review network</t>
  </si>
  <si>
    <t>Nurse expertise in UR exists at EXL if able to work in client UR platforms and tools and leverage benchmarks and state guidelines
1. Gap is in having our own UR platform/tool/licenses (ie; Strata, Mitchell)
2.  Lack of access to Physician Peer Review Network</t>
  </si>
  <si>
    <t xml:space="preserve">Medical Bill Review Capability/Platform
</t>
  </si>
  <si>
    <t>Bill review platform integrated with claim systems populated with all ICD-9 codes, treatment protocols, benchmarks etc.…
Access to PPO Networks</t>
  </si>
  <si>
    <t xml:space="preserve">-MBR capability exists if able to work in client platform. 1. Gap is lack of MBR platform with PPO netwworks, RX programs, benchmarks </t>
  </si>
  <si>
    <t xml:space="preserve">Predictive Analytics Models
</t>
  </si>
  <si>
    <t>RTW Modeling (prediction of MO, LT, Catastrophic Injuries and RTW/MMI days), Severity Modeling, Nurse Triage (Nurse Intervention Success, Nurse Performance), Litigation Propensity, Indemnity Spend Analytics, RX Analytics (target high risk meds which harm RTW efforts - guide appropriate utilization), PPO Outcomes (Inside Network/Outside Network), Physician Peer Reivew Performance, Fraud Analytics, WFH Injury Models, Vendor Outcome Models, Early Intervention/Chronic Pain Analysis, AI Tools to identify potentially difficult or complex claims</t>
  </si>
  <si>
    <t>-NA</t>
  </si>
  <si>
    <t xml:space="preserve">STP Modeling and Automation (Medical Only Claims)
 </t>
  </si>
  <si>
    <t>Model the appropriate threshold for STP of medical only claims and process without human touch.</t>
  </si>
  <si>
    <t>STP capability does not exist</t>
  </si>
  <si>
    <t xml:space="preserve">Payment Integrity
</t>
  </si>
  <si>
    <t>Leverage payment integrity identification and collection capabilities in HC and/or SCIO to recover leakage in medical payments.</t>
  </si>
  <si>
    <t xml:space="preserve">Subrogation
</t>
  </si>
  <si>
    <t xml:space="preserve">Leverage subrogation capabilities to highlight claims with high subro potential early in the case and pursue accordingly. </t>
  </si>
  <si>
    <t>UW</t>
  </si>
  <si>
    <t>New Business Processing-as-a-Service</t>
  </si>
  <si>
    <t>F &amp; A</t>
  </si>
  <si>
    <t>Potential Funding</t>
  </si>
  <si>
    <t>Vertical</t>
  </si>
  <si>
    <t>Business Lines Supported</t>
  </si>
  <si>
    <t>Products Supported</t>
  </si>
  <si>
    <t>Digital Disruption Level</t>
  </si>
  <si>
    <t>Industry Utility</t>
  </si>
  <si>
    <t>Product</t>
  </si>
  <si>
    <t>EXL Investment Potential</t>
  </si>
  <si>
    <t>S.No</t>
  </si>
  <si>
    <t>Category</t>
  </si>
  <si>
    <t>InsureTech</t>
  </si>
  <si>
    <t>Policy Acquisition, Policy Underwriting, Policy Servicing, Claims Management, F&amp;A</t>
  </si>
  <si>
    <t>US</t>
  </si>
  <si>
    <t>$925m</t>
  </si>
  <si>
    <t>Health</t>
  </si>
  <si>
    <t>Health insurance, Medicare</t>
  </si>
  <si>
    <t>Digital Customer Engagement</t>
  </si>
  <si>
    <t xml:space="preserve">HealthCare </t>
  </si>
  <si>
    <t>Telematics</t>
  </si>
  <si>
    <t>Policy Acquisition, Policy Underwriting, Policy Servicing, Claims Management</t>
  </si>
  <si>
    <t>$295.5m</t>
  </si>
  <si>
    <t>P&amp;C</t>
  </si>
  <si>
    <t>Digital Data Flows</t>
  </si>
  <si>
    <t>CX</t>
  </si>
  <si>
    <t>Policy Acquisition, Policy Underwriting, Policy servicing, Claims Management, F&amp;A</t>
  </si>
  <si>
    <t>$1.3b</t>
  </si>
  <si>
    <t>Personal/Commercial</t>
  </si>
  <si>
    <t>Health insurance products such as lab tests, generic drugs, brand name drugs, free doctor visits.</t>
  </si>
  <si>
    <t>Self service online</t>
  </si>
  <si>
    <t>Personal/Small Business</t>
  </si>
  <si>
    <t>AI</t>
  </si>
  <si>
    <t>$480m</t>
  </si>
  <si>
    <t>Digital Disintermediation</t>
  </si>
  <si>
    <t>Aggregators</t>
  </si>
  <si>
    <t>Homeowners</t>
  </si>
  <si>
    <t>Mobile</t>
  </si>
  <si>
    <t>Africa, LATAM and APAC</t>
  </si>
  <si>
    <t>$170.6m</t>
  </si>
  <si>
    <t>Individual &amp; Agents</t>
  </si>
  <si>
    <t>Micro insurance Life, personal accident, hospitalization &amp;  Health products</t>
  </si>
  <si>
    <t>Mobile Market Place</t>
  </si>
  <si>
    <t>Life and Healthcare</t>
  </si>
  <si>
    <t>$840m</t>
  </si>
  <si>
    <t>Internet-based business and household property insurance, cargo insurance, liability insurance, and credit insurance</t>
  </si>
  <si>
    <t>Digital Claims</t>
  </si>
  <si>
    <t>digital/CX</t>
  </si>
  <si>
    <t>Policy Acquisition, Policy Underwriting ,Policy servicing, Claims Management, F&amp;A</t>
  </si>
  <si>
    <t>India</t>
  </si>
  <si>
    <t>$107m</t>
  </si>
  <si>
    <t>Individual</t>
  </si>
  <si>
    <t>Digital-Disintermediation</t>
  </si>
  <si>
    <t>Digital Disruption</t>
  </si>
  <si>
    <t>ML/Big Data</t>
  </si>
  <si>
    <t>Policy Underwriting</t>
  </si>
  <si>
    <t>France</t>
  </si>
  <si>
    <t>$99.8m</t>
  </si>
  <si>
    <t>Fraud detection</t>
  </si>
  <si>
    <t>Unknown</t>
  </si>
  <si>
    <t>Decision making platforms</t>
  </si>
  <si>
    <t xml:space="preserve">Digitally-enabled Safer World </t>
  </si>
  <si>
    <t>Software as a solution</t>
  </si>
  <si>
    <t>Auto, Home, Travel, Health, Workers', Life</t>
  </si>
  <si>
    <t>Personal and Commercial</t>
  </si>
  <si>
    <t>Policy Acquisition</t>
  </si>
  <si>
    <t>UK</t>
  </si>
  <si>
    <t>$7.5 M</t>
  </si>
  <si>
    <t>Security and Home protection</t>
  </si>
  <si>
    <t>Connected devices</t>
  </si>
  <si>
    <t>On-demand</t>
  </si>
  <si>
    <t>Policy Acquisition, Policy, Underwriting, Claims Management</t>
  </si>
  <si>
    <t>$98.8m</t>
  </si>
  <si>
    <t>Mobility insurance, Single item insurance, Renters, Small business insurance</t>
  </si>
  <si>
    <t>On demand insurance</t>
  </si>
  <si>
    <t>$40.5m</t>
  </si>
  <si>
    <t>Rideshare drivers</t>
  </si>
  <si>
    <t>on-demand insurance</t>
  </si>
  <si>
    <t>$13.58m</t>
  </si>
  <si>
    <t>Platforms</t>
  </si>
  <si>
    <t>AI and Automation</t>
  </si>
  <si>
    <t>China</t>
  </si>
  <si>
    <t>$199.27m</t>
  </si>
  <si>
    <t>Machine Learnings, AI</t>
  </si>
  <si>
    <t>Aggregator</t>
  </si>
  <si>
    <t>$51.1m</t>
  </si>
  <si>
    <t>L&amp;A</t>
  </si>
  <si>
    <t>Life, Health, Accident, Critical Illness, Dental, Vision, Disability, Long Term Care</t>
  </si>
  <si>
    <t>Renters insurance</t>
  </si>
  <si>
    <t>On Demand insurance</t>
  </si>
  <si>
    <t>CX/Digital</t>
  </si>
  <si>
    <t>$86.5m</t>
  </si>
  <si>
    <t>Individuals / Commercial</t>
  </si>
  <si>
    <t>Health insurance - care, hospital coverage</t>
  </si>
  <si>
    <t>$17.71m</t>
  </si>
  <si>
    <t>General insurance</t>
  </si>
  <si>
    <t>Home owners insurance</t>
  </si>
  <si>
    <t>Distribution platform</t>
  </si>
  <si>
    <t>$41.4m</t>
  </si>
  <si>
    <t>Risk Selection</t>
  </si>
  <si>
    <t>Digitization of Operations</t>
  </si>
  <si>
    <t>AI &amp; Analytics</t>
  </si>
  <si>
    <t>Auto, Health, Workers'</t>
  </si>
  <si>
    <t>Policy Underwriting, Policy servicing, Claims Management</t>
  </si>
  <si>
    <t>$0.75m</t>
  </si>
  <si>
    <t>AI &amp; Machine learnings</t>
  </si>
  <si>
    <t>Life Sciences, P&amp;C</t>
  </si>
  <si>
    <t>$9.03m</t>
  </si>
  <si>
    <t>Pet Insurance</t>
  </si>
  <si>
    <t>Online Self-service</t>
  </si>
  <si>
    <t>ML/Analytics</t>
  </si>
  <si>
    <t>$31m</t>
  </si>
  <si>
    <t>Analytics - Geospatial Imagery Analytics</t>
  </si>
  <si>
    <t>Policy Underwriting, Policy Servicing</t>
  </si>
  <si>
    <t>Israel</t>
  </si>
  <si>
    <t>$5m</t>
  </si>
  <si>
    <t>Life Insurance</t>
  </si>
  <si>
    <t>Analytics - Integrate data sources</t>
  </si>
  <si>
    <t>$42.4m</t>
  </si>
  <si>
    <t>Auto &amp; Property</t>
  </si>
  <si>
    <t>$15m</t>
  </si>
  <si>
    <t>Personal / Commercial</t>
  </si>
  <si>
    <t>$19.18m</t>
  </si>
  <si>
    <t>Artificial intelligence</t>
  </si>
  <si>
    <t>AI/CX</t>
  </si>
  <si>
    <t>Germany</t>
  </si>
  <si>
    <t>$40m</t>
  </si>
  <si>
    <t>Home Content insurance, Bike Theft, E-bike Theft, Private liability</t>
  </si>
  <si>
    <t>$88.4m</t>
  </si>
  <si>
    <t>Internet of Things, Software and Analytics</t>
  </si>
  <si>
    <t>$38.9m</t>
  </si>
  <si>
    <t>Australia</t>
  </si>
  <si>
    <t>$1.7m</t>
  </si>
  <si>
    <t>Commercial, Personal</t>
  </si>
  <si>
    <t>Health, Wearables, Fitness, Analytics, Health Insurance, Mobile, Corporate Wellness</t>
  </si>
  <si>
    <t>$131m</t>
  </si>
  <si>
    <t>Business Insurance, General &amp; Professional Liability Insurance, Commercial Auto Insurance</t>
  </si>
  <si>
    <t>Online Market Place</t>
  </si>
  <si>
    <t>Auto, Property, Liability</t>
  </si>
  <si>
    <t>$63.03m</t>
  </si>
  <si>
    <t>Policy Servicing</t>
  </si>
  <si>
    <t>Malta</t>
  </si>
  <si>
    <t>$16.6m</t>
  </si>
  <si>
    <t>Conversational OS, Predictive and Recommending Engine, Assistant &amp; News App</t>
  </si>
  <si>
    <t>AI based personal assistant, Platform</t>
  </si>
  <si>
    <t>Health and Life</t>
  </si>
  <si>
    <t>Digital Ops</t>
  </si>
  <si>
    <t>Claims Management</t>
  </si>
  <si>
    <t>$66.9m</t>
  </si>
  <si>
    <t>Personal Lines</t>
  </si>
  <si>
    <t xml:space="preserve">Self Service App for managing claim </t>
  </si>
  <si>
    <t>Personal and Small Business</t>
  </si>
  <si>
    <t>E-broker</t>
  </si>
  <si>
    <t>Policy Acquisition, Policy Underwriting, Policy Servicing</t>
  </si>
  <si>
    <t>$8m</t>
  </si>
  <si>
    <t>E-Broker</t>
  </si>
  <si>
    <t>Workers' Compensation</t>
  </si>
  <si>
    <t>$104.2m</t>
  </si>
  <si>
    <t>Auto, Home</t>
  </si>
  <si>
    <t>$1.31m</t>
  </si>
  <si>
    <t>Self Service - Mobility</t>
  </si>
  <si>
    <t>$53m</t>
  </si>
  <si>
    <t>Self service platform, SaaS</t>
  </si>
  <si>
    <t>$16.88m</t>
  </si>
  <si>
    <t>$158.5m</t>
  </si>
  <si>
    <t>Personal, Commercial</t>
  </si>
  <si>
    <t>Health Insurance, Pension &amp; Liability Insurance, Claims</t>
  </si>
  <si>
    <t>$33m</t>
  </si>
  <si>
    <t>Software as a service, Analytics Platform</t>
  </si>
  <si>
    <t>Auto, Property, Life</t>
  </si>
  <si>
    <t>Distribution or aggregator?</t>
  </si>
  <si>
    <t>Singapore</t>
  </si>
  <si>
    <t>$20m</t>
  </si>
  <si>
    <t>$44.1m</t>
  </si>
  <si>
    <t>Group</t>
  </si>
  <si>
    <t>$18.83m</t>
  </si>
  <si>
    <t>Mexico</t>
  </si>
  <si>
    <t>$11m</t>
  </si>
  <si>
    <t>$2.65m</t>
  </si>
  <si>
    <t>Pay-as-you-drive insurance</t>
  </si>
  <si>
    <t>$28.3m</t>
  </si>
  <si>
    <t>General liability, Worker's compensation</t>
  </si>
  <si>
    <t>Aggregators, Online Market Place</t>
  </si>
  <si>
    <t>Canada</t>
  </si>
  <si>
    <t>$76.1m</t>
  </si>
  <si>
    <t>Group, Health</t>
  </si>
  <si>
    <t>Group Health, Health and lifestyle spending accounts</t>
  </si>
  <si>
    <t>$13.02m</t>
  </si>
  <si>
    <t>Digital health, Fitness and wellness data</t>
  </si>
  <si>
    <t>AI and connected devices</t>
  </si>
  <si>
    <t>$41.5m</t>
  </si>
  <si>
    <t>Car, bike, health, travel, and home insurance products.</t>
  </si>
  <si>
    <t>Belgium</t>
  </si>
  <si>
    <t>$7.56m</t>
  </si>
  <si>
    <t>Distribution platform, Data &amp; Analytics, Claims and fraud process software</t>
  </si>
  <si>
    <t>$29.60m</t>
  </si>
  <si>
    <t>Health, Car, Home</t>
  </si>
  <si>
    <t>IoT, Artificial Intelligence</t>
  </si>
  <si>
    <t>$14.20m</t>
  </si>
  <si>
    <t>Claims Processing, insurance advisory</t>
  </si>
  <si>
    <t>Virtual assistant, Chatbot</t>
  </si>
  <si>
    <t>$3.10m</t>
  </si>
  <si>
    <t>Health Insurance</t>
  </si>
  <si>
    <t>Mobile based platform</t>
  </si>
  <si>
    <t>Mobile-based  SaaS solution</t>
  </si>
  <si>
    <t>Analytics/CX</t>
  </si>
  <si>
    <t>$2.50m</t>
  </si>
  <si>
    <t>Commercial Insurance</t>
  </si>
  <si>
    <t>Customer Engagement and Underwriting platform</t>
  </si>
  <si>
    <t>Digitization of operations</t>
  </si>
  <si>
    <t>Underwriting platform and customer engagement</t>
  </si>
  <si>
    <t>AI/Analytics</t>
  </si>
  <si>
    <t>$19.25m</t>
  </si>
  <si>
    <t>P&amp;C and Travel</t>
  </si>
  <si>
    <t>Personal &amp; Travel</t>
  </si>
  <si>
    <t>Cars, homes and Holidays</t>
  </si>
  <si>
    <t>Artificial intelligence, machine learning, claims</t>
  </si>
  <si>
    <t>$51.00m</t>
  </si>
  <si>
    <t>Car insurance</t>
  </si>
  <si>
    <t>Driving apps technology</t>
  </si>
  <si>
    <t>$11.00m</t>
  </si>
  <si>
    <t>Marine Insurance</t>
  </si>
  <si>
    <t>Marine and Motor Analytics</t>
  </si>
  <si>
    <t>Global distribution, claims, marine expertise and analytics</t>
  </si>
  <si>
    <t>$23.1m</t>
  </si>
  <si>
    <t>Personal, Business and Travel</t>
  </si>
  <si>
    <t>$34.9m</t>
  </si>
  <si>
    <t>AI based solution for damage assessment</t>
  </si>
  <si>
    <t>Guatemala</t>
  </si>
  <si>
    <t>$7.04m</t>
  </si>
  <si>
    <t>$83.00m</t>
  </si>
  <si>
    <t>Term life, Endowment, Critical illness, Universal life</t>
  </si>
  <si>
    <t>$54.0m</t>
  </si>
  <si>
    <t>APAC</t>
  </si>
  <si>
    <t>$80.0m</t>
  </si>
  <si>
    <t>P&amp;C, Health &amp; Travel</t>
  </si>
  <si>
    <t>$8.2m</t>
  </si>
  <si>
    <t>Auto Insurance, Consumer, Insurance, Property Insurance</t>
  </si>
  <si>
    <t>AI/Big data</t>
  </si>
  <si>
    <t xml:space="preserve">Policy Acquisition, Policy Underwriter </t>
  </si>
  <si>
    <t>$3.1m</t>
  </si>
  <si>
    <t>Predictive Analytics, Financial Services Sales Solutions, InsurTech, Insurance Technology, Social data analytics, insurance, open data, machine learning, insurance distribution software, and insurance underwriting sofware</t>
  </si>
  <si>
    <t>Information Technology and Services</t>
  </si>
  <si>
    <t>Auto, Property, Workers'</t>
  </si>
  <si>
    <t>$7.5m</t>
  </si>
  <si>
    <t>Insurance, Analytics, Data, and homeowners</t>
  </si>
  <si>
    <t>AI and Data Analytics Services-Home and Commercial</t>
  </si>
  <si>
    <t>$502.5m</t>
  </si>
  <si>
    <t>Insurance, Mobile, Public Safety, Transportation</t>
  </si>
  <si>
    <t>Telematic - Mobile and AI Solutions</t>
  </si>
  <si>
    <t>ML</t>
  </si>
  <si>
    <t>Cyber Insurance, Underwriting technologies, Cyber Security, and Cyber Undewriting</t>
  </si>
  <si>
    <t>Machine Learning - Cyber Underwriting platform</t>
  </si>
  <si>
    <t>Cyberinsurance</t>
  </si>
  <si>
    <t>Big data/Analytics</t>
  </si>
  <si>
    <t>$14.53m</t>
  </si>
  <si>
    <t>Finance, Insurance, Life Insurance</t>
  </si>
  <si>
    <t>Online Insurance Market</t>
  </si>
  <si>
    <t>$27.0m</t>
  </si>
  <si>
    <t>Homeowner</t>
  </si>
  <si>
    <t>Policy Underwriting, Claims Management</t>
  </si>
  <si>
    <t>$1.6m</t>
  </si>
  <si>
    <t>All</t>
  </si>
  <si>
    <t>Finance, Financial Services, FinTech, Health Insurance, Insurance, InsurTech, Personal Health, Property Insurance</t>
  </si>
  <si>
    <t>Self Service - Online</t>
  </si>
  <si>
    <t>P&amp;C and L&amp;A</t>
  </si>
  <si>
    <t>Financial Services, Health Insurance, Insurance</t>
  </si>
  <si>
    <t>Policy Acquisition, Claims Management</t>
  </si>
  <si>
    <t>$10.9m</t>
  </si>
  <si>
    <t>Apps, Finance, FinTech, Insurance, InsurTech</t>
  </si>
  <si>
    <t>Digitl</t>
  </si>
  <si>
    <t>Policy Acquisition, Claims management</t>
  </si>
  <si>
    <t>$13m</t>
  </si>
  <si>
    <t>Analytics/AI</t>
  </si>
  <si>
    <t>Spain</t>
  </si>
  <si>
    <t>$0.25m</t>
  </si>
  <si>
    <t>Individual, Commercial</t>
  </si>
  <si>
    <t>Travel Insurance</t>
  </si>
  <si>
    <t>Aggregator, Online Market place, E-broker</t>
  </si>
  <si>
    <t>Insurance Technology, Travel Cover, Insurance, Travel Insurance, Rental Cover, Excess Cover, Car Rental Cover, and Campervan Cover</t>
  </si>
  <si>
    <t>Distribution Platform</t>
  </si>
  <si>
    <t>Switzerland</t>
  </si>
  <si>
    <t>$4m</t>
  </si>
  <si>
    <t>MicroInsurance</t>
  </si>
  <si>
    <t>Platform as a service</t>
  </si>
  <si>
    <t>Sweden</t>
  </si>
  <si>
    <t>-</t>
  </si>
  <si>
    <t>L&amp;A, Health</t>
  </si>
  <si>
    <t>Health, Life</t>
  </si>
  <si>
    <t>HealthCare, Life</t>
  </si>
  <si>
    <t>$9.2m</t>
  </si>
  <si>
    <t>Home Insurance</t>
  </si>
  <si>
    <t>Inzurer</t>
  </si>
  <si>
    <t>Hong Kong</t>
  </si>
  <si>
    <t>FinTech, Health Insurance, Insurance, Life Insurance, Property Insurance</t>
  </si>
  <si>
    <t>AI- Technology, Platform Services</t>
  </si>
  <si>
    <t>Broadspire</t>
  </si>
  <si>
    <t>APD</t>
  </si>
  <si>
    <t>Worker's Compensation</t>
  </si>
  <si>
    <t>General Liability</t>
  </si>
  <si>
    <t>Small Commercial</t>
  </si>
  <si>
    <t>Large/Mid Commercial</t>
  </si>
  <si>
    <t>Yes</t>
  </si>
  <si>
    <t>Yes`</t>
  </si>
  <si>
    <t>S</t>
  </si>
  <si>
    <t>Basis Word Document</t>
  </si>
  <si>
    <t>Basis last year's excel</t>
  </si>
  <si>
    <t>An IoT-enabled solution for the usage-based insurance market. Its usage-based insurance (UBI) solution demanded various data inputs and outputs, including automotive data collection, user data collection and output to many possible data bases and applications. To create such a flexible smart car platform, Jooycar enlisted the help of Telit’s IoT technology and expertise. (Basically a front end app tover Telit's hardware)</t>
  </si>
  <si>
    <t>omni:us is bridging the gap between legacy insurance processes and intelligent systems to allow for required empathy. Leverage cutting-edge machine learning technology and revitalize your customer journey from the ground up. By automating non customer-facing workflows and offering valuable decision support to claims agents, you can realign around the immediate needs of policyholders. The modules are Cognitive Intake &amp; Enrichment, AI automation of data intense task and enable Straight through processing, automated coverage check and document completeness check</t>
  </si>
  <si>
    <t>Product Acquisition, Underwriting</t>
  </si>
  <si>
    <t>Product Acquisition, Underwriting, claim</t>
  </si>
  <si>
    <t>Content Extraction</t>
  </si>
  <si>
    <t>Auto, Marine</t>
  </si>
  <si>
    <t>Cove is a New Zealand company bringing a touch of innovation and simplicity to the insurance industry. It is a digital insureCove is a Lloyd’s coverholder. All Cove insurance products are underwritten by certain underwriters at Lloyd’s of London.</t>
  </si>
  <si>
    <t>The Otonomo Automotive Data Services Platform uses patented technology to ingest, secure, cleanse, normalize, aggregate, and enrich car data from 18 million vehicles. It is cloud-based software platform that captures and anonymizes vehicle data so it can then be used to create apps to provide services such as electric vehicle management, subscription-based fueling, parking, mapping, usage-based insurance and emergency service.It helps Usage-Based Insurance, Driver Behavior Monitoring and Feedback, Mileage Verification, First Notice of Loss, Claim, and Incident Reporting, Accident Reconstruction etc (Israeli startup)</t>
  </si>
  <si>
    <t>About Trak Global Group Operating in five countries, Trak Global Group (TGG) is one of the world's largest telematics companies, gathering and interpreting data from connected devices to help organizations manage driver and vehicle risk. They develop hardware and application based connected vehicle data platform.Trak Global Group Limited develops hardware and application based connected vehicle data platform.The Company offers solutions for commercial motors, leasing, carsharing, and corporate fleets. Trak Global Group serves customers worldwide.</t>
  </si>
  <si>
    <t>Developer of an AI-assisted underwriting system intended to help users make smarter, data-based underwriting and policy decisions. The company's system adapts and guides users through the underwriting process using an intuitive AI-assistant, insurance-specific computer vision and detailed property and contents reports, enabling commercial and residential properties owners to improve underwriting efficiency, risk management, loss ratio and customer satisfaction</t>
  </si>
  <si>
    <t>Property
Energy</t>
  </si>
  <si>
    <t>NA</t>
  </si>
  <si>
    <t>Plnar is a leader in unlocking the power of digital photos with technology. Since its launch in 2017, our original augmented reality dimensioning app has been downloaded more than 400,000 times and helped users create thousands of projects. 
plnar’s first-of-its-kind technology transforms interior property claims by creating better consumer experiences, shortening cycle times and streamlining expensive, inefficient processes. For insurers, they enable the digital desk for interior property claims by putting desk adjusters virtually into interior spaces in 3 simple steps:
1) Simple Smart device data capture: Homeowner, gig worker, inspector or field adjuster captures the interior 
     property and damage with their smartphone, with or without measurements, to initiate the virtual claim
2) AR and AI enabled 3D modeling generates complete data sets and 3D models from digital photos taken of 
     the interior property and damages
3) Digital Desk Portal : Desk adjusters can add annotations, take additional measurements from digital 
    photos, update 2D &amp; 3D models in real time, generate reports and leverage digital adjusting tools to 
    resolve virtual claims with confidence</t>
  </si>
  <si>
    <t>Flyreel provides a comprehensive baseline record for underwriting, risk management and claims for Property Insurance. Their AI Assistant guides policyholders through effortless self-service inspections and claims workflows, thoroughly documenting interior and exterior data like property risks, hazards, features, materials and more. Additionally, they also have a number of ready-made 3rd party integrations to provide data enrichment, and to support existing workflows. With their API, they are able to integrate into clients' preferred backend platform or service of choice. example: Google Maps, Source7, Loss Control 360 etc.</t>
  </si>
  <si>
    <t>Setoo™ is an insurance platform that enables ancillary revenue growth for travel and leisure e-businesses by providing them the ability to create and distribute personalized insurance products that precisely address their customers' concerns. 
Setoo's insurance-as-a-service platform allows e-businesses to independently create and distribute personalized, claims-free insurance products elegantly integrated into the digital customer journey within minutes</t>
  </si>
  <si>
    <t>Travel
Leisure-E-Businesses</t>
  </si>
  <si>
    <t>They provide event-based cover available to everyone and ensure that everybody is able to recover from catastrophe. Their data and smart sensor approach removes the uncertainty, cost and time of traditional insurance. As a result they are able to provide fast, easy and flexible flood insurance to businesses and landlords</t>
  </si>
  <si>
    <t>Flood</t>
  </si>
  <si>
    <t>Developed at Imperial College London, the advanced claims automation and fraud detection plug-in is already used by global insurers across three continents. The technology combines the power of Contextual AI and Block chain, that empowers insurers to settle claims in as little as 24 hours by providing data driven insights. Sprout.ai customers can expect a magnitude of benefits including reduced settlement times, increased fraud detection, reduction in operational costs and industrial grade security</t>
  </si>
  <si>
    <t xml:space="preserve">Health 
Motor
Others Unknown
</t>
  </si>
  <si>
    <t xml:space="preserve">Unknown </t>
  </si>
  <si>
    <t>India's first digital insurer backed by Fairfax - Digit,  plans to disrupt the traditionally run Indian general insurance sector by challenging predecessors and disruption of established business processes, equipping and authorizing partners and distributors more on policy issuance, quotes, documentation and claim processing</t>
  </si>
  <si>
    <t>Motor
Property
Travel
Health
Bike
Home
Fire
Theft and Burglary
Health</t>
  </si>
  <si>
    <t>Unclear</t>
  </si>
  <si>
    <t>NetClaim</t>
  </si>
  <si>
    <t>Capability exists.  
1. Full scale multi-channel implementation has not been done with any client to date 
2. Mobile interface and reporting does not exist today</t>
  </si>
  <si>
    <t>Offshore Voice FNOL capability exists with entry into client platforms.  Gap:  
1. Front end (Cloud Based) Dynamically scripted FNOL tool to capture loss information to reduce AHT and improve CX
2. No onshore competitive capability</t>
  </si>
  <si>
    <t>-EXL needs a partner with experience in client/customer sensitive data hosting on cloud compliant with regulations (AWS)</t>
  </si>
  <si>
    <t>We already have a partnership with Verint?</t>
  </si>
  <si>
    <t>Digital Insurer</t>
  </si>
  <si>
    <t>One Inc</t>
  </si>
  <si>
    <t>Payments as a Service</t>
  </si>
  <si>
    <t>Admin platforms across Policy, Claim and Billing with agency, policy holder and insurer portals. They provide alternative to the legacy system for Small, regional insurance carriers like American Farmers and Ranchers Mutual Insurance Company (AFR) ,Friends Cove, Loudoun(Agency), Jetty (Rental Insurance) etc.</t>
  </si>
  <si>
    <t>The Quantemplate platform is specifically tailored to the day-to-day needs of insurance and re/insurance companies, putting the tools to manage data into the hands of the Underwriters, actuaries and management perform who perform deep analytics, share insights across their organization and use underwriting, claims and reserving data to drive financial performance. Build proprietary customer, market and pricing insights with Quantemplate analytic. 
Quantemplate enables commercial property companies to quickly screen and prioritize submissions by automating the data preparation process, utilizing machine learning and applying validations to implement carrier rules
Case Study : TRANSAMERICA</t>
  </si>
  <si>
    <t>Predictive Analytics, decision support and workflow automation driven by AI.  NetClaim announced partnership with Gradient AI.  Software and AI models to catch most expensive claims within first 30 days, STP, predict incurred cost of each claim, assign adjuster and supervisors more effectively, automate and provide decision support throughout the claim lifecycle, predict upcoming claim developments, treatment indicator models.  Founder acquired the company from Millimen (industry known actuarial experts)</t>
  </si>
  <si>
    <t>Provides digital solutions for P &amp; C focused on delivering exceptional claim experience.  Connects insurance carriers, contractors and policyholders.  Repair and restoration services.  Westhillglobal.com</t>
  </si>
  <si>
    <t xml:space="preserve">A three sided marketplace connecting customers directly with contractors for insurance companies.  Determines the right contractor to undertake repairs and schedules.  Once contractor inspects and property owner reviews and coverage is confirmed, deductible check is issued.  Progress on repairs is communicated through a handdii storyboard.  once done, customers rate the contractor.  Digital platform that automates the property insurance claim process from FNOL to finalization.  Australian based company.  </t>
  </si>
  <si>
    <t>Largest provider of outsourced FNOL in NA. Always Available Intake team providing 24/7 coverage.  Accommodates all methods of intake and tailored to integrate with national PPO networks.  Module called Companion Claim streamlines the reporting process y pre-populating info when there are multiple claims from a  single incident  Integrity checks provided automated, real time quality assurance, while a highly sophisticated dissemination and escalation engine supports complex routing in multiple formatted leading software and services solution copnay for insurance claims intake "NetClaim analytics powered by Gradient AI".  They have a Web reporting capability also.  Call center capability,.  Module called CrisisPoint is an escalation engine/tool that gets info on crisis losses to the right person immediately (i.e.; CAT, hostage, etc).  TPA's also use NetClaim (ESIS)</t>
  </si>
  <si>
    <r>
      <rPr>
        <b/>
        <sz val="11"/>
        <color theme="1"/>
        <rFont val="Arial"/>
        <family val="2"/>
      </rPr>
      <t>TAT Non Voice</t>
    </r>
    <r>
      <rPr>
        <sz val="11"/>
        <color theme="1"/>
        <rFont val="Arial"/>
        <family val="2"/>
      </rPr>
      <t xml:space="preserve"> - 95% assigned within 2 hours (most stringent)
</t>
    </r>
    <r>
      <rPr>
        <b/>
        <sz val="11"/>
        <color theme="1"/>
        <rFont val="Arial"/>
        <family val="2"/>
      </rPr>
      <t>AHT</t>
    </r>
    <r>
      <rPr>
        <sz val="11"/>
        <color theme="1"/>
        <rFont val="Arial"/>
        <family val="2"/>
      </rPr>
      <t xml:space="preserve"> - not always measured.  HIG Measures and standard is 4.30.  (Typical AHT across commercial lines is 10 - 20min)
</t>
    </r>
    <r>
      <rPr>
        <b/>
        <sz val="11"/>
        <color theme="1"/>
        <rFont val="Arial"/>
        <family val="2"/>
      </rPr>
      <t>Quality</t>
    </r>
    <r>
      <rPr>
        <sz val="11"/>
        <color theme="1"/>
        <rFont val="Arial"/>
        <family val="2"/>
      </rPr>
      <t xml:space="preserve"> - 88% - 95% DPU and DPO (typical is 90 - 95% DPU)
%Reassignments
Complaint Ratio
</t>
    </r>
    <r>
      <rPr>
        <b/>
        <sz val="11"/>
        <color theme="1"/>
        <rFont val="Arial"/>
        <family val="2"/>
      </rPr>
      <t>Voice ASA</t>
    </r>
    <r>
      <rPr>
        <sz val="11"/>
        <color theme="1"/>
        <rFont val="Arial"/>
        <family val="2"/>
      </rPr>
      <t xml:space="preserve"> - 70 - 80 % answered within 20 - 25 sec industry might reflect higher)
</t>
    </r>
    <r>
      <rPr>
        <b/>
        <sz val="11"/>
        <color theme="1"/>
        <rFont val="Arial"/>
        <family val="2"/>
      </rPr>
      <t>Abandonment Rate</t>
    </r>
    <r>
      <rPr>
        <sz val="11"/>
        <color theme="1"/>
        <rFont val="Arial"/>
        <family val="2"/>
      </rPr>
      <t xml:space="preserve"> - 2%-7%
</t>
    </r>
  </si>
  <si>
    <t xml:space="preserve">-Reduce claim costs - ALAE and ULAE
-Streamline and simplify the process
-Improve accuracy of assignment
-Provide early warning flags for fraud, litigation etc. reducing indemnity and legal cost
-Improve customer experience
-Simplify pricing - price per FNOL - allows for surge capacity and flexibility transferring burden to supplier
</t>
  </si>
  <si>
    <t>Gap Description</t>
  </si>
  <si>
    <t xml:space="preserve">TPA </t>
  </si>
  <si>
    <t>1. Full scale multi-channel implementation has not been done with any client to date 
2. Mobile interface and reporting does not exist today</t>
  </si>
  <si>
    <t>1. Front end (Cloud Based) Dynamically scripted FNOL tool to capture loss information to reduce AHT and improve CX
2. No onshore competitive capability</t>
  </si>
  <si>
    <t>Solution Component</t>
  </si>
  <si>
    <t>Safelite</t>
  </si>
  <si>
    <t>A holistic, integrated solution with payment processing vendors (E.g. VISA) does not exist</t>
  </si>
  <si>
    <t>EXL needs a partner with experience in client/customer sensitive data hosting on cloud compliant with regulations (AWS)</t>
  </si>
  <si>
    <t>Predictive Analytics have not been applied at FNOL but have been applied further downstream.  Decision whether to build or buy and which parts to build.</t>
  </si>
  <si>
    <t>Do we already have a partnership with Verint?</t>
  </si>
  <si>
    <t>EXL does not have a portal, tool, platform or bolt on solution today that could work with client ERP and claim systems</t>
  </si>
  <si>
    <t>An Admin portal does not exist</t>
  </si>
  <si>
    <t>Platform or bolt-on solution that could work with multiple client and medical provider systems for case management, appointment co-ordination and ordering services</t>
  </si>
  <si>
    <t>EXL analytics models exist but are not stitched and packaged in a solution oriented way
Does not happen at the time of FNOL</t>
  </si>
  <si>
    <t>Need to meet with HC team</t>
  </si>
  <si>
    <t>Comments</t>
  </si>
  <si>
    <t>Penalties - &lt;2% of indemnity spend
Quality - 98%
TBD</t>
  </si>
  <si>
    <t>-Reduce medical spend
-Reduce overpayments, penalties and interest
-Reduce Return to Work days and ultimate indemnity spend
-Reduce claim leakage leveraging analytics models like fraud propensity, litigation propensity, return to work potential
-Improve policyholder/Injured worker experience and customer satisfaction
- Improve experience mods
- Lower premiums</t>
  </si>
  <si>
    <r>
      <rPr>
        <b/>
        <sz val="10"/>
        <color theme="1"/>
        <rFont val="Arial"/>
        <family val="2"/>
      </rPr>
      <t>TAT Non Voice</t>
    </r>
    <r>
      <rPr>
        <sz val="10"/>
        <color theme="1"/>
        <rFont val="Arial"/>
        <family val="2"/>
      </rPr>
      <t xml:space="preserve"> - 95% assigned within 2 hours (most stringent)
</t>
    </r>
    <r>
      <rPr>
        <b/>
        <sz val="10"/>
        <color theme="1"/>
        <rFont val="Arial"/>
        <family val="2"/>
      </rPr>
      <t>AHT</t>
    </r>
    <r>
      <rPr>
        <sz val="10"/>
        <color theme="1"/>
        <rFont val="Arial"/>
        <family val="2"/>
      </rPr>
      <t xml:space="preserve"> - not always measured.  HIG Measures and standard is 4.30.  (Typical AHT across commercial lines is 10 - 20min)
</t>
    </r>
    <r>
      <rPr>
        <b/>
        <sz val="10"/>
        <color theme="1"/>
        <rFont val="Arial"/>
        <family val="2"/>
      </rPr>
      <t>Quality</t>
    </r>
    <r>
      <rPr>
        <sz val="10"/>
        <color theme="1"/>
        <rFont val="Arial"/>
        <family val="2"/>
      </rPr>
      <t xml:space="preserve"> - 88% - 95% DPU and DPO (typical is 90 - 95% DPU)
%Reassignments
Complaint Ratio
</t>
    </r>
    <r>
      <rPr>
        <b/>
        <sz val="10"/>
        <color theme="1"/>
        <rFont val="Arial"/>
        <family val="2"/>
      </rPr>
      <t>Voice ASA</t>
    </r>
    <r>
      <rPr>
        <sz val="10"/>
        <color theme="1"/>
        <rFont val="Arial"/>
        <family val="2"/>
      </rPr>
      <t xml:space="preserve"> - 70 - 80 % answered within 20 - 25 sec industry might reflect higher)
</t>
    </r>
    <r>
      <rPr>
        <b/>
        <sz val="10"/>
        <color theme="1"/>
        <rFont val="Arial"/>
        <family val="2"/>
      </rPr>
      <t>Abandonment Rate</t>
    </r>
    <r>
      <rPr>
        <sz val="10"/>
        <color theme="1"/>
        <rFont val="Arial"/>
        <family val="2"/>
      </rPr>
      <t xml:space="preserve"> - 2%-7%
</t>
    </r>
  </si>
  <si>
    <t>-Reduce medical spend by X
-Reduce overpayments, duplicate payments, penalties and interest
-Reduce Return to Work days and ultimate indemnity spend
-Reduce claim leakage leveraging analytics models like fraud propensity, litigation propensity, return to work potential
-Improve policyholder/Injured worker experience and customer satisfaction
- Improve experience mods
- Lower premiums</t>
  </si>
  <si>
    <r>
      <rPr>
        <b/>
        <sz val="11"/>
        <color theme="1"/>
        <rFont val="Arial"/>
        <family val="2"/>
      </rPr>
      <t>1. Improving speed to market</t>
    </r>
    <r>
      <rPr>
        <sz val="11"/>
        <color theme="1"/>
        <rFont val="Arial"/>
        <family val="2"/>
      </rPr>
      <t xml:space="preserve">
(WHY)
- Inability to gain business insights drvien by analytics
- Inability to process omni channel intake
- Lack of digital solutions
- High degree of missing informaiton rsulting in back and forth
- Risk selection and submission priortization
- Mutiple touches across the organization resulting slower turn around
</t>
    </r>
    <r>
      <rPr>
        <b/>
        <sz val="11"/>
        <color theme="1"/>
        <rFont val="Arial"/>
        <family val="2"/>
      </rPr>
      <t xml:space="preserve">
2. Reducing cost of quote generation</t>
    </r>
    <r>
      <rPr>
        <sz val="11"/>
        <color theme="1"/>
        <rFont val="Arial"/>
        <family val="2"/>
      </rPr>
      <t xml:space="preserve">
(WHY)
-  Multiple touches across the shared service and underwriting organization to present a quote
- Need to digitize the process
- Priortize what to quote versus quoting everything
</t>
    </r>
    <r>
      <rPr>
        <b/>
        <sz val="11"/>
        <color theme="1"/>
        <rFont val="Arial"/>
        <family val="2"/>
      </rPr>
      <t>3. Priortizing and writing profitable business</t>
    </r>
    <r>
      <rPr>
        <sz val="11"/>
        <color theme="1"/>
        <rFont val="Arial"/>
        <family val="2"/>
      </rPr>
      <t xml:space="preserve">
</t>
    </r>
    <r>
      <rPr>
        <b/>
        <sz val="11"/>
        <color theme="1"/>
        <rFont val="Arial"/>
        <family val="2"/>
      </rPr>
      <t>4. Increasing Quote to Bind Ratio</t>
    </r>
    <r>
      <rPr>
        <sz val="11"/>
        <color theme="1"/>
        <rFont val="Arial"/>
        <family val="2"/>
      </rPr>
      <t xml:space="preserve">
(WHY)
- Improve broker and customer expereence
- Approval rates by broker
- Broker/Agency benchmarking - which broker is more suitable
- Commisions management</t>
    </r>
  </si>
  <si>
    <t>1. Improving speed to market - It takes 48-72 hours to share a quote
2. Reducing Cost of Quote Generation - Multiple touches across the shared service and underwriting organization to present a quote
3. Prioritizing and writing profitable business
4. Increasing Quote to Bind Ratio
The above issues are largely driven by:
a) Limited availability of proven digital capabilities that can cater to non standard and complex market segments
b) Limited integration of  Analytics models in New Business risk selection and application prioritization workflow
c) Heavy reliance on Underwriter's experience and change management issues
d) Limited use of upfront data enrichment techniques
e) Data entry heavy transactions</t>
  </si>
  <si>
    <r>
      <rPr>
        <b/>
        <u/>
        <sz val="11"/>
        <color theme="1"/>
        <rFont val="Arial"/>
        <family val="2"/>
      </rPr>
      <t xml:space="preserve">1. Submission to Quote </t>
    </r>
    <r>
      <rPr>
        <sz val="11"/>
        <color theme="1"/>
        <rFont val="Arial"/>
        <family val="2"/>
      </rPr>
      <t>- Enable already redesigned New Business Model office with analytics and digital solution to further improve Speed to Market and reduce cost
- Data Extraction from Commercial Acord and supplementary submission documents ;direct Ingestion from broker platforms
- Integrating Data Models like Submission Prioritization Models, Risk Selection and  Broker performance dashboards
- Account &amp; Policy Setup (D &amp; O)
- UW File prep for prioritized submission for quick underwriting decision: Leverage EXL ExpressSurvey to reduce time spent by Underwriter Technician for File Prep
- Risk evaluation/selection</t>
    </r>
  </si>
  <si>
    <r>
      <rPr>
        <b/>
        <u/>
        <sz val="11"/>
        <color theme="1"/>
        <rFont val="Arial"/>
        <family val="2"/>
      </rPr>
      <t>2. Rating</t>
    </r>
    <r>
      <rPr>
        <sz val="11"/>
        <color theme="1"/>
        <rFont val="Arial"/>
        <family val="2"/>
      </rPr>
      <t xml:space="preserve">
- Automated data entry for quote creation
- Identify segements/risk profiles to increase quick rating  (Quick Rate Process)</t>
    </r>
  </si>
  <si>
    <r>
      <t xml:space="preserve">3. Issuance
</t>
    </r>
    <r>
      <rPr>
        <sz val="11"/>
        <rFont val="Arial"/>
        <family val="2"/>
      </rPr>
      <t>- Automated issuance
- Automated communication for binders
- Binder generation, DEC package</t>
    </r>
  </si>
  <si>
    <r>
      <rPr>
        <b/>
        <u/>
        <sz val="11"/>
        <color theme="1"/>
        <rFont val="Arial"/>
        <family val="2"/>
      </rPr>
      <t xml:space="preserve">4. Analytics Insights and Reporting </t>
    </r>
    <r>
      <rPr>
        <b/>
        <sz val="11"/>
        <color theme="1"/>
        <rFont val="Arial"/>
        <family val="2"/>
      </rPr>
      <t xml:space="preserve">
</t>
    </r>
    <r>
      <rPr>
        <sz val="11"/>
        <color theme="1"/>
        <rFont val="Arial"/>
        <family val="2"/>
      </rPr>
      <t>- Provides ability to capture and report real time on TAT, Volume by LOB, Volume by Channel, Quality etc. 
- Provide ability to predict quote conversion rate etc.</t>
    </r>
  </si>
  <si>
    <t>Enable already redesigned New Business Model office with analytics and digital solution to further improve Speed to Market and reduce cost</t>
  </si>
  <si>
    <t>Automated data entry for quote creation
Identify segments/risk profiles to increase quick rating (Quick Rate Process)</t>
  </si>
  <si>
    <t>Automated Issuance
Automated communication for binders
Binder generatino, DEC package</t>
  </si>
  <si>
    <t>Provides ability to capture and report real time on TAT, Volume by LOB, Volume by Channel, Quality etc..)
Provide ability to predict quote conversion rate etc.</t>
  </si>
  <si>
    <t xml:space="preserve">Issuance
</t>
  </si>
  <si>
    <t>Submission to Quote
-</t>
  </si>
  <si>
    <t xml:space="preserve">Rating
</t>
  </si>
  <si>
    <t xml:space="preserve">Analytics Insights and Reporting 
</t>
  </si>
  <si>
    <t>Pending</t>
  </si>
  <si>
    <t>EXL has experience in several analytics interventions applied for existing BPO as well as consulting/Analytics clients</t>
  </si>
  <si>
    <t>While EXL does have RPA capability, we do lack a robust functioning Extraction capability/partner</t>
  </si>
  <si>
    <r>
      <rPr>
        <b/>
        <u/>
        <sz val="11"/>
        <color theme="1"/>
        <rFont val="Arial"/>
        <family val="2"/>
      </rPr>
      <t>1. End to End Endorsement Processing -</t>
    </r>
    <r>
      <rPr>
        <u/>
        <sz val="11"/>
        <color theme="1"/>
        <rFont val="Arial"/>
        <family val="2"/>
      </rPr>
      <t xml:space="preserve"> </t>
    </r>
    <r>
      <rPr>
        <sz val="11"/>
        <color theme="1"/>
        <rFont val="Arial"/>
        <family val="2"/>
      </rPr>
      <t xml:space="preserve">
Digital Endorsement Solution services end-to-end value chain of endorsement, right from intake of requests to issuance of policies without any human intervention  
- Straight through processing of simple endorsement request(s)
 - Ability to ingest data from any channel
- Data Intelligence to improve self service functionality 
- Ability to prioritize basis customer VOC
- Early identification of missing information
</t>
    </r>
  </si>
  <si>
    <r>
      <t xml:space="preserve">2. Exception Handling
</t>
    </r>
    <r>
      <rPr>
        <sz val="11"/>
        <color theme="1"/>
        <rFont val="Arial"/>
        <family val="2"/>
      </rPr>
      <t>Process endorsements manually for exception cases leveraging experienced insurance workforce</t>
    </r>
  </si>
  <si>
    <r>
      <rPr>
        <b/>
        <u/>
        <sz val="11"/>
        <color theme="1"/>
        <rFont val="Arial"/>
        <family val="2"/>
      </rPr>
      <t>3. Reporting and Analytics</t>
    </r>
    <r>
      <rPr>
        <sz val="11"/>
        <color theme="1"/>
        <rFont val="Arial"/>
        <family val="2"/>
      </rPr>
      <t xml:space="preserve">
- Ability to report on endorsement volumes
- Provide business insights into core reasons for endorsements to enable addressin the root causes
- Identify broker behavior issues
- Reducing endorsement volume through repeat request reduction, upstream optimization
- Send Proactive alert(s) and communication for endorsement (as an example)</t>
    </r>
  </si>
  <si>
    <t>Digital Endorsement solutin services end to end value chain from intake of requests to issuance of policies without human intervention.
- Straight Through Processing of simple endorsement requests
-ability to ingest data from any channel
-Early identification of missing information
-Data intelligence to improve self service functionality
-Ability to prioritize based on VOC</t>
  </si>
  <si>
    <t xml:space="preserve">Exception Handling
</t>
  </si>
  <si>
    <t>Reporting and Analytics</t>
  </si>
  <si>
    <t>Process endorsements manually for exception cases leveraging experienced insurance workforce</t>
  </si>
  <si>
    <t xml:space="preserve">End to End Endorsement Processing
</t>
  </si>
  <si>
    <t>-Ability to report on endorsement volumes 
-Provide business insights into core reasons for endorsements to enable addresing the root causes
-Identify broker behavior issues
Reduce endorsement volume through repeat request reduction, upstream optimization
-Send proactive alerts and communication for endorsement (as an example)</t>
  </si>
  <si>
    <r>
      <rPr>
        <b/>
        <sz val="11"/>
        <color theme="1"/>
        <rFont val="Arial"/>
        <family val="2"/>
      </rPr>
      <t>1. Reducing cost of endorsements</t>
    </r>
    <r>
      <rPr>
        <sz val="11"/>
        <color theme="1"/>
        <rFont val="Arial"/>
        <family val="2"/>
      </rPr>
      <t xml:space="preserve">
- Reducing preventable (Non value add) endorsements
</t>
    </r>
    <r>
      <rPr>
        <b/>
        <sz val="11"/>
        <color theme="1"/>
        <rFont val="Arial"/>
        <family val="2"/>
      </rPr>
      <t>2. Improved Broker experience (NPS Score improvement)</t>
    </r>
    <r>
      <rPr>
        <sz val="11"/>
        <color theme="1"/>
        <rFont val="Arial"/>
        <family val="2"/>
      </rPr>
      <t xml:space="preserve">
3</t>
    </r>
    <r>
      <rPr>
        <b/>
        <sz val="11"/>
        <color theme="1"/>
        <rFont val="Arial"/>
        <family val="2"/>
      </rPr>
      <t>. Reportable data and ability to gain business insights from the data</t>
    </r>
  </si>
  <si>
    <t>Significant footprint in endorsement FSA across commercial insurance</t>
  </si>
  <si>
    <t>No existing solution</t>
  </si>
  <si>
    <t>EXL's content extract capability combined with RPA solutions</t>
  </si>
  <si>
    <t>Reducing cost of endorsements
- Reducing preventable (Non value add) endorsements
Improved Broker experience (NPS Score improvement)
Reportable data and ability to gain business insights from the data</t>
  </si>
  <si>
    <t>Broker Intake Engine</t>
  </si>
  <si>
    <r>
      <rPr>
        <b/>
        <u/>
        <sz val="11"/>
        <color theme="1"/>
        <rFont val="Arial"/>
        <family val="2"/>
      </rPr>
      <t>1. Direct Ingestion from broker platforms (4 top platforms - AON, Marsh, Willis and Lockton)</t>
    </r>
    <r>
      <rPr>
        <sz val="11"/>
        <color theme="1"/>
        <rFont val="Arial"/>
        <family val="2"/>
      </rPr>
      <t xml:space="preserve">
- Comparative Rater
- Ability for brokers to send the requests to "EXL Broker Services" - Federation model
- Standardize intake for insurers</t>
    </r>
  </si>
  <si>
    <t>2. Data Extraction Module - Data intake from mutiple sources</t>
  </si>
  <si>
    <r>
      <rPr>
        <b/>
        <u/>
        <sz val="11"/>
        <color theme="1"/>
        <rFont val="Arial"/>
        <family val="2"/>
      </rPr>
      <t>3. Value Add Services</t>
    </r>
    <r>
      <rPr>
        <sz val="11"/>
        <color theme="1"/>
        <rFont val="Arial"/>
        <family val="2"/>
      </rPr>
      <t xml:space="preserve">
- Pre-identificaiton of missing information
- Risk propensity model
- Lead prioritization
- Commission forecast</t>
    </r>
  </si>
  <si>
    <t>- Comparative Rater
- Ability for brokers to send the requests to "EXL Broker Services" - Federation model
- Standardize intake for insurers</t>
  </si>
  <si>
    <t>Data Extraction Module</t>
  </si>
  <si>
    <t>-Data intake from mutiple sources</t>
  </si>
  <si>
    <t>Value Add Services</t>
  </si>
  <si>
    <t>- Pre-identificaiton of missing information
- Risk propensity model
- Lead prioritization
- Commission forecast</t>
  </si>
  <si>
    <t>No existing expereince - AON expereince can be the blue print</t>
  </si>
  <si>
    <t>1. Reduction in administration overhead
2. Better customer experience
3. Faster Quote to customer</t>
  </si>
  <si>
    <t>Reduction in administration overhead
Better customer experience
Faster Quote to customer</t>
  </si>
  <si>
    <r>
      <rPr>
        <b/>
        <sz val="11"/>
        <color theme="1"/>
        <rFont val="Arial"/>
        <family val="2"/>
      </rPr>
      <t>Core Collections Activities:</t>
    </r>
    <r>
      <rPr>
        <sz val="11"/>
        <color theme="1"/>
        <rFont val="Arial"/>
        <family val="2"/>
      </rPr>
      <t xml:space="preserve">
</t>
    </r>
    <r>
      <rPr>
        <b/>
        <sz val="11"/>
        <color theme="1"/>
        <rFont val="Arial"/>
        <family val="2"/>
      </rPr>
      <t>1. ANALYTICS LED RISK PRIORITIZATION &amp; FORECASTING</t>
    </r>
    <r>
      <rPr>
        <sz val="11"/>
        <color theme="1"/>
        <rFont val="Arial"/>
        <family val="2"/>
      </rPr>
      <t xml:space="preserve">
Dynamic risk scoring based on industry level macro variables, historical account performance and external factors as applicable
Dynamic risk scoring based on industry level macro variables, historical account performance and external factors as applicable:
Automated prioritization of activities based on customer type, collection, risk, balance and location
Standardized dispute resolution with standard routing, escalation and approval processes
Data from banks, external remittance data, electronic data from customers, or any other supporting data used to improve auto-match% and better cash forecasting
</t>
    </r>
    <r>
      <rPr>
        <b/>
        <sz val="11"/>
        <color theme="1"/>
        <rFont val="Arial"/>
        <family val="2"/>
      </rPr>
      <t>2. AUTOMATED COMMUNICATIONS &amp; CHASERS</t>
    </r>
    <r>
      <rPr>
        <sz val="11"/>
        <color theme="1"/>
        <rFont val="Arial"/>
        <family val="2"/>
      </rPr>
      <t xml:space="preserve">
Automated reminders pre due date based on inherent risk; Automated chasers post due date based on ageing
</t>
    </r>
    <r>
      <rPr>
        <b/>
        <sz val="11"/>
        <color theme="1"/>
        <rFont val="Arial"/>
        <family val="2"/>
      </rPr>
      <t>3. REAL TIME CASH APPLICATION</t>
    </r>
    <r>
      <rPr>
        <sz val="11"/>
        <color theme="1"/>
        <rFont val="Arial"/>
        <family val="2"/>
      </rPr>
      <t xml:space="preserve">
Real-time Cash Application integrated with collections, dispute resolution and self-service portal
</t>
    </r>
    <r>
      <rPr>
        <b/>
        <sz val="11"/>
        <color theme="1"/>
        <rFont val="Arial"/>
        <family val="2"/>
      </rPr>
      <t xml:space="preserve">
4. COMPREHENSIVE DATA REPORTS AND DASHBOARDS</t>
    </r>
    <r>
      <rPr>
        <sz val="11"/>
        <color theme="1"/>
        <rFont val="Arial"/>
        <family val="2"/>
      </rPr>
      <t xml:space="preserve">
Stringent Credit Risk Management - automated credit reviews and customer score cards
Reporting engine – Collections Dashboard, AR aging report, On Account and Misapplied Cash
</t>
    </r>
    <r>
      <rPr>
        <b/>
        <sz val="11"/>
        <color theme="1"/>
        <rFont val="Arial"/>
        <family val="2"/>
      </rPr>
      <t xml:space="preserve">Other Receivables Areas:
</t>
    </r>
    <r>
      <rPr>
        <sz val="11"/>
        <color theme="1"/>
        <rFont val="Arial"/>
        <family val="2"/>
      </rPr>
      <t xml:space="preserve">
1. </t>
    </r>
    <r>
      <rPr>
        <b/>
        <u/>
        <sz val="11"/>
        <color theme="1"/>
        <rFont val="Arial"/>
        <family val="2"/>
      </rPr>
      <t>Analytics driven Post Billing activities</t>
    </r>
    <r>
      <rPr>
        <sz val="11"/>
        <color theme="1"/>
        <rFont val="Arial"/>
        <family val="2"/>
      </rPr>
      <t>: Run AR reports from the system (by product / broker / location) and run Analytics engines to determine likelyhood of default for more targeted focus. Enhance outreach and connect with Insured / broker by confirm inginvoice receipt by the right contact at the client / broker and share any information required. 
2.</t>
    </r>
    <r>
      <rPr>
        <b/>
        <u/>
        <sz val="11"/>
        <color theme="1"/>
        <rFont val="Arial"/>
        <family val="2"/>
      </rPr>
      <t xml:space="preserve"> Intelligent pro-active dispute resolution and automated reminder Pre-Due</t>
    </r>
    <r>
      <rPr>
        <sz val="11"/>
        <color theme="1"/>
        <rFont val="Arial"/>
        <family val="2"/>
      </rPr>
      <t xml:space="preserve">: Idenitfy cases with high propensity for disputes and escalate and help resolve disputes (revisions/credit/other). Automated reminders at various stages and confirmation of the scheduled payment date (Promise to Pay)
3. </t>
    </r>
    <r>
      <rPr>
        <b/>
        <u/>
        <sz val="11"/>
        <color theme="1"/>
        <rFont val="Arial"/>
        <family val="2"/>
      </rPr>
      <t>Intelligent Reporting and Tracking</t>
    </r>
    <r>
      <rPr>
        <sz val="11"/>
        <color theme="1"/>
        <rFont val="Arial"/>
        <family val="2"/>
      </rPr>
      <t xml:space="preserve">: Consistently and proactively move the invoice to the payments stages,  effectively collect and proactively escalate, send Overdue statement if payment not received as per “Promise to Pay”, loop in brokers and account managers (as needed) in collections email
4. </t>
    </r>
    <r>
      <rPr>
        <b/>
        <u/>
        <sz val="11"/>
        <color theme="1"/>
        <rFont val="Arial"/>
        <family val="2"/>
      </rPr>
      <t>Dispute Resolution</t>
    </r>
    <r>
      <rPr>
        <sz val="11"/>
        <color theme="1"/>
        <rFont val="Arial"/>
        <family val="2"/>
      </rPr>
      <t xml:space="preserve">: Create and follow dynamic follow escalation matrix to resolve the dispute with client / broker, create processes for quick and efficient dispute resolution, Intelligent solution to capture  resolutions and post resolution, confirm schedule payment date on disputed invoices
5. </t>
    </r>
    <r>
      <rPr>
        <b/>
        <u/>
        <sz val="11"/>
        <color theme="1"/>
        <rFont val="Arial"/>
        <family val="2"/>
      </rPr>
      <t xml:space="preserve">Reporting </t>
    </r>
    <r>
      <rPr>
        <sz val="11"/>
        <color theme="1"/>
        <rFont val="Arial"/>
        <family val="2"/>
      </rPr>
      <t xml:space="preserve">- Create Single Versions of Truth: Optimize system reports as “version of truth” for all collections reporting and follow-up; Report, track and benchmark DSO, Overdue AR, disputes, bad-debts and other KPI’s; Quantify the $’s to be collected on a time scale
6. </t>
    </r>
    <r>
      <rPr>
        <b/>
        <u/>
        <sz val="11"/>
        <color theme="1"/>
        <rFont val="Arial"/>
        <family val="2"/>
      </rPr>
      <t>Additional Value Add</t>
    </r>
    <r>
      <rPr>
        <sz val="11"/>
        <color theme="1"/>
        <rFont val="Arial"/>
        <family val="2"/>
      </rPr>
      <t>: Create customized ‘risk’ segments leveraging multiple criterion like balance/tenure, likelihood-to-pay, tenure, time to payment  and other models. Assign these collections risk scores and portfolio risk ranking to prioritize collections and minimize loss. Proactive feedback loop for credit team to better manage credit risk. Leverage customer intel across product lines (behavior patterns, terms, contracts, shutouts, etc.) to give clients better understanding of customer shifts</t>
    </r>
  </si>
  <si>
    <t>Intelligent Collections</t>
  </si>
  <si>
    <t xml:space="preserve">Analytics Led Risk Prioritization &amp; Forecasting
</t>
  </si>
  <si>
    <t>Automated Comunications &amp;  Chasers</t>
  </si>
  <si>
    <t>'-Automated reminders pre due date based on inherent risk; Automated chasers post due date based on ageing</t>
  </si>
  <si>
    <t xml:space="preserve">Real Time Cash Application </t>
  </si>
  <si>
    <t>Real time cash application integrated with collections, dispute resolution and self service portal</t>
  </si>
  <si>
    <t>Comprehansive Data Reports and Dashboards</t>
  </si>
  <si>
    <t>Other Receivables Areas</t>
  </si>
  <si>
    <t>-Stringent Credit Risk Management - automated credit reviews and customer score cards
'Reporting engine – Collections Dashboard, AR aging report, On Account and Misapplied Cash</t>
  </si>
  <si>
    <t xml:space="preserve">Analytics driven Post Billing activities: Run AR reports from the system (by product / broker / location) and run Analytics engines to determine likelyhood of default for more targeted focus. Enhance outreach and connect with Insured / broker by confirm inginvoice receipt by the right contact at the client / broker and share any information required. </t>
  </si>
  <si>
    <t>Intelligent pro-active dispute resolution and automated reminder Pre-Due: Idenitfy cases with high propensity for disputes and escalate and help resolve disputes (revisions/credit/other). Automated reminders at various stages and confirmation of the scheduled payment date (Promise to Pay)</t>
  </si>
  <si>
    <t>Intelligent Reporting and Tracking: Consistently and proactively move the invoice to the payments stages,  effectively collect and proactively escalate, send Overdue statement if payment not received as per “Promise to Pay”, loop in brokers and account managers (as needed) in collections email</t>
  </si>
  <si>
    <t>Dispute Resolution: Create and follow dynamic follow escalation matrix to resolve the dispute with client / broker, create processes for quick and efficient dispute resolution, Intelligent solution to capture  resolutions and post resolution, confirm schedule payment date on disputed invoices</t>
  </si>
  <si>
    <t>Reporting - Create Single Versions of Truth: Optimize system reports as “version of truth” for all collections reporting and follow-up; Report, track and benchmark DSO, Overdue AR, disputes, bad-debts and other KPI’s; Quantify the $’s to be collected on a time scale</t>
  </si>
  <si>
    <t>Additional Value Add: Create customized ‘risk’ segments leveraging multiple criterion like balance/tenure, likelihood-to-pay, tenure, time to payment  and other models. Assign these collections risk scores and portfolio risk ranking to prioritize collections and minimize loss. Proactive feedback loop for credit team to better manage credit risk. Leverage customer intel across product lines (behavior patterns, terms, contracts, shutouts, etc.) to give clients better understanding of customer shifts</t>
  </si>
  <si>
    <t>-Dynamic risk scoring based on industry level macro variables, historical account performance and external factors as applicable
-Automated prioritization of activities based on customer type, collection, risk, balance and location
-Standardized dispute resolution with standard routing, escalation and approval processes
-Data from banks, external remittance data, electronic data from customers, or any other supporting data used to improve auto-match% and better cash forecasting</t>
  </si>
  <si>
    <t>Data Ingestion from Broker Platforms</t>
  </si>
  <si>
    <t>Better Cash Management - Focused Collections and Customer Service Effort on cases with very high probability of default to improve DSOs
Improved speed of dispute resolution &amp; billing rectification - better customer outcomes
Better staffing &amp; planning of Receivables Management operations
Better capture of customer behaviour &amp; industry behavior data at billing / dispute and collections stage for better front end decisioning
Improved UW Decisioning</t>
  </si>
  <si>
    <t>Daily Sales Outstanding
Collectibility Rate
Installment Plans
Promise to Pay</t>
  </si>
  <si>
    <t>Daily Sales Outstanding
Collectibility Rate
Installment Plans
Promise to Pay</t>
  </si>
  <si>
    <t>EXL has significant expertise in collections across all product types and LOBs</t>
  </si>
  <si>
    <t>EXL Analytics has done several stand alone analytics projects as well as analytics projects which embeded are embedded within operations</t>
  </si>
  <si>
    <t xml:space="preserve">Our expertise in this area is somewhat limited - we do have automated reminders etc. but most of them are low tech </t>
  </si>
  <si>
    <r>
      <t xml:space="preserve">EXL will help Insurers by implementing automated techniques to identify trends, exceptions, errors, or indications of potential fraud by comparing and analyzing data and files according to the criteria established by the auditor. EXL's key service offerings:
'- Setting  up an </t>
    </r>
    <r>
      <rPr>
        <b/>
        <u/>
        <sz val="11"/>
        <color theme="1"/>
        <rFont val="Arial"/>
        <family val="2"/>
      </rPr>
      <t>Audit Analytics COE</t>
    </r>
    <r>
      <rPr>
        <sz val="11"/>
        <color theme="1"/>
        <rFont val="Arial"/>
        <family val="2"/>
      </rPr>
      <t xml:space="preserve"> (Center Of Excellence)
- Audit Analytics opportunity identification
- Design of Analytics Strategy and Pilot Program
- Audit Analytics assessment – Current  State Assessment &amp; Future State Design
- </t>
    </r>
    <r>
      <rPr>
        <b/>
        <u/>
        <sz val="11"/>
        <color theme="1"/>
        <rFont val="Arial"/>
        <family val="2"/>
      </rPr>
      <t>Dashboard/Custom report development</t>
    </r>
    <r>
      <rPr>
        <sz val="11"/>
        <color theme="1"/>
        <rFont val="Arial"/>
        <family val="2"/>
      </rPr>
      <t xml:space="preserve">
- </t>
    </r>
    <r>
      <rPr>
        <b/>
        <sz val="11"/>
        <color theme="1"/>
        <rFont val="Arial"/>
        <family val="2"/>
      </rPr>
      <t>A</t>
    </r>
    <r>
      <rPr>
        <b/>
        <u/>
        <sz val="11"/>
        <color theme="1"/>
        <rFont val="Arial"/>
        <family val="2"/>
      </rPr>
      <t>udit Bot Development and Maintenance</t>
    </r>
    <r>
      <rPr>
        <u/>
        <sz val="11"/>
        <color theme="1"/>
        <rFont val="Arial"/>
        <family val="2"/>
      </rPr>
      <t xml:space="preserve"> </t>
    </r>
    <r>
      <rPr>
        <sz val="11"/>
        <color theme="1"/>
        <rFont val="Arial"/>
        <family val="2"/>
      </rPr>
      <t>(Tester Bots, Data Extraction Bots, Recon Bots etc.)</t>
    </r>
  </si>
  <si>
    <t>Audit Analytics</t>
  </si>
  <si>
    <t>Audit Analytics Center of Excellence (COE)</t>
  </si>
  <si>
    <t>Dashboard/Customer Report Development</t>
  </si>
  <si>
    <t>Audit Bot Development and Maintenance</t>
  </si>
  <si>
    <t>Tester Bots, Data Extraction Bots, Recon Cots etc.</t>
  </si>
  <si>
    <t>- Audit Analytics opportunity identification
- Design of Analytics Strategy and Pilot Program
- Audit Analytics assessment – Current  State Assessment &amp; Future State Design</t>
  </si>
  <si>
    <t>- Increased risk coverage
- Insight in real time/ right time 
- Effective risk mitigation
- Efficiency gains</t>
  </si>
  <si>
    <t>This is one of the emerging capabilities for us, with inclusion of Assurant and some good work done at CNA along with couple of current opportunties that we are chasing</t>
  </si>
  <si>
    <t>- Increased risk coverage
- Insight in real time/ right time
- Effective risk mitigation
- Efficiency gains</t>
  </si>
  <si>
    <r>
      <t xml:space="preserve">As part of this offering EXL proposes to perform a health-check of business processes to identify high risk areas, assess new &amp; increased risks, and develop actions to address business critical priorities.
</t>
    </r>
    <r>
      <rPr>
        <b/>
        <sz val="11"/>
        <color theme="1"/>
        <rFont val="Arial"/>
        <family val="2"/>
      </rPr>
      <t>'</t>
    </r>
    <r>
      <rPr>
        <b/>
        <u/>
        <sz val="11"/>
        <color theme="1"/>
        <rFont val="Arial"/>
        <family val="2"/>
      </rPr>
      <t>COE based delivery structure:</t>
    </r>
    <r>
      <rPr>
        <sz val="11"/>
        <color theme="1"/>
        <rFont val="Arial"/>
        <family val="2"/>
      </rPr>
      <t xml:space="preserve">
- Process, risk, controls and organizational taxonomy
- Process flows, risks, controls
- Risk and Controls Matrix
- Review testing methodology and guidelines 
- Develop Test Scripts for key controls
- Perform test-of-one 
- Evaluate design effectiveness of key control(s)
- Report on the status of controls tested, its effectiveness and open gaps 
</t>
    </r>
    <r>
      <rPr>
        <b/>
        <sz val="11"/>
        <color theme="1"/>
        <rFont val="Arial"/>
        <family val="2"/>
      </rPr>
      <t xml:space="preserve">
Key levers to be used for desired outcome are as follows:</t>
    </r>
    <r>
      <rPr>
        <sz val="11"/>
        <color theme="1"/>
        <rFont val="Arial"/>
        <family val="2"/>
      </rPr>
      <t xml:space="preserve">
</t>
    </r>
    <r>
      <rPr>
        <b/>
        <u/>
        <sz val="11"/>
        <color theme="1"/>
        <rFont val="Arial"/>
        <family val="2"/>
      </rPr>
      <t>Automation / Robotics</t>
    </r>
    <r>
      <rPr>
        <u/>
        <sz val="11"/>
        <color theme="1"/>
        <rFont val="Arial"/>
        <family val="2"/>
      </rPr>
      <t xml:space="preserve"> </t>
    </r>
    <r>
      <rPr>
        <sz val="11"/>
        <color theme="1"/>
        <rFont val="Arial"/>
        <family val="2"/>
      </rPr>
      <t xml:space="preserve">: Advanced automation and robotics interventions directed at select SOX  compliance tasks and underlying processes 
</t>
    </r>
    <r>
      <rPr>
        <b/>
        <u/>
        <sz val="11"/>
        <color theme="1"/>
        <rFont val="Arial"/>
        <family val="2"/>
      </rPr>
      <t>Analytics &amp; Reporting</t>
    </r>
    <r>
      <rPr>
        <sz val="11"/>
        <color theme="1"/>
        <rFont val="Arial"/>
        <family val="2"/>
      </rPr>
      <t xml:space="preserve"> : Insightful and granular analysis of data to identify high risk areas and detect potential exceptions early 
</t>
    </r>
    <r>
      <rPr>
        <b/>
        <u/>
        <sz val="11"/>
        <color theme="1"/>
        <rFont val="Arial"/>
        <family val="2"/>
      </rPr>
      <t>Leading Practices</t>
    </r>
    <r>
      <rPr>
        <b/>
        <sz val="11"/>
        <color theme="1"/>
        <rFont val="Arial"/>
        <family val="2"/>
      </rPr>
      <t xml:space="preserve"> : </t>
    </r>
    <r>
      <rPr>
        <sz val="11"/>
        <color theme="1"/>
        <rFont val="Arial"/>
        <family val="2"/>
      </rPr>
      <t xml:space="preserve">Implement risk based testing methodologies and work-paper documentation standards for increased external audit reliance 
</t>
    </r>
    <r>
      <rPr>
        <b/>
        <sz val="11"/>
        <color theme="1"/>
        <rFont val="Arial"/>
        <family val="2"/>
      </rPr>
      <t xml:space="preserve">
</t>
    </r>
    <r>
      <rPr>
        <b/>
        <u/>
        <sz val="11"/>
        <color theme="1"/>
        <rFont val="Arial"/>
        <family val="2"/>
      </rPr>
      <t>Dual-Shore</t>
    </r>
    <r>
      <rPr>
        <b/>
        <sz val="11"/>
        <color theme="1"/>
        <rFont val="Arial"/>
        <family val="2"/>
      </rPr>
      <t xml:space="preserve"> : </t>
    </r>
    <r>
      <rPr>
        <sz val="11"/>
        <color theme="1"/>
        <rFont val="Arial"/>
        <family val="2"/>
      </rPr>
      <t xml:space="preserve">Large pool of SOX auditors, data scientists and automation SMEs both onshore and offshore 
</t>
    </r>
  </si>
  <si>
    <t>Process Risk Assessment</t>
  </si>
  <si>
    <t xml:space="preserve">COE Delivery Structure </t>
  </si>
  <si>
    <t>Automation/Robotics</t>
  </si>
  <si>
    <t xml:space="preserve">-Advanced automation and robotics interventions directed at select SOX  compliance tasks and underlying processes </t>
  </si>
  <si>
    <t>Analytics &amp; Reporting</t>
  </si>
  <si>
    <t xml:space="preserve">-Insightful and granular analysis of data to identify high risk areas and detect potential exceptions early </t>
  </si>
  <si>
    <t>Leading Practices</t>
  </si>
  <si>
    <t>-Implement risk based testing methodologies and work-paper documentation standards for increased external audit reliance</t>
  </si>
  <si>
    <t>Dual Shore</t>
  </si>
  <si>
    <t xml:space="preserve">-Large pool of SOX auditors, data scientists and automation SMEs both onshore and offshore </t>
  </si>
  <si>
    <t xml:space="preserve">As part of this offering EXL proposes to perform a health-check of - Process, risk, controls and organizational taxonomy
- Process flows, risks, controls
- Risk and Controls Matrix
- Review testing methodology and guidelines 
- Develop Test Scripts for key controls
- Perform test-of-one 
- Evaluate design effectiveness of key control(s)
- Report on the status of controls tested, its effectiveness and open gaps </t>
  </si>
  <si>
    <t xml:space="preserve">~35-40% reduction in cost of compliance 
Increased assurance through automated testing of entire population as opposed to sample testing
Early identification of deficiencies for remediation prior to year end 
Standardized controls testing documentation resulting in increased external audit reliance 
Reduced manual effort – automation of select SOX compliance activities and underlying processes
</t>
  </si>
  <si>
    <t>RPA is a key driver being discussed with most clients to drive efficiency and plan capacity. EXL will implement Robotics and Intelligent Automation solutions for core Finance processes such as Balance Sheet Reconciliations and Manual Journal Entries and transactional Finance processes such as Account payables and receivables, to help clients drive better outcomes.</t>
  </si>
  <si>
    <t>Finance Automation</t>
  </si>
  <si>
    <t>RPA</t>
  </si>
  <si>
    <t>1. Operational Resiliency - automated processed provide natural BCP in cases where FTEs are unable to continue delivery due to circumstances
2. Cost Efficiency: Given that the cost of operating a BOT is a fraction of a human FTE - automation can help drive significant cost efficiencies across the board 
4. Better process management 
5. Improved customer experience</t>
  </si>
  <si>
    <t>Transformation Roadmap for Finance Function</t>
  </si>
  <si>
    <t>HIgh</t>
  </si>
  <si>
    <t>Operational Resiliency - automated processed provide natural BCP in cases where FTEs are unable to continue delivery due to circumstances
Cost Efficiency: Given that the cost of operating a BOT is a fraction of a human FTE - automation can help drive significant cost efficiencies across the board 
Better process management 
Improved customer experience</t>
  </si>
  <si>
    <t xml:space="preserve">EXL will conduct Finance functions diagnostic to identify process transformation and expense management opportunities, estimate benefits, build a business case, and develop an implementation roadmap. </t>
  </si>
  <si>
    <t>1. Optimal end-state vision for the Finance organization 
2. Detailed business case with projected benefits and cost / risks
3. Prioritized implementations road-map</t>
  </si>
  <si>
    <t>Finance Blueprint</t>
  </si>
  <si>
    <t>Optimal end-state vision for the Finance organization 
Detailed business case with projected benefits and cost / risks
Prioritized implementations road-map</t>
  </si>
  <si>
    <t>Insurers make a significant number of claims payments annually. It’s an expensive process — not just in terms of the physical costs of printing, paper, and postage, but human beings are needed to answer questions, manage accounting, and oversee reconciliation. It’s a very non-strategic backroom process. The fact that you can make a payment doesn’t suddenly differentiate you from other insurers. Indeed, the one thing that unites every insurer in every country is the need to make claims payments. And so, for many years insurers have treated payments as a back-office process focusing purely on the minimum required basic processes of printing checks and reconciliation.
But today’s claimants expect fast, transparent claims payments with the ability to choose the payment mechanism — including newer mechanisms such as Venmo or Zelle. Vendor recipients want a method that makes it simple and efficient for them to process and reconcile as well. Yet, for many insurers, legacy claims and accounts payable systems simply don’t meet the challenge of high service expectations from today’s consumers, business customers, and vendor partners.
Claims payment recipients today expect much more flexibility in how their payment is handled as well as transparency in the process history. Individuals expect to be able to choose how they want to receive their money — whether by check, debit card, ACH, Venmo, or other mechanisms. They want full details explaining the payment. And they want their money fast. Businesses don’t want to be overwhelmed with multiple payments on individual transactions; they want taxes and liens to be handled appropriately; and they also want self-service capabilities to track and reconcile payments.
An increasing number of insurers are questioning the overall costs of handling payments. Rather than modifying their software systems in order to provide new capabilities, they’re deciding to outsource the entire process.
The most typical process is that, in the process above, instead of sending instructions for a payment to a check printer, the instructions are sent to a Payments-as-a-Service provider, which takes over all functions from there. They may handle the communication with the customer to identify the preferred payment mechanism and get their banking information. They will then send the payment to the customer using the mechanism the customer chooses.</t>
  </si>
  <si>
    <t>-Insurers make a significant number of claims payments annually. It’s an expensive process — not just in terms of the physical costs of printing, paper, and postage, but human beings are needed to answer questions, manage accounting, and oversee reconciliation. It’s a very non-strategic backroom process.
'-Today’s claimants expect fast, transparent claims payments with the ability to choose the payment mechanism — including newer mechanisms such as Venmo or Zelle. 
'-Vendor recipients want a method that makes it simple and efficient for them to process and reconcile as well. -Claims payment recipients expect much more flexibility in how their payment is handled and transparency in the process history. 
-Individuals expect to be able to choose how they want to receive their money — whether by check, debit card, ACH, Venmo, or other mechanisms. 
-Businesses don’t want to be overwhelmed with multiple payments on individual transactions; they want taxes and liens to be handled appropriately; and they also want self-service capabilities to track and reconcile payments.
-An increasing number of insurers are questioning the overall costs of handling payments. Rather than modifying their software systems in order to provide new capabilities, they’re deciding to outsource the entire process.</t>
  </si>
  <si>
    <r>
      <t>Digitally Transforming Workers' Compensation Claims 
-</t>
    </r>
    <r>
      <rPr>
        <sz val="11"/>
        <color theme="1"/>
        <rFont val="Arial"/>
        <family val="2"/>
      </rPr>
      <t xml:space="preserve">The economic slowdown over the last several years has put pressure on both growth and profitability. There has been a significant shift in the split between medical costs and indemnity costs on a claim.  Variations and inconsistencies in state WC laws and reporting requirements increase cost and decrease efficiency. Ongoing economic woes continue force older employees to work as long as physically able which drives the need to create a healthy employee base.  
Carriers need to create holistic treatment and medical management programs to deal effectively with the physical, emotional and psychological aspects of pain.
-Opportunity to reduce claim lifecycle and expedite claim payments - medical and indemnity
-Opportunity to manage return to work more effectively and reduce claim cost
-Opportunity to reduce medical payment fraud, waste and abuse
-Opportunity to reduce penalties as this continues to be a pain point for most WC insurers.
-Opportunity to improve communication between the injured worker, employer and carrier 
-Opportunity to improve/optimize cost management and disability management programs using data and analytics
-Reduce costs associated with UR and Medical Bill Review programs
-Streamline and digitize ingestion and intake of medical documents and bills
</t>
    </r>
    <r>
      <rPr>
        <b/>
        <i/>
        <u/>
        <sz val="11"/>
        <color theme="1"/>
        <rFont val="Arial"/>
        <family val="2"/>
      </rPr>
      <t>Potential Covid Impacts on WC</t>
    </r>
    <r>
      <rPr>
        <sz val="11"/>
        <color theme="1"/>
        <rFont val="Arial"/>
        <family val="2"/>
      </rPr>
      <t xml:space="preserve">
</t>
    </r>
    <r>
      <rPr>
        <i/>
        <sz val="11"/>
        <color theme="1"/>
        <rFont val="Arial"/>
        <family val="2"/>
      </rPr>
      <t>- There could be an increase in the # of compensable claims arising in frontline, Covid related situations.  However, this could be offset by a decrease in WC claims due to the increased # of employees WFH
- Carriers may see a decrease in the # of PT sessions that are deemed to be not immediately critical (likely only a short term effect)
- In economic downturns, workers may forgo filing claims for minor injuries to maintain active employment leading to a temporary downward pressure on claim frequency
-Will medical costs go up as Covid related injuries require extensive medical/hospital care?</t>
    </r>
    <r>
      <rPr>
        <sz val="11"/>
        <color theme="1"/>
        <rFont val="Arial"/>
        <family val="2"/>
      </rPr>
      <t xml:space="preserve">
</t>
    </r>
    <r>
      <rPr>
        <i/>
        <sz val="11"/>
        <color theme="1"/>
        <rFont val="Arial"/>
        <family val="2"/>
      </rPr>
      <t xml:space="preserve">-Will death claims see an increase?
-What happens to nurse case management?
- IME's may be delayed along with other types of medical care
- Will claims, therefore, stay open longer and thereby increase indemnity and medical costs
- Court systems have been closed - and will continue to be closed - creating backlogs and delays - will this also cause claims to be open longer and therefore drive up costs?
-Tighter investigations in Covid cases are required to prevent fraud and prove compensability
-Leverage telemedicine as a way to injured workers' to keep appointments while social distancing (not allowed in all states but there has been some easing of restrictions)
- So far, actuarial estimates about the potential cost of Covid have been all over the map
- 2 of the largest rating agencies aren't even guessing how much covid-19 might cost in permanent disability benefits - despite evidence that the virus causes long lasting ill health effects
- State governors and regulators are changing WC laws on the fly - it is continually evolving - making it difficult for a carrier to predict loss severity, reserve adequacy, rates etc.
- Impacts to the Premium audit function as well (more WFH employees, inability to do onsite audits, changing classifications of employees etc..)
-
</t>
    </r>
  </si>
  <si>
    <r>
      <t>-</t>
    </r>
    <r>
      <rPr>
        <sz val="11"/>
        <color theme="1"/>
        <rFont val="Arial"/>
        <family val="2"/>
      </rPr>
      <t xml:space="preserve">The economic slowdown over the last several years has put pressure on both growth and profitability. There has been a significant shift in the split between medical costs and indemnity costs on a claim.  
-Variations and inconsistencies in state WC laws and reporting requirements increase cost and decrease efficiency.  
-Carriers need to create holistic treatment and medical management programs to deal effectively with the physical, emotional and psychological aspects of pain.
-Opportunity to reduce claim lifecycle and expedite claim payments - medical and indemnity
-Opportunity to manage return to work more effectively and reduce claim cost
-Opportunity to reduce medical payment fraud, waste and abuse
-Opportunity to reduce penalties as this continues to be a pain point for most WC insurers.
-Opportunity to improve communication between the injured worker, employer and carrier 
-Opportunity to improve/optimize cost management and disability management programs using data and analytics
-Reduce costs associated with UR and Medical Bill Review programs
-Streamline and digitize ingestion and intake of medical documents and bills
</t>
    </r>
    <r>
      <rPr>
        <b/>
        <i/>
        <u/>
        <sz val="11"/>
        <color theme="1"/>
        <rFont val="Arial"/>
        <family val="2"/>
      </rPr>
      <t>Potential Covid Impacts on WC</t>
    </r>
    <r>
      <rPr>
        <sz val="11"/>
        <color theme="1"/>
        <rFont val="Arial"/>
        <family val="2"/>
      </rPr>
      <t xml:space="preserve">
</t>
    </r>
    <r>
      <rPr>
        <i/>
        <sz val="11"/>
        <color theme="1"/>
        <rFont val="Arial"/>
        <family val="2"/>
      </rPr>
      <t>- There could be an increase in the # of compensable claims arising in frontline, Covid related situations.  However, this could be offset by a decrease in WC claims due to the increased # of employees WFH
- Carriers may see a decrease in the # of PT sessions that are deemed to be not immediately critical (likely only a short term effect)
- In economic downturns, workers may forgo filing claims for minor injuries to maintain active employment leading to a temporary downward pressure on claim frequency
-Will medical costs go up as Covid related injuries require extensive medical/hospital care?</t>
    </r>
    <r>
      <rPr>
        <sz val="11"/>
        <color theme="1"/>
        <rFont val="Arial"/>
        <family val="2"/>
      </rPr>
      <t xml:space="preserve">
</t>
    </r>
    <r>
      <rPr>
        <i/>
        <sz val="11"/>
        <color theme="1"/>
        <rFont val="Arial"/>
        <family val="2"/>
      </rPr>
      <t>-Will death claims see an increase?
-What happens to nurse case management?
- IME's may be delayed along with other types of medical care
- Will claims, therefore, stay open longer and thereby increase indemnity and medical costs
- Court systems have been closed - and will continue to be closed - creating backlogs and delays - will this also cause claims to be open longer and therefore drive up costs?
-Tighter investigations in Covid cases are required to prevent fraud and prove compensability
-Leverage telemedicine as a way to injured workers' to keep appointments while social distancing (not allowed in all states but there has been some easing of restrictions)
- So far, actuarial estimates about the potential cost of Covid have been all over the map
- 2 of the largest rating agencies aren't even guessing how much covid-19 might cost in permanent disability benefits - despite evidence that the virus causes long lasting ill health effects
- State governors and regulators are changing WC laws on the fly - it is continually evolving - making it difficult for a carrier to predict loss severity, reserve adequacy, rates etc.</t>
    </r>
  </si>
  <si>
    <t xml:space="preserve">Endorsements requests for various market segment are inconsistent and not standard hindering the ability to get a good understanding of endorsement volumes, types etc. and adding complexity to processing. Insurers are looking to reduce unwanted endorsements
1.Unstructured &amp; Unstandardized Requests resulting in inability to get business insights into types of endorsements and reasons driving the endorsements (quality, broker behavior etc.)
2. Need to support omni channels for endorsements
3. Need to centralize endorsement processing across various market segments
4. Lower adoption of Brokers to self service portals
</t>
  </si>
  <si>
    <t>Endorsements End to End Solution</t>
  </si>
  <si>
    <t>Multiple submission
Delayed quote generation time
Adminsitration overhead due to non standard requests to insurers</t>
  </si>
  <si>
    <t xml:space="preserve">Analytics driven Human + Digital Collections: As the lockdowns impact household income and company revenues insurers are either startting to see or anticipating the following: 
1. Higher Expected Default: Adverse impact across customer industries – adversely impacting company’s cash position
2. Erratic pandemic behavior: Overestimated risk scores, impacted UW decisioning and lower forecasting accuracy
3. Non-standardized highly manual processes: Need to design experience with focus on the right outcomes
EXL will help insurers get more cash in faster by using specialized analytics, automated communications and leveraging specialized targeted collections strategies, in addition to quicker matching and resolution of cash balances. 
</t>
  </si>
  <si>
    <t xml:space="preserve">Remote working has increased the possibility of financial impact to Insurers due to malicious acts and inadvertent errors. </t>
  </si>
  <si>
    <r>
      <rPr>
        <b/>
        <sz val="11"/>
        <color theme="1"/>
        <rFont val="Arial"/>
        <family val="2"/>
      </rPr>
      <t>The key objectives of program are as follows:</t>
    </r>
    <r>
      <rPr>
        <sz val="11"/>
        <color theme="1"/>
        <rFont val="Arial"/>
        <family val="2"/>
      </rPr>
      <t xml:space="preserve">
1. Monitor and assess the effectiveness of internal controls over financial reporting
2. Risk and controls are aligned to COSO Framework for external financial reporting
3. Focus on key risk to relevant to financial reporting 
4. Strong coordination with internal and external audit for effective program
</t>
    </r>
    <r>
      <rPr>
        <b/>
        <sz val="11"/>
        <color theme="1"/>
        <rFont val="Arial"/>
        <family val="2"/>
      </rPr>
      <t>Below are some of the key Challenges:</t>
    </r>
    <r>
      <rPr>
        <sz val="11"/>
        <color theme="1"/>
        <rFont val="Arial"/>
        <family val="2"/>
      </rPr>
      <t xml:space="preserve">
- Manually intensive testing
- Incomplete and inaccurate system data
- Spikes in the level of effort
- Inconsistent controls and testing documentation
- Regular surprises, especially at year-end
- Issue Management
   - Lack of early warning mechanism
   - Late identification of exceptions
   - Little time left to remediate at year end
- Testing not aligned to evolving risks
- Challenging project management – a lot of key stakeholders
</t>
    </r>
  </si>
  <si>
    <t>- Incomplete and inaccurate system data
- Spikes in the level of effort
- Inconsistent controls and testing documentation
- Regular surprises, especially at year-end
- Issue Management
   - Lack of early warning mechanism
   - Late identification of exceptions
   - Little time left to remediate at year end
- Testing not aligned to evolving risks
- Challenging project management – a lot of key stakeholders
'-</t>
  </si>
  <si>
    <t>Lockdowns have led to an accelaration in the speed of automation being implemented across clients to drive operations resiliency and improve efficiency. Clients are looking at partners to come up with ready and implementable solutions for automation.</t>
  </si>
  <si>
    <t>-Lockdowns have led to an accelaration in the speed of automation being implemented across clients to drive operations resiliency and improve efficiency. Clients are looking at partners to come up with ready and implementable solutions for automation.</t>
  </si>
  <si>
    <t>Cost and efficiency pressures are driving most CFOs to urgently look to assess their functions and develop end-to-end transformation and cost reduction solutions.</t>
  </si>
  <si>
    <t>-Cost and efficiency pressures are driving most CFOs to urgently look to assess their functions and develop end-to-end transformation and cost reduction solutions.</t>
  </si>
  <si>
    <t xml:space="preserve">Problem Statement  </t>
  </si>
  <si>
    <t>Offering</t>
  </si>
  <si>
    <t>Modules</t>
  </si>
  <si>
    <t>Outcomes</t>
  </si>
  <si>
    <t xml:space="preserve">Metrics and Benchmarks </t>
  </si>
  <si>
    <t>Buying Center</t>
  </si>
  <si>
    <t>Client Appetite / Feedback
Feedback received from clients to be updated here</t>
  </si>
  <si>
    <t>Market Appetite</t>
  </si>
  <si>
    <t xml:space="preserve">Existing Capability in market (are there any existing similar products in the market?).  Describe. </t>
  </si>
  <si>
    <t>EXL Capabilities</t>
  </si>
  <si>
    <t>Speed to Market</t>
  </si>
  <si>
    <t>Next Steps</t>
  </si>
  <si>
    <t>L/M/H</t>
  </si>
  <si>
    <t>Details</t>
  </si>
  <si>
    <t xml:space="preserve">The first step in the Claim process is FNOL and it is one of the most important.  It is often the first interaction a policyholder has with their insurance carrier and it represents a Moment of Truth for the carrier.  Service is what an insurance company sells and an efficient, timely, painless process to report new losses is core to every insurance carrier and claim department.  FNOL represents X (TBD)% of overall claim cost on an annual basis and is a multi-billion dollar industry expenditure.  
-Brokers and Insureds want the choice of reporting channels (Mobile, Web, Email, Fax, Phone) and expect a carrier to provide them with all options 
-Carriers and customers desire FNOL set up (claim # assignment) and adjuster assignment as quickly as possible in order to ensure timely investigation, evaluation reserving and resolution.  Anything more than 4 hours is often perceived as too long leading to adverse impacts on the claim and the customer experience.   
-An FNOL contains a number of data points which are important to capture quickly and accurately so they can be immediately used to predict claim outcomes, properly reserve, report losses to underwriting, price risks and manage aggregate loss costs. 
-Significant effort and cost is needed to convert unstructured, semi-structured and structured documents, embedded files, notes, ACORD forms, scans, images etc...) to useable formats.
-Customers often complain of insufficient transparency into the claim assignment process.  They do not receive timely notification of the claim number nor the adjuster ID leading to unnecessary phone calls and emails and ultimately poor customer satisfaction.  .  
-Customers and regulators require data privacy and security for all PHI, PII information shared when reporting a loss.  
</t>
  </si>
  <si>
    <t>FNOL "As a Service"</t>
  </si>
  <si>
    <r>
      <rPr>
        <b/>
        <u/>
        <sz val="11"/>
        <color theme="1"/>
        <rFont val="Arial"/>
        <family val="2"/>
      </rPr>
      <t xml:space="preserve">1. Omni Channel Intake </t>
    </r>
    <r>
      <rPr>
        <sz val="11"/>
        <color theme="1"/>
        <rFont val="Arial"/>
        <family val="2"/>
      </rPr>
      <t>- provides a channel agnostic claim reporting solution for customers (broker and insured)</t>
    </r>
  </si>
  <si>
    <t xml:space="preserve">-Reduce claim costs - ALAE and ULAE
-Streamline and simplify the process
-Improve accuracy of assignment
-Provide early warning flags for fraud, litigation etc. reducing indemnity and legal cost
-Improve customer experience
-Simplify pricing - price per FNOL - allows for surge capacity and flexibility transferring burden to supplier
</t>
  </si>
  <si>
    <t xml:space="preserve">Chief Claim Officer
</t>
  </si>
  <si>
    <t>Allstate, 
Assurant
CNA
Hanover
HIG
Liberty Mutual</t>
  </si>
  <si>
    <t>More research needed here
No one has tied the whole solution together.  
We are creating a one stop shop with the ability to provide data loops</t>
  </si>
  <si>
    <t>Operational</t>
  </si>
  <si>
    <t>Moderate footprint in FNOL both voice and non-voice across personal and commercial insurance</t>
  </si>
  <si>
    <r>
      <rPr>
        <b/>
        <sz val="11"/>
        <color theme="1"/>
        <rFont val="Arial"/>
        <family val="2"/>
      </rPr>
      <t>Medium</t>
    </r>
    <r>
      <rPr>
        <sz val="11"/>
        <color theme="1"/>
        <rFont val="Arial"/>
        <family val="2"/>
      </rPr>
      <t xml:space="preserve">
We can package and put Value Prop together quickly.
Building and stitching the modules together will take more time.</t>
    </r>
  </si>
  <si>
    <t>1. Vet the solution concept and components with existing clients 
2. If prioritized, begin to build the Packaged Solution collateral including the Value Prop included</t>
  </si>
  <si>
    <r>
      <rPr>
        <b/>
        <u/>
        <sz val="11"/>
        <color theme="1"/>
        <rFont val="Arial"/>
        <family val="2"/>
      </rPr>
      <t>2. Automated Entry FNOL capability (Thin Human/Heavy Digital)</t>
    </r>
    <r>
      <rPr>
        <sz val="11"/>
        <color theme="1"/>
        <rFont val="Arial"/>
        <family val="2"/>
      </rPr>
      <t xml:space="preserve">- provides front end capability to ingest all types of FNOL documents across all  lines of business (Commercial and Personal) from all channels (except Voice).    App needs to extract data/content and auto populate carrier claim systems (Guidewire, Duck Creek etc..) </t>
    </r>
  </si>
  <si>
    <r>
      <rPr>
        <b/>
        <u/>
        <sz val="11"/>
        <rFont val="Arial"/>
        <family val="2"/>
      </rPr>
      <t>3. Voice Center of Excellence (COE)</t>
    </r>
    <r>
      <rPr>
        <sz val="11"/>
        <rFont val="Arial"/>
        <family val="2"/>
      </rPr>
      <t xml:space="preserve"> - provides insured/broker with the ability to report claims via phone in a workflow enabled call flow using dynamic scripts, triage and adjuster assignment. </t>
    </r>
    <r>
      <rPr>
        <b/>
        <sz val="11"/>
        <rFont val="Arial"/>
        <family val="2"/>
      </rPr>
      <t>Claims Inquiry and Provider Help lines</t>
    </r>
    <r>
      <rPr>
        <sz val="11"/>
        <rFont val="Arial"/>
        <family val="2"/>
      </rPr>
      <t xml:space="preserve"> may also be part of the module.</t>
    </r>
  </si>
  <si>
    <t>EXL's platforms services team does have an FNOL platform with the right components
We also have the ability to partner with companies like Sapiens which would increase speed to market</t>
  </si>
  <si>
    <r>
      <rPr>
        <b/>
        <u/>
        <sz val="11"/>
        <color theme="1"/>
        <rFont val="Arial"/>
        <family val="2"/>
      </rPr>
      <t xml:space="preserve">4. Acknowledgement Notice </t>
    </r>
    <r>
      <rPr>
        <sz val="11"/>
        <color theme="1"/>
        <rFont val="Arial"/>
        <family val="2"/>
      </rPr>
      <t>with Claim number - provides immediate notice to insured and broker that the claim has been received and a claim number assigned</t>
    </r>
  </si>
  <si>
    <r>
      <rPr>
        <b/>
        <u/>
        <sz val="11"/>
        <color theme="1"/>
        <rFont val="Arial"/>
        <family val="2"/>
      </rPr>
      <t>5. Reports and Dashboards</t>
    </r>
    <r>
      <rPr>
        <sz val="11"/>
        <color theme="1"/>
        <rFont val="Arial"/>
        <family val="2"/>
      </rPr>
      <t xml:space="preserve"> - provides ability to capture and report real time on TAT, Volume by LOB, Volume by Channel, Quality etc..)</t>
    </r>
  </si>
  <si>
    <r>
      <rPr>
        <b/>
        <u/>
        <sz val="11"/>
        <color theme="1"/>
        <rFont val="Arial"/>
        <family val="2"/>
      </rPr>
      <t>6. Predictive Analytics</t>
    </r>
    <r>
      <rPr>
        <sz val="11"/>
        <color theme="1"/>
        <rFont val="Arial"/>
        <family val="2"/>
      </rPr>
      <t xml:space="preserve"> - Early Indicator Flags (Fraud, Litigation, Recovery, Total Loss) - provides early indicator flags for accurate assignment, investigation cues and improved cycle time</t>
    </r>
  </si>
  <si>
    <r>
      <rPr>
        <b/>
        <u/>
        <sz val="11"/>
        <color theme="1"/>
        <rFont val="Arial"/>
        <family val="2"/>
      </rPr>
      <t xml:space="preserve">7. Cloud Hosted </t>
    </r>
    <r>
      <rPr>
        <sz val="11"/>
        <color theme="1"/>
        <rFont val="Arial"/>
        <family val="2"/>
      </rPr>
      <t>- provides ability to host data in the Carrier IT environment thereby protecting security and data privacy</t>
    </r>
  </si>
  <si>
    <t>While EXL does have RPA capability, we do lack a robust functioning Extraction capability/partner
ML/NLP processing will need to be built for FNOL to enable STP</t>
  </si>
  <si>
    <r>
      <rPr>
        <b/>
        <sz val="11"/>
        <color theme="1"/>
        <rFont val="Arial"/>
        <family val="2"/>
      </rPr>
      <t>8.</t>
    </r>
    <r>
      <rPr>
        <b/>
        <u/>
        <sz val="11"/>
        <color theme="1"/>
        <rFont val="Arial"/>
        <family val="2"/>
      </rPr>
      <t>Conversational IVR</t>
    </r>
    <r>
      <rPr>
        <sz val="11"/>
        <color theme="1"/>
        <rFont val="Arial"/>
        <family val="2"/>
      </rPr>
      <t xml:space="preserve"> to reduce FNOL Call AHT, route calls better, answer basic claim inquiry calls</t>
    </r>
  </si>
  <si>
    <r>
      <rPr>
        <b/>
        <sz val="11"/>
        <color theme="1"/>
        <rFont val="Arial"/>
        <family val="2"/>
      </rPr>
      <t xml:space="preserve">9. </t>
    </r>
    <r>
      <rPr>
        <b/>
        <u/>
        <sz val="11"/>
        <color theme="1"/>
        <rFont val="Arial"/>
        <family val="2"/>
      </rPr>
      <t>Speech Analytics</t>
    </r>
    <r>
      <rPr>
        <b/>
        <sz val="11"/>
        <color theme="1"/>
        <rFont val="Arial"/>
        <family val="2"/>
      </rPr>
      <t xml:space="preserve"> -</t>
    </r>
    <r>
      <rPr>
        <sz val="11"/>
        <color theme="1"/>
        <rFont val="Arial"/>
        <family val="2"/>
      </rPr>
      <t xml:space="preserve"> Fraud propensity, Customer Experience analytics, call flow/script optimization</t>
    </r>
  </si>
  <si>
    <t>Claim Payment as a Service</t>
  </si>
  <si>
    <r>
      <rPr>
        <b/>
        <u/>
        <sz val="11"/>
        <color theme="1"/>
        <rFont val="Arial"/>
        <family val="2"/>
      </rPr>
      <t>1. Content Extraction</t>
    </r>
    <r>
      <rPr>
        <sz val="11"/>
        <color theme="1"/>
        <rFont val="Arial"/>
        <family val="2"/>
      </rPr>
      <t xml:space="preserve">
Intelligent data extraction from bills/invoices sent via paper/email/fax to enable automated entry and into payment systems</t>
    </r>
  </si>
  <si>
    <r>
      <t xml:space="preserve">-Cost reduction
-Enhanced customer experience
-Improved Cost of Technology
</t>
    </r>
    <r>
      <rPr>
        <u/>
        <sz val="11"/>
        <color theme="1"/>
        <rFont val="Arial"/>
        <family val="2"/>
      </rPr>
      <t>Pricing Models:</t>
    </r>
    <r>
      <rPr>
        <sz val="11"/>
        <color theme="1"/>
        <rFont val="Arial"/>
        <family val="2"/>
      </rPr>
      <t xml:space="preserve">
Payments-as-a-Service vendors typically charge per transaction. The amount per transaction may change based on the number of transactions processed. Transactional charges vary based on the type of transaction. Charges are typically made for transactions such as those below. Vendors may have additional fees beyond those listed.
-Printing and mailing a paper check
-ACH fund transfer
ACH credit reversal
Issuing and initially funding a prepaid card
 Reloading a prepaid card
OFAC and death record search
Handling the 1099 process
Stop Payment
Void &amp; Reissue
Printing and mailing a document (typically per page charge)
Escheated payment charge
Issuing and funding a virtual card
Multiparty payment (e.g. mortgagee payments or add 'l payees)
Total loss payments (these require additional signatures and processing)</t>
    </r>
  </si>
  <si>
    <t>Chief Claim Officer
Chief Financial Officer
Chief Procurement Officer</t>
  </si>
  <si>
    <t>AIG
Allstate
Assurant
CNA
Hanover
HIG
Liberty Mutual
ZNA
AXIS
Everest</t>
  </si>
  <si>
    <t>High
All Analysts are talking about this.  
It is a main topic at Claim events and is one of the biggest pain points right now.  
COVID is disrupting current practices due to the inability to have people work in office</t>
  </si>
  <si>
    <t>See Celent report for a preliminary list of Suppliers. It is certainly not exhaustive</t>
  </si>
  <si>
    <t xml:space="preserve">Process payments for vendors/ AP for a number of clients. Select insurance clients where we are responsible for payment disbursement </t>
  </si>
  <si>
    <t>1. Meet with Celent and obtain additional context, information and feedback on our solution ideas.
2. Vet the solution concept and components with existing clients 
3. If prioritized, begin to build the Packaged Solution collateral including the Value Prop included</t>
  </si>
  <si>
    <r>
      <rPr>
        <b/>
        <u/>
        <sz val="11"/>
        <color theme="1"/>
        <rFont val="Arial"/>
        <family val="2"/>
      </rPr>
      <t>2. Payee Portal</t>
    </r>
    <r>
      <rPr>
        <sz val="11"/>
        <color theme="1"/>
        <rFont val="Arial"/>
        <family val="2"/>
      </rPr>
      <t xml:space="preserve">
Payee portal: A payee portal allows the payee to easily handle their payment processes online. Those intended for an individual usually allow the payee to set up their payment preference, add or manage accounts for payment deposits, and view real time status of payments. Businesses may have the additional capability of submitting their W-2 information, setting up bulk payments, and handling payment reconciliation online.</t>
    </r>
  </si>
  <si>
    <t xml:space="preserve">We don’t have any platform, potential partnership with Payment platform 
Integration with Claims platform 
Hyperwallet/ https://www.oneincsystems.com/digital-payments-platform/claims-payments </t>
  </si>
  <si>
    <r>
      <rPr>
        <b/>
        <u/>
        <sz val="11"/>
        <color theme="1"/>
        <rFont val="Arial"/>
        <family val="2"/>
      </rPr>
      <t>3.Transactional Servicing Features</t>
    </r>
    <r>
      <rPr>
        <sz val="11"/>
        <color theme="1"/>
        <rFont val="Arial"/>
        <family val="2"/>
      </rPr>
      <t xml:space="preserve">:
Payment Methods
Payment Transactions
EOB Remittance
Payee Types
Workflow
Party Types
Fraud Management &amp; Controls
</t>
    </r>
  </si>
  <si>
    <t xml:space="preserve">High capability, established models and algorithms exist for other areas such as healthcare and L&amp;A. Potential to replicate </t>
  </si>
  <si>
    <r>
      <rPr>
        <b/>
        <u/>
        <sz val="11"/>
        <color theme="1"/>
        <rFont val="Arial"/>
        <family val="2"/>
      </rPr>
      <t xml:space="preserve">4. Customer Service </t>
    </r>
    <r>
      <rPr>
        <sz val="11"/>
        <color theme="1"/>
        <rFont val="Arial"/>
        <family val="2"/>
      </rPr>
      <t xml:space="preserve">
Payment-as-a-Service providers typically provide the frontline customer service to the payee, answering questions about the timing or amount of the payment, processing individual transactions such as stop payments, or providing support for changing payment preferences or accounts.</t>
    </r>
  </si>
  <si>
    <r>
      <rPr>
        <b/>
        <u/>
        <sz val="11"/>
        <color theme="1"/>
        <rFont val="Arial"/>
        <family val="2"/>
      </rPr>
      <t>5. Administrative Support and Services</t>
    </r>
    <r>
      <rPr>
        <sz val="11"/>
        <color theme="1"/>
        <rFont val="Arial"/>
        <family val="2"/>
      </rPr>
      <t xml:space="preserve">
-Account Funding - Some vendors can use the insurers’ own bank accounts. Others set up a jointly held trust account where the payments are prefunded by the insurer until remitted to the payee.
-Escheatment - PaaS providers can handle the escheatment processes for each state as needed. They take on the payee notification and they turn over the funds to the state according to each state’s processes.
-Marketing Services - Most PaaS providers include some support for marketing. Some support insurer-branded cards. Some include assistance in developing marketing programs for you to drive demand for paper-free payments. Some support marketing messages within the payee portal.
-Reporting Tools
-Reporting Data - real time data or regular data files that aggregate data across all the payment channels for easy reconciliation.
-Reconciliation Tools - The process of matching up payment transactions in your accounting system becomes more complex when multiple payment methods are used.
-Administrative Portal - The portal provides the insurer with access to data and administrative tools. Typical features include:
• Access to scheduled reports or ad hoc reporting tools.
• Reconciliation tools and/or the ability to export reconciliation files.
• Administrative access to add insurer users and manage their permissions.
• Search by claim number, named insured, named payee, date of payment, and other dimensions.
• Manage and view real time status of each payment
• Tools to take specific actions on specific payments, such as stop payment or void/reissue.
• Tools that make it easy to add marketing and/or cross-selling messages on the portal.
-Payment Integrity</t>
    </r>
  </si>
  <si>
    <t xml:space="preserve">No solution exists today. This needs to be conceptualized end to end without a wrapper </t>
  </si>
  <si>
    <t>Optimizing Medical and Disability Management</t>
  </si>
  <si>
    <r>
      <rPr>
        <b/>
        <u/>
        <sz val="11"/>
        <rFont val="Arial"/>
        <family val="2"/>
      </rPr>
      <t>1. Medical Case Management Platform</t>
    </r>
    <r>
      <rPr>
        <b/>
        <sz val="11"/>
        <rFont val="Arial"/>
        <family val="2"/>
      </rPr>
      <t xml:space="preserve">
</t>
    </r>
    <r>
      <rPr>
        <sz val="11"/>
        <rFont val="Arial"/>
        <family val="2"/>
      </rPr>
      <t>AI Powered platform to manage medical case assignment, co-ordinate appointments (Physicians, Diagnostics etc.) and order services (Therapy, testing, Medical Supplies, transportation etc.)</t>
    </r>
  </si>
  <si>
    <t xml:space="preserve">Chief Claim Officer
Chief Medical Officer
Chief Financial Officer
</t>
  </si>
  <si>
    <t>CNA
HIG
LM
ZNA</t>
  </si>
  <si>
    <t xml:space="preserve">There are several companies that specialize in healthcare management and medical management services.  
Requires research and analysis across the spectrum of services since it is rare to find one vendor who can do everything
</t>
  </si>
  <si>
    <t>Respectable footprint in Medical management processes across India and Philippines</t>
  </si>
  <si>
    <r>
      <rPr>
        <b/>
        <u/>
        <sz val="11"/>
        <color theme="1"/>
        <rFont val="Arial"/>
        <family val="2"/>
      </rPr>
      <t>2. Automated Entry Medical Record and Bill Management capability (Thin Human/Heavy Digital)</t>
    </r>
    <r>
      <rPr>
        <b/>
        <sz val="11"/>
        <color theme="1"/>
        <rFont val="Arial"/>
        <family val="2"/>
      </rPr>
      <t xml:space="preserve">
</t>
    </r>
    <r>
      <rPr>
        <sz val="11"/>
        <color theme="1"/>
        <rFont val="Arial"/>
        <family val="2"/>
      </rPr>
      <t>Provides front end capability to ingest all medical records and bills from all channels.  App needs to ingest data, extract data/content, auto populate carrier systems and feed data to Bill Review platforms, Bill Payment systems and Medical Summarization tools.</t>
    </r>
  </si>
  <si>
    <t>EXL's has MedConnect platform for summarization.
EXL does not have a Bill Review or UR platform so needs to rely on carrier access or partnering with a supplier
EXL does not have a Peer Review or PPO network</t>
  </si>
  <si>
    <r>
      <rPr>
        <b/>
        <u/>
        <sz val="11"/>
        <color theme="1"/>
        <rFont val="Arial"/>
        <family val="2"/>
      </rPr>
      <t>3. MedConnection for Medical Record Summarization</t>
    </r>
    <r>
      <rPr>
        <b/>
        <sz val="11"/>
        <color theme="1"/>
        <rFont val="Arial"/>
        <family val="2"/>
      </rPr>
      <t xml:space="preserve">
</t>
    </r>
    <r>
      <rPr>
        <sz val="11"/>
        <color theme="1"/>
        <rFont val="Arial"/>
        <family val="2"/>
      </rPr>
      <t>Leverage Ell's platform to intake, tag, catalogue and summarize medical records to create a comprehensive medical summary for adjusters and attorneys</t>
    </r>
  </si>
  <si>
    <r>
      <rPr>
        <b/>
        <u/>
        <sz val="11"/>
        <color theme="1"/>
        <rFont val="Arial"/>
        <family val="2"/>
      </rPr>
      <t>4. End to End Utilization Review</t>
    </r>
    <r>
      <rPr>
        <b/>
        <sz val="11"/>
        <color theme="1"/>
        <rFont val="Arial"/>
        <family val="2"/>
      </rPr>
      <t xml:space="preserve">
</t>
    </r>
    <r>
      <rPr>
        <sz val="11"/>
        <color theme="1"/>
        <rFont val="Arial"/>
        <family val="2"/>
      </rPr>
      <t>Leverage EXL's USRN &amp; PHRN capability &amp; experience to handle end to end utilization review for licensed and unlicensed UR tasks</t>
    </r>
  </si>
  <si>
    <r>
      <rPr>
        <b/>
        <u/>
        <sz val="11"/>
        <color theme="1"/>
        <rFont val="Arial"/>
        <family val="2"/>
      </rPr>
      <t>5. Medical Bill Review Capability/Platform</t>
    </r>
    <r>
      <rPr>
        <sz val="11"/>
        <color theme="1"/>
        <rFont val="Arial"/>
        <family val="2"/>
      </rPr>
      <t xml:space="preserve">
Bill review platform integrated with claim systems populated with all ICD-9 codes, treatment protocols, benchmarks etc.…</t>
    </r>
  </si>
  <si>
    <r>
      <t xml:space="preserve">We have all the capabilities needed here and it seems carriers will need to/want to leverage outside firms to augment their own capacity.  Need for speed
</t>
    </r>
    <r>
      <rPr>
        <b/>
        <sz val="11"/>
        <color theme="1"/>
        <rFont val="Arial"/>
        <family val="2"/>
      </rPr>
      <t>Explore Analytics deeply</t>
    </r>
    <r>
      <rPr>
        <sz val="11"/>
        <color theme="1"/>
        <rFont val="Arial"/>
        <family val="2"/>
      </rPr>
      <t xml:space="preserve"> - huge need with Covid related claims on the rise
We believe the analytics component could be brought to market quickly while other pieces will take much longer (i.e.; platforms, networks)</t>
    </r>
  </si>
  <si>
    <r>
      <rPr>
        <b/>
        <u/>
        <sz val="11"/>
        <color theme="1"/>
        <rFont val="Arial"/>
        <family val="2"/>
      </rPr>
      <t>8. Predictive Analytics Models</t>
    </r>
    <r>
      <rPr>
        <sz val="11"/>
        <color theme="1"/>
        <rFont val="Arial"/>
        <family val="2"/>
      </rPr>
      <t xml:space="preserve">
RTW Modeling (prediction of MO, LT, Catastrophic Injuries and RTW/MMI days)
Severity Modeling
Nurse Triage (Nurse Intervention Success, Nurse Performance)
Litigation Propensity
Indemnity Spend Analytics
RX Analytics (target high risk meds which harm RTW efforts - guide appropriate utilization)
PPO Outcomes (Inside Network/Outside Network)
Physician Peer Review Performance
Fraud Analytics
WFH Injury Models
Vendor Outcome Models
Early Intervention/Chronic Pain Analysis
AI Tools to identify potentially difficult or complex claims and prioritize them for early intervention; especially during Covid</t>
    </r>
  </si>
  <si>
    <r>
      <t xml:space="preserve">9. STP Modeling and Automation (Medical Only Claims)
</t>
    </r>
    <r>
      <rPr>
        <sz val="11"/>
        <color theme="1"/>
        <rFont val="Arial"/>
        <family val="2"/>
      </rPr>
      <t xml:space="preserve">Model the appropriate threshold for STP of medical only claims and process without human touch. </t>
    </r>
  </si>
  <si>
    <r>
      <t xml:space="preserve">10. Payment Integrity
</t>
    </r>
    <r>
      <rPr>
        <sz val="11"/>
        <color theme="1"/>
        <rFont val="Arial"/>
        <family val="2"/>
      </rPr>
      <t>Leverage payment integrity identification and collection capabilities in HC and/or SCIO to recover leakage in medical payments.</t>
    </r>
  </si>
  <si>
    <r>
      <rPr>
        <b/>
        <u/>
        <sz val="11"/>
        <color theme="1"/>
        <rFont val="Arial"/>
        <family val="2"/>
      </rPr>
      <t>11. Subrogation</t>
    </r>
    <r>
      <rPr>
        <sz val="11"/>
        <color theme="1"/>
        <rFont val="Arial"/>
        <family val="2"/>
      </rPr>
      <t xml:space="preserve">
Leverage subrogation capabilities to highlight claims with high subro potential early in the case and pursue accordingly. </t>
    </r>
  </si>
  <si>
    <t>New Business Processing As a Service</t>
  </si>
  <si>
    <t>Chief Operating Officer /  Chief Underwriting Officer</t>
  </si>
  <si>
    <t>Feedback recived from clients to be updated here - AIG, Allstate, Assurant, CNA, Hanover, HIG, Liberty Mutual, ZNA, Axis, Everest</t>
  </si>
  <si>
    <t>Are there any existing similar products in the market? Details.</t>
  </si>
  <si>
    <t>Significant footprint in New Business across commercial insurance</t>
  </si>
  <si>
    <t>Endorsement  E2E Solution</t>
  </si>
  <si>
    <t>Chief Operating Officer</t>
  </si>
  <si>
    <t>ZNA - High
CNA - High</t>
  </si>
  <si>
    <t>Module already in the works and considerable progress made on it</t>
  </si>
  <si>
    <t>Broker - Chief Operating Office</t>
  </si>
  <si>
    <t xml:space="preserve">Intelligent Collections </t>
  </si>
  <si>
    <t>Chief Financial Officer
Chief of Recoveries</t>
  </si>
  <si>
    <t>High - since most Insurers are talking about the fact tht recievables have either already been impacted or will be impacted due to market conditions</t>
  </si>
  <si>
    <t>There are specialized collections firms as well as typical outsourcers who cater to this market.</t>
  </si>
  <si>
    <t>Session set-up with all the Ces for Tuesday (7/21) to walk them through the solution and elicit response &amp; feeback from the clients</t>
  </si>
  <si>
    <t xml:space="preserve">Audit Analytics </t>
  </si>
  <si>
    <t>Chief Audit Executive</t>
  </si>
  <si>
    <t>High - this is one of the focus areas for most insurance companies, where they are trying to have strategy and category management in-house while most of the support services are outsourced</t>
  </si>
  <si>
    <t>Apart from key big players, such as ACN, our competition includes niche/ boutique firms such as GEP</t>
  </si>
  <si>
    <t>Session set-up with all the CEs for Tuesday (7/21) to walk them through the solution and elicit response &amp; feeback from the clients</t>
  </si>
  <si>
    <t xml:space="preserve">Process Risk Assessment </t>
  </si>
  <si>
    <t>Chief Financial Officer, Chief Risk Officer, Controller, Chief Audit Executive</t>
  </si>
  <si>
    <t>- CoE model (40+ offshore resources supporting, NYL, Liberty, CNA, Pru, FGL etc.
- Customized Analytics/ reporting to monitor SoX/ Ops risk testing program</t>
  </si>
  <si>
    <t>We have strong capabilities with multiple large projects successfully delivered with greater audit assurance, deeper insight while reducing 35-40% of  compliance cost</t>
  </si>
  <si>
    <t>Session set-up with all the Ces for Tuesday (7/21) to walk them through the solution and elicit response &amp; feedback from the clients</t>
  </si>
  <si>
    <t>Chief Financial Official
Chief Digital Officer</t>
  </si>
  <si>
    <t>Session set-up with all the CEs for Tuesday (07/21) to take them through the solution and elicit response and feeback from the clients</t>
  </si>
  <si>
    <t>Chief Financial Official</t>
  </si>
  <si>
    <t>Fully-customizable solution, powered with document processing technology, out-of-the-box workflows, connectors and intelligence needed to build, run and manage mission-critical business processes - makes us the solution of choice for top public companies and major governments around the world.
Hyperscience’s IDP solution uses proprietary machine learning models to extract printed and handwritten text from structured and semi-structured documents, such as forms, invoices, paystubs, and checks. Its success is driven by enterprise-friendly features, such as the ability to configure accuracy thresholds, quality assurance capability for measuring the model’s accuracy and improvements, and comprehensive analytics dashboards that provide a unified view of human and machine performance.</t>
  </si>
  <si>
    <t>No</t>
  </si>
  <si>
    <t>Risk Engineering</t>
  </si>
  <si>
    <t>NO</t>
  </si>
  <si>
    <t>Matterport ensures the highest accuracy in processing claims, reducing discrepancies and travel times necessary to verify jobs, decreasing overall costs, and providing better customer service to your clients.
Improve accuracy and reduce the claim cycle.
Adjust remotely and reduce travel time.
Increase operational transparency with the ability to share links of 3D spaces to different stakeholders.
Boost adjusting quality by enabling adjusters to review and navigate the loss remotely with accurate property dimensions.
Improve customer service experience for policyholders by closing claims faster.
Add additional notes and details with Mattertags™
Improve catastrophic (CAT) event response when in-house field adjusting teams are stretched thin by accessing the network of thousands of Matterport Service Partners, helping get people back into their homes and getting businesses up and running faster.
Train and educate remotely with photo-realistic 3D experiences that are more cost effective than VR studios.</t>
  </si>
  <si>
    <t>Property, Home Owner</t>
  </si>
  <si>
    <t>Risk Assessment, Claims Processing</t>
  </si>
  <si>
    <t>Claims Processing</t>
  </si>
  <si>
    <t xml:space="preserve">HOVER Apps for Insurance Adjusters
HOVER offers one of the best apps for insurance adjusters. Calculate accurate measurements in minutes as HOVER creates a scaled 3D rendering of a home based on a few mobile photos taken of the property. Avoid wasting time taking home measurements by hand. Also, with HOVER’s web platform, you can easily access accurate home measurements to provide insurance coverage or process claims.
</t>
  </si>
  <si>
    <t>Quoting, FNOL, Broker Intake</t>
  </si>
  <si>
    <t>Sure is a platform which integrates with Carriers systems to provide digital UW, Claims Processing (incl FNOL), Cloud based policy administration and supports OMNI channels. 
Key clients include CHUBB, Farmers, Assurant</t>
  </si>
  <si>
    <t>Slice provides insurance for special products such as Home share, Ride share, Cyber etc.
Additionally provides "SLICE INSURANCE CLOUD SERVICES™" and claims to be world’s first on-demand insurance cloud platform. With ICS one can build and launch on-demand insurance products, whether personal or commercial.
Claims to have full, end-to-end insurance value chain capabilities including product integration, configuration, quote, bind, issue, built-in online payment (and refund) capabilities, FNOL and more</t>
  </si>
  <si>
    <t>Rideshare, Homeshare, Cyber</t>
  </si>
  <si>
    <t>Hippo Insurance launched in 2015 with the deep belief that homeowners deserve better home insurance. We automated the process and modernized coverage, allowing us to offer policies that cover the homes and possessions that consumers own today, often with greater savings. We also recognized a smarter home is a safer home: We take a proactive approach to home insurance, providing our customers with smart home devices and working with them to identify and solve small issues in their homes before they become big claims. Most importantly, we built a top-notch support team to care for our customers, something we believe truly differentiates Hippo Insurance.</t>
  </si>
  <si>
    <t>P &amp; C Underwriting</t>
  </si>
  <si>
    <t>P &amp; C Underwriting &amp; Broker</t>
  </si>
  <si>
    <t>P &amp; C Claims</t>
  </si>
  <si>
    <t>P &amp; C Underwriting &amp; Claims</t>
  </si>
  <si>
    <t>Travel &amp; Leisure Underwriting</t>
  </si>
  <si>
    <t>P &amp; C Claims - UK</t>
  </si>
  <si>
    <t>Groundspeed</t>
  </si>
  <si>
    <t>Chisel.ai</t>
  </si>
  <si>
    <t>IVANS Insurance Solutions</t>
  </si>
  <si>
    <t>Sumyag Data Sciences</t>
  </si>
  <si>
    <t>RiskAPP</t>
  </si>
  <si>
    <t>KORE</t>
  </si>
  <si>
    <t xml:space="preserve">Personal </t>
  </si>
  <si>
    <t xml:space="preserve">High </t>
  </si>
  <si>
    <t>Cape Analytic</t>
  </si>
  <si>
    <t>TeamFocus Insurance Group</t>
  </si>
  <si>
    <t>Providers</t>
  </si>
  <si>
    <t>Type</t>
  </si>
  <si>
    <t>Gallagher Bassett</t>
  </si>
  <si>
    <t>Claims</t>
  </si>
  <si>
    <t>WC</t>
  </si>
  <si>
    <t>Gerber NCS</t>
  </si>
  <si>
    <t xml:space="preserve">Nationwide claims administrator for reporting auto claims.  Customer Service Agents 24/7.  Gerber used to be Gerber Collision and Glass and is now Gerber National Claim Services  They also have a call center help desk.  TPA for servicing auto and glass claims in FNOL.  </t>
  </si>
  <si>
    <t>ESIS</t>
  </si>
  <si>
    <t>Leading provider of TPA and risk management service offerings.  Physical damage service unit, SIU, BI, auto/truck/heavy equipment appraisal. For WC, ESIS Medical Impact is their proprietary medical management solution.</t>
  </si>
  <si>
    <t>Mitchell/Genex</t>
  </si>
  <si>
    <t>Bill repricing, State Reporting, Nurse Review, Network Optimization, Peer Review with extensive panel of peer review physicians, Medicare Set Aside, Case Mgmt, DWC approved MPN</t>
  </si>
  <si>
    <t>Underwriting, Claim</t>
  </si>
  <si>
    <t>Medical Mgmt Supplier</t>
  </si>
  <si>
    <t>Y/N</t>
  </si>
  <si>
    <t>Strataware
Mitchell/Genex
EK Health</t>
  </si>
  <si>
    <t>Strataware
Mitchell
EK Health</t>
  </si>
  <si>
    <t>Mitchell
EK Health</t>
  </si>
  <si>
    <t>1.  Data extraction from Acord, email and supplementary documents
2.  APIs to communicate with top 5 agency systems
3. Digital packet with a summary of losses, risk exposure basis social-media research, financial performance summary, Aerial imagery etc.</t>
  </si>
  <si>
    <t>1. Data Augmentation through use of third party dataset/secondary data source
2. Integration modules that work with top 2 policy admin systems</t>
  </si>
  <si>
    <t>While EXL has a deep analytics expertise but there are no ready to deploy solutions for submission prioritization, risk assessment and selection etc</t>
  </si>
  <si>
    <t>1.  Data extraction from Acord, email and supplementary documents</t>
  </si>
  <si>
    <t>1. No existing expereince - AON expereince can be the blue print
2. A commercial insurance exchange that connects customers, agents, and carriers to match the right quote in record time</t>
  </si>
  <si>
    <t>3.  Data extraction from Acord, email and supplementary documents</t>
  </si>
  <si>
    <t>Low capability in off-the shelf digital solutions</t>
  </si>
  <si>
    <t>Submission to Quote</t>
  </si>
  <si>
    <t xml:space="preserve">EXL P&amp;C : List of potential Partnerships to bridge capability gaps </t>
  </si>
  <si>
    <t>Gaps in Operational Capabilities</t>
  </si>
  <si>
    <t>Gaps in Digital Solutions</t>
  </si>
  <si>
    <t>Gaps in ready to deploy Analytics Algorithms</t>
  </si>
  <si>
    <t>Gaps in Platform</t>
  </si>
  <si>
    <t>Kind of Partner Required</t>
  </si>
  <si>
    <t xml:space="preserve">Need for Partner </t>
  </si>
  <si>
    <r>
      <t xml:space="preserve">Potential Partners 
</t>
    </r>
    <r>
      <rPr>
        <b/>
        <i/>
        <sz val="10"/>
        <color rgb="FFFFFFFF"/>
        <rFont val="Arial"/>
        <family val="2"/>
      </rPr>
      <t>(need more research…work in progress)</t>
    </r>
  </si>
  <si>
    <t xml:space="preserve">New Business &amp; Underwriting
</t>
  </si>
  <si>
    <t>- Experience of managing Underwriter Technician roles
- Absence of a strong case study related to UW role optimization</t>
  </si>
  <si>
    <t xml:space="preserve">Managing General Agent (MGA) / Digital Insurer
</t>
  </si>
  <si>
    <t xml:space="preserve">To support new product launches and design back office operations to support digital insurance
 </t>
  </si>
  <si>
    <t>- Experience limited to book roll processing</t>
  </si>
  <si>
    <t>- Active algorithms for identifying cross selling opportunities
- Marketing campaign</t>
  </si>
  <si>
    <t>Insurance exchange</t>
  </si>
  <si>
    <t>A commercial insurance exchange that connects customers, agents, and carriers to match the right quote in record time</t>
  </si>
  <si>
    <t>- Data extraction - Acord, email and supplementary documents
- APIs to communicate with top 5 agency systems
- Web/Mobile interface to all direct entry of New Business form</t>
  </si>
  <si>
    <t>- Modules for submission prioritization
- Risk Categorization and classification
- Data Augmentation through use of third party dataset/secondary data source</t>
  </si>
  <si>
    <t xml:space="preserve">-Online Aggregators
- AI powered Data Extraction Solution Providers
- Companies that interact with different agencies and provide for data exchange between insurer and agencies </t>
  </si>
  <si>
    <t>- Data extraction - Acord, email and supplementary documents
- APIs to communicate with top 5 agency systems
- Web/Mobile interface to all direct entry of New Business form
- Modules for submission prioritization
- Risk Categorization and classification
- Data Augmentation through use of third party dataset/secondary data source</t>
  </si>
  <si>
    <t>Goji
GroundSpeed
Chisel.ai
IVANS Insurance Solutions
Sumyag Data Sciences</t>
  </si>
  <si>
    <t xml:space="preserve">- Experience of preparing a file to enable risk assessment </t>
  </si>
  <si>
    <t>- Digital packet with a summary of losses, risk exposure basis social-media research, financial performance summary, Aerial imagery etc.</t>
  </si>
  <si>
    <t>Risk Management Platform provider</t>
  </si>
  <si>
    <t>- NLP/NLU based extraction solution</t>
  </si>
  <si>
    <t>Tech platform</t>
  </si>
  <si>
    <t>Kore
Chisel.ai</t>
  </si>
  <si>
    <t>- End to end renewal management</t>
  </si>
  <si>
    <t>- Data extraction for renewal applications
- Automated utility to source renewal solicitation</t>
  </si>
  <si>
    <t>- Identify non renewal cases basishistorical risk control and claim experience</t>
  </si>
  <si>
    <t>- AI powered Data Extraction Solution Providers</t>
  </si>
  <si>
    <t>- Data extraction for renewal applications
- Automated utility to source renewal solicitation
- Identify non renewal cases basishistorical risk control and claim experience</t>
  </si>
  <si>
    <t>Claim Operations</t>
  </si>
  <si>
    <t>Claim Intake /FNOL</t>
  </si>
  <si>
    <t>- 24*7 Voice Support</t>
  </si>
  <si>
    <t>- Web/Mobile interface for Direct claim logging
- Data extraction - Acord, loss application</t>
  </si>
  <si>
    <t>- Ready to deploy assignment, fraud, subro algorithm</t>
  </si>
  <si>
    <t>- Claim Intake platform to help create an Intake Shared Service</t>
  </si>
  <si>
    <t>- Omni Channel Intake
- Onshore voice
- Automated Entry FNOL capability
- Embedded analytics
- Cloud hosted
- Fraud detection (platform)</t>
  </si>
  <si>
    <t>- Claim Intake platform to help create an Intake Shared Service
- Ready to deploy assignment, fraud, subro algorithm
- Web/Mobile interface for Direct claim logging
- Data extraction - Acord, loss application
 - A functioning bolt on FNOL interface that could work with various Claims platforms like Guidewire and DuckCreek
- Front end (Cloud Based) Dynamically scripted FNOL tool to capture loss information to reduce AHT and improve CX</t>
  </si>
  <si>
    <t>Omnius (Platform)
Netclaim (Voice service provider), Gerber (Onshore Customer Service provider)
Safelite (omnichannel)
Omni.US
Gradient
NetClaim
AWS
Shift Technology
Datacubes
CapeAnalytics</t>
  </si>
  <si>
    <t>Claim Processing</t>
  </si>
  <si>
    <t>TPAs
Peer Networks</t>
  </si>
  <si>
    <t>Onshore claim processing, access to provider and peer networks,UR and/or membership functions</t>
  </si>
  <si>
    <r>
      <t xml:space="preserve">TPAs-
</t>
    </r>
    <r>
      <rPr>
        <sz val="11"/>
        <color theme="1"/>
        <rFont val="Calibri"/>
        <family val="2"/>
        <scheme val="minor"/>
      </rPr>
      <t xml:space="preserve">Crawford Broadpsire
Gallagher Bassett
Segewick
York
</t>
    </r>
    <r>
      <rPr>
        <b/>
        <sz val="11"/>
        <color theme="1"/>
        <rFont val="Calibri"/>
        <family val="2"/>
        <scheme val="minor"/>
      </rPr>
      <t xml:space="preserve">
Peer Networks
</t>
    </r>
    <r>
      <rPr>
        <sz val="11"/>
        <color theme="1"/>
        <rFont val="Calibri"/>
        <family val="2"/>
        <scheme val="minor"/>
      </rPr>
      <t>Genex Services
EK Health 
Unimed Direct</t>
    </r>
  </si>
  <si>
    <t>Claim Bill Review &amp; payment (including WC, UR etc)</t>
  </si>
  <si>
    <t>- Mailroom Operations
 - Experience of claim adjudication, no access to partner network</t>
  </si>
  <si>
    <t>- Data Extraction from Medical &amp; Non Medical invoice</t>
  </si>
  <si>
    <t>Medical Adjudication platform</t>
  </si>
  <si>
    <t xml:space="preserve">Claim Payment Platform </t>
  </si>
  <si>
    <t>- Data Extraction from Medical &amp; Non Medical invoice
-Medical Adjudication platform
- Payment Integrity</t>
  </si>
  <si>
    <t>Snapsheet
OneInc
Genex Services
Strataware
Mitchell</t>
  </si>
  <si>
    <t>P&amp;C Underwriting</t>
  </si>
  <si>
    <t>Groundspeed’s Adaptive Data Pipeline as a Service™ helps clients accelerate their commercial insurance submission process by unlocking the value in their unstructured data.cross broker, carrier, or managing general agent, Groundspeed enables faster to the market with more accurate information.Adaptive Data Pipeline converts files like loss runs, exposure schedules, policies and submissions to cleaned, structured and enhanced information</t>
  </si>
  <si>
    <t>Chisel AI’s Natural Language Processing (NLP) and Machine Learning (ML) solution, which is purpose-built for insurance, helps commercial insurance brokers and carriers extract, interpret, classify and analyze unstructured data in policies, quotes, submissions, applications, binders, and endorsements 400 times faster than a human can—with significantly greater accuracy.Freeing trapped knowledge enables brokers and carriers to automate high-volume, routine underwriting and brokering tasks. It has modules for Policy CHeck, Submission Prioritization and triage</t>
  </si>
  <si>
    <t>Connectivity is changing consumer expectations and business operations. Leverage IVANS, the insurance industry’s exchange connecting insurers, MGAs, agencies and insureds, to digitally distribute products and services in more ways than ever before</t>
  </si>
  <si>
    <t>It creates clear report of your risks basis structured dataset. This company also offers to automate rating process if carrier is trying to digitize SME business</t>
  </si>
  <si>
    <t>Kore.ai provides platforms and solutions to o enable enterprises to automate and enhance digital interactions with their customers, employees and partners. Kore.ai provides a Conversational AI based no/low code enterprise platform to create virtual assistants with conversational &amp; digital user experiences. Kore.ai also provides domain trained pre-built virtual assistants for Banking, Insurance, HR and IT Support. The company has launched an enterprise digital assistant called Kora which acts as a universal/master/concierge assistant with inbuilt skills for knowledge mgt, enterprise search and meetings/tasks mgt and extensible with custom chatbot/digital, RPA &amp; search skills. In addition, the company provides a cloud based call automation and digital deflection service called Deflect.</t>
  </si>
  <si>
    <t>Bold Penguin is a commercial insurance exchange that connects customers, agents, and carriers to match the right quote in record time. With a heavy focus on the agents, Bold Penguin pushes the boundaries of user experience for businesses, an easy tool for agents, and a streamlined process of underwriting for carriers.The company operates an Exchange which utilizes a set of solutions to identify, triage, quote, and bind commercial insurance in a highly efficient and tech-enabled way. It plans to deliver on the platform enhancements which include more flexibility in how the core technology is leveraged by enterprise customers, expanding in excess and surplus lines. The Company offers a streamlined process of underwriting for carriers in commercial property and casualty insurance services.</t>
  </si>
  <si>
    <t>Solution Name</t>
  </si>
  <si>
    <t>Crawford/ Broadspire</t>
  </si>
  <si>
    <t>Sedgewick</t>
  </si>
  <si>
    <t>Strataware</t>
  </si>
  <si>
    <t>P&amp;C Claims</t>
  </si>
  <si>
    <t xml:space="preserve">Strataware s a leading medical bill review and medical management platform used by insurers and claims administrators to lower costs and improve patient outcomes. </t>
  </si>
  <si>
    <t>Actec</t>
  </si>
  <si>
    <t>AnsaFone</t>
  </si>
  <si>
    <t>Lightico</t>
  </si>
  <si>
    <t>ACI Worldwide</t>
  </si>
  <si>
    <t>Commerce Bank</t>
  </si>
  <si>
    <t>Fiserv</t>
  </si>
  <si>
    <t>Ingo Money</t>
  </si>
  <si>
    <t>Invenger</t>
  </si>
  <si>
    <t>Vpay</t>
  </si>
  <si>
    <t>Endorsements</t>
  </si>
  <si>
    <t>Submit to Quote</t>
  </si>
  <si>
    <t>Broker Intake</t>
  </si>
  <si>
    <t>Telemedicine Platform</t>
  </si>
  <si>
    <t>Auto/Property</t>
  </si>
  <si>
    <t>Estimating Software</t>
  </si>
  <si>
    <t xml:space="preserve">RiskGenius is policy documents reading tool which help summarize the coverages, identify risks or gaps in prodcuts using ML. Works for both Carriers and Brokers
RiskGenius increases the quality and speed of coverage delivery so you can work smarter and earn more business
The RiskGenius team is working to fix these processes by supporting insurance professionals with automation. By applying machine learning to insurance policies, we can streamline the work of underwriters, brokers and everyone in between. The result is insurance professionals can do more meaningful work for satisfied customers
</t>
  </si>
  <si>
    <t>Big Data</t>
  </si>
  <si>
    <t xml:space="preserve">Seamless third party contact center with associates trained as FNOL intake staff.  Staff augmentation.  24/7.  Proprietary intake platform.  FROI and state specific questions included.  Reporting capabilities.  Customizable scripts.  </t>
  </si>
  <si>
    <t>Contact Center services - inbound and outbound calls.  Some FNOL capabilities - CAT response</t>
  </si>
  <si>
    <t>P &amp; C Claims, UW</t>
  </si>
  <si>
    <t>eSignatures, eForms, Document Collection (use cellphones to snap and submit photos of bills, proof of income, passports), ID verification, Digital Consent, Secure Payment (pci compliant payments), Shared Review.  More efficient and intuitive claims and renewal processes.  Can also collect info at FNOL.Fastest growing eSignature insurance solution</t>
  </si>
  <si>
    <t>eSignatures and Document Collection</t>
  </si>
  <si>
    <t xml:space="preserve">safelitesolutions.com.  Self service photo options, partnership with CCC to connect to DRP's and identify T/L.  FNOL across all lines of business and through all channels including mobile.  </t>
  </si>
  <si>
    <t>P &amp; C Claims, Finance</t>
  </si>
  <si>
    <t>Powers electronic payments for more than 6,000 organizations around the world. More than 1,000 of the largest financial institutions and intermediaries, as well as thousands of global merchants, rely on ACI to execute $14 trillion each day in payments and securities. In addition, myriad organizations utilize ACI’s electronic bill presentment and payment services. Through its comprehensive suite of software solutions delivered on customers’ premises or through ACI’s private cloud, ACI provides real time, immediate payments capabilities and enables an omnichannel payments experience.  digital claims notifications and disbursements, real time claims system integration, text message payments, and personalized marketing promotions.</t>
  </si>
  <si>
    <t>Built in collaboration with a council of insurers across the nation, CommercePayments™ PreferPay is a solution from Commerce Bank that can provide an insurance company a way to provide single and multi-party electronic claims payments while giving insureds and claimants faster access to their funds. PreferPay gives claimants access to claims payments with options like direct-to-debit card and direct deposit.  Once an adjuster issues a payment, your insureds or claimants are provided a secure,one-time-use PreferPay login to verify and access their funds. They can select how they want to be paid while customer data is securely housed at Commerce Bank.</t>
  </si>
  <si>
    <t>As a global leader in payments and financial technology, the company helps clients achieve best-in-class results through a commitment to innovation and excellence in areas such as account processing and digital banking solutions; card issuer processing and network services; payments; e-commerce; merchant acquiring and processing; and the Clover® cloud-based point-of-sale solution. Engagement Advantage offers an integrated approach to businesses’ billing and payment strategy by supporting the presentment and payment channels, methods, and services their customers want, along with the back office reconciliation process they need. This helps businesses accelerate the transition from paper to digital communications while driving faster collections and improving the customer experience.</t>
  </si>
  <si>
    <t>instant money company. Pay anyone anywhere for anything in an instant with real time secure funding.  Ingo Money’s full-service Disbursements Marketplace platform provides a range of disbursement services via lightweight technical integrations that feature payment choice.</t>
  </si>
  <si>
    <t>They empower insurers to deliver a digital premium and claims payment experience that customers expect — fast, flexible, and future-focused. digital claim payments platform enables real time data retrieval and facilitates faster responses and payment transactions through the use of a robust set of web services.  T/L leinholder payments, mortgagee payments, reporting and reconciliation</t>
  </si>
  <si>
    <t>P &amp; C Claims, Finance, Billing</t>
  </si>
  <si>
    <t>VPay equips insurers with configurable, next-generation digital solutions that streamline every aspect of the claims payment process.  VPay’s mobile expedited claim payment solution is a web-based solution that enables policyholder and multiparty claim payments from any device. Policyholders can quickly review their claim, approve service provider payments, or select a preferred payment type for receiving their own claim payment — all through a convenient mobile solution.</t>
  </si>
  <si>
    <t>One Inc provides insurance companies a digital payments platform designed to increase retention, decrease admin expenses, and mitigate data security risk — while simplifying compliance. Combining multichannel digital communications with electronic payment processing and disbursement, the One Inc digital payments platform creates a frictionless premium and claims payment experience. Multiple payment methods — Allow payees to select how they want to be paid. Pay via an instant digital payment ClaimsCard®; push to an existing debit card; direct deposit via ACH; or mail a physical check in the mail.
• Multiparty approvals and payments — Digitally obtain all required approvals and pay multiple parties on the same claim, reducing the cost and time it takes to close a claim.
• API integration — Integrate directly into your claims management system, saving time and simplifying adjuster onboarding by fitting naturally into their workflow.
• Two-factor authentication — Approvers and payees authenticate themselves by providing personal information as well as a code provided via phone or text,</t>
  </si>
  <si>
    <t>One Inc is the leader according to Celent</t>
  </si>
  <si>
    <t xml:space="preserve">One Inc
Commerce Bank
Avenger
Vpay
</t>
  </si>
  <si>
    <t>Leverage Enterprise Solution</t>
  </si>
  <si>
    <t>Bucket</t>
  </si>
  <si>
    <t>Client</t>
  </si>
  <si>
    <t>Geography</t>
  </si>
  <si>
    <t>Strategic/Named</t>
  </si>
  <si>
    <t>Client Exec</t>
  </si>
  <si>
    <t>CEO</t>
  </si>
  <si>
    <t>CFO</t>
  </si>
  <si>
    <t>CRO</t>
  </si>
  <si>
    <t>CCO</t>
  </si>
  <si>
    <t>COO</t>
  </si>
  <si>
    <t>CIO/CTO</t>
  </si>
  <si>
    <t>CUO</t>
  </si>
  <si>
    <t>GWP</t>
  </si>
  <si>
    <t>Growth %</t>
  </si>
  <si>
    <t>Combined Ratio (2019)</t>
  </si>
  <si>
    <t>Do they outsource today</t>
  </si>
  <si>
    <t>Competitors</t>
  </si>
  <si>
    <t>Renewal Date</t>
  </si>
  <si>
    <t>Drive Solutions across existing and new clients that leverages our combined strengths</t>
  </si>
  <si>
    <t>QBE</t>
  </si>
  <si>
    <t>Strategic</t>
  </si>
  <si>
    <t>Vilas</t>
  </si>
  <si>
    <t>C-N-A</t>
  </si>
  <si>
    <t>Drive more adoption of Analytics</t>
  </si>
  <si>
    <t>Liberty Mutual</t>
  </si>
  <si>
    <t>Zurich</t>
  </si>
  <si>
    <t>Hartford</t>
  </si>
  <si>
    <t>Hanover</t>
  </si>
  <si>
    <t>Accelerate decision making in existing new pursuits</t>
  </si>
  <si>
    <t>Allstate</t>
  </si>
  <si>
    <t>Amit Gaba</t>
  </si>
  <si>
    <t>Tom Wilson</t>
  </si>
  <si>
    <t>Mario Rizzo</t>
  </si>
  <si>
    <t>Mark Prindiville</t>
  </si>
  <si>
    <t>Eric Brandt</t>
  </si>
  <si>
    <t>Glenn Shapiro</t>
  </si>
  <si>
    <t>Suren Gupta</t>
  </si>
  <si>
    <t>$34.8B</t>
  </si>
  <si>
    <t>Genpact, Fractal</t>
  </si>
  <si>
    <t>MSA is perpetual</t>
  </si>
  <si>
    <t>Kemper</t>
  </si>
  <si>
    <t>Joe Lacher</t>
  </si>
  <si>
    <t>Jim McKinney</t>
  </si>
  <si>
    <t>Max Mindak</t>
  </si>
  <si>
    <t>Kim Leggette</t>
  </si>
  <si>
    <t>Duane Sanders</t>
  </si>
  <si>
    <t>Charles Brooks</t>
  </si>
  <si>
    <t>$4B</t>
  </si>
  <si>
    <t>30%+</t>
  </si>
  <si>
    <t>Accenture</t>
  </si>
  <si>
    <t>Key SOW renewal date Jan 1, 2021</t>
  </si>
  <si>
    <t>IAG</t>
  </si>
  <si>
    <t>Peter Harmer</t>
  </si>
  <si>
    <t>Nick Hawkins</t>
  </si>
  <si>
    <t>David Watts</t>
  </si>
  <si>
    <t>Neil Morgan</t>
  </si>
  <si>
    <t>12,135 ($m)</t>
  </si>
  <si>
    <t>Suncorp</t>
  </si>
  <si>
    <t xml:space="preserve">Steve Johnston </t>
  </si>
  <si>
    <t>Jeremy Robson</t>
  </si>
  <si>
    <t>Fiona Thompson</t>
  </si>
  <si>
    <t>Paul Smeaton (Insurance)</t>
  </si>
  <si>
    <t xml:space="preserve">Adam Bennett </t>
  </si>
  <si>
    <t>8119 ($m)</t>
  </si>
  <si>
    <t>WNS, Genpact, Cognizant</t>
  </si>
  <si>
    <t xml:space="preserve">Assurant </t>
  </si>
  <si>
    <t>Esure Insurance Holdings</t>
  </si>
  <si>
    <t>UK/Europe</t>
  </si>
  <si>
    <t>David McMillan</t>
  </si>
  <si>
    <t>Steve Long</t>
  </si>
  <si>
    <t>Darren Boland</t>
  </si>
  <si>
    <t>Graham Hughes</t>
  </si>
  <si>
    <t>David Pitt</t>
  </si>
  <si>
    <t>Graham Bolton</t>
  </si>
  <si>
    <t>Swiss Re</t>
  </si>
  <si>
    <t>Named</t>
  </si>
  <si>
    <t>Mohit</t>
  </si>
  <si>
    <t>J.Eric Smith</t>
  </si>
  <si>
    <t>Brian Rosenblum</t>
  </si>
  <si>
    <t>Stefanie Stratos</t>
  </si>
  <si>
    <t>Thomas Hyatte</t>
  </si>
  <si>
    <t>Rich Agar</t>
  </si>
  <si>
    <t>Prashanthi Roy /Pravina Ladva</t>
  </si>
  <si>
    <t>$42,228M</t>
  </si>
  <si>
    <t>CSC, Genpact, TCS</t>
  </si>
  <si>
    <t>2021 (They have multiple BPO, automation and analytics partner)</t>
  </si>
  <si>
    <t>Nationwide Insurance</t>
  </si>
  <si>
    <t>Kirt Walker</t>
  </si>
  <si>
    <t>Mark Thresher</t>
  </si>
  <si>
    <t>Klaus Diem</t>
  </si>
  <si>
    <t>Sandra Rich</t>
  </si>
  <si>
    <t>Mark Berven</t>
  </si>
  <si>
    <t>James Fowler</t>
  </si>
  <si>
    <t>$49.3B</t>
  </si>
  <si>
    <t>Cognizant, Genpact</t>
  </si>
  <si>
    <t>Mid 2021, 2022</t>
  </si>
  <si>
    <t>American Modern</t>
  </si>
  <si>
    <t>Sean</t>
  </si>
  <si>
    <t>Andreas Kleiner</t>
  </si>
  <si>
    <t>Rene Gobanya</t>
  </si>
  <si>
    <t>Trey Griffith</t>
  </si>
  <si>
    <t>Eric Hunzinger</t>
  </si>
  <si>
    <t>Paul Schneider</t>
  </si>
  <si>
    <t>Bill Gottsacker</t>
  </si>
  <si>
    <t>Kam Jha</t>
  </si>
  <si>
    <t>$2.5B</t>
  </si>
  <si>
    <t>Just signed with us</t>
  </si>
  <si>
    <t>Everest Insurance</t>
  </si>
  <si>
    <t>Mike Karmilowicz</t>
  </si>
  <si>
    <t>Dana Lodge</t>
  </si>
  <si>
    <t>Bill Thygeson, CAO</t>
  </si>
  <si>
    <t>Patricia Mcmahon</t>
  </si>
  <si>
    <t>Mike Mulray</t>
  </si>
  <si>
    <t>Owen Williams</t>
  </si>
  <si>
    <t>Open</t>
  </si>
  <si>
    <t>Axis</t>
  </si>
  <si>
    <t>Albert Benchimol</t>
  </si>
  <si>
    <t>Pete Vogt</t>
  </si>
  <si>
    <t>Ben Rubin</t>
  </si>
  <si>
    <t>Mike Baumel</t>
  </si>
  <si>
    <t>Rob Hartman</t>
  </si>
  <si>
    <t>Keith Schlosser</t>
  </si>
  <si>
    <t>Eric Gesick</t>
  </si>
  <si>
    <t>Genpact, Infy</t>
  </si>
  <si>
    <t>Acceleration of ramps / Deacceleration of ramp downs</t>
  </si>
  <si>
    <t>Aon</t>
  </si>
  <si>
    <t>Marsh</t>
  </si>
  <si>
    <t>Aviva</t>
  </si>
  <si>
    <t xml:space="preserve">Nick </t>
  </si>
  <si>
    <t>Amanda Blanc</t>
  </si>
  <si>
    <t>Mark Windsor</t>
  </si>
  <si>
    <t>Jan – Hendrik Erasmus</t>
  </si>
  <si>
    <t>Nick Amin</t>
  </si>
  <si>
    <t>£31.2bn</t>
  </si>
  <si>
    <t xml:space="preserve">WNS incumbent </t>
  </si>
  <si>
    <t>Competitive process running: EXL, Genpact, TCS, WNS - submission Sept, decision for BAFO with 2 suppliers end October</t>
  </si>
  <si>
    <t>Travelers</t>
  </si>
  <si>
    <t>Alan Schnitzer</t>
  </si>
  <si>
    <t>Dan Frey</t>
  </si>
  <si>
    <t>Bruce Jones</t>
  </si>
  <si>
    <t>Nicolas Seminara</t>
  </si>
  <si>
    <t>Mojgan Lefebvre</t>
  </si>
  <si>
    <t>Rick Schug</t>
  </si>
  <si>
    <t>$29B</t>
  </si>
  <si>
    <t>CTS, WNS, Genpact</t>
  </si>
  <si>
    <t>Great American</t>
  </si>
  <si>
    <t>Carl Lindnor, Craig Lindnor</t>
  </si>
  <si>
    <t>Jeff Consolino</t>
  </si>
  <si>
    <t>Gary Gruber</t>
  </si>
  <si>
    <t>Chad Stewart</t>
  </si>
  <si>
    <t>$13B</t>
  </si>
  <si>
    <t>Farmers</t>
  </si>
  <si>
    <t>Jeff Dailey</t>
  </si>
  <si>
    <t>Scott Lindquist</t>
  </si>
  <si>
    <t>Rob Howard</t>
  </si>
  <si>
    <t>Paul Wilson</t>
  </si>
  <si>
    <t>USAA</t>
  </si>
  <si>
    <t>American Family</t>
  </si>
  <si>
    <t>Munich Re</t>
  </si>
  <si>
    <t>Dave Brune</t>
  </si>
  <si>
    <t>Oliver J. Horbelt/Angela Homm</t>
  </si>
  <si>
    <t>Catherine Smith</t>
  </si>
  <si>
    <t>JannaLyn Allen</t>
  </si>
  <si>
    <t>Anita Kuchma</t>
  </si>
  <si>
    <t>Phil Roeper</t>
  </si>
  <si>
    <t>$60,433M</t>
  </si>
  <si>
    <t>Wipro,Capgemini</t>
  </si>
  <si>
    <t>Sep, 2022 (with Wipro) and 23rd July 2020 with Capgemini</t>
  </si>
  <si>
    <t>State Farm</t>
  </si>
  <si>
    <t>Bruce Hull</t>
  </si>
  <si>
    <t>Connie Storey</t>
  </si>
  <si>
    <t>Cathy Wallace</t>
  </si>
  <si>
    <t>Terrence Ludwig</t>
  </si>
  <si>
    <t>Cleo Villaflores</t>
  </si>
  <si>
    <t>Ashley Pettit</t>
  </si>
  <si>
    <t>$42,137M</t>
  </si>
  <si>
    <t>Wipro</t>
  </si>
  <si>
    <t>Mapfre</t>
  </si>
  <si>
    <t>Alexis Sanchez Geigel</t>
  </si>
  <si>
    <t>Francois Facon</t>
  </si>
  <si>
    <t>Dana Whiteley</t>
  </si>
  <si>
    <t>Christopher Matherly</t>
  </si>
  <si>
    <t>Scott Hammond</t>
  </si>
  <si>
    <t>Gregg Nickerson</t>
  </si>
  <si>
    <t>$6,398.6M</t>
  </si>
  <si>
    <t>State Farm Group</t>
  </si>
  <si>
    <t>Berkshire Hathaway Ins</t>
  </si>
  <si>
    <t>Progressive Ins Group</t>
  </si>
  <si>
    <t>Allstate Ins Group</t>
  </si>
  <si>
    <t>Liberty Mutual Ins Cos</t>
  </si>
  <si>
    <t>Travelers Group</t>
  </si>
  <si>
    <t>Auto Club Enterprises Ins Group</t>
  </si>
  <si>
    <t>CSAA Ins Group</t>
  </si>
  <si>
    <t>Kemper PC Companies</t>
  </si>
  <si>
    <t>MetLife Auto &amp; Home Group</t>
  </si>
  <si>
    <t>FM Global Group</t>
  </si>
  <si>
    <t>AXA U.S. Group</t>
  </si>
  <si>
    <t>Mercury Gen Group</t>
  </si>
  <si>
    <t>Markel Corp Group</t>
  </si>
  <si>
    <t>Arch Ins Group</t>
  </si>
  <si>
    <t>Old Republic Ins Group</t>
  </si>
  <si>
    <t>Selective Ins Group</t>
  </si>
  <si>
    <t>AmTrust Group</t>
  </si>
  <si>
    <t>Auto Club Group</t>
  </si>
  <si>
    <t>COUNTRY Financial PC Group</t>
  </si>
  <si>
    <t>Amica Mutual Group</t>
  </si>
  <si>
    <t>Sompo Hldgs US Group</t>
  </si>
  <si>
    <t>Sentry Ins Group</t>
  </si>
  <si>
    <t>AXIS US Operations</t>
  </si>
  <si>
    <t>State Ins Fund WC Fund</t>
  </si>
  <si>
    <t>MAPFRE North America Group</t>
  </si>
  <si>
    <t>Natl Gen Companies</t>
  </si>
  <si>
    <t>NJM Ins Group</t>
  </si>
  <si>
    <t>State Auto Ins Cos</t>
  </si>
  <si>
    <t>Westfield Group</t>
  </si>
  <si>
    <t>PartnerRe US Group</t>
  </si>
  <si>
    <t>AF Group</t>
  </si>
  <si>
    <t>Federated Mutual Group</t>
  </si>
  <si>
    <t>Acuity, A Mutual Ins Co</t>
  </si>
  <si>
    <t>Southern Farm Bureau Cas Group</t>
  </si>
  <si>
    <t>Farm Bureau P&amp;C Group</t>
  </si>
  <si>
    <t>TN Farmers Ins Cos</t>
  </si>
  <si>
    <t>Alfa Ins Group</t>
  </si>
  <si>
    <t>State Compensation Ins Fund</t>
  </si>
  <si>
    <t>Texas Farm Bureau Group</t>
  </si>
  <si>
    <t>Grange Ins Pool</t>
  </si>
  <si>
    <t>West Bend Mutual Ins Co</t>
  </si>
  <si>
    <t>TX Mutual Ins Co</t>
  </si>
  <si>
    <t>IAT Ins Group</t>
  </si>
  <si>
    <t>United Fire &amp; Cas Group</t>
  </si>
  <si>
    <t>Utica Natl Ins Group</t>
  </si>
  <si>
    <t>Mortgage Guar Group</t>
  </si>
  <si>
    <t>ICW Pool</t>
  </si>
  <si>
    <t>Radian Group</t>
  </si>
  <si>
    <t>CUMIS Ins Society Group</t>
  </si>
  <si>
    <t>Argo Group</t>
  </si>
  <si>
    <t>Donegal Ins Group</t>
  </si>
  <si>
    <t>NC Farm Bureau Ins Group</t>
  </si>
  <si>
    <t>ProSight Specialty Group</t>
  </si>
  <si>
    <t>Universal Ins Hldgs Group</t>
  </si>
  <si>
    <t>RLI Group</t>
  </si>
  <si>
    <t>Amerisure Cos</t>
  </si>
  <si>
    <t>FCCI Ins Group</t>
  </si>
  <si>
    <t>Safety Group</t>
  </si>
  <si>
    <t>Arbella Ins Group</t>
  </si>
  <si>
    <t>Church Mutual Ins Group</t>
  </si>
  <si>
    <t>Palisades Group</t>
  </si>
  <si>
    <t>Genworth PC Group</t>
  </si>
  <si>
    <t>Employers Ins Group</t>
  </si>
  <si>
    <t>RenaissanceRe US Group</t>
  </si>
  <si>
    <t>C-Level Designation</t>
  </si>
  <si>
    <t>Location</t>
  </si>
  <si>
    <t>Priority - Area</t>
  </si>
  <si>
    <t>Priority - Sub Area</t>
  </si>
  <si>
    <t>Known partnership with InsureTech</t>
  </si>
  <si>
    <t>Tokio Marina US PC Group</t>
  </si>
  <si>
    <t>2018 Rank</t>
  </si>
  <si>
    <t>2019 Rank</t>
  </si>
  <si>
    <t>Company/ Group</t>
  </si>
  <si>
    <t>% Change</t>
  </si>
  <si>
    <t xml:space="preserve">USAA Group   </t>
  </si>
  <si>
    <t xml:space="preserve">Nationwide Group   </t>
  </si>
  <si>
    <t xml:space="preserve">Hartford Ins Group  </t>
  </si>
  <si>
    <t xml:space="preserve">Auto-Owners Ins Group  </t>
  </si>
  <si>
    <t xml:space="preserve">Munich-Amer Hldg Corp Cos </t>
  </si>
  <si>
    <t xml:space="preserve">Alleghany Corp Group  </t>
  </si>
  <si>
    <t xml:space="preserve">Chubb INA Group  </t>
  </si>
  <si>
    <t xml:space="preserve">Amer Intl Group   </t>
  </si>
  <si>
    <t xml:space="preserve">Farmers Ins Group   </t>
  </si>
  <si>
    <t>Amer Family Ins Group</t>
  </si>
  <si>
    <t xml:space="preserve">Fairfax Financial (USA) Group </t>
  </si>
  <si>
    <t xml:space="preserve">Erle Ins Group   </t>
  </si>
  <si>
    <t xml:space="preserve">CNA Ins Cos  </t>
  </si>
  <si>
    <t xml:space="preserve">W. R. Berkley Ins Group </t>
  </si>
  <si>
    <t xml:space="preserve">Everest Re US Group </t>
  </si>
  <si>
    <t xml:space="preserve">Cincinnati Ins Cos  </t>
  </si>
  <si>
    <t>Great Amer P&amp;C Ins Group</t>
  </si>
  <si>
    <t>Hanover Ins Group Prop &amp; Cas Cos</t>
  </si>
  <si>
    <t>Allianz US PC Ins Companies</t>
  </si>
  <si>
    <t>Assurant US PC Companies</t>
  </si>
  <si>
    <t>Zurich Ins US PC Group</t>
  </si>
  <si>
    <t>QBE North America Ins Group</t>
  </si>
  <si>
    <t>Swiss Reins Group</t>
  </si>
  <si>
    <t>EMC lns Cos</t>
  </si>
  <si>
    <t>Shelter Ins cos</t>
  </si>
  <si>
    <t>SCOR US Group</t>
  </si>
  <si>
    <t>Amer Natl Prop &amp; Cas Group</t>
  </si>
  <si>
    <t>Intact US Ins Group</t>
  </si>
  <si>
    <t>Encova Mutual Ins Group</t>
  </si>
  <si>
    <t>KY Fann Bureau Group</t>
  </si>
  <si>
    <t>Aspen US Ins Group</t>
  </si>
  <si>
    <t>Doctors Co Ins Group</t>
  </si>
  <si>
    <t>NWP - 2019</t>
  </si>
  <si>
    <t>Michigan Farm Bureau PC Companies</t>
  </si>
  <si>
    <t>Penn Natl Ins Cos</t>
  </si>
  <si>
    <t>Western Natl Ins Group</t>
  </si>
  <si>
    <t>Central Ins Cos</t>
  </si>
  <si>
    <t>Frankenmuth Ins Group</t>
  </si>
  <si>
    <t>United Ins Group</t>
  </si>
  <si>
    <t>Horace Mann Ins Group</t>
  </si>
  <si>
    <t>ProAssurance Group</t>
  </si>
  <si>
    <t>Secura Ins Cos</t>
  </si>
  <si>
    <t>Andover Companies Pool</t>
  </si>
  <si>
    <t>Grinnell Mutual Group</t>
  </si>
  <si>
    <t>Citizens Property lns Corporation</t>
  </si>
  <si>
    <t>United Farm Bureau of Indiana Group</t>
  </si>
  <si>
    <t>Loya Ins Group</t>
  </si>
  <si>
    <t>CopperPoint Ins Group</t>
  </si>
  <si>
    <t>NYCM Ins Group</t>
  </si>
  <si>
    <t>FMH Ins Group</t>
  </si>
  <si>
    <t>Pinnacol Assur</t>
  </si>
  <si>
    <t>Pekin Ins Group</t>
  </si>
  <si>
    <t>Germania Mutual Group</t>
  </si>
  <si>
    <t>Essent Guar Group</t>
  </si>
  <si>
    <t>Ally Ins Group</t>
  </si>
  <si>
    <t>Wawanesa Gen Ins Co</t>
  </si>
  <si>
    <t>Plymouth Rock Cos</t>
  </si>
  <si>
    <t>AmeriTrust Group</t>
  </si>
  <si>
    <t>SAIF Corp</t>
  </si>
  <si>
    <t>Source:</t>
  </si>
  <si>
    <t>http://www.ambest.com/review/displaychart.aspx?Record_Code=274586</t>
  </si>
  <si>
    <t>Relationship Type</t>
  </si>
  <si>
    <t>American Modern Ins Group</t>
  </si>
  <si>
    <t>Combined Ratio - 2019</t>
  </si>
  <si>
    <t>Outsource</t>
  </si>
  <si>
    <t>EXL Competitors</t>
  </si>
  <si>
    <t>Genpact, Infosys</t>
  </si>
  <si>
    <t>Perpetual MSA</t>
  </si>
  <si>
    <t>InsureTech Partner 1</t>
  </si>
  <si>
    <t>InsureTech Partner 2</t>
  </si>
  <si>
    <t>InsureTech Partner 3</t>
  </si>
  <si>
    <t>InsureTech Partner 4</t>
  </si>
  <si>
    <t>InsureTech Partner 5</t>
  </si>
  <si>
    <t>TPA Partner 1</t>
  </si>
  <si>
    <t>TPA Partner 2</t>
  </si>
  <si>
    <t>TPA Partner 3</t>
  </si>
  <si>
    <t>TPA Partner 4</t>
  </si>
  <si>
    <t>TPA Partner 5</t>
  </si>
  <si>
    <t>C-Level Name</t>
  </si>
  <si>
    <t>CID</t>
  </si>
  <si>
    <t>Strong Top Line Performance</t>
  </si>
  <si>
    <t>Optimizing Operating Leverage</t>
  </si>
  <si>
    <t>Growing Investment Portfolio</t>
  </si>
  <si>
    <t>Extending our advantage in risk expertise</t>
  </si>
  <si>
    <t>Providing great experiences for our customers, agents and brokers and employees</t>
  </si>
  <si>
    <t>Optimizing our productivity and efficiency</t>
  </si>
  <si>
    <t>VOC</t>
  </si>
  <si>
    <t>VOC Translation</t>
  </si>
  <si>
    <t>EXL Solution</t>
  </si>
  <si>
    <t>PaaS</t>
  </si>
  <si>
    <t>DT-WC</t>
  </si>
  <si>
    <t>NB-PaaS</t>
  </si>
  <si>
    <t>E-E2E</t>
  </si>
  <si>
    <t>BIE</t>
  </si>
  <si>
    <t>Int-Col</t>
  </si>
  <si>
    <t>Audit-ATC</t>
  </si>
  <si>
    <t>PRA</t>
  </si>
  <si>
    <t>Fin-Auto</t>
  </si>
  <si>
    <t>TrRFF</t>
  </si>
  <si>
    <t>EXL - Solution</t>
  </si>
  <si>
    <t>A21:A31</t>
  </si>
  <si>
    <t>B21:B26</t>
  </si>
  <si>
    <t>C21:C24</t>
  </si>
  <si>
    <t>D21:D27</t>
  </si>
  <si>
    <t>E21:E23</t>
  </si>
  <si>
    <t>F21:F21</t>
  </si>
  <si>
    <t>G21:G23</t>
  </si>
  <si>
    <t>H21:H25</t>
  </si>
  <si>
    <t>I21:I23</t>
  </si>
  <si>
    <t>J21:J25</t>
  </si>
  <si>
    <t>K21:K21</t>
  </si>
  <si>
    <t>L21:L21</t>
  </si>
  <si>
    <t>DT_WC</t>
  </si>
  <si>
    <t>NB_PaaS</t>
  </si>
  <si>
    <t>E_E2E</t>
  </si>
  <si>
    <t>Int_Col</t>
  </si>
  <si>
    <t>Audit_ATC</t>
  </si>
  <si>
    <t>Fin_Auto</t>
  </si>
  <si>
    <t>VOC-Source</t>
  </si>
  <si>
    <t>Press Release</t>
  </si>
  <si>
    <t>Exec-Meet</t>
  </si>
  <si>
    <t>RM-Meet</t>
  </si>
  <si>
    <t>SOW/MSA</t>
  </si>
  <si>
    <t>Informal-Meet</t>
  </si>
  <si>
    <t>Sign Off - Next Steps</t>
  </si>
  <si>
    <t>Completed - SOW Signed</t>
  </si>
  <si>
    <t>Completed - SOW Pending</t>
  </si>
  <si>
    <t>POC Required</t>
  </si>
  <si>
    <t>Rejected</t>
  </si>
  <si>
    <t>Partner directly with InsureTech</t>
  </si>
  <si>
    <t>Life Cycle</t>
  </si>
  <si>
    <t>Due Diligence</t>
  </si>
  <si>
    <t>Planning</t>
  </si>
  <si>
    <t>Analysis</t>
  </si>
  <si>
    <t>Design</t>
  </si>
  <si>
    <t>Implementation</t>
  </si>
  <si>
    <t>Testing &amp; Integration</t>
  </si>
  <si>
    <t>Maintenance</t>
  </si>
  <si>
    <t>Solution Life Cycle</t>
  </si>
  <si>
    <t>Not Initiated</t>
  </si>
  <si>
    <t>Opportunity</t>
  </si>
  <si>
    <t>NWP Range</t>
  </si>
  <si>
    <t>Above $50B</t>
  </si>
  <si>
    <t>$50B - $B</t>
  </si>
  <si>
    <t>$B - $500M</t>
  </si>
  <si>
    <t>$500M - $M</t>
  </si>
  <si>
    <t>Below $M</t>
  </si>
  <si>
    <t>NWP-Range</t>
  </si>
  <si>
    <t>Ranking Range</t>
  </si>
  <si>
    <t>Row Labels</t>
  </si>
  <si>
    <t>Grand Total</t>
  </si>
  <si>
    <t>ITP1</t>
  </si>
  <si>
    <t>ITP2</t>
  </si>
  <si>
    <t>ITP3</t>
  </si>
  <si>
    <t>Shortlisting Clients</t>
  </si>
  <si>
    <t>Summary of VOC to EXL Solution</t>
  </si>
  <si>
    <t>Transactional Servicing Features</t>
  </si>
  <si>
    <t xml:space="preserve">Analytics Insights and Reporting </t>
  </si>
  <si>
    <t>End to End Endorsement Processing</t>
  </si>
  <si>
    <t>Analytics Led Risk Prioritization &amp; Forecasting</t>
  </si>
  <si>
    <t>EXL Capability Scale</t>
  </si>
  <si>
    <t>Solutions-ID</t>
  </si>
  <si>
    <t>Column Labels</t>
  </si>
  <si>
    <t>Capability - Gap Analysis</t>
  </si>
  <si>
    <t>EXL Client</t>
  </si>
  <si>
    <t>2020-Rev Budget</t>
  </si>
  <si>
    <t>EXL's Share of Wallet</t>
  </si>
  <si>
    <t>Competition Account</t>
  </si>
  <si>
    <t>Competition's Share of Wallet</t>
  </si>
  <si>
    <t>S No</t>
  </si>
  <si>
    <t>GROUP NAME</t>
  </si>
  <si>
    <t>Strategic / Named</t>
  </si>
  <si>
    <t>EXL Contact</t>
  </si>
  <si>
    <t>Service Provider</t>
  </si>
  <si>
    <t>Contract Renewal</t>
  </si>
  <si>
    <t>F&amp;A</t>
  </si>
  <si>
    <t>FTEs</t>
  </si>
  <si>
    <t>Comments (Processes etc.)</t>
  </si>
  <si>
    <t>Existing EXL Client</t>
  </si>
  <si>
    <t>&lt; 6 Months</t>
  </si>
  <si>
    <t>Hanover Insurance Group Inc.</t>
  </si>
  <si>
    <t>Public</t>
  </si>
  <si>
    <t>Corvel</t>
  </si>
  <si>
    <t>Medical Bill Review (WC Claims) - now being rolled off</t>
  </si>
  <si>
    <t>1 Year</t>
  </si>
  <si>
    <t>Mutual</t>
  </si>
  <si>
    <t>CTS</t>
  </si>
  <si>
    <t xml:space="preserve">Clinical Operations - Bill review and Utilization review </t>
  </si>
  <si>
    <t>2 Year</t>
  </si>
  <si>
    <t>Policy Admin - Endorsement, Policy Servicing , underwriting</t>
  </si>
  <si>
    <t>3 Year</t>
  </si>
  <si>
    <t>Travelers Companies Inc.</t>
  </si>
  <si>
    <t>Named Backup</t>
  </si>
  <si>
    <t>Personal Insurance, Commercial Insurnace - From new business to claims settlement</t>
  </si>
  <si>
    <t>Bill Review and Utilization Review</t>
  </si>
  <si>
    <t xml:space="preserve">Policy Admin- Endorsement, Policy Servicing , underwriting </t>
  </si>
  <si>
    <t>Group Benefit Claims</t>
  </si>
  <si>
    <t xml:space="preserve">Contact Center - Direct billing, Agency calls, provider call, 3rd party calls, financial calls </t>
  </si>
  <si>
    <t>One Call Care Management (OCCM)</t>
  </si>
  <si>
    <t>Client is a mediator between various healthcare providers, patient and Insurance company. They manage end to end work right from Intake to invoice processing. Intake, AP, AR, Customer Service</t>
  </si>
  <si>
    <t xml:space="preserve">Provider credentialling, Claim packaging, Transprt and language, Medical equipment </t>
  </si>
  <si>
    <t>Nationwide Mutual Group</t>
  </si>
  <si>
    <t>American International Group</t>
  </si>
  <si>
    <t>Policy Admin, Policy Maintenance, AP, AR (minus collection)</t>
  </si>
  <si>
    <t>Hartford Financial Services</t>
  </si>
  <si>
    <t>They manage end to end work right from new business to claims settlement</t>
  </si>
  <si>
    <t>Group Benefit claim</t>
  </si>
  <si>
    <t xml:space="preserve">Consumer EDM </t>
  </si>
  <si>
    <t>FinOps</t>
  </si>
  <si>
    <t>Zurich Insurance Group</t>
  </si>
  <si>
    <t>Medical Bill Review - Medwise</t>
  </si>
  <si>
    <t>System Integrator for Guidewire and RPA service provider</t>
  </si>
  <si>
    <t>Utica National Insurance Group</t>
  </si>
  <si>
    <t>Private/Mutual</t>
  </si>
  <si>
    <t>TRYG (Nordics)</t>
  </si>
  <si>
    <t>Optum</t>
  </si>
  <si>
    <t>Zurich NA</t>
  </si>
  <si>
    <t>Nationwide</t>
  </si>
  <si>
    <t>Mitchell Insurance</t>
  </si>
  <si>
    <t>CCC Information Services</t>
  </si>
  <si>
    <t>Allstate Corp.</t>
  </si>
  <si>
    <t>RSA Group UK</t>
  </si>
  <si>
    <t>BUPA UK</t>
  </si>
  <si>
    <t>Aspen</t>
  </si>
  <si>
    <t>Policy Maintenance</t>
  </si>
  <si>
    <t>Invoicing</t>
  </si>
  <si>
    <t>Swiss Re Ltd.</t>
  </si>
  <si>
    <t>Undewritng Support Policy Admin</t>
  </si>
  <si>
    <t>Genworth Financial Inc.</t>
  </si>
  <si>
    <t>Underwriting Support POlicy Admin</t>
  </si>
  <si>
    <t>AON</t>
  </si>
  <si>
    <t>Underwriting Support CSU</t>
  </si>
  <si>
    <t>Underwriting Support Invoicing</t>
  </si>
  <si>
    <t>Underwriting Support DPU</t>
  </si>
  <si>
    <t>Underwriting Support Policy Admin</t>
  </si>
  <si>
    <t>AON (Netherlands)</t>
  </si>
  <si>
    <t>https://www.genpact.com/about-us/media/press-releases/2019-root-insurance-partners-with-genpact-to-transform-the-auto-insurance-industry</t>
  </si>
  <si>
    <t>Insurity</t>
  </si>
  <si>
    <t>Insurity Platform for UW processes</t>
  </si>
  <si>
    <t>Medata</t>
  </si>
  <si>
    <t>Medical Bill Review (WC Claims)</t>
  </si>
  <si>
    <t>NTT</t>
  </si>
  <si>
    <t>Technology Infra and Maintenance</t>
  </si>
  <si>
    <t>Hiscox US</t>
  </si>
  <si>
    <t>Sutherland</t>
  </si>
  <si>
    <t>New System Integrator for insurity to be announced</t>
  </si>
  <si>
    <t>State Farm Mutual Automobile Ins.</t>
  </si>
  <si>
    <t>Progressive Corp.</t>
  </si>
  <si>
    <t>Cognizant (F&amp;A - Collections),
TCS (Analytics - Data / IT)</t>
  </si>
  <si>
    <t xml:space="preserve">EXL does Billing, Premium Adjustement and Collections. Collections process for us is on contingency (not FTE based), AIG has its own captive for domain BPO and analytics. TCS does work on the Technical side of Analytics (from the IT side) </t>
  </si>
  <si>
    <t>AXA</t>
  </si>
  <si>
    <t>ING Group</t>
  </si>
  <si>
    <t>Tryg</t>
  </si>
  <si>
    <t>Hiscox UK (5 FTE’s)</t>
  </si>
  <si>
    <t>AmTrust Financial Services</t>
  </si>
  <si>
    <t>QBE Insurance Group Ltd.</t>
  </si>
  <si>
    <t>BPO / Analytics - $40 MM TCV</t>
  </si>
  <si>
    <t>IAG NZ</t>
  </si>
  <si>
    <t>Rating (Broker Business), Policy Servicing</t>
  </si>
  <si>
    <t>Payments &amp; closure, Claims Lodgement(FNOL), Filing, Recoveries</t>
  </si>
  <si>
    <t>Bank Insurance Rating</t>
  </si>
  <si>
    <t>IAH Australia</t>
  </si>
  <si>
    <t>Rating, Policy Servicing</t>
  </si>
  <si>
    <t>MARSH Broker</t>
  </si>
  <si>
    <t>Sun Corp</t>
  </si>
  <si>
    <t>$640 MM TCV BPO Insurance Services
Other ITO (Hosting, Email, Security, Disaster Recovery), F&amp;A, Insurance Services, Analytics,</t>
  </si>
  <si>
    <t>Canopious</t>
  </si>
  <si>
    <t>Carrier</t>
  </si>
  <si>
    <t>HUB International Ltd.</t>
  </si>
  <si>
    <t>Lockton Companies</t>
  </si>
  <si>
    <t>USI Insurance Services</t>
  </si>
  <si>
    <t>Alliant Insurance Services Inc.</t>
  </si>
  <si>
    <t>AssuredPartners Inc.</t>
  </si>
  <si>
    <t>Acrisure LLC</t>
  </si>
  <si>
    <t>BroadStreet Partners Inc.</t>
  </si>
  <si>
    <t>Confie</t>
  </si>
  <si>
    <t>EPIC</t>
  </si>
  <si>
    <t>NFP</t>
  </si>
  <si>
    <t>Risk Strategies</t>
  </si>
  <si>
    <t>Leavitt Group</t>
  </si>
  <si>
    <t>Insurance Office of America Inc.</t>
  </si>
  <si>
    <t>IMA Financial Group Inc.</t>
  </si>
  <si>
    <t>Higginbotham</t>
  </si>
  <si>
    <t>Cross Insurance</t>
  </si>
  <si>
    <t>PayneWest Insurance Inc.</t>
  </si>
  <si>
    <t>Woodruff Sawyer</t>
  </si>
  <si>
    <t>Heffernan Insurance Brokers</t>
  </si>
  <si>
    <t>Hylant</t>
  </si>
  <si>
    <t>Hilb Group</t>
  </si>
  <si>
    <t>AIS Insurance*</t>
  </si>
  <si>
    <t>INSURICA Inc.</t>
  </si>
  <si>
    <t>Prime Risk Partners Inc.</t>
  </si>
  <si>
    <t>Alera Group</t>
  </si>
  <si>
    <t>TWFG Insurance Services</t>
  </si>
  <si>
    <t>Assurance</t>
  </si>
  <si>
    <t>Propel Insurance</t>
  </si>
  <si>
    <t>UniVista Insurance</t>
  </si>
  <si>
    <t>Marshall &amp; Sterling Enterprises Inc.</t>
  </si>
  <si>
    <t>Baldwin Risk Partners</t>
  </si>
  <si>
    <t>TrueNorth</t>
  </si>
  <si>
    <t>Lawley Insurance</t>
  </si>
  <si>
    <t>Starkweather &amp; Shepley Insurance Brokerage Inc.</t>
  </si>
  <si>
    <t>Professional Insurance Associates</t>
  </si>
  <si>
    <t>Graham Company</t>
  </si>
  <si>
    <t>Relation Insurance Inc.</t>
  </si>
  <si>
    <t>The Horton Group Inc.</t>
  </si>
  <si>
    <t>Houchens Insurance Group Inc.</t>
  </si>
  <si>
    <t>Shepherd Insurance</t>
  </si>
  <si>
    <t>Bowen, Miclette &amp; Britt Insurance Agency LLC</t>
  </si>
  <si>
    <t>Sunstar Insurance Group</t>
  </si>
  <si>
    <t>LMC Insurance &amp; Risk Management Inc.</t>
  </si>
  <si>
    <t>Parker, Smith &amp; Feek Inc.</t>
  </si>
  <si>
    <t>Scott Insurance (James A. Scott and Son Inc.)</t>
  </si>
  <si>
    <t>Ansay &amp; Associates</t>
  </si>
  <si>
    <t>Gowrie Group</t>
  </si>
  <si>
    <t>ABD Insurance and Financial Services</t>
  </si>
  <si>
    <t>The Mahoney Group</t>
  </si>
  <si>
    <t>Rose &amp; Kiernan Inc.</t>
  </si>
  <si>
    <t>Premier Group Insurance</t>
  </si>
  <si>
    <t>Charles L. Crane Agency</t>
  </si>
  <si>
    <t>Robertson Ryan &amp; Associates</t>
  </si>
  <si>
    <t>Rich &amp; Cartmill Inc.</t>
  </si>
  <si>
    <t>Andreini &amp; Company</t>
  </si>
  <si>
    <t>PCF Insurance Services LLC</t>
  </si>
  <si>
    <t>Haylor, Freyer &amp; Coon Inc.</t>
  </si>
  <si>
    <t>James G Parker Insurance Associates</t>
  </si>
  <si>
    <t>Bolton &amp; Company</t>
  </si>
  <si>
    <t>Sterling Seacrest Partners Inc.</t>
  </si>
  <si>
    <t>HNI</t>
  </si>
  <si>
    <t>TIS Insurance Sevices Inc.</t>
  </si>
  <si>
    <t>HomeServices Insurance</t>
  </si>
  <si>
    <t>Moreton &amp; Company</t>
  </si>
  <si>
    <t>Wood Gutmann &amp; Bogart Insurance Brokers</t>
  </si>
  <si>
    <t>TRICOR</t>
  </si>
  <si>
    <t>Turner Surety &amp; Insurance Brokerage (TSIB)</t>
  </si>
  <si>
    <t>World Insurance Associates LLC</t>
  </si>
  <si>
    <t>The Buckner Company Inc.</t>
  </si>
  <si>
    <t>R&amp;R Insurance Services</t>
  </si>
  <si>
    <t>Rogers &amp; Gray Insurance</t>
  </si>
  <si>
    <t>Insgroup Inc.</t>
  </si>
  <si>
    <t>AHT Insurance</t>
  </si>
  <si>
    <t>SullivanCurtisMonroe Insurance Services LLC</t>
  </si>
  <si>
    <t>Sihle Insurance Group Inc.</t>
  </si>
  <si>
    <t>Cobbs Allen</t>
  </si>
  <si>
    <t>JGS Insurance</t>
  </si>
  <si>
    <t>Atlas Insurance Brokers LLC</t>
  </si>
  <si>
    <t>Crest Insurance Group LLC</t>
  </si>
  <si>
    <t>John M Glover Agency</t>
  </si>
  <si>
    <t>Christensen Group</t>
  </si>
  <si>
    <t>Foa &amp; Son Corporation</t>
  </si>
  <si>
    <t>Swingle Collins &amp; Associates</t>
  </si>
  <si>
    <t>Atlas Insurance Agency</t>
  </si>
  <si>
    <t>The Daniel and Henry Company</t>
  </si>
  <si>
    <t>L/P Insurance Services</t>
  </si>
  <si>
    <t>Murray Securus</t>
  </si>
  <si>
    <t>Associated Insurance Management LLC</t>
  </si>
  <si>
    <t>Lipscomb &amp; Pitts Insurance</t>
  </si>
  <si>
    <t>MJ Insurance Inc.</t>
  </si>
  <si>
    <t>Eastern Insurance Group LLC</t>
  </si>
  <si>
    <t>Westwood Insurance Agency</t>
  </si>
  <si>
    <t>Towne Insurance</t>
  </si>
  <si>
    <t>Huntington Insurance</t>
  </si>
  <si>
    <t>Fisher Brown Bottrell Insurance Inc.</t>
  </si>
  <si>
    <t>People’s United Insurance Agency Inc.</t>
  </si>
  <si>
    <t>Associated Benefits and Risk Consulting</t>
  </si>
  <si>
    <t>Frost Insurance</t>
  </si>
  <si>
    <t>M&amp;T Insurance Agency Inc.</t>
  </si>
  <si>
    <t>Tompkins Insurance Agencies Inc.</t>
  </si>
  <si>
    <t>new</t>
  </si>
  <si>
    <t>https://www.insurancejournal.com/top-100-insurance-agencies/</t>
  </si>
  <si>
    <t>Home</t>
  </si>
  <si>
    <t>Works with Competition and not with EXL</t>
  </si>
  <si>
    <t>Parameter</t>
  </si>
  <si>
    <t>Client Priority Rating</t>
  </si>
  <si>
    <t>CTS, Genpact</t>
  </si>
  <si>
    <t>Inputs - Vishal Gupta</t>
  </si>
  <si>
    <t>Inputs - CE</t>
  </si>
  <si>
    <t>Relationship Maturity (Yrs)</t>
  </si>
  <si>
    <t>Applicable Function</t>
  </si>
  <si>
    <t>Inception Year</t>
  </si>
  <si>
    <t>No of solutions that it aplies to</t>
  </si>
  <si>
    <t>Claims Payment, AP</t>
  </si>
  <si>
    <t>Payment Platform</t>
  </si>
  <si>
    <t>Not Evaluated</t>
  </si>
  <si>
    <t>acko (India)</t>
  </si>
  <si>
    <t>All (WC, Auto, Property)</t>
  </si>
  <si>
    <r>
      <rPr>
        <strike/>
        <sz val="10"/>
        <rFont val="Arial"/>
        <family val="2"/>
      </rPr>
      <t>BlockClaim</t>
    </r>
    <r>
      <rPr>
        <sz val="10"/>
        <rFont val="Arial"/>
        <family val="2"/>
      </rPr>
      <t xml:space="preserve"> (Sprout.ai)</t>
    </r>
  </si>
  <si>
    <t>Claims Triage, Fraud Analytics</t>
  </si>
  <si>
    <t>Advanced Analytics</t>
  </si>
  <si>
    <t>Underwriting, Acquisition, Broker Management</t>
  </si>
  <si>
    <t>Digital Exchange</t>
  </si>
  <si>
    <t>Policy Admin System</t>
  </si>
  <si>
    <t xml:space="preserve">P &amp; C Claims </t>
  </si>
  <si>
    <t>Fraud Analytics</t>
  </si>
  <si>
    <t>Clara Analytics builds product platforms to  Improve Claims Outcomes in Commercial Insurance Through Easy-to-Use AI. The products they service are:
Claims:  
- Help mitigate escalating claim costs
- Identify claims that are at risk and resolve them effectively
Litigation:
- CLARA litigation uses AI insights to detect litigation risk, manage attorney performance, and resolve claims effectively. additional capabilities - litigation avoidance, panel management, settlement alerts 
Providers:
- AI powered growing network that helps in quickly identifying the best doctor for every claim/ client
Medicare Set Aside (MSA):
CLARA analytics is set to revolutionize the MSA practice by providing services faster, and at vastly reduced costs, including unlimited updates and CMS submission. Their MSA solution alleviates the hassle, enabling adjusters to generate MSAs at any time via the online solution. In addition, CLARA’s MSA solution is offered as an integrated feature of CLARA claims, meaning payers will be able to access all claim recommendation features within CLARA claims, as well.</t>
  </si>
  <si>
    <t>Claims Processing, Fraud Analytics, Claims Medical Management, Claims Litigation Management</t>
  </si>
  <si>
    <t>All (Workers' Comp/GL/Auto)</t>
  </si>
  <si>
    <r>
      <t>Quest, accesses and interprets wide-ranging datasets, combining them with historical claims information to reveal the behaviors that correlate to claims. The results enable insurers and brokers to more accurately quantify risk; reduce losses and boost profits. Quest also makes new, powerful and differentiated product propositions a reality. (T</t>
    </r>
    <r>
      <rPr>
        <i/>
        <sz val="10"/>
        <rFont val="Arial"/>
        <family val="2"/>
      </rPr>
      <t>hrough our analytics work with leading London and Global insurers, we have proven that behavioral data is a better indicator of risk than traditional demographics. With every customer, we’ve delivered insights and new rating factors that simply did not exist before allowing increased profits, the ability to write more business with or without claims history, and reduced administration costs</t>
    </r>
    <r>
      <rPr>
        <sz val="10"/>
        <rFont val="Arial"/>
        <family val="2"/>
      </rPr>
      <t>.)</t>
    </r>
  </si>
  <si>
    <t>Cove (New Zealand)</t>
  </si>
  <si>
    <t>Broadspire is an Insurance company that specializes in providing customized, integrated claims solutions to corporations, brokers, insurers and Lyods Market
Suite of Services: Loss Adjusting, 3rd Party Administration, Managed Repair, Medical Management, On-Demand Services, CAT Responses, Mobile Self Service</t>
  </si>
  <si>
    <t>All (Auto, Property, WC, Disability Leave, Cyber Risk, Accident &amp; Health, Forensic Accounting. Casualty/ Liability, Construction, Hospitality, Transportation)</t>
  </si>
  <si>
    <t>DataCubes
(Now Convr)</t>
  </si>
  <si>
    <t>digit (India)</t>
  </si>
  <si>
    <t>EK Health
(Woman owned business.  Need to find out if service all 50 dates.  Specialize in CA.)</t>
  </si>
  <si>
    <t>All (Auto Liab, WC, GL, PL)</t>
  </si>
  <si>
    <t>Risk Assessment, Claims FNOL, Claims Processing</t>
  </si>
  <si>
    <t>Gallagher Bassett
(Everest Group (Skand) published a 2020 State of the TPA industry report.  Must be purchased to review. ($5000) )</t>
  </si>
  <si>
    <t xml:space="preserve">Premier multiline claim services provider.  Services:
'-PC 365 is their Managed Care Platform.  During COVID, they are referring 20% of cases to ta telephysician at point of injury for injured workers based on medically appropraite triage criteria.  
-They have telephysican networks in 47/50 states.  
-THey have Telerehab partnerships (PT, chiro ) with major WC service providers.  
-They also have a Hotline and telemedicine capability.  
-They provide Nurse Case Mgmt services also.  
-THey also have an analytics platform (LUMINOS) and a 
-Mobile app (GBGO) to help injured workers berter manage their cliams and get in touch with the GB Resolution Managers (adjusters). It provides pesonalized mesages, notifications, reminders; it allows EE and employer to view benefit payment history, track MD appts, access digital version of the Medical Cards and RX cards.   
-ClaimZoneReporting seamlessly sends claims to your distribution list and claim systems.  
GBGO firstconnect lets clients report losses and check status of claims.  Supports the 4 major lines of business (WC, GL, Auto, Prop).  Faster data entry through SMART forms, attach photos and videos from accident site, get immediate notification of successful loss submission - mobile and tablet enabled
-Waypoint is a decsion support tool which takes structured and unstructured data and provides decision routes/paths for adjusters
-Rx Profile is a tool for identifying claimants at risk of becoming narcotics addicted and thos efalling outside of safe guidliens .  
-TQI (Treatment Quality Index) uses the power of evidence based medicine (EBM) to get hte best outcomes for patients.  .  it is reported as a percentage, measured against th EBM guidelines proved in peer reviewed clinical studies.  Higher score = better outcomes. </t>
  </si>
  <si>
    <t>All (WC, GL, Auto Liab, Professional Liability, Medical Malpractice, Property)</t>
  </si>
  <si>
    <t>Goji
(UK Company)</t>
  </si>
  <si>
    <t>Claim Processing, Risk Assessment</t>
  </si>
  <si>
    <t>handdii
(Australian Company)</t>
  </si>
  <si>
    <t>Claims Payment, AP, AR</t>
  </si>
  <si>
    <t xml:space="preserve">Mitchell International delviered smart technology solutions that simplify and acclerate claims handling, repair process and pharmacy transactions.  
Collision Repair &amp; Auto Body Shop Software Solutions - shop esimtaing, mgmt and workflow, estimating software, repair networks, DRP solutions, Auto Glass, 
Physical Damage Clms Mgmt - Mitchell Work Center - open, E2E modular solution:  streamline assignment and claim routing, produce accurate estimates, T/L valuations, Photo Estimating, 
PIP - Review Medical Bills, Access Auto Networks, Process Bills.  DecisionPoint is the Medical Bill Review Platform.  Also do 2nd level code and nurse review
3rd Party Casualty - Mitchell ClaimIQ - Injury and Assessment Software to assess liability and evaluate general damages
WC - Compliance Connection website to inform of regulatory changes, Regulatory Reporting Solution, SmartAdvisor Medical Bill Review Platform, AuditPro helps payors identify erros and abuses on medical bills, UM/UR, Physician Advisor Services, Nurse Case Management, IME's, RX intervention.
Through Genex - Field Case Management, Telephonic Case Management, CAT Case Mgmt, UM/UR, Provider Care Networks, Cost containment programs in WC
</t>
  </si>
  <si>
    <t>All (Auto, PIP, Liability, WC)</t>
  </si>
  <si>
    <t>Begun as a regional claims administrator founded in 1969, Sedgwick has grown into a leading global provider of technology-enabled risk, benefits and integrated business solutions with nearly 27,000 colleagues, located across 65 countries.
Global Solutions : Auto/motor liability, Catastrophe response, Claims administration, Employers’ liability, Engineering, fire + environmental services, General liability, Loss adjusting, Major + complex loss, Marine, Product liability + recall and Technology solutions
Emerging global solutions : Absence management + tracking, Building consulting, Customized client apps, Cyber + technology liability, Global claim intake portal, Repair, restoration + mitigation, Workplace injury management
Industry specialties : Aviation, Construction, Education, Energy, Engineering, Environmental, Fine art + private clients, Healthcare, Hospitality, Lloyd's of London market, Manufacturing, Marine, Mining, Power, Public entity, Real estate, Retail + distribution, Technology, Transportation</t>
  </si>
  <si>
    <t>All (WC, liability, property, disability, casualty, marine, integrated technology)</t>
  </si>
  <si>
    <t xml:space="preserve">Product Management, </t>
  </si>
  <si>
    <t>All (Workers Compensation, Disability, Auto Casualty)</t>
  </si>
  <si>
    <t>Sygnif.ai extracts and delivers contextual business insurance data with complex data structures and tags them.
Symplif.ai automates claim processing by extracting bill information from scans and records.  References Healthcare</t>
  </si>
  <si>
    <t xml:space="preserve">Summary of InsureTech/TPA Preliminary Analysis </t>
  </si>
  <si>
    <t>- 41 InsureTech/TPAs have been rated as Medium/High purely based on their applicability to a solution</t>
  </si>
  <si>
    <r>
      <t xml:space="preserve">- Preliminary assessment taken as to whether EXL could/should potentially Buy/Partner or Build the Solution component .Of the </t>
    </r>
    <r>
      <rPr>
        <b/>
        <sz val="10"/>
        <color theme="1"/>
        <rFont val="Arial"/>
        <family val="2"/>
      </rPr>
      <t>39 solution components</t>
    </r>
    <r>
      <rPr>
        <sz val="10"/>
        <color theme="1"/>
        <rFont val="Arial"/>
        <family val="2"/>
      </rPr>
      <t xml:space="preserve">, we have the capability to build </t>
    </r>
    <r>
      <rPr>
        <b/>
        <sz val="10"/>
        <color theme="1"/>
        <rFont val="Arial"/>
        <family val="2"/>
      </rPr>
      <t>18 solutions in-house</t>
    </r>
    <r>
      <rPr>
        <sz val="10"/>
        <color theme="1"/>
        <rFont val="Arial"/>
        <family val="2"/>
      </rPr>
      <t xml:space="preserve">, </t>
    </r>
    <r>
      <rPr>
        <b/>
        <sz val="10"/>
        <color theme="1"/>
        <rFont val="Arial"/>
        <family val="2"/>
      </rPr>
      <t xml:space="preserve">partnering for 16 </t>
    </r>
    <r>
      <rPr>
        <sz val="10"/>
        <color theme="1"/>
        <rFont val="Arial"/>
        <family val="2"/>
      </rPr>
      <t>components and</t>
    </r>
    <r>
      <rPr>
        <b/>
        <sz val="10"/>
        <color theme="1"/>
        <rFont val="Arial"/>
        <family val="2"/>
      </rPr>
      <t xml:space="preserve"> build or partner</t>
    </r>
    <r>
      <rPr>
        <sz val="10"/>
        <color theme="1"/>
        <rFont val="Arial"/>
        <family val="2"/>
      </rPr>
      <t xml:space="preserve"> for 5</t>
    </r>
  </si>
  <si>
    <t>Table A : Summary of Service Providers that best fit our solutions</t>
  </si>
  <si>
    <t>Evaluation Criteria</t>
  </si>
  <si>
    <t>Supplier Applicability</t>
  </si>
  <si>
    <t xml:space="preserve">Solution 1
FNOL
</t>
  </si>
  <si>
    <t xml:space="preserve">Market
Line of Business
Functional Capability
Applies to Solution
</t>
  </si>
  <si>
    <t>Gradient/NetClaim
Crawford/Broadspire
Actec
AnsaFone
Lightico
Safelite
KORE
Gallagher Bassett
Omni.us
Shift Technology</t>
  </si>
  <si>
    <t>KORE:  Digital Assistant</t>
  </si>
  <si>
    <t>Omni.US</t>
  </si>
  <si>
    <t>Omni.us - content extraction and decision support</t>
  </si>
  <si>
    <t>Gradient/
NetClaim
KORE</t>
  </si>
  <si>
    <t>Safelite
Actec
AnsaFone</t>
  </si>
  <si>
    <t>Gradient/
NetClaim
Shift Technology</t>
  </si>
  <si>
    <t>AWS</t>
  </si>
  <si>
    <t>Verint</t>
  </si>
  <si>
    <t xml:space="preserve">Solution 2
Payment As a Service
</t>
  </si>
  <si>
    <t>Payment Services from Celent Payment As a Service paper</t>
  </si>
  <si>
    <t xml:space="preserve">Solution 3
Digitally Transforming Worker's Compensation Claims while Optimizing Medical Management  
</t>
  </si>
  <si>
    <t>Market, LOB, Functional Capability</t>
  </si>
  <si>
    <t>American Well - telemedicine
Clara
Gallagher Bassett
ESIS
EK Health
Strataware
Mitchell</t>
  </si>
  <si>
    <t>American Well:  telemedicine</t>
  </si>
  <si>
    <t>`</t>
  </si>
  <si>
    <t xml:space="preserve">Lack of MBR platform with PPO networks, RX programs, benchmarks </t>
  </si>
  <si>
    <t>Clara:  Claim Analytics</t>
  </si>
  <si>
    <t>Solution 4 New Business Processing-as-a-Service</t>
  </si>
  <si>
    <t>Zesty AI
Hyperscience
Quantemplate
concirrus
TensorFlight
Flyreel
Groundspeed
Chisel.ai
Sumyag Data Sciences
RiskAPP
KORE
Bold Penguin
Lightico</t>
  </si>
  <si>
    <t>Hyperscience
Quantemplate
Concirrus
TensorFlight
Flyreel
Groundspeed
Chisel.ai
Sumyag Data Sciences
KORE
Bold Penguin
Lightico</t>
  </si>
  <si>
    <t>1. While EXL has a deep analytics expertise but there are no ready to deploy solutions for submission prioritization, risk assessment and selection etc.</t>
  </si>
  <si>
    <t>RiskAPP
Concirrus
Flyreel</t>
  </si>
  <si>
    <t xml:space="preserve">Solution 5 Endorsements End to End Solution
</t>
  </si>
  <si>
    <t xml:space="preserve">AI/NLP/NLU based data Extraction
</t>
  </si>
  <si>
    <t>Hyperscience
Flyreel
Chisel.ai
Sumyag Data Sciences
KORE
Lightico
RiskAPP</t>
  </si>
  <si>
    <t xml:space="preserve">Solution 6 Broker Intake Engine 
</t>
  </si>
  <si>
    <t>1. No existing experience - AON experience can be the blue print
2. A commercial insurance exchange that connects customers, agents, and carriers to match the right quote in record time</t>
  </si>
  <si>
    <t>Extraction and Digital Data Exchange</t>
  </si>
  <si>
    <t>Bold Penguin
concirrus
Lightico
Hyperscience;
Groundspeed
Chisel.ai
KORE</t>
  </si>
  <si>
    <t>Bold Penguin
concirrus
Lightico</t>
  </si>
  <si>
    <t>Hyperscience;
Groundspeed
Chisel.ai
KORE</t>
  </si>
  <si>
    <t>Solution 7 Intelligent Collections</t>
  </si>
  <si>
    <t>Automated Communications &amp;  Chasers</t>
  </si>
  <si>
    <t>Comprehensive Data Reports and Dashboards</t>
  </si>
  <si>
    <t>Solution 8
Audit Analytics</t>
  </si>
  <si>
    <t>Solution 9
Process Risk Assessment</t>
  </si>
  <si>
    <t>Solution 10
Finance Automation</t>
  </si>
  <si>
    <t>Solution 11
Transformation Roadmap for Finance Function</t>
  </si>
  <si>
    <t>Table B: Preliminary rating based on functional capability for all service providers</t>
  </si>
  <si>
    <t>Count of Providers</t>
  </si>
  <si>
    <t>BlockClaim (Sprout.ai)</t>
  </si>
  <si>
    <t>Last Updated</t>
  </si>
  <si>
    <t>Combined Ratio</t>
  </si>
  <si>
    <t>Renewal Time Frame (0 - 12 months, 12 - 24 months, &gt;24 months)</t>
  </si>
  <si>
    <t>Future TCV Potential ($M - $5M, $5 - $10M, &gt;$10M)</t>
  </si>
  <si>
    <t>Sign Off - Next Steps/ Delete</t>
  </si>
  <si>
    <t>Growth Leader</t>
  </si>
  <si>
    <t>CE</t>
  </si>
  <si>
    <t>Renewal Timeframe</t>
  </si>
  <si>
    <t>Future TCV Potential</t>
  </si>
  <si>
    <t>$5M - $10M</t>
  </si>
  <si>
    <t>$M - $5M</t>
  </si>
  <si>
    <t>&gt;80</t>
  </si>
  <si>
    <t>80 - 90</t>
  </si>
  <si>
    <t>90 - 100</t>
  </si>
  <si>
    <t>100 - 110</t>
  </si>
  <si>
    <t>&gt;110</t>
  </si>
  <si>
    <t>0 - 12 month</t>
  </si>
  <si>
    <t>12 - 24 months</t>
  </si>
  <si>
    <t>&gt;24 months</t>
  </si>
  <si>
    <t>&gt;$10M</t>
  </si>
  <si>
    <t>Option 1</t>
  </si>
  <si>
    <t>Option 2</t>
  </si>
  <si>
    <t>Option 3</t>
  </si>
  <si>
    <t>Option 4</t>
  </si>
  <si>
    <t>Option 5</t>
  </si>
  <si>
    <t>Client Prioritization - Criterion (Options)</t>
  </si>
  <si>
    <t>Client Prioritization - Criterion (Weightage)</t>
  </si>
  <si>
    <t>Transformative Growth Plan</t>
  </si>
  <si>
    <t>Expand Customer Access</t>
  </si>
  <si>
    <t>Enhance Customer Value Proposition</t>
  </si>
  <si>
    <t>Invest in Marketing &amp; Technology</t>
  </si>
  <si>
    <t>Increase Market Share in P&amp;C</t>
  </si>
  <si>
    <t>Grow exclusive Agencies and Direct Channels</t>
  </si>
  <si>
    <t>Sustain a deep UW Culture</t>
  </si>
  <si>
    <t xml:space="preserve">Optimizing distribution engagement </t>
  </si>
  <si>
    <t>Elevate employee execution - continuous training, performance management and governance to support the achievement of top quartile performance</t>
  </si>
  <si>
    <t>Build effective alignment with distribution partners -  product expertise, industry specialization and overall value proposition.</t>
  </si>
  <si>
    <t>Attracting, developing and retaining top talent</t>
  </si>
  <si>
    <t>Invest in our people to create advantage and improve performance</t>
  </si>
  <si>
    <t xml:space="preserve">Institutionalizing deep specialization </t>
  </si>
  <si>
    <t>Provide insurance solutions supported by value chains of technical expertise aligned around industry segments, products and exposures</t>
  </si>
  <si>
    <t xml:space="preserve">P&amp;C Solutions and Go-To-Market Strategy </t>
  </si>
  <si>
    <t>Type1</t>
  </si>
  <si>
    <t>Topic</t>
  </si>
  <si>
    <t>URL</t>
  </si>
  <si>
    <t>Author</t>
  </si>
  <si>
    <t>Infographics</t>
  </si>
  <si>
    <t>Infographic</t>
  </si>
  <si>
    <t>Insurance</t>
  </si>
  <si>
    <t>SA Infographic</t>
  </si>
  <si>
    <t>https://www.exlservice.com/our-service-and-support-operations-in-south-africa</t>
  </si>
  <si>
    <t>Mohit Manchanda | Wayne Reed | Nick Lamb</t>
  </si>
  <si>
    <t>Philippines Infographic</t>
  </si>
  <si>
    <t>https://www.exlservice.com/sales-and-support-services-for-insurance-organizations-in-philippines</t>
  </si>
  <si>
    <t>Policy Processing and Broker Service Offerings</t>
  </si>
  <si>
    <t>https://www.exlservice.com/policy-processing-and-broker-service-offerings-covid-19-and-beyond</t>
  </si>
  <si>
    <t>Sean Patrick Allen | Roopak Chadha | Kathleen Welday</t>
  </si>
  <si>
    <t>COVID and insurance</t>
  </si>
  <si>
    <t>Policy Processing and Broker Service Offerings: COVID-19 and Beyond</t>
  </si>
  <si>
    <t>Content Team</t>
  </si>
  <si>
    <t>SUBROSOURCE®</t>
  </si>
  <si>
    <t>https://www.exlservice.com/subrosource-infographic</t>
  </si>
  <si>
    <t>GDPR</t>
  </si>
  <si>
    <t>Global Privacy Risk Monitoring Framework</t>
  </si>
  <si>
    <t>https://www.exlservice.com/global-privacy-risk-monitoring-framework</t>
  </si>
  <si>
    <t>Mohit Manchanda | Prakhar Agarwal</t>
  </si>
  <si>
    <t>Digital Intake for Insurance</t>
  </si>
  <si>
    <t>https://www.exlservice.com/digital-intake-for-insurance</t>
  </si>
  <si>
    <t>Ahson Pai | Keith Johnson</t>
  </si>
  <si>
    <t>Insurance Transformation Blueprint</t>
  </si>
  <si>
    <t>https://info1.exlservice.com/hubfs/EXL-IG-Insurance-Transformation-Blueprint.pdf?hsLang=no</t>
  </si>
  <si>
    <t xml:space="preserve">Rohan Regis  </t>
  </si>
  <si>
    <t>London Market Modernization</t>
  </si>
  <si>
    <t>ENABLING INSURANCE BUSINESSES IN LONDON MARKET TO ACHIEVE MODERNISATION THROUGH AUTOMATION &amp; ANALYTICS</t>
  </si>
  <si>
    <t xml:space="preserve">Post Merger Integration </t>
  </si>
  <si>
    <t>https://www.exlservice.com/postmerger-integration-for-insurers-to-unlock-desired-value</t>
  </si>
  <si>
    <t>Fraud Detection &amp; Investigation Management</t>
  </si>
  <si>
    <t>https://www.exlservice.com/fraud-detection-and-investigation-management</t>
  </si>
  <si>
    <t>Kshitij Jain</t>
  </si>
  <si>
    <t>White Paper</t>
  </si>
  <si>
    <t>Delivering Next Generation Claims Operating Model For General Insurers</t>
  </si>
  <si>
    <t>https://www.exlservice.com/delivering-next-generation-claims-operating-model-for-general-insurers</t>
  </si>
  <si>
    <t>Rohan Regis | Vikas Kapoor | Rahul Singh</t>
  </si>
  <si>
    <t>Strategic Review To Drive Reduction In Expense Ratio For Commercial Insurers</t>
  </si>
  <si>
    <t>https://www.exlservice.com/strategic-review-to-drive-reduction-in-expense-ratio-for-commercial-insurers</t>
  </si>
  <si>
    <t>Rohan Regis | Mohit Manchanda | Sidhartha Sinha | Sumeet Shetty</t>
  </si>
  <si>
    <t>Adaptive Framework to Manage Risk During COVID-19</t>
  </si>
  <si>
    <t>https://www.exlservice.com/adaptive-framework-to-manage-risk-during-covid-19</t>
  </si>
  <si>
    <t>Raghav Jaggi | Vikrant Saraswat</t>
  </si>
  <si>
    <t xml:space="preserve"> White Paper</t>
  </si>
  <si>
    <t>Five Levels of Digital Disruption in Insurance</t>
  </si>
  <si>
    <t>https://www.exlservice.com/five-levels-of-digital-disruption-in-insurance</t>
  </si>
  <si>
    <t>Vikas Bhalla | Sumit Taneja</t>
  </si>
  <si>
    <t xml:space="preserve">Why Insurance Companies Should Re-evaluate Operations in a Digital World
</t>
  </si>
  <si>
    <t>https://www.exlservice.com/why-insurance-companies-should-reevaluate-operations-in-a-digital-world</t>
  </si>
  <si>
    <t>Vishal Arora</t>
  </si>
  <si>
    <t>The Times, They are A-Changing- The insurance industry's business model disruption</t>
  </si>
  <si>
    <t>https://www.exlservice.com/the-times-they-are-achanging</t>
  </si>
  <si>
    <t>White paper</t>
  </si>
  <si>
    <t>Business Impact Assessment due to COVID-19: Remediation Actions and Updates</t>
  </si>
  <si>
    <t>https://www.exlservice.com/business-impact-assessment-due-to-covid-19-remediation-actions-and-updates</t>
  </si>
  <si>
    <t xml:space="preserve">Roopak Chadha | Mohit Manchanda | Rohan Regis </t>
  </si>
  <si>
    <t>Decouple and Digitize the Leave Claims Process to Address the COVID-19 Surge</t>
  </si>
  <si>
    <t>https://www.exlservice.com/decouple-and-digitize-the-leave-claims-process-to-address-the-covid-19-surge</t>
  </si>
  <si>
    <t>Gaurav Singh | Sumit Taneja | Andy Logani</t>
  </si>
  <si>
    <t>Reacting to Realities of COVID-19 and Adjusting to the New Normal</t>
  </si>
  <si>
    <t>https://www.exlservice.com/reacting-to-realities-of-covid-19-and-adjusting-to-the-new-normal</t>
  </si>
  <si>
    <t>Sagar Mehta</t>
  </si>
  <si>
    <t>How Insurance Companies can Adapt to the New Normal</t>
  </si>
  <si>
    <t>https://www.exlservice.com/how-insurance-companies-can-adapt-to-the-new-normal</t>
  </si>
  <si>
    <t>Rohan Regis | Vikas Kapoor |Mainak Bhowmik</t>
  </si>
  <si>
    <t>COVID and insurance/CLAIMS</t>
  </si>
  <si>
    <t>Munish Mahajan</t>
  </si>
  <si>
    <t>New era of P&amp;C claim management</t>
  </si>
  <si>
    <t>https://www.exlservice.com/a-new-era-of-pc-claims-management</t>
  </si>
  <si>
    <t>Improving legal team effectiveness</t>
  </si>
  <si>
    <t>https://www.exlservice.com/improving-legal-team-effectiveness-with-digitized-litigated-claims-information</t>
  </si>
  <si>
    <t>Adolfo Canovi</t>
  </si>
  <si>
    <t>Customer Experience</t>
  </si>
  <si>
    <t>https://www.exlservice.com/accelerated-underwriting-people-process-platform-data-analytics-or-customer-experience</t>
  </si>
  <si>
    <t>Sandeep Manchanda</t>
  </si>
  <si>
    <t>Solving the subrogation problem</t>
  </si>
  <si>
    <t>https://www.exlservice.com/solving-the-subrogation-problem</t>
  </si>
  <si>
    <t>Leveraging Weather Data for FNOL Call Volume Management at Insurance Contact Centers</t>
  </si>
  <si>
    <t>https://www.exlservice.com/leveraging-weather-data-for-fnol-call-volume-management-at-insurance-contact-centers</t>
  </si>
  <si>
    <t>Soumyajit Dasgupta</t>
  </si>
  <si>
    <t>Improving Legal Team Effectiveness with Digitized Litigated Claims Information</t>
  </si>
  <si>
    <t>The Insurance Supply Chain</t>
  </si>
  <si>
    <t>https://www.exlservice.com/the-insurance-supply-chain</t>
  </si>
  <si>
    <t>Mohit Manchanda | Prakhar Agarwal | Prashant Chaturvedi</t>
  </si>
  <si>
    <t>Responding to COVID-19 in Insurance Operations: Four Key Stages to Accelerate Recovery as the "Future of Work" is Redefined</t>
  </si>
  <si>
    <t>https://www.exlservice.com/responding-to-covid-19-in-insurance-operations-four-key-stages-to-accelerate-recovery-as-the-future-of-work-is-redefined</t>
  </si>
  <si>
    <t>Ahson Pai</t>
  </si>
  <si>
    <t>Vikram Saraswat</t>
  </si>
  <si>
    <t>AI in Insurance</t>
  </si>
  <si>
    <t>Disrupt or Die: Emerging Role of AI in Insurance</t>
  </si>
  <si>
    <t>https://www.exlservice.com/disrupt-or-die-the-emerging-role-of-ai-technologies-in-the-insurance-market</t>
  </si>
  <si>
    <t>Sumit Taneja</t>
  </si>
  <si>
    <t>Insurance Analytics</t>
  </si>
  <si>
    <t>Using Advanced Analytics to Identify Fraud in Property and Casualty Insurance</t>
  </si>
  <si>
    <t>https://www.exlservice.com/using-advanced-analytics-to-identify-fraud-in-property-and-casualty-insurance</t>
  </si>
  <si>
    <t>Neeraj Sibal</t>
  </si>
  <si>
    <t>OR</t>
  </si>
  <si>
    <t>Operational Resilience in Insurance: UK’s Changing Regulatory Landscape_x000D_</t>
  </si>
  <si>
    <t>https://www.exlservice.com/operational-resilience-in-insurance-uks-changing-regulatory-landscape</t>
  </si>
  <si>
    <t>Robots, Smart Homes and Ride Shares: Innovations opportunities in the age of disruption for P&amp;C insurers</t>
  </si>
  <si>
    <t>https://www.exlservice.com/robots-smart-homes-and-ride-shares</t>
  </si>
  <si>
    <t>Technology, Speed,Loyalty: What P&amp;C Insurers Need for a NewGeneration of Millennial Employees and Customers</t>
  </si>
  <si>
    <t>https://www.exlservice.com/new-generation-of-millennial-employees-and-customers</t>
  </si>
  <si>
    <t>Kristen Hein</t>
  </si>
  <si>
    <t>Moving beyond the RPA pilot stage:How P&amp;C insurerscan operationalize automation</t>
  </si>
  <si>
    <t>https://www.exlservice.com/moving-beyond-the-rpa-pilot-stage-how-pc-insurers-can-operationalize-automation</t>
  </si>
  <si>
    <t>Sean Patrick Allen</t>
  </si>
  <si>
    <t>Improving Territory Mapping For P&amp;C Insurers with Machine Learning</t>
  </si>
  <si>
    <t>https://www.exlservice.com/improving-territory-mapping-for-pc-insurers-with-machine-learning</t>
  </si>
  <si>
    <t>Varun Manchanda</t>
  </si>
  <si>
    <t>A Data-Based Response to Higher Fatality Rates for Auto Insurers -</t>
  </si>
  <si>
    <t>https://www.exlservice.com/a-databased-response-to-higher-fatality-rates-for-auto-insurers</t>
  </si>
  <si>
    <t>How Insurers Can Leverage Digital Labor To Enable Resilience</t>
  </si>
  <si>
    <t>https://www.exlservice.com/how-insurers-can-leverage-digital-labor-to-enable-resilience</t>
  </si>
  <si>
    <t>Sumeet Goswami</t>
  </si>
  <si>
    <t>How Managed Digital Business Service Can Assist In Transforming The Insurance Of The Future</t>
  </si>
  <si>
    <t>https://www.exlservice.com/resources/assets/library/documents/EXL-WP-Managed-Digital-Business-21feb-v2.pdf</t>
  </si>
  <si>
    <t>Raman Kumar | Jonathan Phillips | Sumit Taneja</t>
  </si>
  <si>
    <t>Motor Insurance - How to acquire and retain customers in post COVID19 world</t>
  </si>
  <si>
    <t>https://www.exlservice.com/motor-insurance-post-covid-19-world</t>
  </si>
  <si>
    <t>Swarnava Ghosh | Aditya</t>
  </si>
  <si>
    <t>Rup Goswami</t>
  </si>
  <si>
    <t>EXL - CE</t>
  </si>
  <si>
    <t>EXL - Solution Component</t>
  </si>
  <si>
    <t>Broker</t>
  </si>
  <si>
    <t>Saju</t>
  </si>
  <si>
    <t>Nikhil</t>
  </si>
  <si>
    <t>Kuldeep</t>
  </si>
  <si>
    <t>Roopak</t>
  </si>
  <si>
    <t xml:space="preserve">Mohit </t>
  </si>
  <si>
    <t>EXL Solutions Go-To-Market Mapping</t>
  </si>
  <si>
    <t>P&amp;C Go-To-Market Business Development Plan</t>
  </si>
  <si>
    <t>Reset, Refresh and Re-imagine P&amp;C business, pivoting to a solutions based, sustainable growth focused organization</t>
  </si>
  <si>
    <t>A.</t>
  </si>
  <si>
    <t>Critical success factors for EXL P&amp;C</t>
  </si>
  <si>
    <t>Goal: Global Brand, Best in the Industry</t>
  </si>
  <si>
    <t>How: Global Market Share - ~20% CAGR; Growth Focus - $500M Annual Revenue; Industry Recognition -Thought Leader, Digital Disruptor</t>
  </si>
  <si>
    <t>Change needed: Focus on Industry Solutions, Customer Outcomes, Speed to Market, Augment with the Best Talent</t>
  </si>
  <si>
    <r>
      <t xml:space="preserve">We are pivoting to be the </t>
    </r>
    <r>
      <rPr>
        <b/>
        <i/>
        <sz val="11"/>
        <color theme="1"/>
        <rFont val="Arial"/>
        <family val="2"/>
      </rPr>
      <t xml:space="preserve">Preferred Digital Transformation partner </t>
    </r>
    <r>
      <rPr>
        <i/>
        <sz val="11"/>
        <color theme="1"/>
        <rFont val="Arial"/>
        <family val="2"/>
      </rPr>
      <t xml:space="preserve">for the industry. EXL P&amp;C a </t>
    </r>
    <r>
      <rPr>
        <b/>
        <i/>
        <sz val="11"/>
        <color theme="1"/>
        <rFont val="Arial"/>
        <family val="2"/>
      </rPr>
      <t xml:space="preserve">‘solutions organization’ vs. a ‘services organization’ </t>
    </r>
  </si>
  <si>
    <t>B.</t>
  </si>
  <si>
    <t xml:space="preserve">What are clients telling us </t>
  </si>
  <si>
    <t xml:space="preserve">Proactively developing ‘packaged solutions’ in response to outside-in industry problems, with an anchor client across each ‘solution’ </t>
  </si>
  <si>
    <t>FNOL as-as-service</t>
  </si>
  <si>
    <t>Payments-as-a Service</t>
  </si>
  <si>
    <t xml:space="preserve">Digitally Transforming Workers’ Compensation Claims </t>
  </si>
  <si>
    <t>Digitally Transforming Commercial Underwriting</t>
  </si>
  <si>
    <t>Endorsements-as-a-Service</t>
  </si>
  <si>
    <t>Renewal Processing-as-a-Service</t>
  </si>
  <si>
    <t>Receivables Management</t>
  </si>
  <si>
    <t>FRAC Audit Analytics</t>
  </si>
  <si>
    <t>FRAC Process Risk Assessment</t>
  </si>
  <si>
    <t>Displacing competition and building for continuous, sustainable growth  </t>
  </si>
  <si>
    <t>Insuretechs : few firms stand out to close our current capability gaps – Shift Technology, CapeAnalytics, Snapsheet, Datacubes etc. Analyzing from a list of 80 firms</t>
  </si>
  <si>
    <t>F.</t>
  </si>
  <si>
    <t>C.</t>
  </si>
  <si>
    <t>Dushyant</t>
  </si>
  <si>
    <t>P&amp;C Strategy &amp; Solution Dashboard</t>
  </si>
  <si>
    <t>Top Insurers and Brokers</t>
  </si>
  <si>
    <t>Potential Partnership and Alliance Candidates</t>
  </si>
  <si>
    <t xml:space="preserve">Potential to Build </t>
  </si>
  <si>
    <t xml:space="preserve">Develop evaluation criterion </t>
  </si>
  <si>
    <t xml:space="preserve">Further research required </t>
  </si>
  <si>
    <t xml:space="preserve">Medium </t>
  </si>
  <si>
    <r>
      <t xml:space="preserve">Clear appetite for digital solutions (vs. platforms) as a service </t>
    </r>
    <r>
      <rPr>
        <b/>
        <i/>
        <sz val="12"/>
        <color rgb="FF000000"/>
        <rFont val="Arial"/>
        <family val="2"/>
      </rPr>
      <t>(AI at the leading edge)</t>
    </r>
  </si>
  <si>
    <r>
      <t xml:space="preserve">Identify Problems and come with solutions…will buy solutions not people </t>
    </r>
    <r>
      <rPr>
        <b/>
        <i/>
        <sz val="12"/>
        <color rgb="FF000000"/>
        <rFont val="Arial"/>
        <family val="2"/>
      </rPr>
      <t>(People are only part of the solution – typically a combination of people and digital)</t>
    </r>
  </si>
  <si>
    <r>
      <t xml:space="preserve">Templatize transformation at base level…solve more end to end </t>
    </r>
    <r>
      <rPr>
        <b/>
        <i/>
        <sz val="12"/>
        <color rgb="FF000000"/>
        <rFont val="Arial"/>
        <family val="2"/>
      </rPr>
      <t>(Transformation benefit is table stakes)</t>
    </r>
  </si>
  <si>
    <r>
      <t xml:space="preserve">Price on solutions…vs. individual components </t>
    </r>
    <r>
      <rPr>
        <b/>
        <i/>
        <sz val="12"/>
        <color rgb="FF000000"/>
        <rFont val="Arial"/>
        <family val="2"/>
      </rPr>
      <t>(but need to be able to modularize the offerings as well)</t>
    </r>
  </si>
  <si>
    <r>
      <t xml:space="preserve">Develop transparent view  from an end customer perspective, customer journeys…single view of customer </t>
    </r>
    <r>
      <rPr>
        <b/>
        <i/>
        <sz val="12"/>
        <color rgb="FF000000"/>
        <rFont val="Arial"/>
        <family val="2"/>
      </rPr>
      <t>(truly enable decisions with data and analytics)</t>
    </r>
  </si>
  <si>
    <r>
      <t xml:space="preserve">Lead the market; don’t chase it </t>
    </r>
    <r>
      <rPr>
        <b/>
        <i/>
        <sz val="12"/>
        <color rgb="FF000000"/>
        <rFont val="Arial"/>
        <family val="2"/>
      </rPr>
      <t>(we are often late to the party)</t>
    </r>
  </si>
  <si>
    <t>Approach and Steps towards developing a solutions based go-to-market plan</t>
  </si>
  <si>
    <t xml:space="preserve">We believe there is a lot of great opportunities within the following layers as we cast a broad net and pivot towards solution based, sustainable growth focused organization-
</t>
  </si>
  <si>
    <r>
      <rPr>
        <b/>
        <sz val="11"/>
        <color theme="1"/>
        <rFont val="Arial"/>
        <family val="2"/>
      </rPr>
      <t>Tier 1</t>
    </r>
    <r>
      <rPr>
        <sz val="11"/>
        <color theme="1"/>
        <rFont val="Arial"/>
        <family val="2"/>
      </rPr>
      <t xml:space="preserve">: </t>
    </r>
    <r>
      <rPr>
        <b/>
        <sz val="11"/>
        <color theme="1"/>
        <rFont val="Arial"/>
        <family val="2"/>
      </rPr>
      <t>Strategic Accounts</t>
    </r>
    <r>
      <rPr>
        <sz val="11"/>
        <color theme="1"/>
        <rFont val="Arial"/>
        <family val="2"/>
      </rPr>
      <t xml:space="preserve"> - expand to sell solutions vs. FTE; partner to co-build solutions with anchor clients; personalized CxO specific campaigns with solutions mapped to strategic priorities</t>
    </r>
  </si>
  <si>
    <r>
      <rPr>
        <b/>
        <sz val="11"/>
        <color theme="1"/>
        <rFont val="Arial"/>
        <family val="2"/>
      </rPr>
      <t>Tier 2</t>
    </r>
    <r>
      <rPr>
        <sz val="11"/>
        <color theme="1"/>
        <rFont val="Arial"/>
        <family val="2"/>
      </rPr>
      <t xml:space="preserve">: </t>
    </r>
    <r>
      <rPr>
        <b/>
        <sz val="11"/>
        <color theme="1"/>
        <rFont val="Arial"/>
        <family val="2"/>
      </rPr>
      <t>Named Accounts</t>
    </r>
    <r>
      <rPr>
        <sz val="11"/>
        <color theme="1"/>
        <rFont val="Arial"/>
        <family val="2"/>
      </rPr>
      <t xml:space="preserve"> - research top 3-5 priorities, cross reference solution ideas with priorities; P&amp;C solution owners to map with each account and Exec, personalized account based marketing</t>
    </r>
  </si>
  <si>
    <r>
      <rPr>
        <b/>
        <sz val="11"/>
        <color theme="1"/>
        <rFont val="Arial"/>
        <family val="2"/>
      </rPr>
      <t>Tier 3</t>
    </r>
    <r>
      <rPr>
        <sz val="11"/>
        <color theme="1"/>
        <rFont val="Arial"/>
        <family val="2"/>
      </rPr>
      <t xml:space="preserve">: </t>
    </r>
    <r>
      <rPr>
        <b/>
        <sz val="11"/>
        <color theme="1"/>
        <rFont val="Arial"/>
        <family val="2"/>
      </rPr>
      <t>Expand the net</t>
    </r>
    <r>
      <rPr>
        <sz val="11"/>
        <color theme="1"/>
        <rFont val="Arial"/>
        <family val="2"/>
      </rPr>
      <t xml:space="preserve"> to include mid-level, regional, specialty, reinsurance carriers, brokers and smaller size firms, beyond the traditional big carriers. Research priorities, map solutions and GTM</t>
    </r>
  </si>
  <si>
    <r>
      <rPr>
        <b/>
        <sz val="11"/>
        <color theme="1"/>
        <rFont val="Arial"/>
        <family val="2"/>
      </rPr>
      <t>Tier 4</t>
    </r>
    <r>
      <rPr>
        <sz val="11"/>
        <color theme="1"/>
        <rFont val="Arial"/>
        <family val="2"/>
      </rPr>
      <t xml:space="preserve">: </t>
    </r>
    <r>
      <rPr>
        <b/>
        <sz val="11"/>
        <color theme="1"/>
        <rFont val="Arial"/>
        <family val="2"/>
      </rPr>
      <t xml:space="preserve">Target Competition logos </t>
    </r>
    <r>
      <rPr>
        <sz val="11"/>
        <color theme="1"/>
        <rFont val="Arial"/>
        <family val="2"/>
      </rPr>
      <t>- go after upcoming renewals (e.g. Project Ocean); research logos with performance dis-sat/evolving priorities (e.g.. Aon); pitch Digital and Data in BPO only clients etc.</t>
    </r>
  </si>
  <si>
    <r>
      <rPr>
        <b/>
        <sz val="11"/>
        <color theme="1"/>
        <rFont val="Arial"/>
        <family val="2"/>
      </rPr>
      <t>Step 1</t>
    </r>
    <r>
      <rPr>
        <sz val="11"/>
        <color theme="1"/>
        <rFont val="Arial"/>
        <family val="2"/>
      </rPr>
      <t>: Shortlist top-30 P&amp;C firms across the globe (mix of Carriers, brokers, across above Tiers), add analysis on key metrics like NWP, Combined Ratio, Competition, Sourcing, Share of Wallet, Partner Network etc.</t>
    </r>
  </si>
  <si>
    <r>
      <rPr>
        <b/>
        <sz val="11"/>
        <color theme="1"/>
        <rFont val="Arial"/>
        <family val="2"/>
      </rPr>
      <t>Step 2</t>
    </r>
    <r>
      <rPr>
        <sz val="11"/>
        <color theme="1"/>
        <rFont val="Arial"/>
        <family val="2"/>
      </rPr>
      <t>: Map key CxOs across these top-30 firms</t>
    </r>
  </si>
  <si>
    <r>
      <rPr>
        <b/>
        <sz val="11"/>
        <color theme="1"/>
        <rFont val="Arial"/>
        <family val="2"/>
      </rPr>
      <t>Step 3:</t>
    </r>
    <r>
      <rPr>
        <sz val="11"/>
        <color theme="1"/>
        <rFont val="Arial"/>
        <family val="2"/>
      </rPr>
      <t xml:space="preserve"> Research on top 3-5 priorities across the shortlisted firms</t>
    </r>
  </si>
  <si>
    <r>
      <rPr>
        <b/>
        <sz val="11"/>
        <color theme="1"/>
        <rFont val="Arial"/>
        <family val="2"/>
      </rPr>
      <t>Step 4</t>
    </r>
    <r>
      <rPr>
        <sz val="11"/>
        <color theme="1"/>
        <rFont val="Arial"/>
        <family val="2"/>
      </rPr>
      <t xml:space="preserve">: Cross-reference solution ideas with strategic priorities for solution build </t>
    </r>
    <r>
      <rPr>
        <b/>
        <sz val="11"/>
        <color theme="1"/>
        <rFont val="Arial"/>
        <family val="2"/>
      </rPr>
      <t>and</t>
    </r>
    <r>
      <rPr>
        <sz val="11"/>
        <color theme="1"/>
        <rFont val="Arial"/>
        <family val="2"/>
      </rPr>
      <t xml:space="preserve"> logo prioritization</t>
    </r>
  </si>
  <si>
    <r>
      <rPr>
        <b/>
        <sz val="11"/>
        <color theme="1"/>
        <rFont val="Arial"/>
        <family val="2"/>
      </rPr>
      <t>Step 5:</t>
    </r>
    <r>
      <rPr>
        <sz val="11"/>
        <color theme="1"/>
        <rFont val="Arial"/>
        <family val="2"/>
      </rPr>
      <t xml:space="preserve"> Allocate each logo and CxOs to P&amp;C frontend team (AM, CE, Growth Leader, Sales) based on P&amp;C solution teams</t>
    </r>
  </si>
  <si>
    <r>
      <rPr>
        <b/>
        <sz val="11"/>
        <color theme="1"/>
        <rFont val="Arial"/>
        <family val="2"/>
      </rPr>
      <t>Step 6:</t>
    </r>
    <r>
      <rPr>
        <sz val="11"/>
        <color theme="1"/>
        <rFont val="Arial"/>
        <family val="2"/>
      </rPr>
      <t xml:space="preserve"> Map GTM ideas like ABM, Infographics, Webinars, Influencer Events, Case Studies and Webinars for Top-30 logos</t>
    </r>
  </si>
  <si>
    <r>
      <rPr>
        <b/>
        <sz val="11"/>
        <color theme="1"/>
        <rFont val="Arial"/>
        <family val="2"/>
      </rPr>
      <t>Step 7:</t>
    </r>
    <r>
      <rPr>
        <sz val="11"/>
        <color theme="1"/>
        <rFont val="Arial"/>
        <family val="2"/>
      </rPr>
      <t xml:space="preserve"> Develop prioritization roadmap over next 12-18 months, with 30-60-90 day sprints</t>
    </r>
  </si>
  <si>
    <r>
      <rPr>
        <b/>
        <sz val="11"/>
        <color theme="1"/>
        <rFont val="Arial"/>
        <family val="2"/>
      </rPr>
      <t>Step 8:</t>
    </r>
    <r>
      <rPr>
        <sz val="11"/>
        <color theme="1"/>
        <rFont val="Arial"/>
        <family val="2"/>
      </rPr>
      <t xml:space="preserve"> SFDC driven reviews and cadence</t>
    </r>
  </si>
  <si>
    <t>D.</t>
  </si>
  <si>
    <r>
      <t xml:space="preserve">Proactively </t>
    </r>
    <r>
      <rPr>
        <b/>
        <sz val="11"/>
        <color theme="1"/>
        <rFont val="Arial"/>
        <family val="2"/>
      </rPr>
      <t>identifying white spaces</t>
    </r>
    <r>
      <rPr>
        <sz val="11"/>
        <color theme="1"/>
        <rFont val="Arial"/>
        <family val="2"/>
      </rPr>
      <t xml:space="preserve"> across our capability set to develop a Build/Buy/Partner combination strategy around</t>
    </r>
  </si>
  <si>
    <r>
      <t xml:space="preserve">TPAs for onshore capabilities in response to market demand – e.g. Crawford Broadpsire, </t>
    </r>
    <r>
      <rPr>
        <sz val="11"/>
        <color rgb="FF000000"/>
        <rFont val="Arial"/>
        <family val="2"/>
      </rPr>
      <t>Gallagher Bassett, Segewick, York</t>
    </r>
  </si>
  <si>
    <r>
      <rPr>
        <b/>
        <sz val="11"/>
        <color rgb="FF000000"/>
        <rFont val="Arial"/>
        <family val="2"/>
      </rPr>
      <t>Competition analysis</t>
    </r>
    <r>
      <rPr>
        <sz val="11"/>
        <color rgb="FF000000"/>
        <rFont val="Arial"/>
        <family val="2"/>
      </rPr>
      <t xml:space="preserve"> – to go after logos we don’t work with and assess partnerships / acquisitions that our competition has made </t>
    </r>
  </si>
  <si>
    <t>Performing capability gap analysis : outside-in, inside-out</t>
  </si>
  <si>
    <t>E.</t>
  </si>
  <si>
    <r>
      <t xml:space="preserve">Each ‘packaged solution’ will be evaluated against the enterprise </t>
    </r>
    <r>
      <rPr>
        <i/>
        <sz val="12"/>
        <color theme="1"/>
        <rFont val="Arial"/>
        <family val="2"/>
      </rPr>
      <t>Solution Evaluation Criteria</t>
    </r>
    <r>
      <rPr>
        <sz val="12"/>
        <color theme="1"/>
        <rFont val="Arial"/>
        <family val="2"/>
      </rPr>
      <t xml:space="preserve"> and will be designed to solve an </t>
    </r>
    <r>
      <rPr>
        <b/>
        <sz val="12"/>
        <color theme="1"/>
        <rFont val="Arial"/>
        <family val="2"/>
      </rPr>
      <t>industry problem</t>
    </r>
    <r>
      <rPr>
        <sz val="12"/>
        <color theme="1"/>
        <rFont val="Arial"/>
        <family val="2"/>
      </rPr>
      <t xml:space="preserve">,  across the </t>
    </r>
    <r>
      <rPr>
        <b/>
        <sz val="12"/>
        <color theme="1"/>
        <rFont val="Arial"/>
        <family val="2"/>
      </rPr>
      <t>end-to-end value chain</t>
    </r>
    <r>
      <rPr>
        <sz val="12"/>
        <color theme="1"/>
        <rFont val="Arial"/>
        <family val="2"/>
      </rPr>
      <t xml:space="preserve">, with </t>
    </r>
    <r>
      <rPr>
        <b/>
        <sz val="12"/>
        <color theme="1"/>
        <rFont val="Arial"/>
        <family val="2"/>
      </rPr>
      <t>committed business and customer outcomes</t>
    </r>
    <r>
      <rPr>
        <sz val="12"/>
        <color theme="1"/>
        <rFont val="Arial"/>
        <family val="2"/>
      </rPr>
      <t xml:space="preserve"> vs. traditional transactional SLAs. The solutions will be </t>
    </r>
    <r>
      <rPr>
        <b/>
        <sz val="12"/>
        <color theme="1"/>
        <rFont val="Arial"/>
        <family val="2"/>
      </rPr>
      <t>repeatable</t>
    </r>
    <r>
      <rPr>
        <sz val="12"/>
        <color theme="1"/>
        <rFont val="Arial"/>
        <family val="2"/>
      </rPr>
      <t xml:space="preserve"> and have </t>
    </r>
    <r>
      <rPr>
        <b/>
        <sz val="12"/>
        <color theme="1"/>
        <rFont val="Arial"/>
        <family val="2"/>
      </rPr>
      <t>global applicability</t>
    </r>
    <r>
      <rPr>
        <sz val="12"/>
        <color theme="1"/>
        <rFont val="Arial"/>
        <family val="2"/>
      </rPr>
      <t>. Commercial construct will be linked to outcomes, moving away from the traditional FTE model. Cheap human labor model has long expired.  </t>
    </r>
    <r>
      <rPr>
        <b/>
        <i/>
        <sz val="12"/>
        <color rgb="FF000000"/>
        <rFont val="Arial"/>
        <family val="2"/>
      </rPr>
      <t>Will require a change in thinking across the enterprise and willingness to take on more risk</t>
    </r>
    <r>
      <rPr>
        <i/>
        <sz val="12"/>
        <color rgb="FF000000"/>
        <rFont val="Arial"/>
        <family val="2"/>
      </rPr>
      <t>.</t>
    </r>
  </si>
  <si>
    <t>Summary of Go-To-Market Strategy</t>
  </si>
  <si>
    <r>
      <t xml:space="preserve">Leverage </t>
    </r>
    <r>
      <rPr>
        <b/>
        <sz val="11"/>
        <color theme="1"/>
        <rFont val="Arial"/>
        <family val="2"/>
      </rPr>
      <t xml:space="preserve">Account Based Marketing </t>
    </r>
    <r>
      <rPr>
        <sz val="11"/>
        <color theme="1"/>
        <rFont val="Arial"/>
        <family val="2"/>
      </rPr>
      <t xml:space="preserve">:  it is a market of one, we are creating personalized campaigns that are designed to resonate with each account.
</t>
    </r>
  </si>
  <si>
    <r>
      <t xml:space="preserve">Formalizing </t>
    </r>
    <r>
      <rPr>
        <b/>
        <sz val="11"/>
        <color theme="1"/>
        <rFont val="Arial"/>
        <family val="2"/>
      </rPr>
      <t>Demand Triggered Alliance Partnerships</t>
    </r>
    <r>
      <rPr>
        <sz val="11"/>
        <color theme="1"/>
        <rFont val="Arial"/>
        <family val="2"/>
      </rPr>
      <t xml:space="preserve"> with key vendors that together, based on Demand function analysis, form an integrated solution focused on a specific set of business pains.  
</t>
    </r>
  </si>
  <si>
    <r>
      <t xml:space="preserve">Working with our </t>
    </r>
    <r>
      <rPr>
        <b/>
        <sz val="11"/>
        <color rgb="FF000000"/>
        <rFont val="Arial"/>
        <family val="2"/>
      </rPr>
      <t>Market Development Partner in Beyond Codes</t>
    </r>
    <r>
      <rPr>
        <sz val="11"/>
        <color rgb="FF000000"/>
        <rFont val="Arial"/>
        <family val="2"/>
      </rPr>
      <t xml:space="preserve"> to run specific campaigns whose team that once armed with some training and a script to fall back on, should be able to identify opportunities and help schedule calls, ultimately bringing our sales leaders into the cycle</t>
    </r>
  </si>
  <si>
    <r>
      <rPr>
        <b/>
        <sz val="11"/>
        <color theme="1"/>
        <rFont val="Arial"/>
        <family val="2"/>
      </rPr>
      <t>Brand Building</t>
    </r>
    <r>
      <rPr>
        <sz val="11"/>
        <color theme="1"/>
        <rFont val="Arial"/>
        <family val="2"/>
      </rPr>
      <t xml:space="preserve"> that has to continue through our </t>
    </r>
    <r>
      <rPr>
        <b/>
        <sz val="11"/>
        <color theme="1"/>
        <rFont val="Arial"/>
        <family val="2"/>
      </rPr>
      <t>Analyst and Advisor Relationships</t>
    </r>
    <r>
      <rPr>
        <sz val="11"/>
        <color theme="1"/>
        <rFont val="Arial"/>
        <family val="2"/>
      </rPr>
      <t xml:space="preserve">.  We are not being brought into every deal that is taking place in the market, we need to figure out why, conduct the necessary education with these parties, and re-position ourselves accordingly so that we are top of mind with these firms
</t>
    </r>
  </si>
  <si>
    <t>Vivek Bhatia</t>
  </si>
  <si>
    <t>Chris Killourhy</t>
  </si>
  <si>
    <t>Jonathan Groves</t>
  </si>
  <si>
    <t>Jon Fox</t>
  </si>
  <si>
    <t>Mark Gay/ Fiona Hayes-St Clair</t>
  </si>
  <si>
    <t>3920 ($m)</t>
  </si>
  <si>
    <t>Accenture, Delloitte, KPMG</t>
  </si>
  <si>
    <t>Roopak Chadha</t>
  </si>
  <si>
    <t>Dino Robusto</t>
  </si>
  <si>
    <t>Al Miralles</t>
  </si>
  <si>
    <t>Daniel Franzetti</t>
  </si>
  <si>
    <t>Kevin Leidwinger</t>
  </si>
  <si>
    <t>Michael Costonis</t>
  </si>
  <si>
    <t>Douglas M. Worman</t>
  </si>
  <si>
    <t>$7.7B</t>
  </si>
  <si>
    <t>David H. Long</t>
  </si>
  <si>
    <t>Christopher Pierce</t>
  </si>
  <si>
    <t>James McGlennon</t>
  </si>
  <si>
    <t>$39.8B</t>
  </si>
  <si>
    <t>Genpact, Cognizant, TCS</t>
  </si>
  <si>
    <t>Raish Malik</t>
  </si>
  <si>
    <t>Kathleen Savio</t>
  </si>
  <si>
    <t>Peter Hirs</t>
  </si>
  <si>
    <t>Colleen Zitt</t>
  </si>
  <si>
    <t>Paul Lavelle</t>
  </si>
  <si>
    <t>Anurag Batta</t>
  </si>
  <si>
    <t>Mark Knipfer</t>
  </si>
  <si>
    <t>Brandin Fick</t>
  </si>
  <si>
    <t>$34.1B</t>
  </si>
  <si>
    <t>Cognizant, Genpact, Mphasis,Hinduja</t>
  </si>
  <si>
    <t>Kuldeep Singh</t>
  </si>
  <si>
    <t>Chris Swift</t>
  </si>
  <si>
    <t>Beth Costello</t>
  </si>
  <si>
    <t>Robert Paiano</t>
  </si>
  <si>
    <t>John Kinney</t>
  </si>
  <si>
    <t>Bill Bloom</t>
  </si>
  <si>
    <t>Ross Fisher</t>
  </si>
  <si>
    <t>$17B</t>
  </si>
  <si>
    <t>Aditya Chaturvedi</t>
  </si>
  <si>
    <t>John "Jack" Roche</t>
  </si>
  <si>
    <t>Jeff Farber</t>
  </si>
  <si>
    <t>Catherine Eska</t>
  </si>
  <si>
    <t>Mark Welzenbach</t>
  </si>
  <si>
    <t>Gayle Falvey - CL
Michele Streton - PL</t>
  </si>
  <si>
    <t>Mark Berthiaume</t>
  </si>
  <si>
    <t>Chip Hamann (Small Commercial)</t>
  </si>
  <si>
    <t>$4,581.7 M (NWP)</t>
  </si>
  <si>
    <t>CTS, NTT, PWC</t>
  </si>
  <si>
    <t xml:space="preserve"> </t>
  </si>
  <si>
    <t>Viilas</t>
  </si>
  <si>
    <t>Wayne Reed</t>
  </si>
  <si>
    <t>Greg Case</t>
  </si>
  <si>
    <t>Christa Davies</t>
  </si>
  <si>
    <t>Paul Henmueller</t>
  </si>
  <si>
    <t>John Bruno</t>
  </si>
  <si>
    <t>Rajeev Khanna</t>
  </si>
  <si>
    <t>Dan Glaser</t>
  </si>
  <si>
    <t>Mark McGivney</t>
  </si>
  <si>
    <t>Diane Rosen</t>
  </si>
  <si>
    <t>Srivatsan Sridharan</t>
  </si>
  <si>
    <t>Levee Brooks</t>
  </si>
  <si>
    <t>Scott Gilbert</t>
  </si>
  <si>
    <t>WNS,CTS</t>
  </si>
  <si>
    <t>Wayne Peacock</t>
  </si>
  <si>
    <t>Laura Bishop</t>
  </si>
  <si>
    <t>Torben Ostergaard</t>
  </si>
  <si>
    <t>Sean Burgess</t>
  </si>
  <si>
    <t>Michael Brady</t>
  </si>
  <si>
    <t>$20B</t>
  </si>
  <si>
    <t>Jack Charles Salzwedel</t>
  </si>
  <si>
    <t>Dan Kelly</t>
  </si>
  <si>
    <t>Joseph Gates</t>
  </si>
  <si>
    <t>Scott Little</t>
  </si>
  <si>
    <t>Kristen Kirkconnel</t>
  </si>
  <si>
    <t>$23B</t>
  </si>
  <si>
    <t>94 CL(97.7), PL(95)</t>
  </si>
  <si>
    <t xml:space="preserve">The following table provides a wholsitic view of the top Global Insurers and Brokers along with their Top Executives and Financial standing to arrive at a Prioritzation to identify EXL's future strategies and Key Customers. </t>
  </si>
  <si>
    <t>Max</t>
  </si>
  <si>
    <t>Min</t>
  </si>
  <si>
    <t>Tier 1</t>
  </si>
  <si>
    <t>Tier 2</t>
  </si>
  <si>
    <t>Tier 3</t>
  </si>
  <si>
    <t>13 -- 15</t>
  </si>
  <si>
    <t>10 -- 12</t>
  </si>
  <si>
    <t>Below 10</t>
  </si>
  <si>
    <t>CTS, Genpact, Mphasis,Hinduja</t>
  </si>
  <si>
    <t>The following table provides a consolidated view of all the Strategic Priorities for some of the Top Insurers and Brokers. These priorities (VOC) have been mapped to various EXL solution components to focus on future priorities</t>
  </si>
  <si>
    <t>Competitor Analysis</t>
  </si>
  <si>
    <t>This active document tracks the range of services by each client area currently being provided by EXL's competitors alogn with the potential FTE span as an opportunity area for EXL</t>
  </si>
  <si>
    <t>Partnership &amp; Alliances</t>
  </si>
  <si>
    <t>Potential Partnership and Alliances mapped to EXL solution elements (based on internal research). Extensive assessment needs to be conducted to qualify and validate commercial viability for each solution and partner/ alliance</t>
  </si>
  <si>
    <t>Internal Parameters used for Evaluation</t>
  </si>
  <si>
    <t>Functional Capability</t>
  </si>
  <si>
    <t>Solution Applicability</t>
  </si>
  <si>
    <t>Capability Gap Assessment</t>
  </si>
  <si>
    <t>Build-Buy-Partner Analysis</t>
  </si>
  <si>
    <t>Collated Collaterals</t>
  </si>
  <si>
    <t>InsureTech Landscape</t>
  </si>
  <si>
    <t>Partnership Landscape</t>
  </si>
  <si>
    <t>Assessment of organizations with specific Insurance capabilities and alignment to EXL solutions, with a view to engage in future partnerships for a joint GTM strategy</t>
  </si>
  <si>
    <t>P&amp;C Solution List</t>
  </si>
  <si>
    <t>Client Prioritization Framework</t>
  </si>
  <si>
    <t>Global List of Top Insurers &amp; Brokers</t>
  </si>
  <si>
    <t>Mapping Client Priorities - VOC to Solution</t>
  </si>
  <si>
    <t xml:space="preserve">2020 EXL Assessment </t>
  </si>
  <si>
    <t>Version 1.5</t>
  </si>
  <si>
    <t>The following table comprises of Top Insurers and Brokers rated per industry standards. This list will be used to map Client Prioritization and Future GTM Strategies. This list includes non-EXL clients as well</t>
  </si>
  <si>
    <t>Leverage Best-in-Class Operational capabilities</t>
  </si>
  <si>
    <t>This page provides one view of all the Top Insurers &amp; Brokers, their priorities mapped to EXL's solution elements along with Gap assessment vs. Build-Buy-Partner options</t>
  </si>
  <si>
    <t>The following table maps various P&amp;C opportunity areas to identified solution elements. The study also maps the solution elements to potential gaps where EXL will have to bridge the deficiency in capability through possible external channels - Partnership, Alliances or Acquisition.</t>
  </si>
  <si>
    <t>1. Robust and functioning extraction capability
2. A functioning bolt on FNOL interface that could work with various Claims platforms like Guidewire and Duck Creek</t>
  </si>
  <si>
    <t>Provides for reduced FNOL Call AHT, improved call routing ability to answer basic claim inquiry calls</t>
  </si>
  <si>
    <t>The people capability to execute these transactions exists today and there are automated features which do exist
1.  A holistic, integrated solution with payment processing vendors (E.g. VISA) does not exist</t>
  </si>
  <si>
    <t>The solution needs to provide for a number of administrative services.
'-Account Funding - Some vendors can use the insurers’ own bank accounts. 
-Escheatment - PaaS providers can handle the escheatment processes for each state as needed.  
-Marketing Services - MostPaaS providers include some support for marketing (insurer branded cards, drive demand for paper-free payments, marketing messages within payee portal)
-Reporting Data - real time data or regular data files that aggregate data across all payment channels for easy reconciliation
-Reconciliation Tools
-Administrative Portal - provides the insurer with access to data and admin tools (access to scheduled reports, recon tools, admin access to add insurer users and manage permissions, search, manage and view real time status of each payment, stop pay/voids/reissue
-Payment Integrity</t>
  </si>
  <si>
    <t>The people capability to execute these transactions exists today and there are automated features which do exist
1.  An Admin portal does not exist</t>
  </si>
  <si>
    <t>Nurse expertise in UR exists at EXL if able to work in client UR platforms and tools and leverage benchmarks and state guidelines
1. Gap is in having our own UR platform/tool/licenses (i.e.; Strata, Mitchell)
2.  Lack of access to Physician Peer Review Network</t>
  </si>
  <si>
    <t xml:space="preserve">-MBR capability exists if able to work in client platform. 1. Gap is lack of MBR platform with PPO networks, RX programs, benchmarks </t>
  </si>
  <si>
    <t>RTW Modeling (prediction of MO, LT, Catastrophic Injuries and RTW/MMI days), Severity Modeling, Nurse Triage (Nurse Intervention Success, Nurse Performance), Litigation Propensity, Indemnity Spend Analytics, RX Analytics (target high risk meds which harm RTW efforts - guide appropriate utilization), PPO Outcomes (Inside Network/Outside Network), Physician Peer Review Performance, Fraud Analytics, WFH Injury Models, Vendor Outcome Models, Early Intervention/Chronic Pain Analysis, AI Tools to identify potentially difficult or complex claims</t>
  </si>
  <si>
    <t xml:space="preserve">Leverage subrogation capabilities to highlight claims with high Subro potential early in the case and pursue accordingly. </t>
  </si>
  <si>
    <r>
      <rPr>
        <b/>
        <sz val="11"/>
        <color theme="1"/>
        <rFont val="Arial"/>
        <family val="2"/>
      </rPr>
      <t>1. Improving speed to market</t>
    </r>
    <r>
      <rPr>
        <sz val="11"/>
        <color theme="1"/>
        <rFont val="Arial"/>
        <family val="2"/>
      </rPr>
      <t xml:space="preserve">
(WHY)
- Inability to gain business insights driven by analytics
- Inability to process Omni channel intake
- Lack of digital solutions
- High degree of missing information resulting in back and forth
- Risk selection and submission prioritization
- Multiple touches across the organization resulting slower turn around
</t>
    </r>
    <r>
      <rPr>
        <b/>
        <sz val="11"/>
        <color theme="1"/>
        <rFont val="Arial"/>
        <family val="2"/>
      </rPr>
      <t xml:space="preserve">
2. Reducing cost of quote generation</t>
    </r>
    <r>
      <rPr>
        <sz val="11"/>
        <color theme="1"/>
        <rFont val="Arial"/>
        <family val="2"/>
      </rPr>
      <t xml:space="preserve">
(WHY)
-  Multiple touches across the shared service and underwriting organization to present a quote
- Need to digitize the process
- Prioritize what to quote versus quoting everything
</t>
    </r>
    <r>
      <rPr>
        <b/>
        <sz val="11"/>
        <color theme="1"/>
        <rFont val="Arial"/>
        <family val="2"/>
      </rPr>
      <t>3. Prioritizing and writing profitable business</t>
    </r>
    <r>
      <rPr>
        <sz val="11"/>
        <color theme="1"/>
        <rFont val="Arial"/>
        <family val="2"/>
      </rPr>
      <t xml:space="preserve">
</t>
    </r>
    <r>
      <rPr>
        <b/>
        <sz val="11"/>
        <color theme="1"/>
        <rFont val="Arial"/>
        <family val="2"/>
      </rPr>
      <t>4. Increasing Quote to Bind Ratio</t>
    </r>
    <r>
      <rPr>
        <sz val="11"/>
        <color theme="1"/>
        <rFont val="Arial"/>
        <family val="2"/>
      </rPr>
      <t xml:space="preserve">
(WHY)
- Improve broker and customer experience
- Approval rates by broker
- Broker/Agency benchmarking - which broker is more suitable
- Commissions management</t>
    </r>
  </si>
  <si>
    <t>Automated Issuance
Automated communication for binders
Binder generation, DEC package</t>
  </si>
  <si>
    <t>Digital Endorsement solution services end to end value chain from intake of requests to issuance of policies without human intervention.
- Straight Through Processing of simple endorsement requests
-ability to ingest data from any channel
-Early identification of missing information
-Data intelligence to improve self service functionality
-Ability to prioritize based on VOC</t>
  </si>
  <si>
    <t xml:space="preserve">Endorsements requests for various market segment are inconsistent and not standard hindering the ability to get a good understanding of endorsement volumes, types etc. and adding complexity to processing. Insurers are looking to reduce unwanted endorsements
1.Unstructured &amp; Unstandardized Requests resulting in inability to get business insights into types of endorsements and reasons driving the endorsements (quality, broker behavior etc.)
2. Need to support Omni channels for endorsements
3. Need to centralize endorsement processing across various market segments
4. Lower adoption of Brokers to self service portals
</t>
  </si>
  <si>
    <t>-Ability to report on endorsement volumes 
-Provide business insights into core reasons for endorsements to enable addressing the root causes
-Identify broker behavior issues
Reduce endorsement volume through repeat request reduction, upstream optimization
-Send proactive alerts and communication for endorsement (as an example)</t>
  </si>
  <si>
    <t>Multiple submission
Delayed quote generation time
Administration overhead due to non standard requests to insurers</t>
  </si>
  <si>
    <t>-Data intake from multiple sources</t>
  </si>
  <si>
    <t>- Pre-identification of missing information
- Risk propensity model
- Lead prioritization
- Commission forecast</t>
  </si>
  <si>
    <t xml:space="preserve">Analytics driven Human + Digital Collections: As the lockdowns impact household income and company revenues insurers are either starting to see or anticipating the following: 
1. Higher Expected Default: Adverse impact across customer industries – adversely impacting company’s cash position
2. Erratic pandemic behavior: Overestimated risk scores, impacted UW deaccessioning and lower forecasting accuracy
3. Non-standardized highly manual processes: Need to design experience with focus on the right outcomes
EXL will help insurers get more cash in faster by using specialized analytics, automated communications and leveraging specialized targeted collections strategies, in addition to quicker matching and resolution of cash balances. 
</t>
  </si>
  <si>
    <t>Daily Sales Outstanding
Collectability Rate
Installment Plans
Promise to Pay</t>
  </si>
  <si>
    <t>Better Cash Management - Focused Collections and Customer Service Effort on cases with very high probability of default to improve DSOs
Improved speed of dispute resolution &amp; billing rectification - better customer outcomes
Better staffing &amp; planning of Receivables Management operations
Better capture of customer behavior &amp; industry behavior data at billing / dispute and collections stage for better front end deaccessioning
Improved UW Deaccessioning</t>
  </si>
  <si>
    <t xml:space="preserve">Analytics driven Post Billing activities: Run AR reports from the system (by product / broker / location) and run Analytics engines to determine likelihood of default for more targeted focus. Enhance outreach and connect with Insured / broker by confirm in invoice receipt by the right contact at the client / broker and share any information required. </t>
  </si>
  <si>
    <t>Intelligent pro-active dispute resolution and automated reminder Pre-Due: Identify cases with high propensity for disputes and escalate and help resolve disputes (revisions/credit/other). Automated reminders at various stages and confirmation of the scheduled payment date (Promise to Pay)</t>
  </si>
  <si>
    <t>-Lockdowns have led to an acceleration in the speed of automation being implemented across clients to drive operations resiliency and improve efficiency. Clients are looking at partners to come up with ready and implementable solutions for automation.</t>
  </si>
  <si>
    <t>Reviewed 2019 InsureTech study of 80 InsureTech to determine how many, if any, should carry over to the 2020 analysis.  Only 1, Shift Technology, stayed High in both years</t>
  </si>
  <si>
    <t xml:space="preserve">- Created a comprehensive list of 75+ top InsureTech/TPA/Service Providers using secondary research </t>
  </si>
  <si>
    <t>- Studied an additional 62 InsureTech/TPA and Other firms to determine applicability to our identified solutions</t>
  </si>
  <si>
    <t xml:space="preserve">- A second level of research was done to shortlist the InsureTech' s that best address white spaces and augments our  chosen solutions. Basic criteria was applied to determine "Best Fit" for a given solution.  </t>
  </si>
  <si>
    <t>ACI Worldwide
Commerce Bank
Fiserv
Ingo Money
Invenger
Vpay
One Inc</t>
  </si>
  <si>
    <t>Assessment of various Global Insuretechs based on their capabilities and applicability to EXL's requirements</t>
  </si>
  <si>
    <t xml:space="preserve">A health insurer, utilizing a data driven system to allow for more in-depth personalization. Clover Health is reinventing the health insurance model by integrating technology into every aspect of its members’ healthcare. The Clover data and analytics platform uses continuous, real-time monitoring to prevent hospital admissions, reduce avoidable spending, and identify and better manage chronic diseases. </t>
  </si>
  <si>
    <t xml:space="preserve">Software as a solution for insurers, which utilizes Big Data analytics and Machine Learning technology to improve fraud detection. Company's flagship product provides insurers a decision-making platform speciﬁcally designed for their fraud handlers to scale their capacity to detect a wide spectrum of fraudulent insurance behaviors, from opportunistic to organized crime!  LUKE delivers powerful claims capabilities built around Shift's highly accurate AI decision engine.  Delivers claim automation, easy claim submission, accurate claim validation and fraud detection, immediate settlement and payout of simple claims - augments claim handlers capabilities.   FORCE is the fraud detection suite.  </t>
  </si>
  <si>
    <r>
      <rPr>
        <b/>
        <u/>
        <sz val="11"/>
        <color theme="1"/>
        <rFont val="Arial"/>
        <family val="2"/>
      </rPr>
      <t>11. Subrogation</t>
    </r>
    <r>
      <rPr>
        <sz val="11"/>
        <color theme="1"/>
        <rFont val="Arial"/>
        <family val="2"/>
      </rPr>
      <t xml:space="preserve">
Leverage subrogation capabilities to highlight claims with high Subro potential early in the case and pursue accordingly. </t>
    </r>
  </si>
  <si>
    <r>
      <rPr>
        <b/>
        <sz val="11"/>
        <color theme="1"/>
        <rFont val="Arial"/>
        <family val="2"/>
      </rPr>
      <t>1. Improving speed to market</t>
    </r>
    <r>
      <rPr>
        <sz val="11"/>
        <color theme="1"/>
        <rFont val="Arial"/>
        <family val="2"/>
      </rPr>
      <t xml:space="preserve">
(WHY)
- Inability to gain business insights driven by analytics
- Inability to process omni channel intake
- Lack of digital solutions
- High degree of missing information resulting in back and forth
- Risk selection and submission prioritization
- Multiple touches across the organization resulting slower turn around
</t>
    </r>
    <r>
      <rPr>
        <b/>
        <sz val="11"/>
        <color theme="1"/>
        <rFont val="Arial"/>
        <family val="2"/>
      </rPr>
      <t xml:space="preserve">
2. Reducing cost of quote generation</t>
    </r>
    <r>
      <rPr>
        <sz val="11"/>
        <color theme="1"/>
        <rFont val="Arial"/>
        <family val="2"/>
      </rPr>
      <t xml:space="preserve">
(WHY)
-  Multiple touches across the shared service and underwriting organization to present a quote
- Need to digitize the process
- Prioritize what to quote versus quoting everything
</t>
    </r>
    <r>
      <rPr>
        <b/>
        <sz val="11"/>
        <color theme="1"/>
        <rFont val="Arial"/>
        <family val="2"/>
      </rPr>
      <t>3. Prioritizing and writing profitable business</t>
    </r>
    <r>
      <rPr>
        <sz val="11"/>
        <color theme="1"/>
        <rFont val="Arial"/>
        <family val="2"/>
      </rPr>
      <t xml:space="preserve">
</t>
    </r>
    <r>
      <rPr>
        <b/>
        <sz val="11"/>
        <color theme="1"/>
        <rFont val="Arial"/>
        <family val="2"/>
      </rPr>
      <t>4. Increasing Quote to Bind Ratio</t>
    </r>
    <r>
      <rPr>
        <sz val="11"/>
        <color theme="1"/>
        <rFont val="Arial"/>
        <family val="2"/>
      </rPr>
      <t xml:space="preserve">
(WHY)
- Improve broker and customer experience
- Approval rates by broker
- Broker/Agency benchmarking - which broker is more suitable
- Commissions management</t>
    </r>
  </si>
  <si>
    <t>Feedback received from clients to be updated here - AIG, Allstate, Assurant, CNA, Hanover, HIG, Liberty Mutual, ZNA, Axis, Everest</t>
  </si>
  <si>
    <r>
      <rPr>
        <b/>
        <u/>
        <sz val="11"/>
        <color theme="1"/>
        <rFont val="Arial"/>
        <family val="2"/>
      </rPr>
      <t>2. Rating</t>
    </r>
    <r>
      <rPr>
        <sz val="11"/>
        <color theme="1"/>
        <rFont val="Arial"/>
        <family val="2"/>
      </rPr>
      <t xml:space="preserve">
- Automated data entry for quote creation
- Identify segments/risk profiles to increase quick rating  (Quick Rate Process)</t>
    </r>
  </si>
  <si>
    <r>
      <rPr>
        <b/>
        <u/>
        <sz val="11"/>
        <color theme="1"/>
        <rFont val="Arial"/>
        <family val="2"/>
      </rPr>
      <t>3. Reporting and Analytics</t>
    </r>
    <r>
      <rPr>
        <sz val="11"/>
        <color theme="1"/>
        <rFont val="Arial"/>
        <family val="2"/>
      </rPr>
      <t xml:space="preserve">
- Ability to report on endorsement volumes
- Provide business insights into core reasons for endorsements to enable addressing the root causes
- Identify broker behavior issues
- Reducing endorsement volume through repeat request reduction, upstream optimization
- Send Proactive alert(s) and communication for endorsement (as an example)</t>
    </r>
  </si>
  <si>
    <t>No existing experience - AON experience can be the blue print</t>
  </si>
  <si>
    <t>2. Data Extraction Module - Data intake from multiple sources</t>
  </si>
  <si>
    <r>
      <rPr>
        <b/>
        <u/>
        <sz val="11"/>
        <color theme="1"/>
        <rFont val="Arial"/>
        <family val="2"/>
      </rPr>
      <t>3. Value Add Services</t>
    </r>
    <r>
      <rPr>
        <sz val="11"/>
        <color theme="1"/>
        <rFont val="Arial"/>
        <family val="2"/>
      </rPr>
      <t xml:space="preserve">
- Pre-identification of missing information
- Risk propensity model
- Lead prioritization
- Commission forecast</t>
    </r>
  </si>
  <si>
    <r>
      <rPr>
        <b/>
        <sz val="11"/>
        <color theme="1"/>
        <rFont val="Arial"/>
        <family val="2"/>
      </rPr>
      <t>Core Collections Activities:</t>
    </r>
    <r>
      <rPr>
        <sz val="11"/>
        <color theme="1"/>
        <rFont val="Arial"/>
        <family val="2"/>
      </rPr>
      <t xml:space="preserve">
</t>
    </r>
    <r>
      <rPr>
        <b/>
        <sz val="11"/>
        <color theme="1"/>
        <rFont val="Arial"/>
        <family val="2"/>
      </rPr>
      <t>1. ANALYTICS LED RISK PRIORITIZATION &amp; FORECASTING</t>
    </r>
    <r>
      <rPr>
        <sz val="11"/>
        <color theme="1"/>
        <rFont val="Arial"/>
        <family val="2"/>
      </rPr>
      <t xml:space="preserve">
Dynamic risk scoring based on industry level macro variables, historical account performance and external factors as applicable
Dynamic risk scoring based on industry level macro variables, historical account performance and external factors as applicable:
Automated prioritization of activities based on customer type, collection, risk, balance and location
Standardized dispute resolution with standard routing, escalation and approval processes
Data from banks, external remittance data, electronic data from customers, or any other supporting data used to improve auto-match% and better cash forecasting
</t>
    </r>
    <r>
      <rPr>
        <b/>
        <sz val="11"/>
        <color theme="1"/>
        <rFont val="Arial"/>
        <family val="2"/>
      </rPr>
      <t>2. AUTOMATED COMMUNICATIONS &amp; CHASERS</t>
    </r>
    <r>
      <rPr>
        <sz val="11"/>
        <color theme="1"/>
        <rFont val="Arial"/>
        <family val="2"/>
      </rPr>
      <t xml:space="preserve">
Automated reminders pre due date based on inherent risk; Automated chasers post due date based on ageing
</t>
    </r>
    <r>
      <rPr>
        <b/>
        <sz val="11"/>
        <color theme="1"/>
        <rFont val="Arial"/>
        <family val="2"/>
      </rPr>
      <t>3. REAL TIME CASH APPLICATION</t>
    </r>
    <r>
      <rPr>
        <sz val="11"/>
        <color theme="1"/>
        <rFont val="Arial"/>
        <family val="2"/>
      </rPr>
      <t xml:space="preserve">
Real-time Cash Application integrated with collections, dispute resolution and self-service portal
</t>
    </r>
    <r>
      <rPr>
        <b/>
        <sz val="11"/>
        <color theme="1"/>
        <rFont val="Arial"/>
        <family val="2"/>
      </rPr>
      <t xml:space="preserve">
4. COMPREHENSIVE DATA REPORTS AND DASHBOARDS</t>
    </r>
    <r>
      <rPr>
        <sz val="11"/>
        <color theme="1"/>
        <rFont val="Arial"/>
        <family val="2"/>
      </rPr>
      <t xml:space="preserve">
Stringent Credit Risk Management - automated credit reviews and customer score cards
Reporting engine – Collections Dashboard, AR aging report, On Account and Misapplied Cash
</t>
    </r>
    <r>
      <rPr>
        <b/>
        <sz val="11"/>
        <color theme="1"/>
        <rFont val="Arial"/>
        <family val="2"/>
      </rPr>
      <t xml:space="preserve">Other Receivables Areas:
</t>
    </r>
    <r>
      <rPr>
        <sz val="11"/>
        <color theme="1"/>
        <rFont val="Arial"/>
        <family val="2"/>
      </rPr>
      <t xml:space="preserve">
1. </t>
    </r>
    <r>
      <rPr>
        <b/>
        <u/>
        <sz val="11"/>
        <color theme="1"/>
        <rFont val="Arial"/>
        <family val="2"/>
      </rPr>
      <t>Analytics driven Post Billing activities</t>
    </r>
    <r>
      <rPr>
        <sz val="11"/>
        <color theme="1"/>
        <rFont val="Arial"/>
        <family val="2"/>
      </rPr>
      <t>: Run AR reports from the system (by product / broker / location) and run Analytics engines to determine likelihood of default for more targeted focus. Enhance outreach and connect with Insured / broker by confirm in invoice receipt by the right contact at the client / broker and share any information required. 
2.</t>
    </r>
    <r>
      <rPr>
        <b/>
        <u/>
        <sz val="11"/>
        <color theme="1"/>
        <rFont val="Arial"/>
        <family val="2"/>
      </rPr>
      <t xml:space="preserve"> Intelligent pro-active dispute resolution and automated reminder Pre-Due</t>
    </r>
    <r>
      <rPr>
        <sz val="11"/>
        <color theme="1"/>
        <rFont val="Arial"/>
        <family val="2"/>
      </rPr>
      <t xml:space="preserve">: Identify cases with high propensity for disputes and escalate and help resolve disputes (revisions/credit/other). Automated reminders at various stages and confirmation of the scheduled payment date (Promise to Pay)
3. </t>
    </r>
    <r>
      <rPr>
        <b/>
        <u/>
        <sz val="11"/>
        <color theme="1"/>
        <rFont val="Arial"/>
        <family val="2"/>
      </rPr>
      <t>Intelligent Reporting and Tracking</t>
    </r>
    <r>
      <rPr>
        <sz val="11"/>
        <color theme="1"/>
        <rFont val="Arial"/>
        <family val="2"/>
      </rPr>
      <t xml:space="preserve">: Consistently and proactively move the invoice to the payments stages,  effectively collect and proactively escalate, send Overdue statement if payment not received as per “Promise to Pay”, loop in brokers and account managers (as needed) in collections email
4. </t>
    </r>
    <r>
      <rPr>
        <b/>
        <u/>
        <sz val="11"/>
        <color theme="1"/>
        <rFont val="Arial"/>
        <family val="2"/>
      </rPr>
      <t>Dispute Resolution</t>
    </r>
    <r>
      <rPr>
        <sz val="11"/>
        <color theme="1"/>
        <rFont val="Arial"/>
        <family val="2"/>
      </rPr>
      <t xml:space="preserve">: Create and follow dynamic follow escalation matrix to resolve the dispute with client / broker, create processes for quick and efficient dispute resolution, Intelligent solution to capture  resolutions and post resolution, confirm schedule payment date on disputed invoices
5. </t>
    </r>
    <r>
      <rPr>
        <b/>
        <u/>
        <sz val="11"/>
        <color theme="1"/>
        <rFont val="Arial"/>
        <family val="2"/>
      </rPr>
      <t xml:space="preserve">Reporting </t>
    </r>
    <r>
      <rPr>
        <sz val="11"/>
        <color theme="1"/>
        <rFont val="Arial"/>
        <family val="2"/>
      </rPr>
      <t xml:space="preserve">- Create Single Versions of Truth: Optimize system reports as “version of truth” for all collections reporting and follow-up; Report, track and benchmark DSO, Overdue AR, disputes, bad-debts and other KPI’s; Quantify the $’s to be collected on a time scale
6. </t>
    </r>
    <r>
      <rPr>
        <b/>
        <u/>
        <sz val="11"/>
        <color theme="1"/>
        <rFont val="Arial"/>
        <family val="2"/>
      </rPr>
      <t>Additional Value Add</t>
    </r>
    <r>
      <rPr>
        <sz val="11"/>
        <color theme="1"/>
        <rFont val="Arial"/>
        <family val="2"/>
      </rPr>
      <t>: Create customized ‘risk’ segments leveraging multiple criterion like balance/tenure, likelihood-to-pay, tenure, time to payment  and other models. Assign these collections risk scores and portfolio risk ranking to prioritize collections and minimize loss. Proactive feedback loop for credit team to better manage credit risk. Leverage customer intel across product lines (behavior patterns, terms, contracts, shutouts, etc.) to give clients better understanding of customer shifts</t>
    </r>
  </si>
  <si>
    <t>Daily Sales Outstanding
Collectability Rate
Installment Plans
Promise to Pay</t>
  </si>
  <si>
    <t>High - since most Insurers are talking about the fact that receivables have either already been impacted or will be impacted due to market conditions</t>
  </si>
  <si>
    <t>EXL Analytics has done several stand alone analytics projects as well as analytics projects which embedded are embedded within operations</t>
  </si>
  <si>
    <t>This is one of the emerging capabilities for us, with inclusion of Assurant and some good work done at CNA along with couple of current opportunities that we are chasing</t>
  </si>
  <si>
    <t>Session set-up with all the CEs for Tuesday (7/21) to walk them through the solution and elicit response &amp; feedback from the clients</t>
  </si>
  <si>
    <t>Lockdowns have led to an acceleration in the speed of automation being implemented across clients to drive operations resiliency and improve efficiency. Clients are looking at partners to come up with ready and implementable solutions for automation.</t>
  </si>
  <si>
    <t>Session set-up with all the CEs for Tuesday (07/21) to take them through the solution and elicit response and feedback from the clients</t>
  </si>
  <si>
    <t>Study of various problems faced or opportunities within the P&amp;C Insurance domain mapped to potential solution(s) which will drive EXL's future priorities. 
These solution(s) will form the basis of discussion with Clients and potential Partnerships &amp; Alliances to enhance EXL's capabilities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</si>
</sst>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0.0%"/>
  </numFmts>
  <fonts count="104" x14ac:knownFonts="1">
    <font>
      <sz val="11"/>
      <color theme="1"/>
      <name val="Calibri"/>
      <family val="2"/>
      <scheme val="minor"/>
    </font>
    <font>
      <sz val="9"/>
      <color theme="1"/>
      <name val="Arial"/>
      <family val="2"/>
    </font>
    <font>
      <sz val="10"/>
      <color rgb="FF000000"/>
      <name val="Arial"/>
      <family val="2"/>
    </font>
    <font>
      <sz val="10"/>
      <color theme="1"/>
      <name val="Arial"/>
      <family val="2"/>
    </font>
    <font>
      <b/>
      <sz val="10"/>
      <color theme="0"/>
      <name val="Arial"/>
      <family val="2"/>
    </font>
    <font>
      <b/>
      <sz val="11"/>
      <color theme="1"/>
      <name val="Calibri"/>
      <family val="2"/>
      <scheme val="minor"/>
    </font>
    <font>
      <sz val="18"/>
      <name val="Arial"/>
      <family val="2"/>
    </font>
    <font>
      <b/>
      <sz val="10"/>
      <color rgb="FFFFFFFF"/>
      <name val="Arial"/>
      <family val="2"/>
    </font>
    <font>
      <sz val="10"/>
      <color rgb="FFFFFFFF"/>
      <name val="Arial"/>
      <family val="2"/>
    </font>
    <font>
      <b/>
      <sz val="10"/>
      <color rgb="FF0D5DB2"/>
      <name val="Arial"/>
      <family val="2"/>
    </font>
    <font>
      <sz val="10"/>
      <color rgb="FF0093FF"/>
      <name val="Arial"/>
      <family val="2"/>
    </font>
    <font>
      <b/>
      <sz val="10"/>
      <color rgb="FFFF0000"/>
      <name val="Arial"/>
      <family val="2"/>
    </font>
    <font>
      <b/>
      <sz val="14"/>
      <color theme="1"/>
      <name val="Calibri"/>
      <family val="2"/>
      <scheme val="minor"/>
    </font>
    <font>
      <b/>
      <sz val="10"/>
      <color theme="1"/>
      <name val="Arial"/>
      <family val="2"/>
    </font>
    <font>
      <b/>
      <sz val="10"/>
      <color rgb="FF000000"/>
      <name val="Arial"/>
      <family val="2"/>
    </font>
    <font>
      <sz val="10"/>
      <name val="Arial"/>
      <family val="2"/>
    </font>
    <font>
      <sz val="10"/>
      <color theme="1"/>
      <name val="Calibri"/>
      <family val="2"/>
      <scheme val="minor"/>
    </font>
    <font>
      <b/>
      <sz val="9"/>
      <color indexed="81"/>
      <name val="Tahoma"/>
      <family val="2"/>
    </font>
    <font>
      <sz val="10"/>
      <color rgb="FF3F3F3F"/>
      <name val="Arial"/>
      <family val="2"/>
    </font>
    <font>
      <sz val="11"/>
      <color rgb="FFFF0000"/>
      <name val="Calibri"/>
      <family val="2"/>
      <scheme val="minor"/>
    </font>
    <font>
      <sz val="11"/>
      <color theme="1"/>
      <name val="Arial"/>
      <family val="2"/>
    </font>
    <font>
      <b/>
      <sz val="11"/>
      <color theme="1"/>
      <name val="Arial"/>
      <family val="2"/>
    </font>
    <font>
      <sz val="9"/>
      <color indexed="81"/>
      <name val="Tahoma"/>
      <family val="2"/>
    </font>
    <font>
      <b/>
      <u/>
      <sz val="11"/>
      <color theme="1"/>
      <name val="Arial"/>
      <family val="2"/>
    </font>
    <font>
      <b/>
      <u/>
      <sz val="11"/>
      <name val="Arial"/>
      <family val="2"/>
    </font>
    <font>
      <sz val="11"/>
      <name val="Arial"/>
      <family val="2"/>
    </font>
    <font>
      <u/>
      <sz val="11"/>
      <color theme="1"/>
      <name val="Arial"/>
      <family val="2"/>
    </font>
    <font>
      <sz val="11"/>
      <name val="Calibri"/>
      <family val="2"/>
      <scheme val="minor"/>
    </font>
    <font>
      <b/>
      <i/>
      <u/>
      <sz val="11"/>
      <color theme="1"/>
      <name val="Arial"/>
      <family val="2"/>
    </font>
    <font>
      <i/>
      <sz val="11"/>
      <color theme="1"/>
      <name val="Arial"/>
      <family val="2"/>
    </font>
    <font>
      <b/>
      <sz val="11"/>
      <name val="Arial"/>
      <family val="2"/>
    </font>
    <font>
      <sz val="10"/>
      <color rgb="FFFF0000"/>
      <name val="Arial"/>
      <family val="2"/>
    </font>
    <font>
      <b/>
      <i/>
      <sz val="10"/>
      <color rgb="FFFFFFFF"/>
      <name val="Arial"/>
      <family val="2"/>
    </font>
    <font>
      <sz val="11"/>
      <color theme="1"/>
      <name val="Calibri"/>
      <family val="2"/>
      <scheme val="minor"/>
    </font>
    <font>
      <sz val="18"/>
      <color theme="3"/>
      <name val="Calibri Light"/>
      <family val="2"/>
      <scheme val="major"/>
    </font>
    <font>
      <b/>
      <sz val="15"/>
      <color theme="3"/>
      <name val="Arial"/>
      <family val="2"/>
    </font>
    <font>
      <b/>
      <sz val="13"/>
      <color theme="3"/>
      <name val="Arial"/>
      <family val="2"/>
    </font>
    <font>
      <b/>
      <sz val="11"/>
      <color theme="3"/>
      <name val="Arial"/>
      <family val="2"/>
    </font>
    <font>
      <sz val="9"/>
      <color rgb="FF006100"/>
      <name val="Arial"/>
      <family val="2"/>
    </font>
    <font>
      <sz val="9"/>
      <color rgb="FF9C0006"/>
      <name val="Arial"/>
      <family val="2"/>
    </font>
    <font>
      <sz val="9"/>
      <color rgb="FF9C6500"/>
      <name val="Arial"/>
      <family val="2"/>
    </font>
    <font>
      <sz val="9"/>
      <color rgb="FF3F3F76"/>
      <name val="Arial"/>
      <family val="2"/>
    </font>
    <font>
      <b/>
      <sz val="9"/>
      <color rgb="FF3F3F3F"/>
      <name val="Arial"/>
      <family val="2"/>
    </font>
    <font>
      <b/>
      <sz val="9"/>
      <color rgb="FFFA7D00"/>
      <name val="Arial"/>
      <family val="2"/>
    </font>
    <font>
      <sz val="9"/>
      <color rgb="FFFA7D00"/>
      <name val="Arial"/>
      <family val="2"/>
    </font>
    <font>
      <b/>
      <sz val="9"/>
      <color theme="0"/>
      <name val="Arial"/>
      <family val="2"/>
    </font>
    <font>
      <sz val="9"/>
      <color rgb="FFFF0000"/>
      <name val="Arial"/>
      <family val="2"/>
    </font>
    <font>
      <i/>
      <sz val="9"/>
      <color rgb="FF7F7F7F"/>
      <name val="Arial"/>
      <family val="2"/>
    </font>
    <font>
      <b/>
      <sz val="9"/>
      <color theme="1"/>
      <name val="Arial"/>
      <family val="2"/>
    </font>
    <font>
      <sz val="9"/>
      <color theme="0"/>
      <name val="Arial"/>
      <family val="2"/>
    </font>
    <font>
      <b/>
      <sz val="8"/>
      <color theme="1"/>
      <name val="Arial"/>
      <family val="2"/>
    </font>
    <font>
      <sz val="8"/>
      <color theme="1"/>
      <name val="Arial"/>
      <family val="2"/>
    </font>
    <font>
      <sz val="8"/>
      <color rgb="FF030305"/>
      <name val="Arial"/>
      <family val="2"/>
    </font>
    <font>
      <u/>
      <sz val="11"/>
      <color theme="10"/>
      <name val="Calibri"/>
      <family val="2"/>
      <scheme val="minor"/>
    </font>
    <font>
      <i/>
      <u/>
      <sz val="9"/>
      <color theme="10"/>
      <name val="Calibri"/>
      <family val="2"/>
      <scheme val="minor"/>
    </font>
    <font>
      <b/>
      <sz val="8"/>
      <color theme="0"/>
      <name val="Arial"/>
      <family val="2"/>
    </font>
    <font>
      <sz val="11"/>
      <color theme="1"/>
      <name val="Calibri"/>
      <family val="2"/>
    </font>
    <font>
      <sz val="8"/>
      <color theme="1"/>
      <name val="Calibri"/>
      <family val="2"/>
      <scheme val="minor"/>
    </font>
    <font>
      <b/>
      <sz val="8"/>
      <color theme="1"/>
      <name val="Calibri"/>
      <family val="2"/>
      <scheme val="minor"/>
    </font>
    <font>
      <b/>
      <sz val="12"/>
      <color theme="0"/>
      <name val="Arial"/>
      <family val="2"/>
    </font>
    <font>
      <b/>
      <sz val="14"/>
      <color theme="0"/>
      <name val="Arial"/>
      <family val="2"/>
    </font>
    <font>
      <b/>
      <sz val="12"/>
      <color theme="1"/>
      <name val="Arial"/>
      <family val="2"/>
    </font>
    <font>
      <sz val="12"/>
      <color theme="1"/>
      <name val="Arial"/>
      <family val="2"/>
    </font>
    <font>
      <sz val="8"/>
      <color theme="1"/>
      <name val="Arial"/>
      <family val="2"/>
    </font>
    <font>
      <u/>
      <sz val="10"/>
      <color theme="10"/>
      <name val="Century Gothic"/>
      <family val="2"/>
    </font>
    <font>
      <u/>
      <sz val="10"/>
      <color theme="0"/>
      <name val="Calibri"/>
      <family val="2"/>
      <scheme val="minor"/>
    </font>
    <font>
      <sz val="18"/>
      <color theme="1"/>
      <name val="Arial"/>
      <family val="2"/>
    </font>
    <font>
      <b/>
      <sz val="20"/>
      <color theme="1"/>
      <name val="Arial"/>
      <family val="2"/>
    </font>
    <font>
      <b/>
      <sz val="18"/>
      <color theme="1"/>
      <name val="Arial"/>
      <family val="2"/>
    </font>
    <font>
      <b/>
      <sz val="18"/>
      <color theme="0"/>
      <name val="Arial"/>
      <family val="2"/>
    </font>
    <font>
      <strike/>
      <sz val="10"/>
      <name val="Arial"/>
      <family val="2"/>
    </font>
    <font>
      <i/>
      <sz val="10"/>
      <name val="Arial"/>
      <family val="2"/>
    </font>
    <font>
      <b/>
      <u/>
      <sz val="16"/>
      <color theme="4"/>
      <name val="Arial"/>
      <family val="2"/>
    </font>
    <font>
      <b/>
      <sz val="12"/>
      <color theme="4" tint="-0.499984740745262"/>
      <name val="Arial"/>
      <family val="2"/>
    </font>
    <font>
      <b/>
      <sz val="22"/>
      <color theme="1"/>
      <name val="Arial"/>
      <family val="2"/>
    </font>
    <font>
      <b/>
      <i/>
      <sz val="8"/>
      <color theme="1"/>
      <name val="Arial"/>
      <family val="2"/>
    </font>
    <font>
      <sz val="11"/>
      <color theme="0"/>
      <name val="Calibri"/>
      <family val="2"/>
      <scheme val="minor"/>
    </font>
    <font>
      <b/>
      <sz val="14"/>
      <color theme="0"/>
      <name val="Calibri"/>
      <family val="2"/>
      <scheme val="minor"/>
    </font>
    <font>
      <sz val="24"/>
      <color rgb="FF7030A0"/>
      <name val="Calibri"/>
      <family val="2"/>
      <scheme val="minor"/>
    </font>
    <font>
      <sz val="11"/>
      <color rgb="FF000000"/>
      <name val="Calibri"/>
      <family val="2"/>
      <scheme val="minor"/>
    </font>
    <font>
      <b/>
      <sz val="14"/>
      <color theme="5"/>
      <name val="Arial"/>
      <family val="2"/>
    </font>
    <font>
      <b/>
      <i/>
      <sz val="11"/>
      <color theme="1"/>
      <name val="Arial"/>
      <family val="2"/>
    </font>
    <font>
      <sz val="12"/>
      <name val="Arial"/>
      <family val="2"/>
    </font>
    <font>
      <u/>
      <sz val="12"/>
      <color theme="10"/>
      <name val="Arial"/>
      <family val="2"/>
    </font>
    <font>
      <b/>
      <u/>
      <sz val="12"/>
      <color theme="0"/>
      <name val="Arial"/>
      <family val="2"/>
    </font>
    <font>
      <sz val="12"/>
      <color rgb="FF000000"/>
      <name val="Arial"/>
      <family val="2"/>
    </font>
    <font>
      <sz val="12"/>
      <color theme="0"/>
      <name val="Arial"/>
      <family val="2"/>
    </font>
    <font>
      <b/>
      <sz val="16"/>
      <color theme="1"/>
      <name val="Arial"/>
      <family val="2"/>
    </font>
    <font>
      <b/>
      <sz val="8"/>
      <name val="Arial"/>
      <family val="2"/>
    </font>
    <font>
      <b/>
      <sz val="11"/>
      <color rgb="FF00B0F0"/>
      <name val="Arial"/>
      <family val="2"/>
    </font>
    <font>
      <b/>
      <i/>
      <sz val="12"/>
      <color rgb="FF000000"/>
      <name val="Arial"/>
      <family val="2"/>
    </font>
    <font>
      <sz val="11"/>
      <color rgb="FF000000"/>
      <name val="Arial"/>
      <family val="2"/>
    </font>
    <font>
      <b/>
      <sz val="11"/>
      <color rgb="FF000000"/>
      <name val="Arial"/>
      <family val="2"/>
    </font>
    <font>
      <i/>
      <sz val="12"/>
      <color theme="1"/>
      <name val="Arial"/>
      <family val="2"/>
    </font>
    <font>
      <i/>
      <sz val="12"/>
      <color rgb="FF000000"/>
      <name val="Arial"/>
      <family val="2"/>
    </font>
    <font>
      <u/>
      <sz val="10"/>
      <color theme="0"/>
      <name val="Arial"/>
      <family val="2"/>
    </font>
    <font>
      <u/>
      <sz val="10"/>
      <color theme="10"/>
      <name val="Arial"/>
      <family val="2"/>
    </font>
    <font>
      <u/>
      <sz val="12"/>
      <color theme="0"/>
      <name val="Arial"/>
      <family val="2"/>
    </font>
    <font>
      <b/>
      <sz val="16"/>
      <color rgb="FF00B0F0"/>
      <name val="Arial"/>
      <family val="2"/>
    </font>
    <font>
      <b/>
      <sz val="20"/>
      <color rgb="FF00B0F0"/>
      <name val="Arial"/>
      <family val="2"/>
    </font>
    <font>
      <b/>
      <sz val="20"/>
      <color rgb="FFFFC000"/>
      <name val="Arial"/>
      <family val="2"/>
    </font>
    <font>
      <b/>
      <sz val="24"/>
      <color rgb="FF00B0F0"/>
      <name val="Arial"/>
      <family val="2"/>
    </font>
    <font>
      <b/>
      <sz val="22"/>
      <color rgb="FFFFC000"/>
      <name val="Arial"/>
      <family val="2"/>
    </font>
    <font>
      <b/>
      <sz val="18"/>
      <color rgb="FFFFC000"/>
      <name val="Arial"/>
      <family val="2"/>
    </font>
  </fonts>
  <fills count="65">
    <fill>
      <patternFill patternType="none"/>
    </fill>
    <fill>
      <patternFill patternType="gray125"/>
    </fill>
    <fill>
      <patternFill patternType="solid">
        <fgColor theme="8"/>
        <bgColor indexed="64"/>
      </patternFill>
    </fill>
    <fill>
      <patternFill patternType="solid">
        <fgColor theme="0"/>
        <bgColor indexed="64"/>
      </patternFill>
    </fill>
    <fill>
      <patternFill patternType="solid">
        <fgColor rgb="FF0093FF"/>
        <bgColor indexed="64"/>
      </patternFill>
    </fill>
    <fill>
      <patternFill patternType="solid">
        <fgColor rgb="FFFFEFE5"/>
        <bgColor indexed="64"/>
      </patternFill>
    </fill>
    <fill>
      <patternFill patternType="lightGray">
        <bgColor rgb="FFA6A6A6"/>
      </patternFill>
    </fill>
    <fill>
      <patternFill patternType="lightGray">
        <bgColor rgb="FFBFBFBF"/>
      </patternFill>
    </fill>
    <fill>
      <patternFill patternType="solid">
        <fgColor theme="4"/>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BDD7EE"/>
        <bgColor indexed="64"/>
      </patternFill>
    </fill>
    <fill>
      <patternFill patternType="solid">
        <fgColor theme="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0" tint="-0.499984740745262"/>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1"/>
        <bgColor indexed="64"/>
      </patternFill>
    </fill>
    <fill>
      <patternFill patternType="solid">
        <fgColor rgb="FF0070C0"/>
        <bgColor indexed="64"/>
      </patternFill>
    </fill>
    <fill>
      <patternFill patternType="solid">
        <fgColor rgb="FFFFFFFF"/>
        <bgColor indexed="64"/>
      </patternFill>
    </fill>
    <fill>
      <patternFill patternType="solid">
        <fgColor rgb="FF00B050"/>
        <bgColor indexed="64"/>
      </patternFill>
    </fill>
    <fill>
      <patternFill patternType="solid">
        <fgColor rgb="FFE7E9E8"/>
        <bgColor indexed="64"/>
      </patternFill>
    </fill>
    <fill>
      <patternFill patternType="solid">
        <fgColor rgb="FF00B050"/>
        <bgColor theme="4" tint="0.79998168889431442"/>
      </patternFill>
    </fill>
    <fill>
      <patternFill patternType="solid">
        <fgColor rgb="FFFF0000"/>
        <bgColor indexed="64"/>
      </patternFill>
    </fill>
    <fill>
      <patternFill patternType="solid">
        <fgColor theme="0" tint="-0.249977111117893"/>
        <bgColor indexed="64"/>
      </patternFill>
    </fill>
    <fill>
      <patternFill patternType="solid">
        <fgColor theme="4" tint="0.59999389629810485"/>
        <bgColor indexed="64"/>
      </patternFill>
    </fill>
  </fills>
  <borders count="172">
    <border>
      <left/>
      <right/>
      <top/>
      <bottom/>
      <diagonal/>
    </border>
    <border>
      <left style="thin">
        <color indexed="64"/>
      </left>
      <right style="thin">
        <color indexed="64"/>
      </right>
      <top style="thin">
        <color indexed="64"/>
      </top>
      <bottom style="thin">
        <color indexed="64"/>
      </bottom>
      <diagonal/>
    </border>
    <border>
      <left style="medium">
        <color rgb="FF0093FF"/>
      </left>
      <right style="medium">
        <color rgb="FFFFFFFF"/>
      </right>
      <top style="medium">
        <color rgb="FF0093FF"/>
      </top>
      <bottom/>
      <diagonal/>
    </border>
    <border>
      <left style="medium">
        <color rgb="FF0093FF"/>
      </left>
      <right style="medium">
        <color rgb="FFFFFFFF"/>
      </right>
      <top/>
      <bottom style="thick">
        <color rgb="FFFFFFFF"/>
      </bottom>
      <diagonal/>
    </border>
    <border>
      <left style="medium">
        <color rgb="FFFFFFFF"/>
      </left>
      <right/>
      <top style="medium">
        <color rgb="FF0093FF"/>
      </top>
      <bottom style="medium">
        <color rgb="FFFFFFFF"/>
      </bottom>
      <diagonal/>
    </border>
    <border>
      <left/>
      <right/>
      <top style="medium">
        <color rgb="FF0093FF"/>
      </top>
      <bottom style="medium">
        <color rgb="FFFFFFFF"/>
      </bottom>
      <diagonal/>
    </border>
    <border>
      <left/>
      <right style="medium">
        <color rgb="FFFFFFFF"/>
      </right>
      <top style="medium">
        <color rgb="FF0093FF"/>
      </top>
      <bottom style="medium">
        <color rgb="FFFFFFFF"/>
      </bottom>
      <diagonal/>
    </border>
    <border>
      <left style="medium">
        <color rgb="FFFFFFFF"/>
      </left>
      <right/>
      <top style="medium">
        <color rgb="FF0093FF"/>
      </top>
      <bottom/>
      <diagonal/>
    </border>
    <border>
      <left/>
      <right style="medium">
        <color rgb="FF0093FF"/>
      </right>
      <top style="medium">
        <color rgb="FF0093FF"/>
      </top>
      <bottom/>
      <diagonal/>
    </border>
    <border>
      <left style="medium">
        <color rgb="FFFFFFFF"/>
      </left>
      <right/>
      <top/>
      <bottom style="medium">
        <color rgb="FFFFFFFF"/>
      </bottom>
      <diagonal/>
    </border>
    <border>
      <left/>
      <right style="medium">
        <color rgb="FF0093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0093FF"/>
      </left>
      <right style="medium">
        <color rgb="FFD9D9D9"/>
      </right>
      <top style="thick">
        <color rgb="FFFFFFFF"/>
      </top>
      <bottom style="medium">
        <color rgb="FF0093FF"/>
      </bottom>
      <diagonal/>
    </border>
    <border>
      <left style="medium">
        <color rgb="FFD9D9D9"/>
      </left>
      <right style="medium">
        <color rgb="FFD9D9D9"/>
      </right>
      <top style="medium">
        <color rgb="FFFFFFFF"/>
      </top>
      <bottom style="medium">
        <color rgb="FF0093FF"/>
      </bottom>
      <diagonal/>
    </border>
    <border>
      <left style="medium">
        <color rgb="FFD9D9D9"/>
      </left>
      <right/>
      <top style="medium">
        <color rgb="FFFFFFFF"/>
      </top>
      <bottom style="medium">
        <color rgb="FF0093FF"/>
      </bottom>
      <diagonal/>
    </border>
    <border>
      <left/>
      <right/>
      <top style="medium">
        <color rgb="FFFFFFFF"/>
      </top>
      <bottom style="medium">
        <color rgb="FF0093FF"/>
      </bottom>
      <diagonal/>
    </border>
    <border>
      <left/>
      <right style="medium">
        <color rgb="FFD9D9D9"/>
      </right>
      <top style="medium">
        <color rgb="FFFFFFFF"/>
      </top>
      <bottom style="medium">
        <color rgb="FF0093FF"/>
      </bottom>
      <diagonal/>
    </border>
    <border>
      <left/>
      <right style="medium">
        <color rgb="FF0093FF"/>
      </right>
      <top style="medium">
        <color rgb="FFFFFFFF"/>
      </top>
      <bottom style="medium">
        <color rgb="FF0093FF"/>
      </bottom>
      <diagonal/>
    </border>
    <border>
      <left style="medium">
        <color rgb="FF0093FF"/>
      </left>
      <right style="medium">
        <color rgb="FFD9D9D9"/>
      </right>
      <top style="medium">
        <color rgb="FF0093FF"/>
      </top>
      <bottom style="medium">
        <color rgb="FFFFFFFF"/>
      </bottom>
      <diagonal/>
    </border>
    <border>
      <left style="medium">
        <color rgb="FFD9D9D9"/>
      </left>
      <right style="medium">
        <color rgb="FFD9D9D9"/>
      </right>
      <top style="medium">
        <color rgb="FF0093FF"/>
      </top>
      <bottom style="medium">
        <color rgb="FFD9D9D9"/>
      </bottom>
      <diagonal/>
    </border>
    <border>
      <left style="medium">
        <color rgb="FFD9D9D9"/>
      </left>
      <right/>
      <top style="medium">
        <color rgb="FF0093FF"/>
      </top>
      <bottom style="medium">
        <color rgb="FFD9D9D9"/>
      </bottom>
      <diagonal/>
    </border>
    <border>
      <left/>
      <right/>
      <top style="medium">
        <color rgb="FF0093FF"/>
      </top>
      <bottom style="medium">
        <color rgb="FFD9D9D9"/>
      </bottom>
      <diagonal/>
    </border>
    <border>
      <left/>
      <right style="medium">
        <color rgb="FFD9D9D9"/>
      </right>
      <top style="medium">
        <color rgb="FF0093FF"/>
      </top>
      <bottom style="medium">
        <color rgb="FFD9D9D9"/>
      </bottom>
      <diagonal/>
    </border>
    <border>
      <left/>
      <right style="medium">
        <color rgb="FF0093FF"/>
      </right>
      <top style="medium">
        <color rgb="FF0093FF"/>
      </top>
      <bottom style="medium">
        <color rgb="FFD9D9D9"/>
      </bottom>
      <diagonal/>
    </border>
    <border>
      <left style="medium">
        <color rgb="FF0093FF"/>
      </left>
      <right style="medium">
        <color rgb="FFD9D9D9"/>
      </right>
      <top style="medium">
        <color rgb="FFFFFFFF"/>
      </top>
      <bottom style="medium">
        <color rgb="FFFFFFFF"/>
      </bottom>
      <diagonal/>
    </border>
    <border>
      <left style="medium">
        <color rgb="FFD9D9D9"/>
      </left>
      <right/>
      <top style="medium">
        <color rgb="FFD9D9D9"/>
      </top>
      <bottom style="medium">
        <color rgb="FFD9D9D9"/>
      </bottom>
      <diagonal/>
    </border>
    <border>
      <left/>
      <right/>
      <top style="medium">
        <color rgb="FFD9D9D9"/>
      </top>
      <bottom style="medium">
        <color rgb="FFD9D9D9"/>
      </bottom>
      <diagonal/>
    </border>
    <border>
      <left/>
      <right style="medium">
        <color rgb="FFD9D9D9"/>
      </right>
      <top style="medium">
        <color rgb="FFD9D9D9"/>
      </top>
      <bottom style="medium">
        <color rgb="FFD9D9D9"/>
      </bottom>
      <diagonal/>
    </border>
    <border>
      <left/>
      <right style="medium">
        <color rgb="FF0093FF"/>
      </right>
      <top style="medium">
        <color rgb="FFD9D9D9"/>
      </top>
      <bottom style="medium">
        <color rgb="FFD9D9D9"/>
      </bottom>
      <diagonal/>
    </border>
    <border>
      <left style="medium">
        <color rgb="FF0093FF"/>
      </left>
      <right style="medium">
        <color rgb="FFD9D9D9"/>
      </right>
      <top style="medium">
        <color rgb="FFFFFFFF"/>
      </top>
      <bottom style="medium">
        <color rgb="FF0093FF"/>
      </bottom>
      <diagonal/>
    </border>
    <border>
      <left style="medium">
        <color rgb="FFD9D9D9"/>
      </left>
      <right style="medium">
        <color rgb="FFD9D9D9"/>
      </right>
      <top style="medium">
        <color rgb="FFD9D9D9"/>
      </top>
      <bottom style="medium">
        <color rgb="FF0093FF"/>
      </bottom>
      <diagonal/>
    </border>
    <border>
      <left style="medium">
        <color rgb="FFD9D9D9"/>
      </left>
      <right/>
      <top style="medium">
        <color rgb="FFD9D9D9"/>
      </top>
      <bottom style="medium">
        <color rgb="FF0093FF"/>
      </bottom>
      <diagonal/>
    </border>
    <border>
      <left/>
      <right style="medium">
        <color rgb="FFD9D9D9"/>
      </right>
      <top style="medium">
        <color rgb="FFD9D9D9"/>
      </top>
      <bottom style="medium">
        <color rgb="FF0093FF"/>
      </bottom>
      <diagonal/>
    </border>
    <border>
      <left style="medium">
        <color rgb="FFD9D9D9"/>
      </left>
      <right style="medium">
        <color rgb="FF0093FF"/>
      </right>
      <top style="medium">
        <color rgb="FFD9D9D9"/>
      </top>
      <bottom style="medium">
        <color rgb="FF0093FF"/>
      </bottom>
      <diagonal/>
    </border>
    <border>
      <left/>
      <right style="medium">
        <color rgb="FF0093FF"/>
      </right>
      <top style="medium">
        <color rgb="FFD9D9D9"/>
      </top>
      <bottom style="medium">
        <color rgb="FF0093FF"/>
      </bottom>
      <diagonal/>
    </border>
    <border>
      <left style="medium">
        <color rgb="FFD9D9D9"/>
      </left>
      <right/>
      <top style="medium">
        <color rgb="FF0093FF"/>
      </top>
      <bottom/>
      <diagonal/>
    </border>
    <border>
      <left/>
      <right/>
      <top style="medium">
        <color rgb="FF0093FF"/>
      </top>
      <bottom/>
      <diagonal/>
    </border>
    <border>
      <left/>
      <right style="medium">
        <color rgb="FFD9D9D9"/>
      </right>
      <top style="medium">
        <color rgb="FF0093FF"/>
      </top>
      <bottom/>
      <diagonal/>
    </border>
    <border>
      <left style="medium">
        <color rgb="FFD9D9D9"/>
      </left>
      <right/>
      <top/>
      <bottom style="medium">
        <color rgb="FFD9D9D9"/>
      </bottom>
      <diagonal/>
    </border>
    <border>
      <left/>
      <right/>
      <top/>
      <bottom style="medium">
        <color rgb="FFD9D9D9"/>
      </bottom>
      <diagonal/>
    </border>
    <border>
      <left/>
      <right style="medium">
        <color rgb="FFD9D9D9"/>
      </right>
      <top/>
      <bottom style="medium">
        <color rgb="FFD9D9D9"/>
      </bottom>
      <diagonal/>
    </border>
    <border>
      <left/>
      <right style="medium">
        <color rgb="FF0093FF"/>
      </right>
      <top/>
      <bottom style="medium">
        <color rgb="FFD9D9D9"/>
      </bottom>
      <diagonal/>
    </border>
    <border>
      <left/>
      <right/>
      <top style="medium">
        <color rgb="FFD9D9D9"/>
      </top>
      <bottom style="medium">
        <color rgb="FF0093FF"/>
      </bottom>
      <diagonal/>
    </border>
    <border>
      <left style="medium">
        <color rgb="FFD9D9D9"/>
      </left>
      <right/>
      <top/>
      <bottom/>
      <diagonal/>
    </border>
    <border>
      <left/>
      <right style="medium">
        <color rgb="FF0093FF"/>
      </right>
      <top/>
      <bottom/>
      <diagonal/>
    </border>
    <border>
      <left style="medium">
        <color rgb="FFD9D9D9"/>
      </left>
      <right style="medium">
        <color rgb="FFD9D9D9"/>
      </right>
      <top style="medium">
        <color rgb="FFD9D9D9"/>
      </top>
      <bottom/>
      <diagonal/>
    </border>
    <border>
      <left style="medium">
        <color rgb="FFD9D9D9"/>
      </left>
      <right style="medium">
        <color rgb="FFD9D9D9"/>
      </right>
      <top/>
      <bottom style="medium">
        <color rgb="FFD9D9D9"/>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thin">
        <color theme="0"/>
      </right>
      <top style="medium">
        <color theme="0"/>
      </top>
      <bottom/>
      <diagonal/>
    </border>
    <border>
      <left style="thin">
        <color theme="0"/>
      </left>
      <right/>
      <top style="medium">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medium">
        <color theme="0"/>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bottom/>
      <diagonal/>
    </border>
    <border>
      <left style="medium">
        <color theme="0"/>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medium">
        <color theme="0"/>
      </left>
      <right/>
      <top style="thin">
        <color theme="0"/>
      </top>
      <bottom style="thin">
        <color theme="0"/>
      </bottom>
      <diagonal/>
    </border>
    <border>
      <left/>
      <right style="thin">
        <color theme="0"/>
      </right>
      <top style="thin">
        <color theme="0"/>
      </top>
      <bottom style="thin">
        <color theme="0"/>
      </bottom>
      <diagonal/>
    </border>
    <border>
      <left style="medium">
        <color theme="0"/>
      </left>
      <right style="thin">
        <color theme="0" tint="-4.9989318521683403E-2"/>
      </right>
      <top style="thin">
        <color theme="0" tint="-4.9989318521683403E-2"/>
      </top>
      <bottom style="thin">
        <color theme="0"/>
      </bottom>
      <diagonal/>
    </border>
    <border>
      <left style="thin">
        <color theme="0" tint="-4.9989318521683403E-2"/>
      </left>
      <right style="thin">
        <color theme="0" tint="-4.9989318521683403E-2"/>
      </right>
      <top style="thin">
        <color theme="0" tint="-4.9989318521683403E-2"/>
      </top>
      <bottom style="thin">
        <color theme="0"/>
      </bottom>
      <diagonal/>
    </border>
    <border>
      <left style="thin">
        <color theme="0" tint="-4.9989318521683403E-2"/>
      </left>
      <right/>
      <top style="thin">
        <color theme="0" tint="-4.9989318521683403E-2"/>
      </top>
      <bottom style="thin">
        <color theme="0"/>
      </bottom>
      <diagonal/>
    </border>
    <border>
      <left style="medium">
        <color theme="0"/>
      </left>
      <right/>
      <top style="thin">
        <color theme="0"/>
      </top>
      <bottom/>
      <diagonal/>
    </border>
    <border>
      <left style="medium">
        <color theme="0"/>
      </left>
      <right/>
      <top/>
      <bottom/>
      <diagonal/>
    </border>
    <border>
      <left style="medium">
        <color theme="0"/>
      </left>
      <right/>
      <top/>
      <bottom style="medium">
        <color theme="0"/>
      </bottom>
      <diagonal/>
    </border>
    <border>
      <left/>
      <right/>
      <top/>
      <bottom style="medium">
        <color theme="0"/>
      </bottom>
      <diagonal/>
    </border>
    <border>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top style="thin">
        <color theme="0"/>
      </top>
      <bottom style="medium">
        <color theme="0"/>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theme="0"/>
      </left>
      <right/>
      <top style="thin">
        <color theme="0" tint="-0.14999847407452621"/>
      </top>
      <bottom style="thin">
        <color theme="0" tint="-4.9989318521683403E-2"/>
      </bottom>
      <diagonal/>
    </border>
    <border>
      <left style="medium">
        <color theme="0"/>
      </left>
      <right/>
      <top style="thin">
        <color theme="0" tint="-4.9989318521683403E-2"/>
      </top>
      <bottom style="thin">
        <color theme="0" tint="-4.9989318521683403E-2"/>
      </bottom>
      <diagonal/>
    </border>
    <border>
      <left style="medium">
        <color theme="0"/>
      </left>
      <right/>
      <top style="thin">
        <color theme="0" tint="-4.9989318521683403E-2"/>
      </top>
      <bottom/>
      <diagonal/>
    </border>
    <border>
      <left style="medium">
        <color theme="0"/>
      </left>
      <right/>
      <top/>
      <bottom style="thin">
        <color theme="0" tint="-4.9989318521683403E-2"/>
      </bottom>
      <diagonal/>
    </border>
    <border>
      <left style="medium">
        <color theme="0"/>
      </left>
      <right/>
      <top style="thin">
        <color theme="0"/>
      </top>
      <bottom style="thin">
        <color indexed="64"/>
      </bottom>
      <diagonal/>
    </border>
    <border>
      <left style="medium">
        <color theme="0"/>
      </left>
      <right/>
      <top style="thin">
        <color indexed="64"/>
      </top>
      <bottom style="thin">
        <color indexed="64"/>
      </bottom>
      <diagonal/>
    </border>
    <border>
      <left style="medium">
        <color theme="0"/>
      </left>
      <right/>
      <top/>
      <bottom style="thin">
        <color theme="0"/>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medium">
        <color theme="0"/>
      </left>
      <right/>
      <top style="thin">
        <color theme="0"/>
      </top>
      <bottom style="thin">
        <color theme="0" tint="-4.9989318521683403E-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style="medium">
        <color indexed="64"/>
      </bottom>
      <diagonal/>
    </border>
    <border>
      <left style="medium">
        <color rgb="FF0093FF"/>
      </left>
      <right/>
      <top style="medium">
        <color rgb="FF0093FF"/>
      </top>
      <bottom/>
      <diagonal/>
    </border>
    <border>
      <left/>
      <right style="medium">
        <color rgb="FFFFFFFF"/>
      </right>
      <top style="medium">
        <color rgb="FF0093FF"/>
      </top>
      <bottom/>
      <diagonal/>
    </border>
    <border>
      <left style="medium">
        <color rgb="FFFFFFFF"/>
      </left>
      <right style="medium">
        <color rgb="FFFFFFFF"/>
      </right>
      <top style="medium">
        <color rgb="FF0093FF"/>
      </top>
      <bottom/>
      <diagonal/>
    </border>
    <border>
      <left style="medium">
        <color rgb="FF0093FF"/>
      </left>
      <right/>
      <top/>
      <bottom/>
      <diagonal/>
    </border>
    <border>
      <left/>
      <right style="medium">
        <color rgb="FFFFFFFF"/>
      </right>
      <top/>
      <bottom/>
      <diagonal/>
    </border>
    <border>
      <left style="medium">
        <color rgb="FFFFFFFF"/>
      </left>
      <right/>
      <top/>
      <bottom/>
      <diagonal/>
    </border>
    <border>
      <left style="medium">
        <color rgb="FFFFFFFF"/>
      </left>
      <right style="medium">
        <color rgb="FFFFFFFF"/>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bottom style="thin">
        <color indexed="64"/>
      </bottom>
      <diagonal/>
    </border>
    <border>
      <left/>
      <right/>
      <top/>
      <bottom style="hair">
        <color auto="1"/>
      </bottom>
      <diagonal/>
    </border>
    <border>
      <left style="medium">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style="thin">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medium">
        <color theme="2" tint="-0.499984740745262"/>
      </right>
      <top style="thin">
        <color theme="2" tint="-0.499984740745262"/>
      </top>
      <bottom style="medium">
        <color theme="2" tint="-0.499984740745262"/>
      </bottom>
      <diagonal/>
    </border>
    <border>
      <left/>
      <right style="thin">
        <color theme="0" tint="-0.14996795556505021"/>
      </right>
      <top style="thin">
        <color theme="0" tint="-0.14999847407452621"/>
      </top>
      <bottom/>
      <diagonal/>
    </border>
    <border>
      <left style="thin">
        <color theme="0" tint="-0.14996795556505021"/>
      </left>
      <right style="thin">
        <color theme="0" tint="-0.14996795556505021"/>
      </right>
      <top style="thin">
        <color theme="0" tint="-0.14999847407452621"/>
      </top>
      <bottom style="thin">
        <color theme="0" tint="-0.14996795556505021"/>
      </bottom>
      <diagonal/>
    </border>
    <border>
      <left/>
      <right style="thin">
        <color theme="0" tint="-0.14996795556505021"/>
      </right>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984740745262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hair">
        <color auto="1"/>
      </left>
      <right style="hair">
        <color auto="1"/>
      </right>
      <top/>
      <bottom/>
      <diagonal/>
    </border>
    <border>
      <left style="hair">
        <color auto="1"/>
      </left>
      <right style="hair">
        <color auto="1"/>
      </right>
      <top style="thin">
        <color indexed="64"/>
      </top>
      <bottom/>
      <diagonal/>
    </border>
    <border>
      <left/>
      <right/>
      <top style="hair">
        <color indexed="64"/>
      </top>
      <bottom style="thin">
        <color indexed="64"/>
      </bottom>
      <diagonal/>
    </border>
    <border>
      <left style="hair">
        <color auto="1"/>
      </left>
      <right style="hair">
        <color auto="1"/>
      </right>
      <top/>
      <bottom style="thin">
        <color indexed="64"/>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double">
        <color indexed="64"/>
      </bottom>
      <diagonal/>
    </border>
    <border>
      <left/>
      <right/>
      <top style="double">
        <color indexed="64"/>
      </top>
      <bottom/>
      <diagonal/>
    </border>
    <border>
      <left/>
      <right/>
      <top/>
      <bottom style="medium">
        <color indexed="64"/>
      </bottom>
      <diagonal/>
    </border>
  </borders>
  <cellStyleXfs count="46">
    <xf numFmtId="0" fontId="0" fillId="0" borderId="0"/>
    <xf numFmtId="9" fontId="33" fillId="0" borderId="0" applyFont="0" applyFill="0" applyBorder="0" applyAlignment="0" applyProtection="0"/>
    <xf numFmtId="0" fontId="34" fillId="0" borderId="0" applyNumberFormat="0" applyFill="0" applyBorder="0" applyAlignment="0" applyProtection="0"/>
    <xf numFmtId="0" fontId="35" fillId="0" borderId="110" applyNumberFormat="0" applyFill="0" applyAlignment="0" applyProtection="0"/>
    <xf numFmtId="0" fontId="36" fillId="0" borderId="111" applyNumberFormat="0" applyFill="0" applyAlignment="0" applyProtection="0"/>
    <xf numFmtId="0" fontId="37" fillId="0" borderId="112" applyNumberFormat="0" applyFill="0" applyAlignment="0" applyProtection="0"/>
    <xf numFmtId="0" fontId="37" fillId="0" borderId="0" applyNumberFormat="0" applyFill="0" applyBorder="0" applyAlignment="0" applyProtection="0"/>
    <xf numFmtId="0" fontId="38" fillId="20" borderId="0" applyNumberFormat="0" applyBorder="0" applyAlignment="0" applyProtection="0"/>
    <xf numFmtId="0" fontId="39" fillId="21" borderId="0" applyNumberFormat="0" applyBorder="0" applyAlignment="0" applyProtection="0"/>
    <xf numFmtId="0" fontId="40" fillId="22" borderId="0" applyNumberFormat="0" applyBorder="0" applyAlignment="0" applyProtection="0"/>
    <xf numFmtId="0" fontId="41" fillId="23" borderId="113" applyNumberFormat="0" applyAlignment="0" applyProtection="0"/>
    <xf numFmtId="0" fontId="42" fillId="24" borderId="114" applyNumberFormat="0" applyAlignment="0" applyProtection="0"/>
    <xf numFmtId="0" fontId="43" fillId="24" borderId="113" applyNumberFormat="0" applyAlignment="0" applyProtection="0"/>
    <xf numFmtId="0" fontId="44" fillId="0" borderId="115" applyNumberFormat="0" applyFill="0" applyAlignment="0" applyProtection="0"/>
    <xf numFmtId="0" fontId="45" fillId="25" borderId="116"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8" fillId="0" borderId="118" applyNumberFormat="0" applyFill="0" applyAlignment="0" applyProtection="0"/>
    <xf numFmtId="0" fontId="49"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49" fillId="30" borderId="0" applyNumberFormat="0" applyBorder="0" applyAlignment="0" applyProtection="0"/>
    <xf numFmtId="0" fontId="49"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49" fillId="34" borderId="0" applyNumberFormat="0" applyBorder="0" applyAlignment="0" applyProtection="0"/>
    <xf numFmtId="0" fontId="49"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49" fillId="38" borderId="0" applyNumberFormat="0" applyBorder="0" applyAlignment="0" applyProtection="0"/>
    <xf numFmtId="0" fontId="49"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49" fillId="42" borderId="0" applyNumberFormat="0" applyBorder="0" applyAlignment="0" applyProtection="0"/>
    <xf numFmtId="0" fontId="49"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49" fillId="46" borderId="0" applyNumberFormat="0" applyBorder="0" applyAlignment="0" applyProtection="0"/>
    <xf numFmtId="0" fontId="49"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49" fillId="50" borderId="0" applyNumberFormat="0" applyBorder="0" applyAlignment="0" applyProtection="0"/>
    <xf numFmtId="0" fontId="1" fillId="0" borderId="0"/>
    <xf numFmtId="0" fontId="1" fillId="26" borderId="117" applyNumberFormat="0" applyFont="0" applyAlignment="0" applyProtection="0"/>
    <xf numFmtId="0" fontId="53" fillId="0" borderId="0" applyNumberFormat="0" applyFill="0" applyBorder="0" applyAlignment="0" applyProtection="0"/>
    <xf numFmtId="0" fontId="64" fillId="0" borderId="0" applyNumberFormat="0" applyFill="0" applyBorder="0" applyAlignment="0" applyProtection="0"/>
  </cellStyleXfs>
  <cellXfs count="796">
    <xf numFmtId="0" fontId="0" fillId="0" borderId="0" xfId="0"/>
    <xf numFmtId="0" fontId="8" fillId="4" borderId="11" xfId="0" applyFont="1" applyFill="1" applyBorder="1" applyAlignment="1">
      <alignment horizontal="center" vertical="center" wrapText="1" readingOrder="1"/>
    </xf>
    <xf numFmtId="0" fontId="9" fillId="0" borderId="12" xfId="0" applyFont="1" applyBorder="1" applyAlignment="1">
      <alignment horizontal="left" wrapText="1" readingOrder="1"/>
    </xf>
    <xf numFmtId="0" fontId="10" fillId="0" borderId="13" xfId="0" applyFont="1" applyBorder="1" applyAlignment="1">
      <alignment horizontal="center" vertical="center" wrapText="1" readingOrder="1"/>
    </xf>
    <xf numFmtId="0" fontId="9" fillId="0" borderId="18" xfId="0" applyFont="1" applyBorder="1" applyAlignment="1">
      <alignment horizontal="left" wrapText="1" readingOrder="1"/>
    </xf>
    <xf numFmtId="0" fontId="10" fillId="0" borderId="19" xfId="0" applyFont="1" applyBorder="1" applyAlignment="1">
      <alignment horizontal="center" vertical="center" wrapText="1" readingOrder="1"/>
    </xf>
    <xf numFmtId="0" fontId="9" fillId="0" borderId="24" xfId="0" applyFont="1" applyBorder="1" applyAlignment="1">
      <alignment horizontal="left" vertical="center" wrapText="1" readingOrder="1"/>
    </xf>
    <xf numFmtId="0" fontId="9" fillId="0" borderId="29" xfId="0" applyFont="1" applyBorder="1" applyAlignment="1">
      <alignment horizontal="left" vertical="center" wrapText="1" readingOrder="1"/>
    </xf>
    <xf numFmtId="0" fontId="10" fillId="0" borderId="30" xfId="0" applyFont="1" applyBorder="1" applyAlignment="1">
      <alignment horizontal="center" vertical="center" wrapText="1" readingOrder="1"/>
    </xf>
    <xf numFmtId="0" fontId="6" fillId="0" borderId="30" xfId="0" applyFont="1" applyBorder="1" applyAlignment="1">
      <alignment vertical="center" wrapText="1"/>
    </xf>
    <xf numFmtId="0" fontId="9" fillId="0" borderId="18" xfId="0" applyFont="1" applyBorder="1" applyAlignment="1">
      <alignment horizontal="left" vertical="center" wrapText="1" readingOrder="1"/>
    </xf>
    <xf numFmtId="0" fontId="2" fillId="5" borderId="19" xfId="0" applyFont="1" applyFill="1" applyBorder="1" applyAlignment="1">
      <alignment horizontal="center" wrapText="1" readingOrder="1"/>
    </xf>
    <xf numFmtId="0" fontId="9" fillId="0" borderId="24" xfId="0" applyFont="1" applyBorder="1" applyAlignment="1">
      <alignment horizontal="left" wrapText="1" readingOrder="1"/>
    </xf>
    <xf numFmtId="0" fontId="9" fillId="0" borderId="29" xfId="0" applyFont="1" applyBorder="1" applyAlignment="1">
      <alignment horizontal="left" wrapText="1" readingOrder="1"/>
    </xf>
    <xf numFmtId="0" fontId="6" fillId="0" borderId="33" xfId="0" applyFont="1" applyBorder="1" applyAlignment="1">
      <alignment vertical="center" wrapText="1"/>
    </xf>
    <xf numFmtId="0" fontId="11" fillId="0" borderId="29" xfId="0" applyFont="1" applyBorder="1" applyAlignment="1">
      <alignment horizontal="left" vertical="center" wrapText="1" readingOrder="1"/>
    </xf>
    <xf numFmtId="0" fontId="11" fillId="0" borderId="18" xfId="0" applyFont="1" applyBorder="1" applyAlignment="1">
      <alignment horizontal="left" wrapText="1" readingOrder="1"/>
    </xf>
    <xf numFmtId="0" fontId="12" fillId="0" borderId="0" xfId="0" applyFont="1"/>
    <xf numFmtId="0" fontId="4" fillId="8" borderId="56" xfId="0" applyFont="1" applyFill="1" applyBorder="1" applyAlignment="1">
      <alignment horizontal="center" vertical="center"/>
    </xf>
    <xf numFmtId="0" fontId="3" fillId="3" borderId="66" xfId="0" applyFont="1" applyFill="1" applyBorder="1" applyAlignment="1">
      <alignment horizontal="center" vertical="center"/>
    </xf>
    <xf numFmtId="0" fontId="3" fillId="0" borderId="0" xfId="0" applyFont="1" applyAlignment="1">
      <alignment horizontal="center" vertical="center"/>
    </xf>
    <xf numFmtId="0" fontId="3" fillId="0" borderId="0" xfId="0" applyFont="1"/>
    <xf numFmtId="0" fontId="0" fillId="0" borderId="1" xfId="0" applyBorder="1" applyAlignment="1">
      <alignment horizontal="left" vertical="top" wrapText="1"/>
    </xf>
    <xf numFmtId="0" fontId="4" fillId="8" borderId="48" xfId="0" applyFont="1" applyFill="1" applyBorder="1" applyAlignment="1">
      <alignment horizontal="center" vertical="center"/>
    </xf>
    <xf numFmtId="0" fontId="4" fillId="8" borderId="54" xfId="0" applyFont="1" applyFill="1" applyBorder="1" applyAlignment="1">
      <alignment horizontal="center" vertical="center"/>
    </xf>
    <xf numFmtId="0" fontId="4" fillId="8" borderId="54" xfId="0" applyFont="1" applyFill="1" applyBorder="1" applyAlignment="1">
      <alignment horizontal="center" vertical="center" wrapText="1"/>
    </xf>
    <xf numFmtId="0" fontId="3" fillId="9" borderId="71" xfId="0" applyFont="1" applyFill="1" applyBorder="1" applyAlignment="1">
      <alignment horizontal="center" vertical="center"/>
    </xf>
    <xf numFmtId="0" fontId="20" fillId="3" borderId="78" xfId="0" quotePrefix="1" applyFont="1" applyFill="1" applyBorder="1" applyAlignment="1">
      <alignment horizontal="left" vertical="top" wrapText="1"/>
    </xf>
    <xf numFmtId="0" fontId="20" fillId="3" borderId="80" xfId="0" applyFont="1" applyFill="1" applyBorder="1" applyAlignment="1">
      <alignment horizontal="left" vertical="top" wrapText="1"/>
    </xf>
    <xf numFmtId="0" fontId="20" fillId="3" borderId="1" xfId="0" applyFont="1" applyFill="1" applyBorder="1" applyAlignment="1">
      <alignment horizontal="left" vertical="top" wrapText="1"/>
    </xf>
    <xf numFmtId="0" fontId="20" fillId="3" borderId="80" xfId="0" applyFont="1" applyFill="1" applyBorder="1" applyAlignment="1">
      <alignment vertical="top" wrapText="1"/>
    </xf>
    <xf numFmtId="0" fontId="20" fillId="3" borderId="1" xfId="0" applyFont="1" applyFill="1" applyBorder="1" applyAlignment="1">
      <alignment vertical="top" wrapText="1"/>
    </xf>
    <xf numFmtId="0" fontId="24" fillId="3" borderId="1" xfId="0" applyFont="1" applyFill="1" applyBorder="1" applyAlignment="1">
      <alignment horizontal="left" vertical="top" wrapText="1"/>
    </xf>
    <xf numFmtId="0" fontId="21" fillId="3" borderId="1" xfId="0" applyFont="1" applyFill="1" applyBorder="1" applyAlignment="1">
      <alignment vertical="top" wrapText="1"/>
    </xf>
    <xf numFmtId="0" fontId="25" fillId="3" borderId="1" xfId="0" applyFont="1" applyFill="1" applyBorder="1" applyAlignment="1">
      <alignment horizontal="left" vertical="top" wrapText="1"/>
    </xf>
    <xf numFmtId="0" fontId="20" fillId="3" borderId="80" xfId="0" applyFont="1" applyFill="1" applyBorder="1" applyAlignment="1">
      <alignment horizontal="center" vertical="top" wrapText="1"/>
    </xf>
    <xf numFmtId="0" fontId="20" fillId="3" borderId="1" xfId="0" applyFont="1" applyFill="1" applyBorder="1" applyAlignment="1">
      <alignment horizontal="center" vertical="top" wrapText="1"/>
    </xf>
    <xf numFmtId="0" fontId="20" fillId="3" borderId="78" xfId="0" applyFont="1" applyFill="1" applyBorder="1" applyAlignment="1">
      <alignment vertical="top" wrapText="1"/>
    </xf>
    <xf numFmtId="0" fontId="20" fillId="13" borderId="1" xfId="0" applyFont="1" applyFill="1" applyBorder="1" applyAlignment="1">
      <alignment horizontal="left" vertical="top" wrapText="1"/>
    </xf>
    <xf numFmtId="0" fontId="23" fillId="13" borderId="1" xfId="0" applyFont="1" applyFill="1" applyBorder="1" applyAlignment="1">
      <alignment horizontal="left" vertical="top" wrapText="1"/>
    </xf>
    <xf numFmtId="0" fontId="3" fillId="3" borderId="57" xfId="0" applyFont="1" applyFill="1" applyBorder="1"/>
    <xf numFmtId="0" fontId="3" fillId="3" borderId="58" xfId="0" applyFont="1" applyFill="1" applyBorder="1"/>
    <xf numFmtId="0" fontId="3" fillId="3" borderId="57" xfId="0" applyFont="1" applyFill="1" applyBorder="1" applyAlignment="1">
      <alignment vertical="top" wrapText="1"/>
    </xf>
    <xf numFmtId="0" fontId="3" fillId="3" borderId="87" xfId="0" applyFont="1" applyFill="1" applyBorder="1" applyAlignment="1">
      <alignment horizontal="center" vertical="center"/>
    </xf>
    <xf numFmtId="0" fontId="23" fillId="0" borderId="1" xfId="0" applyFont="1" applyBorder="1" applyAlignment="1">
      <alignment horizontal="left" vertical="top" wrapText="1"/>
    </xf>
    <xf numFmtId="0" fontId="20" fillId="0" borderId="79" xfId="0" applyFont="1" applyBorder="1" applyAlignment="1">
      <alignment horizontal="left" vertical="top" wrapText="1"/>
    </xf>
    <xf numFmtId="0" fontId="20" fillId="0" borderId="1" xfId="0" quotePrefix="1" applyFont="1" applyBorder="1" applyAlignment="1">
      <alignment horizontal="left" vertical="top" wrapText="1"/>
    </xf>
    <xf numFmtId="0" fontId="20" fillId="0" borderId="1" xfId="0" applyFont="1" applyBorder="1" applyAlignment="1">
      <alignment horizontal="left" vertical="top" wrapText="1"/>
    </xf>
    <xf numFmtId="0" fontId="20" fillId="13" borderId="80" xfId="0" applyFont="1" applyFill="1" applyBorder="1" applyAlignment="1">
      <alignment horizontal="left" vertical="top" wrapText="1"/>
    </xf>
    <xf numFmtId="0" fontId="20" fillId="13" borderId="80" xfId="0" applyFont="1" applyFill="1" applyBorder="1" applyAlignment="1">
      <alignment horizontal="center" vertical="top" wrapText="1"/>
    </xf>
    <xf numFmtId="0" fontId="20" fillId="13" borderId="1" xfId="0" applyFont="1" applyFill="1" applyBorder="1" applyAlignment="1">
      <alignment horizontal="center" vertical="top" wrapText="1"/>
    </xf>
    <xf numFmtId="0" fontId="3" fillId="9" borderId="66" xfId="0" applyFont="1" applyFill="1" applyBorder="1" applyAlignment="1">
      <alignment horizontal="center" vertical="center"/>
    </xf>
    <xf numFmtId="0" fontId="20" fillId="13" borderId="79" xfId="0" quotePrefix="1" applyFont="1" applyFill="1" applyBorder="1" applyAlignment="1">
      <alignment horizontal="left" vertical="top" wrapText="1"/>
    </xf>
    <xf numFmtId="0" fontId="21" fillId="13" borderId="1" xfId="0" applyFont="1" applyFill="1" applyBorder="1" applyAlignment="1">
      <alignment horizontal="center" vertical="center" wrapText="1"/>
    </xf>
    <xf numFmtId="0" fontId="3" fillId="3" borderId="61" xfId="0" applyFont="1" applyFill="1" applyBorder="1" applyAlignment="1">
      <alignment vertical="top" wrapText="1"/>
    </xf>
    <xf numFmtId="0" fontId="2" fillId="3" borderId="61" xfId="0" applyFont="1" applyFill="1" applyBorder="1" applyAlignment="1">
      <alignment horizontal="left" vertical="center" indent="2" readingOrder="1"/>
    </xf>
    <xf numFmtId="0" fontId="3" fillId="3" borderId="61" xfId="0" applyFont="1" applyFill="1" applyBorder="1" applyAlignment="1">
      <alignment horizontal="center" vertical="center"/>
    </xf>
    <xf numFmtId="0" fontId="3" fillId="3" borderId="61" xfId="0" applyFont="1" applyFill="1" applyBorder="1" applyAlignment="1">
      <alignment vertical="top"/>
    </xf>
    <xf numFmtId="0" fontId="3" fillId="3" borderId="61" xfId="0" applyFont="1" applyFill="1" applyBorder="1"/>
    <xf numFmtId="0" fontId="3" fillId="3" borderId="62" xfId="0" applyFont="1" applyFill="1" applyBorder="1"/>
    <xf numFmtId="0" fontId="3" fillId="3" borderId="69" xfId="0" applyFont="1" applyFill="1" applyBorder="1" applyAlignment="1">
      <alignment vertical="top" wrapText="1"/>
    </xf>
    <xf numFmtId="0" fontId="2" fillId="3" borderId="63" xfId="0" applyFont="1" applyFill="1" applyBorder="1" applyAlignment="1">
      <alignment horizontal="left" vertical="top" wrapText="1" readingOrder="1"/>
    </xf>
    <xf numFmtId="0" fontId="3" fillId="3" borderId="69" xfId="0" applyFont="1" applyFill="1" applyBorder="1" applyAlignment="1">
      <alignment horizontal="center" vertical="center"/>
    </xf>
    <xf numFmtId="0" fontId="3" fillId="3" borderId="69" xfId="0" applyFont="1" applyFill="1" applyBorder="1" applyAlignment="1">
      <alignment vertical="top"/>
    </xf>
    <xf numFmtId="0" fontId="3" fillId="3" borderId="69" xfId="0" applyFont="1" applyFill="1" applyBorder="1"/>
    <xf numFmtId="0" fontId="3" fillId="3" borderId="70" xfId="0" applyFont="1" applyFill="1" applyBorder="1"/>
    <xf numFmtId="0" fontId="2" fillId="3" borderId="55" xfId="0" applyFont="1" applyFill="1" applyBorder="1" applyAlignment="1">
      <alignment horizontal="left" vertical="top" readingOrder="1"/>
    </xf>
    <xf numFmtId="0" fontId="3" fillId="3" borderId="57" xfId="0" applyFont="1" applyFill="1" applyBorder="1" applyAlignment="1">
      <alignment horizontal="center" vertical="center"/>
    </xf>
    <xf numFmtId="0" fontId="3" fillId="3" borderId="57" xfId="0" applyFont="1" applyFill="1" applyBorder="1" applyAlignment="1">
      <alignment vertical="top"/>
    </xf>
    <xf numFmtId="0" fontId="2" fillId="3" borderId="57" xfId="0" applyFont="1" applyFill="1" applyBorder="1" applyAlignment="1">
      <alignment horizontal="left" vertical="top" readingOrder="1"/>
    </xf>
    <xf numFmtId="0" fontId="3" fillId="3" borderId="76" xfId="0" applyFont="1" applyFill="1" applyBorder="1" applyAlignment="1">
      <alignment vertical="top" wrapText="1"/>
    </xf>
    <xf numFmtId="0" fontId="2" fillId="3" borderId="76" xfId="0" applyFont="1" applyFill="1" applyBorder="1" applyAlignment="1">
      <alignment horizontal="left" vertical="top" readingOrder="1"/>
    </xf>
    <xf numFmtId="0" fontId="3" fillId="3" borderId="76" xfId="0" applyFont="1" applyFill="1" applyBorder="1"/>
    <xf numFmtId="0" fontId="3" fillId="3" borderId="76" xfId="0" applyFont="1" applyFill="1" applyBorder="1" applyAlignment="1">
      <alignment vertical="top"/>
    </xf>
    <xf numFmtId="0" fontId="3" fillId="3" borderId="77" xfId="0" applyFont="1" applyFill="1" applyBorder="1"/>
    <xf numFmtId="0" fontId="20" fillId="0" borderId="1" xfId="0" applyFont="1" applyBorder="1" applyAlignment="1">
      <alignment horizontal="center" vertical="top" wrapText="1"/>
    </xf>
    <xf numFmtId="0" fontId="14" fillId="3" borderId="61" xfId="0" applyFont="1" applyFill="1" applyBorder="1" applyAlignment="1">
      <alignment horizontal="center" vertical="center" wrapText="1"/>
    </xf>
    <xf numFmtId="0" fontId="14" fillId="3" borderId="69" xfId="0" applyFont="1" applyFill="1" applyBorder="1" applyAlignment="1">
      <alignment horizontal="center" vertical="center" wrapText="1"/>
    </xf>
    <xf numFmtId="0" fontId="0" fillId="0" borderId="0" xfId="0" applyAlignment="1">
      <alignment horizontal="center" vertical="center"/>
    </xf>
    <xf numFmtId="0" fontId="19" fillId="0" borderId="0" xfId="0" applyFont="1" applyAlignment="1">
      <alignment horizontal="left" vertical="top" wrapText="1"/>
    </xf>
    <xf numFmtId="0" fontId="21" fillId="15" borderId="1" xfId="0" applyFont="1" applyFill="1" applyBorder="1" applyAlignment="1">
      <alignment horizontal="center" vertical="top" wrapText="1"/>
    </xf>
    <xf numFmtId="0" fontId="21" fillId="15" borderId="1" xfId="0" applyFont="1" applyFill="1" applyBorder="1" applyAlignment="1">
      <alignment horizontal="left" vertical="top" wrapText="1"/>
    </xf>
    <xf numFmtId="0" fontId="21" fillId="13" borderId="1" xfId="0" applyFont="1" applyFill="1" applyBorder="1" applyAlignment="1">
      <alignment horizontal="center" vertical="top" wrapText="1"/>
    </xf>
    <xf numFmtId="0" fontId="27" fillId="13" borderId="0" xfId="0" applyFont="1" applyFill="1" applyAlignment="1">
      <alignment horizontal="left" vertical="top" wrapText="1"/>
    </xf>
    <xf numFmtId="0" fontId="25" fillId="3" borderId="1" xfId="0" applyFont="1" applyFill="1" applyBorder="1" applyAlignment="1">
      <alignment vertical="top" wrapText="1"/>
    </xf>
    <xf numFmtId="0" fontId="21" fillId="3" borderId="1" xfId="0" applyFont="1" applyFill="1" applyBorder="1" applyAlignment="1">
      <alignment horizontal="center" vertical="top" wrapText="1"/>
    </xf>
    <xf numFmtId="0" fontId="21" fillId="3" borderId="80" xfId="0" applyFont="1" applyFill="1" applyBorder="1" applyAlignment="1">
      <alignment horizontal="center" vertical="top" wrapText="1"/>
    </xf>
    <xf numFmtId="0" fontId="21" fillId="0" borderId="1" xfId="0" applyFont="1" applyBorder="1" applyAlignment="1">
      <alignment horizontal="center" vertical="top" wrapText="1"/>
    </xf>
    <xf numFmtId="0" fontId="21" fillId="0" borderId="79" xfId="0" applyFont="1" applyBorder="1" applyAlignment="1">
      <alignment horizontal="center" vertical="top" wrapText="1"/>
    </xf>
    <xf numFmtId="0" fontId="20" fillId="0" borderId="79" xfId="0" applyFont="1" applyBorder="1" applyAlignment="1">
      <alignment horizontal="center" vertical="top" wrapText="1"/>
    </xf>
    <xf numFmtId="0" fontId="13" fillId="9" borderId="96" xfId="0" applyFont="1" applyFill="1" applyBorder="1" applyAlignment="1">
      <alignment horizontal="center" vertical="center" wrapText="1"/>
    </xf>
    <xf numFmtId="0" fontId="20" fillId="9" borderId="97" xfId="0" applyFont="1" applyFill="1" applyBorder="1" applyAlignment="1">
      <alignment horizontal="left" vertical="top" wrapText="1"/>
    </xf>
    <xf numFmtId="0" fontId="21" fillId="9" borderId="97" xfId="0" applyFont="1" applyFill="1" applyBorder="1" applyAlignment="1">
      <alignment horizontal="center" vertical="center" wrapText="1"/>
    </xf>
    <xf numFmtId="0" fontId="20" fillId="9" borderId="98" xfId="0" applyFont="1" applyFill="1" applyBorder="1" applyAlignment="1">
      <alignment horizontal="left" vertical="top" wrapText="1"/>
    </xf>
    <xf numFmtId="0" fontId="0" fillId="9" borderId="91" xfId="0" applyFill="1" applyBorder="1" applyAlignment="1">
      <alignment horizontal="left" vertical="top" wrapText="1"/>
    </xf>
    <xf numFmtId="0" fontId="20" fillId="9" borderId="97" xfId="0" applyFont="1" applyFill="1" applyBorder="1" applyAlignment="1">
      <alignment horizontal="center" vertical="center" wrapText="1"/>
    </xf>
    <xf numFmtId="0" fontId="20" fillId="9" borderId="98" xfId="0" applyFont="1" applyFill="1" applyBorder="1" applyAlignment="1">
      <alignment horizontal="center" vertical="center" wrapText="1"/>
    </xf>
    <xf numFmtId="0" fontId="20" fillId="9" borderId="96" xfId="0" applyFont="1" applyFill="1" applyBorder="1" applyAlignment="1">
      <alignment horizontal="center" vertical="center" wrapText="1"/>
    </xf>
    <xf numFmtId="0" fontId="20" fillId="9" borderId="99" xfId="0" applyFont="1" applyFill="1" applyBorder="1" applyAlignment="1">
      <alignment horizontal="center" vertical="center" wrapText="1"/>
    </xf>
    <xf numFmtId="0" fontId="0" fillId="9" borderId="100" xfId="0" applyFill="1" applyBorder="1" applyAlignment="1">
      <alignment horizontal="left" vertical="top" wrapText="1"/>
    </xf>
    <xf numFmtId="0" fontId="21" fillId="13" borderId="80" xfId="0" applyFont="1" applyFill="1" applyBorder="1" applyAlignment="1">
      <alignment horizontal="center" vertical="top" wrapText="1"/>
    </xf>
    <xf numFmtId="0" fontId="13"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3" fillId="13" borderId="1" xfId="0" applyFont="1" applyFill="1" applyBorder="1" applyAlignment="1">
      <alignment horizontal="center" vertical="center" wrapText="1"/>
    </xf>
    <xf numFmtId="0" fontId="21" fillId="13" borderId="79" xfId="0" applyFont="1" applyFill="1" applyBorder="1" applyAlignment="1">
      <alignment horizontal="center" vertical="center" wrapText="1"/>
    </xf>
    <xf numFmtId="0" fontId="0" fillId="13" borderId="1" xfId="0" applyFill="1" applyBorder="1" applyAlignment="1">
      <alignment horizontal="left" vertical="top" wrapText="1"/>
    </xf>
    <xf numFmtId="0" fontId="20" fillId="13" borderId="1" xfId="0" quotePrefix="1" applyFont="1" applyFill="1" applyBorder="1" applyAlignment="1">
      <alignment horizontal="center" vertical="top" wrapText="1"/>
    </xf>
    <xf numFmtId="0" fontId="13" fillId="3"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0" fillId="3" borderId="1" xfId="0" applyFill="1" applyBorder="1" applyAlignment="1">
      <alignment horizontal="left" vertical="top" wrapText="1"/>
    </xf>
    <xf numFmtId="0" fontId="0" fillId="0" borderId="0" xfId="0" applyAlignment="1">
      <alignment horizontal="left" vertical="top" wrapText="1"/>
    </xf>
    <xf numFmtId="0" fontId="3" fillId="0" borderId="87" xfId="0" applyFont="1" applyBorder="1" applyAlignment="1">
      <alignment horizontal="center" vertical="center"/>
    </xf>
    <xf numFmtId="0" fontId="13" fillId="0" borderId="64" xfId="0" applyFont="1" applyBorder="1" applyAlignment="1">
      <alignment horizontal="center" vertical="center"/>
    </xf>
    <xf numFmtId="0" fontId="14" fillId="0" borderId="64" xfId="0" applyFont="1" applyBorder="1" applyAlignment="1">
      <alignment horizontal="center" vertical="center" wrapText="1"/>
    </xf>
    <xf numFmtId="0" fontId="3" fillId="0" borderId="64" xfId="0" applyFont="1" applyBorder="1" applyAlignment="1">
      <alignment vertical="top" wrapText="1"/>
    </xf>
    <xf numFmtId="0" fontId="3" fillId="0" borderId="64" xfId="0" applyFont="1" applyBorder="1" applyAlignment="1">
      <alignment horizontal="center" vertical="center"/>
    </xf>
    <xf numFmtId="0" fontId="3" fillId="0" borderId="64" xfId="0" applyFont="1" applyBorder="1"/>
    <xf numFmtId="0" fontId="3" fillId="0" borderId="65" xfId="0" applyFont="1" applyBorder="1"/>
    <xf numFmtId="0" fontId="3" fillId="0" borderId="55" xfId="0" applyFont="1" applyBorder="1"/>
    <xf numFmtId="0" fontId="13" fillId="0" borderId="61" xfId="0" applyFont="1" applyBorder="1" applyAlignment="1">
      <alignment horizontal="center" vertical="center"/>
    </xf>
    <xf numFmtId="0" fontId="14" fillId="0" borderId="61" xfId="0" applyFont="1" applyBorder="1" applyAlignment="1">
      <alignment horizontal="center" vertical="center" wrapText="1"/>
    </xf>
    <xf numFmtId="0" fontId="3" fillId="0" borderId="61" xfId="0" applyFont="1" applyBorder="1" applyAlignment="1">
      <alignment vertical="top" wrapText="1"/>
    </xf>
    <xf numFmtId="0" fontId="2" fillId="0" borderId="61" xfId="0" applyFont="1" applyBorder="1" applyAlignment="1">
      <alignment horizontal="left" vertical="center" indent="2" readingOrder="1"/>
    </xf>
    <xf numFmtId="0" fontId="3" fillId="0" borderId="61" xfId="0" applyFont="1" applyBorder="1" applyAlignment="1">
      <alignment horizontal="center" vertical="center"/>
    </xf>
    <xf numFmtId="0" fontId="3" fillId="0" borderId="61" xfId="0" applyFont="1" applyBorder="1" applyAlignment="1">
      <alignment vertical="top"/>
    </xf>
    <xf numFmtId="0" fontId="3" fillId="0" borderId="61" xfId="0" applyFont="1" applyBorder="1"/>
    <xf numFmtId="0" fontId="3" fillId="0" borderId="62" xfId="0" applyFont="1" applyBorder="1"/>
    <xf numFmtId="0" fontId="3" fillId="0" borderId="57" xfId="0" applyFont="1" applyBorder="1"/>
    <xf numFmtId="0" fontId="13" fillId="0" borderId="63" xfId="0" applyFont="1" applyBorder="1" applyAlignment="1">
      <alignment horizontal="center" vertical="center"/>
    </xf>
    <xf numFmtId="0" fontId="16" fillId="0" borderId="0" xfId="0" applyFont="1" applyAlignment="1">
      <alignment horizontal="center" vertical="center"/>
    </xf>
    <xf numFmtId="0" fontId="15" fillId="0" borderId="1" xfId="0" applyFont="1" applyBorder="1" applyAlignment="1">
      <alignment horizontal="left" vertical="center" wrapText="1" readingOrder="1"/>
    </xf>
    <xf numFmtId="0" fontId="15" fillId="0" borderId="1" xfId="0" quotePrefix="1" applyFont="1" applyBorder="1" applyAlignment="1">
      <alignment horizontal="left" vertical="center" wrapText="1" readingOrder="1"/>
    </xf>
    <xf numFmtId="0" fontId="3" fillId="0" borderId="1" xfId="0" quotePrefix="1" applyFont="1" applyBorder="1" applyAlignment="1">
      <alignment horizontal="left" vertical="center" wrapText="1" readingOrder="1"/>
    </xf>
    <xf numFmtId="0" fontId="5" fillId="11" borderId="1" xfId="0" applyFont="1" applyFill="1" applyBorder="1" applyAlignment="1">
      <alignment vertical="center"/>
    </xf>
    <xf numFmtId="0" fontId="5" fillId="11" borderId="1" xfId="0" applyFont="1" applyFill="1" applyBorder="1" applyAlignment="1">
      <alignment vertical="center" wrapText="1"/>
    </xf>
    <xf numFmtId="0" fontId="5" fillId="11" borderId="1" xfId="0" applyFont="1" applyFill="1" applyBorder="1" applyAlignment="1">
      <alignment wrapText="1"/>
    </xf>
    <xf numFmtId="0" fontId="15" fillId="0" borderId="1" xfId="0" quotePrefix="1" applyFont="1" applyBorder="1" applyAlignment="1">
      <alignment vertical="center" wrapText="1" readingOrder="1"/>
    </xf>
    <xf numFmtId="0" fontId="15" fillId="9" borderId="108" xfId="0" applyFont="1" applyFill="1" applyBorder="1" applyAlignment="1">
      <alignment horizontal="left" vertical="top" wrapText="1"/>
    </xf>
    <xf numFmtId="0" fontId="15" fillId="9" borderId="108" xfId="0" quotePrefix="1" applyFont="1" applyFill="1" applyBorder="1" applyAlignment="1">
      <alignment vertical="top" wrapText="1"/>
    </xf>
    <xf numFmtId="0" fontId="15" fillId="9" borderId="108" xfId="0" applyFont="1" applyFill="1" applyBorder="1" applyAlignment="1">
      <alignment wrapText="1"/>
    </xf>
    <xf numFmtId="0" fontId="20" fillId="9" borderId="108" xfId="0" applyFont="1" applyFill="1" applyBorder="1" applyAlignment="1">
      <alignment horizontal="left" vertical="top" wrapText="1"/>
    </xf>
    <xf numFmtId="0" fontId="0" fillId="9" borderId="108" xfId="0" applyFill="1" applyBorder="1"/>
    <xf numFmtId="0" fontId="3" fillId="9" borderId="108" xfId="0" applyFont="1" applyFill="1" applyBorder="1" applyAlignment="1">
      <alignment horizontal="left" vertical="top" wrapText="1"/>
    </xf>
    <xf numFmtId="0" fontId="3" fillId="9" borderId="108" xfId="0" applyFont="1" applyFill="1" applyBorder="1" applyAlignment="1">
      <alignment horizontal="center" vertical="center"/>
    </xf>
    <xf numFmtId="0" fontId="3" fillId="9" borderId="108" xfId="0" quotePrefix="1" applyFont="1" applyFill="1" applyBorder="1" applyAlignment="1">
      <alignment vertical="top" wrapText="1"/>
    </xf>
    <xf numFmtId="0" fontId="3" fillId="9" borderId="108" xfId="0" applyFont="1" applyFill="1" applyBorder="1"/>
    <xf numFmtId="0" fontId="15" fillId="9" borderId="108" xfId="0" applyFont="1" applyFill="1" applyBorder="1" applyAlignment="1">
      <alignment horizontal="center" vertical="center"/>
    </xf>
    <xf numFmtId="0" fontId="3" fillId="0" borderId="108" xfId="0" applyFont="1" applyBorder="1" applyAlignment="1">
      <alignment horizontal="left" vertical="top" wrapText="1"/>
    </xf>
    <xf numFmtId="0" fontId="3" fillId="0" borderId="108" xfId="0" applyFont="1" applyBorder="1" applyAlignment="1">
      <alignment horizontal="center" vertical="center"/>
    </xf>
    <xf numFmtId="0" fontId="3" fillId="0" borderId="108" xfId="0" quotePrefix="1" applyFont="1" applyBorder="1" applyAlignment="1">
      <alignment vertical="top" wrapText="1"/>
    </xf>
    <xf numFmtId="0" fontId="3" fillId="0" borderId="108" xfId="0" applyFont="1" applyBorder="1"/>
    <xf numFmtId="0" fontId="15" fillId="0" borderId="108" xfId="0" quotePrefix="1" applyFont="1" applyBorder="1" applyAlignment="1">
      <alignment vertical="top" wrapText="1"/>
    </xf>
    <xf numFmtId="0" fontId="15" fillId="0" borderId="108" xfId="0" applyFont="1" applyBorder="1" applyAlignment="1">
      <alignment horizontal="center" vertical="center"/>
    </xf>
    <xf numFmtId="0" fontId="3" fillId="0" borderId="108" xfId="0" applyFont="1" applyBorder="1" applyAlignment="1">
      <alignment vertical="top" wrapText="1"/>
    </xf>
    <xf numFmtId="0" fontId="3" fillId="9" borderId="108" xfId="0" applyFont="1" applyFill="1" applyBorder="1" applyAlignment="1">
      <alignment vertical="top" wrapText="1"/>
    </xf>
    <xf numFmtId="0" fontId="20" fillId="3" borderId="108" xfId="0" applyFont="1" applyFill="1" applyBorder="1" applyAlignment="1">
      <alignment horizontal="left" vertical="top" wrapText="1"/>
    </xf>
    <xf numFmtId="0" fontId="2" fillId="0" borderId="108" xfId="0" applyFont="1" applyBorder="1" applyAlignment="1">
      <alignment horizontal="left" vertical="center" wrapText="1" readingOrder="1"/>
    </xf>
    <xf numFmtId="0" fontId="20" fillId="3" borderId="108" xfId="0" applyFont="1" applyFill="1" applyBorder="1" applyAlignment="1">
      <alignment horizontal="center" vertical="top" wrapText="1"/>
    </xf>
    <xf numFmtId="0" fontId="20" fillId="3" borderId="108" xfId="0" applyFont="1" applyFill="1" applyBorder="1" applyAlignment="1">
      <alignment vertical="top" wrapText="1"/>
    </xf>
    <xf numFmtId="0" fontId="25" fillId="3" borderId="108" xfId="0" applyFont="1" applyFill="1" applyBorder="1" applyAlignment="1">
      <alignment horizontal="left" vertical="top" wrapText="1"/>
    </xf>
    <xf numFmtId="0" fontId="31" fillId="0" borderId="108" xfId="0" applyFont="1" applyBorder="1" applyAlignment="1">
      <alignment horizontal="center" vertical="center"/>
    </xf>
    <xf numFmtId="0" fontId="2" fillId="9" borderId="108" xfId="0" applyFont="1" applyFill="1" applyBorder="1" applyAlignment="1">
      <alignment horizontal="left" vertical="center" wrapText="1" readingOrder="1"/>
    </xf>
    <xf numFmtId="0" fontId="20" fillId="9" borderId="108" xfId="0" applyFont="1" applyFill="1" applyBorder="1" applyAlignment="1">
      <alignment horizontal="center" vertical="center" wrapText="1"/>
    </xf>
    <xf numFmtId="0" fontId="20" fillId="9" borderId="108" xfId="0" quotePrefix="1" applyFont="1" applyFill="1" applyBorder="1" applyAlignment="1">
      <alignment vertical="top" wrapText="1"/>
    </xf>
    <xf numFmtId="0" fontId="3" fillId="3" borderId="108" xfId="0" applyFont="1" applyFill="1" applyBorder="1" applyAlignment="1">
      <alignment vertical="top" wrapText="1"/>
    </xf>
    <xf numFmtId="0" fontId="20" fillId="3" borderId="108" xfId="0" quotePrefix="1" applyFont="1" applyFill="1" applyBorder="1" applyAlignment="1">
      <alignment vertical="top" wrapText="1"/>
    </xf>
    <xf numFmtId="0" fontId="3" fillId="3" borderId="108" xfId="0" applyFont="1" applyFill="1" applyBorder="1" applyAlignment="1">
      <alignment horizontal="center" vertical="center"/>
    </xf>
    <xf numFmtId="0" fontId="3" fillId="3" borderId="108" xfId="0" applyFont="1" applyFill="1" applyBorder="1"/>
    <xf numFmtId="0" fontId="20" fillId="0" borderId="108" xfId="0" quotePrefix="1" applyFont="1" applyBorder="1" applyAlignment="1">
      <alignment horizontal="left" vertical="top" wrapText="1"/>
    </xf>
    <xf numFmtId="0" fontId="0" fillId="0" borderId="108" xfId="0" applyBorder="1"/>
    <xf numFmtId="0" fontId="20" fillId="9" borderId="108" xfId="0" applyFont="1" applyFill="1" applyBorder="1" applyAlignment="1">
      <alignment vertical="top" wrapText="1"/>
    </xf>
    <xf numFmtId="0" fontId="20" fillId="3" borderId="108" xfId="0" quotePrefix="1" applyFont="1" applyFill="1" applyBorder="1" applyAlignment="1">
      <alignment horizontal="left" vertical="top" wrapText="1"/>
    </xf>
    <xf numFmtId="0" fontId="20" fillId="3" borderId="108" xfId="0" quotePrefix="1" applyFont="1" applyFill="1" applyBorder="1" applyAlignment="1">
      <alignment horizontal="center" vertical="top" wrapText="1"/>
    </xf>
    <xf numFmtId="0" fontId="20" fillId="9" borderId="108" xfId="0" quotePrefix="1" applyFont="1" applyFill="1" applyBorder="1" applyAlignment="1">
      <alignment horizontal="left" vertical="top" wrapText="1"/>
    </xf>
    <xf numFmtId="0" fontId="13" fillId="0" borderId="108" xfId="0" applyFont="1" applyBorder="1" applyAlignment="1">
      <alignment horizontal="center" vertical="center"/>
    </xf>
    <xf numFmtId="0" fontId="14" fillId="0" borderId="108" xfId="0" applyFont="1" applyBorder="1" applyAlignment="1">
      <alignment horizontal="center" vertical="center" wrapText="1"/>
    </xf>
    <xf numFmtId="0" fontId="13" fillId="9" borderId="108" xfId="0" applyFont="1" applyFill="1" applyBorder="1" applyAlignment="1">
      <alignment horizontal="center" vertical="center"/>
    </xf>
    <xf numFmtId="0" fontId="21" fillId="9" borderId="108" xfId="0" applyFont="1" applyFill="1" applyBorder="1" applyAlignment="1">
      <alignment horizontal="center" vertical="center" wrapText="1"/>
    </xf>
    <xf numFmtId="0" fontId="14" fillId="3" borderId="67" xfId="0" applyFont="1" applyFill="1" applyBorder="1" applyAlignment="1">
      <alignment horizontal="center" vertical="center" wrapText="1"/>
    </xf>
    <xf numFmtId="0" fontId="14" fillId="3" borderId="75" xfId="0" applyFont="1" applyFill="1" applyBorder="1" applyAlignment="1">
      <alignment horizontal="center" vertical="center" wrapText="1"/>
    </xf>
    <xf numFmtId="0" fontId="14" fillId="3" borderId="108" xfId="0" applyFont="1" applyFill="1" applyBorder="1" applyAlignment="1">
      <alignment horizontal="center" vertical="center" wrapText="1"/>
    </xf>
    <xf numFmtId="0" fontId="14" fillId="9" borderId="108" xfId="0" applyFont="1" applyFill="1" applyBorder="1" applyAlignment="1">
      <alignment horizontal="center" vertical="center" wrapText="1"/>
    </xf>
    <xf numFmtId="0" fontId="13" fillId="9" borderId="108" xfId="0" applyFont="1" applyFill="1" applyBorder="1" applyAlignment="1">
      <alignment horizontal="center" vertical="center" wrapText="1"/>
    </xf>
    <xf numFmtId="0" fontId="51" fillId="0" borderId="0" xfId="0" applyFont="1"/>
    <xf numFmtId="9" fontId="51" fillId="0" borderId="0" xfId="0" applyNumberFormat="1" applyFont="1"/>
    <xf numFmtId="10" fontId="51" fillId="0" borderId="0" xfId="0" applyNumberFormat="1" applyFont="1"/>
    <xf numFmtId="0" fontId="50" fillId="0" borderId="0" xfId="0" applyFont="1" applyAlignment="1">
      <alignment horizontal="center"/>
    </xf>
    <xf numFmtId="10" fontId="50" fillId="0" borderId="0" xfId="0" applyNumberFormat="1" applyFont="1" applyAlignment="1">
      <alignment horizontal="center"/>
    </xf>
    <xf numFmtId="15" fontId="51" fillId="0" borderId="0" xfId="0" applyNumberFormat="1" applyFont="1"/>
    <xf numFmtId="0" fontId="51" fillId="0" borderId="0" xfId="0" applyFont="1" applyAlignment="1">
      <alignment horizontal="center"/>
    </xf>
    <xf numFmtId="6" fontId="51" fillId="0" borderId="0" xfId="0" applyNumberFormat="1" applyFont="1"/>
    <xf numFmtId="0" fontId="50" fillId="0" borderId="0" xfId="0" applyFont="1" applyAlignment="1">
      <alignment horizontal="right"/>
    </xf>
    <xf numFmtId="0" fontId="55" fillId="52" borderId="119" xfId="0" applyFont="1" applyFill="1" applyBorder="1" applyAlignment="1">
      <alignment horizontal="center"/>
    </xf>
    <xf numFmtId="6" fontId="55" fillId="52" borderId="119" xfId="0" applyNumberFormat="1" applyFont="1" applyFill="1" applyBorder="1" applyAlignment="1">
      <alignment horizontal="center"/>
    </xf>
    <xf numFmtId="10" fontId="55" fillId="52" borderId="119" xfId="0" applyNumberFormat="1" applyFont="1" applyFill="1" applyBorder="1" applyAlignment="1">
      <alignment horizontal="center"/>
    </xf>
    <xf numFmtId="0" fontId="51" fillId="0" borderId="120" xfId="0" applyFont="1" applyBorder="1"/>
    <xf numFmtId="6" fontId="51" fillId="0" borderId="120" xfId="0" applyNumberFormat="1" applyFont="1" applyBorder="1"/>
    <xf numFmtId="10" fontId="51" fillId="0" borderId="120" xfId="0" applyNumberFormat="1" applyFont="1" applyBorder="1"/>
    <xf numFmtId="0" fontId="52" fillId="0" borderId="120" xfId="0" applyFont="1" applyBorder="1" applyAlignment="1">
      <alignment horizontal="center" vertical="center" wrapText="1"/>
    </xf>
    <xf numFmtId="0" fontId="51" fillId="0" borderId="120" xfId="0" applyFont="1" applyBorder="1" applyAlignment="1">
      <alignment horizontal="center"/>
    </xf>
    <xf numFmtId="3" fontId="51" fillId="0" borderId="120" xfId="0" applyNumberFormat="1" applyFont="1" applyBorder="1"/>
    <xf numFmtId="0" fontId="51" fillId="0" borderId="121" xfId="0" applyFont="1" applyBorder="1"/>
    <xf numFmtId="6" fontId="51" fillId="0" borderId="121" xfId="0" applyNumberFormat="1" applyFont="1" applyBorder="1"/>
    <xf numFmtId="10" fontId="51" fillId="0" borderId="121" xfId="0" applyNumberFormat="1" applyFont="1" applyBorder="1"/>
    <xf numFmtId="0" fontId="52" fillId="0" borderId="121" xfId="0" applyFont="1" applyBorder="1" applyAlignment="1">
      <alignment horizontal="center" vertical="center" wrapText="1"/>
    </xf>
    <xf numFmtId="0" fontId="51" fillId="0" borderId="121" xfId="0" applyFont="1" applyBorder="1" applyAlignment="1">
      <alignment horizontal="center"/>
    </xf>
    <xf numFmtId="3" fontId="51" fillId="0" borderId="121" xfId="0" applyNumberFormat="1" applyFont="1" applyBorder="1"/>
    <xf numFmtId="6" fontId="51" fillId="0" borderId="121" xfId="0" quotePrefix="1" applyNumberFormat="1" applyFont="1" applyBorder="1"/>
    <xf numFmtId="15" fontId="51" fillId="0" borderId="121" xfId="0" applyNumberFormat="1" applyFont="1" applyBorder="1"/>
    <xf numFmtId="0" fontId="51" fillId="0" borderId="0" xfId="0" applyFont="1" applyAlignment="1">
      <alignment horizontal="left"/>
    </xf>
    <xf numFmtId="0" fontId="51" fillId="0" borderId="123" xfId="0" applyFont="1" applyBorder="1"/>
    <xf numFmtId="0" fontId="51" fillId="0" borderId="123" xfId="0" applyFont="1" applyBorder="1" applyAlignment="1">
      <alignment horizontal="center"/>
    </xf>
    <xf numFmtId="0" fontId="50" fillId="54" borderId="0" xfId="0" applyFont="1" applyFill="1" applyAlignment="1">
      <alignment horizontal="center"/>
    </xf>
    <xf numFmtId="0" fontId="57" fillId="0" borderId="0" xfId="0" applyFont="1"/>
    <xf numFmtId="0" fontId="58" fillId="0" borderId="0" xfId="0" applyFont="1"/>
    <xf numFmtId="0" fontId="50" fillId="53" borderId="119" xfId="0" applyFont="1" applyFill="1" applyBorder="1" applyAlignment="1">
      <alignment horizontal="center"/>
    </xf>
    <xf numFmtId="0" fontId="21" fillId="10" borderId="0" xfId="0" applyFont="1" applyFill="1" applyAlignment="1">
      <alignment horizontal="center"/>
    </xf>
    <xf numFmtId="0" fontId="50" fillId="55" borderId="0" xfId="0" applyFont="1" applyFill="1" applyAlignment="1">
      <alignment horizontal="center"/>
    </xf>
    <xf numFmtId="8" fontId="57" fillId="0" borderId="0" xfId="0" applyNumberFormat="1" applyFont="1"/>
    <xf numFmtId="0" fontId="20" fillId="0" borderId="0" xfId="0" applyFont="1"/>
    <xf numFmtId="0" fontId="3" fillId="0" borderId="0" xfId="0" applyFont="1" applyAlignment="1">
      <alignment horizontal="left"/>
    </xf>
    <xf numFmtId="0" fontId="3" fillId="0" borderId="0" xfId="0" applyFont="1" applyAlignment="1">
      <alignment horizontal="left" indent="1"/>
    </xf>
    <xf numFmtId="4" fontId="51" fillId="0" borderId="0" xfId="0" applyNumberFormat="1" applyFont="1"/>
    <xf numFmtId="0" fontId="50" fillId="0" borderId="0" xfId="0" applyFont="1"/>
    <xf numFmtId="0" fontId="51" fillId="0" borderId="0" xfId="0" applyFont="1" applyAlignment="1">
      <alignment horizontal="center" vertical="center"/>
    </xf>
    <xf numFmtId="0" fontId="62" fillId="0" borderId="0" xfId="0" applyFont="1" applyAlignment="1">
      <alignment vertical="center"/>
    </xf>
    <xf numFmtId="9" fontId="51" fillId="0" borderId="0" xfId="0" applyNumberFormat="1" applyFont="1" applyAlignment="1">
      <alignment horizontal="left"/>
    </xf>
    <xf numFmtId="0" fontId="63" fillId="0" borderId="0" xfId="0" applyFont="1"/>
    <xf numFmtId="0" fontId="53" fillId="53" borderId="0" xfId="44" applyFill="1"/>
    <xf numFmtId="0" fontId="65" fillId="56" borderId="0" xfId="44" applyFont="1" applyFill="1" applyAlignment="1">
      <alignment vertical="center"/>
    </xf>
    <xf numFmtId="0" fontId="66" fillId="0" borderId="0" xfId="0" applyFont="1"/>
    <xf numFmtId="0" fontId="55" fillId="52" borderId="119" xfId="0" applyFont="1" applyFill="1" applyBorder="1" applyAlignment="1">
      <alignment horizontal="center" vertical="center"/>
    </xf>
    <xf numFmtId="0" fontId="51" fillId="0" borderId="120" xfId="0" applyFont="1" applyBorder="1" applyAlignment="1">
      <alignment horizontal="center" vertical="center"/>
    </xf>
    <xf numFmtId="0" fontId="51" fillId="0" borderId="121" xfId="0" applyFont="1" applyBorder="1" applyAlignment="1">
      <alignment horizontal="center" vertical="center"/>
    </xf>
    <xf numFmtId="0" fontId="4" fillId="2" borderId="109" xfId="0" applyFont="1" applyFill="1" applyBorder="1" applyAlignment="1">
      <alignment horizontal="center" vertical="center" wrapText="1"/>
    </xf>
    <xf numFmtId="0" fontId="4" fillId="2" borderId="109" xfId="0" applyFont="1" applyFill="1" applyBorder="1" applyAlignment="1">
      <alignment horizontal="left" vertical="center" wrapText="1"/>
    </xf>
    <xf numFmtId="0" fontId="15" fillId="0" borderId="0" xfId="0" applyFont="1" applyAlignment="1">
      <alignment vertical="center"/>
    </xf>
    <xf numFmtId="0" fontId="15" fillId="0" borderId="109" xfId="0" applyFont="1" applyBorder="1" applyAlignment="1">
      <alignment horizontal="center" vertical="center" wrapText="1"/>
    </xf>
    <xf numFmtId="0" fontId="15" fillId="0" borderId="109" xfId="0" applyFont="1" applyBorder="1" applyAlignment="1">
      <alignment horizontal="center" vertical="center"/>
    </xf>
    <xf numFmtId="0" fontId="15" fillId="0" borderId="109" xfId="0" applyFont="1" applyBorder="1" applyAlignment="1">
      <alignment horizontal="left" vertical="center" wrapText="1"/>
    </xf>
    <xf numFmtId="0" fontId="15" fillId="0" borderId="0" xfId="0" applyFont="1" applyAlignment="1">
      <alignment horizontal="center" vertical="center"/>
    </xf>
    <xf numFmtId="17" fontId="15" fillId="0" borderId="109" xfId="0" applyNumberFormat="1" applyFont="1" applyBorder="1" applyAlignment="1">
      <alignment horizontal="center" vertical="center" wrapText="1"/>
    </xf>
    <xf numFmtId="0" fontId="15" fillId="0" borderId="109" xfId="0" applyFont="1" applyBorder="1" applyAlignment="1">
      <alignment horizontal="left" vertical="center"/>
    </xf>
    <xf numFmtId="0" fontId="15" fillId="0" borderId="0" xfId="0" applyFont="1" applyAlignment="1">
      <alignment horizontal="center" vertical="center" wrapText="1"/>
    </xf>
    <xf numFmtId="0" fontId="20" fillId="0" borderId="0" xfId="0" applyFont="1" applyAlignment="1">
      <alignment vertical="center"/>
    </xf>
    <xf numFmtId="0" fontId="20" fillId="0" borderId="0" xfId="0" applyFont="1" applyAlignment="1">
      <alignment horizontal="left" vertical="center"/>
    </xf>
    <xf numFmtId="0" fontId="20" fillId="0" borderId="0" xfId="0" applyFont="1" applyAlignment="1">
      <alignment horizontal="center" vertical="center"/>
    </xf>
    <xf numFmtId="0" fontId="4" fillId="2" borderId="109" xfId="0" applyFont="1" applyFill="1" applyBorder="1" applyAlignment="1">
      <alignment vertical="center" wrapText="1"/>
    </xf>
    <xf numFmtId="0" fontId="3" fillId="0" borderId="109" xfId="0" applyFont="1" applyBorder="1" applyAlignment="1">
      <alignment horizontal="center" vertical="center" readingOrder="1"/>
    </xf>
    <xf numFmtId="0" fontId="18" fillId="0" borderId="109" xfId="0" applyFont="1" applyBorder="1" applyAlignment="1">
      <alignment horizontal="left" vertical="center" wrapText="1" readingOrder="1"/>
    </xf>
    <xf numFmtId="0" fontId="3" fillId="0" borderId="109" xfId="0" applyFont="1" applyBorder="1" applyAlignment="1">
      <alignment vertical="center" wrapText="1" readingOrder="1"/>
    </xf>
    <xf numFmtId="0" fontId="3" fillId="0" borderId="109" xfId="0" applyFont="1" applyBorder="1" applyAlignment="1">
      <alignment horizontal="center" vertical="center" wrapText="1" readingOrder="1"/>
    </xf>
    <xf numFmtId="0" fontId="3" fillId="0" borderId="109" xfId="0" applyFont="1" applyBorder="1" applyAlignment="1">
      <alignment vertical="center" readingOrder="1"/>
    </xf>
    <xf numFmtId="0" fontId="3" fillId="0" borderId="0" xfId="0" applyFont="1" applyAlignment="1">
      <alignment vertical="center"/>
    </xf>
    <xf numFmtId="0" fontId="72" fillId="0" borderId="0" xfId="0" applyFont="1" applyAlignment="1">
      <alignment vertical="center"/>
    </xf>
    <xf numFmtId="0" fontId="3" fillId="0" borderId="0" xfId="0" quotePrefix="1" applyFont="1" applyAlignment="1">
      <alignment horizontal="left" vertical="center" indent="1"/>
    </xf>
    <xf numFmtId="0" fontId="3" fillId="0" borderId="0" xfId="0" quotePrefix="1" applyFont="1" applyAlignment="1">
      <alignment vertical="center" wrapText="1"/>
    </xf>
    <xf numFmtId="0" fontId="73" fillId="0" borderId="0" xfId="0" quotePrefix="1" applyFont="1" applyAlignment="1">
      <alignment vertical="center"/>
    </xf>
    <xf numFmtId="0" fontId="4" fillId="8" borderId="79" xfId="0" applyFont="1" applyFill="1" applyBorder="1" applyAlignment="1">
      <alignment horizontal="center" vertical="center"/>
    </xf>
    <xf numFmtId="0" fontId="15" fillId="19" borderId="134" xfId="0" applyFont="1" applyFill="1" applyBorder="1" applyAlignment="1">
      <alignment horizontal="left" vertical="center" wrapText="1"/>
    </xf>
    <xf numFmtId="0" fontId="15" fillId="19" borderId="134" xfId="0" quotePrefix="1" applyFont="1" applyFill="1" applyBorder="1" applyAlignment="1">
      <alignment vertical="center" wrapText="1"/>
    </xf>
    <xf numFmtId="0" fontId="15" fillId="19" borderId="134" xfId="0" applyFont="1" applyFill="1" applyBorder="1" applyAlignment="1">
      <alignment horizontal="center" vertical="center" wrapText="1"/>
    </xf>
    <xf numFmtId="0" fontId="15" fillId="0" borderId="134" xfId="0" applyFont="1" applyBorder="1" applyAlignment="1">
      <alignment vertical="center"/>
    </xf>
    <xf numFmtId="0" fontId="15" fillId="19" borderId="109" xfId="0" applyFont="1" applyFill="1" applyBorder="1" applyAlignment="1">
      <alignment horizontal="left" vertical="center" wrapText="1"/>
    </xf>
    <xf numFmtId="0" fontId="15" fillId="19" borderId="109" xfId="0" quotePrefix="1" applyFont="1" applyFill="1" applyBorder="1" applyAlignment="1">
      <alignment vertical="center" wrapText="1"/>
    </xf>
    <xf numFmtId="0" fontId="15" fillId="19" borderId="109" xfId="0" applyFont="1" applyFill="1" applyBorder="1" applyAlignment="1">
      <alignment horizontal="center" vertical="center" wrapText="1"/>
    </xf>
    <xf numFmtId="0" fontId="15" fillId="19" borderId="109" xfId="0" applyFont="1" applyFill="1" applyBorder="1" applyAlignment="1">
      <alignment horizontal="center" vertical="center"/>
    </xf>
    <xf numFmtId="0" fontId="15" fillId="0" borderId="109" xfId="0" applyFont="1" applyBorder="1" applyAlignment="1">
      <alignment vertical="center" wrapText="1"/>
    </xf>
    <xf numFmtId="0" fontId="15" fillId="0" borderId="109" xfId="0" applyFont="1" applyBorder="1" applyAlignment="1">
      <alignment vertical="center"/>
    </xf>
    <xf numFmtId="0" fontId="15" fillId="0" borderId="109" xfId="0" quotePrefix="1" applyFont="1" applyBorder="1" applyAlignment="1">
      <alignment vertical="center" wrapText="1"/>
    </xf>
    <xf numFmtId="0" fontId="15" fillId="3" borderId="109" xfId="0" applyFont="1" applyFill="1" applyBorder="1" applyAlignment="1">
      <alignment horizontal="left" vertical="center" wrapText="1"/>
    </xf>
    <xf numFmtId="0" fontId="15" fillId="3" borderId="109" xfId="0" applyFont="1" applyFill="1" applyBorder="1" applyAlignment="1">
      <alignment vertical="center" wrapText="1"/>
    </xf>
    <xf numFmtId="0" fontId="15" fillId="19" borderId="137" xfId="0" applyFont="1" applyFill="1" applyBorder="1" applyAlignment="1">
      <alignment horizontal="center" vertical="center" wrapText="1"/>
    </xf>
    <xf numFmtId="0" fontId="15" fillId="19" borderId="109" xfId="0" applyFont="1" applyFill="1" applyBorder="1" applyAlignment="1">
      <alignment vertical="center" wrapText="1"/>
    </xf>
    <xf numFmtId="0" fontId="15" fillId="19" borderId="109" xfId="0" applyFont="1" applyFill="1" applyBorder="1" applyAlignment="1">
      <alignment vertical="center"/>
    </xf>
    <xf numFmtId="0" fontId="15" fillId="0" borderId="140" xfId="0" applyFont="1" applyBorder="1" applyAlignment="1">
      <alignment horizontal="left" vertical="center" wrapText="1"/>
    </xf>
    <xf numFmtId="0" fontId="15" fillId="0" borderId="140" xfId="0" applyFont="1" applyBorder="1" applyAlignment="1">
      <alignment horizontal="left" vertical="center"/>
    </xf>
    <xf numFmtId="0" fontId="15" fillId="0" borderId="140" xfId="0" applyFont="1" applyBorder="1" applyAlignment="1">
      <alignment horizontal="center" vertical="center"/>
    </xf>
    <xf numFmtId="0" fontId="15" fillId="0" borderId="140" xfId="0" applyFont="1" applyBorder="1" applyAlignment="1">
      <alignment vertical="center"/>
    </xf>
    <xf numFmtId="0" fontId="15" fillId="19" borderId="140" xfId="0" applyFont="1" applyFill="1" applyBorder="1" applyAlignment="1">
      <alignment horizontal="center" vertical="center" wrapText="1"/>
    </xf>
    <xf numFmtId="0" fontId="3" fillId="0" borderId="0" xfId="0" applyFont="1" applyAlignment="1">
      <alignment horizontal="center"/>
    </xf>
    <xf numFmtId="0" fontId="60" fillId="2" borderId="146" xfId="0" applyFont="1" applyFill="1" applyBorder="1" applyAlignment="1">
      <alignment horizontal="center" vertical="top" wrapText="1"/>
    </xf>
    <xf numFmtId="0" fontId="60" fillId="2" borderId="146" xfId="0" applyFont="1" applyFill="1" applyBorder="1" applyAlignment="1">
      <alignment horizontal="left" vertical="top" wrapText="1"/>
    </xf>
    <xf numFmtId="0" fontId="20" fillId="3" borderId="146" xfId="0" applyFont="1" applyFill="1" applyBorder="1" applyAlignment="1">
      <alignment horizontal="left" vertical="top" wrapText="1"/>
    </xf>
    <xf numFmtId="0" fontId="25" fillId="3" borderId="146" xfId="0" applyFont="1" applyFill="1" applyBorder="1" applyAlignment="1">
      <alignment horizontal="left" vertical="top" wrapText="1"/>
    </xf>
    <xf numFmtId="0" fontId="20" fillId="13" borderId="146" xfId="0" applyFont="1" applyFill="1" applyBorder="1" applyAlignment="1">
      <alignment horizontal="left" vertical="top" wrapText="1"/>
    </xf>
    <xf numFmtId="0" fontId="21" fillId="13" borderId="146" xfId="0" applyFont="1" applyFill="1" applyBorder="1" applyAlignment="1">
      <alignment horizontal="center" vertical="top" wrapText="1"/>
    </xf>
    <xf numFmtId="0" fontId="20" fillId="13" borderId="146" xfId="0" applyFont="1" applyFill="1" applyBorder="1" applyAlignment="1">
      <alignment horizontal="center" vertical="top" wrapText="1"/>
    </xf>
    <xf numFmtId="0" fontId="27" fillId="13" borderId="146" xfId="0" applyFont="1" applyFill="1" applyBorder="1" applyAlignment="1">
      <alignment horizontal="left" vertical="top" wrapText="1"/>
    </xf>
    <xf numFmtId="0" fontId="25" fillId="3" borderId="146" xfId="0" applyFont="1" applyFill="1" applyBorder="1" applyAlignment="1">
      <alignment vertical="top" wrapText="1"/>
    </xf>
    <xf numFmtId="0" fontId="21" fillId="3" borderId="146" xfId="0" applyFont="1" applyFill="1" applyBorder="1" applyAlignment="1">
      <alignment horizontal="center" vertical="top" wrapText="1"/>
    </xf>
    <xf numFmtId="0" fontId="20" fillId="3" borderId="146" xfId="0" applyFont="1" applyFill="1" applyBorder="1" applyAlignment="1">
      <alignment horizontal="center" vertical="top" wrapText="1"/>
    </xf>
    <xf numFmtId="0" fontId="20" fillId="3" borderId="146" xfId="0" applyFont="1" applyFill="1" applyBorder="1" applyAlignment="1">
      <alignment vertical="top" wrapText="1"/>
    </xf>
    <xf numFmtId="0" fontId="21" fillId="3" borderId="146" xfId="0" applyFont="1" applyFill="1" applyBorder="1" applyAlignment="1">
      <alignment vertical="top" wrapText="1"/>
    </xf>
    <xf numFmtId="0" fontId="20" fillId="3" borderId="146" xfId="0" quotePrefix="1" applyFont="1" applyFill="1" applyBorder="1" applyAlignment="1">
      <alignment horizontal="left" vertical="top" wrapText="1"/>
    </xf>
    <xf numFmtId="0" fontId="20" fillId="0" borderId="146" xfId="0" applyFont="1" applyBorder="1" applyAlignment="1">
      <alignment horizontal="left" vertical="top" wrapText="1"/>
    </xf>
    <xf numFmtId="0" fontId="23" fillId="0" borderId="146" xfId="0" applyFont="1" applyBorder="1" applyAlignment="1">
      <alignment horizontal="left" vertical="top" wrapText="1"/>
    </xf>
    <xf numFmtId="0" fontId="24" fillId="3" borderId="146" xfId="0" applyFont="1" applyFill="1" applyBorder="1" applyAlignment="1">
      <alignment horizontal="left" vertical="top" wrapText="1"/>
    </xf>
    <xf numFmtId="0" fontId="23" fillId="13" borderId="146" xfId="0" applyFont="1" applyFill="1" applyBorder="1" applyAlignment="1">
      <alignment horizontal="left" vertical="top" wrapText="1"/>
    </xf>
    <xf numFmtId="0" fontId="21" fillId="0" borderId="146" xfId="0" applyFont="1" applyBorder="1" applyAlignment="1">
      <alignment horizontal="center" vertical="top" wrapText="1"/>
    </xf>
    <xf numFmtId="0" fontId="20" fillId="0" borderId="146" xfId="0" applyFont="1" applyBorder="1" applyAlignment="1">
      <alignment horizontal="center" vertical="top" wrapText="1"/>
    </xf>
    <xf numFmtId="0" fontId="13" fillId="9" borderId="146" xfId="0" applyFont="1" applyFill="1" applyBorder="1" applyAlignment="1">
      <alignment horizontal="center" vertical="center" wrapText="1"/>
    </xf>
    <xf numFmtId="0" fontId="20" fillId="9" borderId="146" xfId="0" applyFont="1" applyFill="1" applyBorder="1" applyAlignment="1">
      <alignment horizontal="left" vertical="top" wrapText="1"/>
    </xf>
    <xf numFmtId="0" fontId="21" fillId="9" borderId="146" xfId="0" applyFont="1" applyFill="1" applyBorder="1" applyAlignment="1">
      <alignment horizontal="center" vertical="center" wrapText="1"/>
    </xf>
    <xf numFmtId="0" fontId="0" fillId="9" borderId="146" xfId="0" applyFill="1" applyBorder="1" applyAlignment="1">
      <alignment horizontal="left" vertical="top" wrapText="1"/>
    </xf>
    <xf numFmtId="0" fontId="20" fillId="9" borderId="146" xfId="0" applyFont="1" applyFill="1" applyBorder="1" applyAlignment="1">
      <alignment horizontal="center" vertical="center" wrapText="1"/>
    </xf>
    <xf numFmtId="0" fontId="13" fillId="0" borderId="146" xfId="0" applyFont="1" applyBorder="1" applyAlignment="1">
      <alignment horizontal="center" vertical="center" wrapText="1"/>
    </xf>
    <xf numFmtId="0" fontId="21" fillId="0" borderId="146" xfId="0" applyFont="1" applyBorder="1" applyAlignment="1">
      <alignment horizontal="center" vertical="center" wrapText="1"/>
    </xf>
    <xf numFmtId="0" fontId="20" fillId="0" borderId="146" xfId="0" quotePrefix="1" applyFont="1" applyBorder="1" applyAlignment="1">
      <alignment horizontal="left" vertical="top" wrapText="1"/>
    </xf>
    <xf numFmtId="0" fontId="0" fillId="0" borderId="146" xfId="0" applyBorder="1" applyAlignment="1">
      <alignment horizontal="left" vertical="top" wrapText="1"/>
    </xf>
    <xf numFmtId="0" fontId="13" fillId="13" borderId="146" xfId="0" applyFont="1" applyFill="1" applyBorder="1" applyAlignment="1">
      <alignment horizontal="center" vertical="center" wrapText="1"/>
    </xf>
    <xf numFmtId="0" fontId="21" fillId="13" borderId="146" xfId="0" applyFont="1" applyFill="1" applyBorder="1" applyAlignment="1">
      <alignment horizontal="center" vertical="center" wrapText="1"/>
    </xf>
    <xf numFmtId="0" fontId="20" fillId="13" borderId="146" xfId="0" quotePrefix="1" applyFont="1" applyFill="1" applyBorder="1" applyAlignment="1">
      <alignment horizontal="left" vertical="top" wrapText="1"/>
    </xf>
    <xf numFmtId="0" fontId="0" fillId="13" borderId="146" xfId="0" applyFill="1" applyBorder="1" applyAlignment="1">
      <alignment horizontal="left" vertical="top" wrapText="1"/>
    </xf>
    <xf numFmtId="0" fontId="20" fillId="13" borderId="146" xfId="0" quotePrefix="1" applyFont="1" applyFill="1" applyBorder="1" applyAlignment="1">
      <alignment horizontal="center" vertical="top" wrapText="1"/>
    </xf>
    <xf numFmtId="0" fontId="13" fillId="3" borderId="146" xfId="0" applyFont="1" applyFill="1" applyBorder="1" applyAlignment="1">
      <alignment horizontal="center" vertical="center" wrapText="1"/>
    </xf>
    <xf numFmtId="0" fontId="21" fillId="3" borderId="146" xfId="0" applyFont="1" applyFill="1" applyBorder="1" applyAlignment="1">
      <alignment horizontal="center" vertical="center" wrapText="1"/>
    </xf>
    <xf numFmtId="0" fontId="0" fillId="3" borderId="146" xfId="0" applyFill="1" applyBorder="1" applyAlignment="1">
      <alignment horizontal="left" vertical="top" wrapText="1"/>
    </xf>
    <xf numFmtId="0" fontId="63" fillId="0" borderId="0" xfId="0" applyFont="1" applyAlignment="1">
      <alignment horizontal="left"/>
    </xf>
    <xf numFmtId="0" fontId="63" fillId="0" borderId="0" xfId="0" applyFont="1" applyAlignment="1">
      <alignment horizontal="left" indent="1"/>
    </xf>
    <xf numFmtId="0" fontId="63" fillId="0" borderId="0" xfId="0" applyFont="1" applyAlignment="1">
      <alignment horizontal="center" vertical="center"/>
    </xf>
    <xf numFmtId="0" fontId="75" fillId="0" borderId="0" xfId="0" applyFont="1"/>
    <xf numFmtId="14" fontId="75" fillId="0" borderId="0" xfId="0" applyNumberFormat="1" applyFont="1"/>
    <xf numFmtId="0" fontId="66" fillId="10" borderId="121" xfId="0" applyFont="1" applyFill="1" applyBorder="1"/>
    <xf numFmtId="0" fontId="66" fillId="0" borderId="147" xfId="0" applyFont="1" applyBorder="1" applyAlignment="1">
      <alignment horizontal="center" vertical="center"/>
    </xf>
    <xf numFmtId="0" fontId="68" fillId="63" borderId="119" xfId="0" applyFont="1" applyFill="1" applyBorder="1" applyAlignment="1">
      <alignment horizontal="center"/>
    </xf>
    <xf numFmtId="0" fontId="66" fillId="10" borderId="120" xfId="0" applyFont="1" applyFill="1" applyBorder="1"/>
    <xf numFmtId="0" fontId="66" fillId="0" borderId="148" xfId="0" applyFont="1" applyBorder="1" applyAlignment="1">
      <alignment horizontal="center" vertical="center"/>
    </xf>
    <xf numFmtId="0" fontId="66" fillId="10" borderId="149" xfId="0" applyFont="1" applyFill="1" applyBorder="1"/>
    <xf numFmtId="0" fontId="66" fillId="0" borderId="150" xfId="0" applyFont="1" applyBorder="1" applyAlignment="1">
      <alignment horizontal="center" vertical="center"/>
    </xf>
    <xf numFmtId="0" fontId="55" fillId="62" borderId="119" xfId="0" applyFont="1" applyFill="1" applyBorder="1" applyAlignment="1">
      <alignment horizontal="center"/>
    </xf>
    <xf numFmtId="0" fontId="55" fillId="62" borderId="119" xfId="0" applyFont="1" applyFill="1" applyBorder="1" applyAlignment="1">
      <alignment horizontal="center" vertical="center"/>
    </xf>
    <xf numFmtId="0" fontId="50" fillId="53" borderId="119" xfId="0" applyFont="1" applyFill="1" applyBorder="1" applyAlignment="1">
      <alignment horizontal="center" vertical="center"/>
    </xf>
    <xf numFmtId="0" fontId="51" fillId="0" borderId="123" xfId="0" applyFont="1" applyBorder="1" applyAlignment="1">
      <alignment horizontal="center" vertical="center"/>
    </xf>
    <xf numFmtId="0" fontId="51" fillId="0" borderId="123" xfId="0" applyFont="1" applyBorder="1" applyAlignment="1">
      <alignment vertical="center"/>
    </xf>
    <xf numFmtId="0" fontId="51" fillId="0" borderId="121" xfId="0" applyFont="1" applyBorder="1" applyAlignment="1">
      <alignment vertical="center"/>
    </xf>
    <xf numFmtId="0" fontId="51" fillId="0" borderId="0" xfId="0" applyFont="1" applyAlignment="1">
      <alignment vertical="center"/>
    </xf>
    <xf numFmtId="0" fontId="51" fillId="0" borderId="121" xfId="0" applyFont="1" applyBorder="1" applyAlignment="1">
      <alignment horizontal="left" vertical="center"/>
    </xf>
    <xf numFmtId="0" fontId="51" fillId="0" borderId="121" xfId="0" applyFont="1" applyBorder="1" applyAlignment="1">
      <alignment horizontal="left" vertical="center" wrapText="1"/>
    </xf>
    <xf numFmtId="0" fontId="51" fillId="0" borderId="123" xfId="0" applyFont="1" applyBorder="1" applyAlignment="1">
      <alignment horizontal="left" vertical="center"/>
    </xf>
    <xf numFmtId="0" fontId="51" fillId="0" borderId="0" xfId="0" applyFont="1" applyAlignment="1">
      <alignment horizontal="left" vertical="center"/>
    </xf>
    <xf numFmtId="0" fontId="76" fillId="0" borderId="0" xfId="0" applyFont="1"/>
    <xf numFmtId="0" fontId="77" fillId="57" borderId="151" xfId="0" applyFont="1" applyFill="1" applyBorder="1" applyAlignment="1">
      <alignment horizontal="center" vertical="center" wrapText="1"/>
    </xf>
    <xf numFmtId="0" fontId="77" fillId="57" borderId="151" xfId="0" applyFont="1" applyFill="1" applyBorder="1" applyAlignment="1">
      <alignment horizontal="left" vertical="center" wrapText="1"/>
    </xf>
    <xf numFmtId="0" fontId="0" fillId="0" borderId="153" xfId="0" applyBorder="1" applyAlignment="1">
      <alignment horizontal="center" vertical="center" wrapText="1"/>
    </xf>
    <xf numFmtId="0" fontId="0" fillId="0" borderId="154" xfId="0" applyBorder="1" applyAlignment="1">
      <alignment horizontal="center" vertical="center" wrapText="1"/>
    </xf>
    <xf numFmtId="0" fontId="0" fillId="0" borderId="154" xfId="0" applyBorder="1" applyAlignment="1">
      <alignment horizontal="left" vertical="center" wrapText="1"/>
    </xf>
    <xf numFmtId="0" fontId="53" fillId="0" borderId="155" xfId="44" applyFill="1" applyBorder="1" applyAlignment="1">
      <alignment horizontal="left" vertical="center" wrapText="1"/>
    </xf>
    <xf numFmtId="0" fontId="0" fillId="0" borderId="157"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53" fillId="0" borderId="158" xfId="44" applyFill="1" applyBorder="1" applyAlignment="1">
      <alignment horizontal="left" vertical="center" wrapText="1"/>
    </xf>
    <xf numFmtId="0" fontId="0" fillId="0" borderId="157" xfId="0" applyBorder="1" applyAlignment="1">
      <alignment horizontal="center" wrapText="1"/>
    </xf>
    <xf numFmtId="0" fontId="79" fillId="0" borderId="0" xfId="0" applyFont="1" applyAlignment="1">
      <alignment horizontal="left" vertical="center"/>
    </xf>
    <xf numFmtId="10" fontId="56" fillId="0" borderId="1" xfId="0" applyNumberFormat="1" applyFont="1" applyBorder="1" applyAlignment="1">
      <alignment horizontal="left" vertical="center" wrapText="1"/>
    </xf>
    <xf numFmtId="0" fontId="56" fillId="0" borderId="1" xfId="0" applyFont="1" applyBorder="1" applyAlignment="1">
      <alignment horizontal="left" vertical="center"/>
    </xf>
    <xf numFmtId="0" fontId="56" fillId="0" borderId="1" xfId="0" applyFont="1" applyBorder="1" applyAlignment="1">
      <alignment horizontal="left" vertical="center" wrapText="1"/>
    </xf>
    <xf numFmtId="0" fontId="0" fillId="0" borderId="159" xfId="0" applyBorder="1" applyAlignment="1">
      <alignment horizontal="center" vertical="center" wrapText="1"/>
    </xf>
    <xf numFmtId="0" fontId="0" fillId="0" borderId="80" xfId="0" applyBorder="1" applyAlignment="1">
      <alignment horizontal="center" vertical="center" wrapText="1"/>
    </xf>
    <xf numFmtId="0" fontId="0" fillId="0" borderId="80" xfId="0" applyBorder="1" applyAlignment="1">
      <alignment horizontal="left" vertical="center" wrapText="1"/>
    </xf>
    <xf numFmtId="0" fontId="53" fillId="0" borderId="160" xfId="44" applyFill="1" applyBorder="1" applyAlignment="1">
      <alignment horizontal="left" vertical="center" wrapText="1"/>
    </xf>
    <xf numFmtId="0" fontId="0" fillId="0" borderId="0" xfId="0" applyAlignment="1">
      <alignment horizontal="center" vertical="center" wrapText="1"/>
    </xf>
    <xf numFmtId="0" fontId="79" fillId="0" borderId="1" xfId="0" applyFont="1" applyBorder="1" applyAlignment="1">
      <alignment horizontal="left" vertical="center" wrapText="1"/>
    </xf>
    <xf numFmtId="0" fontId="53" fillId="0" borderId="158" xfId="44" applyFill="1" applyBorder="1" applyAlignment="1">
      <alignment horizontal="left" vertical="center"/>
    </xf>
    <xf numFmtId="0" fontId="0" fillId="0" borderId="0" xfId="0" applyAlignment="1">
      <alignment horizontal="left"/>
    </xf>
    <xf numFmtId="0" fontId="51" fillId="0" borderId="0" xfId="0" applyFont="1" applyAlignment="1">
      <alignment horizontal="center" wrapText="1"/>
    </xf>
    <xf numFmtId="0" fontId="50" fillId="53" borderId="119" xfId="0" applyFont="1" applyFill="1" applyBorder="1" applyAlignment="1">
      <alignment horizontal="center" wrapText="1"/>
    </xf>
    <xf numFmtId="0" fontId="51" fillId="0" borderId="123" xfId="0" applyFont="1" applyBorder="1" applyAlignment="1">
      <alignment horizontal="center" wrapText="1"/>
    </xf>
    <xf numFmtId="0" fontId="51" fillId="0" borderId="121" xfId="0" applyFont="1" applyBorder="1" applyAlignment="1">
      <alignment horizontal="center" wrapText="1"/>
    </xf>
    <xf numFmtId="0" fontId="3" fillId="0" borderId="0" xfId="0" pivotButton="1" applyFont="1"/>
    <xf numFmtId="0" fontId="62" fillId="0" borderId="0" xfId="0" applyFont="1"/>
    <xf numFmtId="0" fontId="83" fillId="53" borderId="0" xfId="44" applyFont="1" applyFill="1"/>
    <xf numFmtId="0" fontId="62" fillId="0" borderId="0" xfId="0" applyFont="1" applyAlignment="1">
      <alignment horizontal="center"/>
    </xf>
    <xf numFmtId="0" fontId="84" fillId="51" borderId="88" xfId="0" applyFont="1" applyFill="1" applyBorder="1" applyAlignment="1">
      <alignment horizontal="center" vertical="center" wrapText="1"/>
    </xf>
    <xf numFmtId="0" fontId="62" fillId="0" borderId="88" xfId="0" applyFont="1" applyBorder="1"/>
    <xf numFmtId="0" fontId="62" fillId="0" borderId="120" xfId="0" applyFont="1" applyBorder="1"/>
    <xf numFmtId="0" fontId="62" fillId="0" borderId="121" xfId="0" applyFont="1" applyBorder="1"/>
    <xf numFmtId="0" fontId="82" fillId="0" borderId="121" xfId="0" applyFont="1" applyBorder="1" applyAlignment="1">
      <alignment horizontal="left" vertical="center" wrapText="1"/>
    </xf>
    <xf numFmtId="0" fontId="62" fillId="0" borderId="149" xfId="0" applyFont="1" applyBorder="1"/>
    <xf numFmtId="0" fontId="59" fillId="52" borderId="163" xfId="0" applyFont="1" applyFill="1" applyBorder="1" applyAlignment="1">
      <alignment horizontal="center" vertical="center"/>
    </xf>
    <xf numFmtId="0" fontId="59" fillId="62" borderId="163" xfId="0" applyFont="1" applyFill="1" applyBorder="1" applyAlignment="1">
      <alignment horizontal="center" vertical="center"/>
    </xf>
    <xf numFmtId="0" fontId="62" fillId="0" borderId="120" xfId="0" applyFont="1" applyBorder="1" applyAlignment="1">
      <alignment horizontal="center" vertical="center"/>
    </xf>
    <xf numFmtId="0" fontId="85" fillId="0" borderId="120" xfId="0" applyFont="1" applyBorder="1" applyAlignment="1">
      <alignment vertical="center"/>
    </xf>
    <xf numFmtId="0" fontId="62" fillId="0" borderId="120" xfId="0" applyFont="1" applyBorder="1" applyAlignment="1">
      <alignment horizontal="center" wrapText="1"/>
    </xf>
    <xf numFmtId="0" fontId="62" fillId="0" borderId="120" xfId="0" applyFont="1" applyBorder="1" applyAlignment="1">
      <alignment horizontal="left" vertical="center" wrapText="1"/>
    </xf>
    <xf numFmtId="0" fontId="62" fillId="0" borderId="120" xfId="0" applyFont="1" applyBorder="1" applyAlignment="1">
      <alignment wrapText="1"/>
    </xf>
    <xf numFmtId="0" fontId="62" fillId="0" borderId="121" xfId="0" applyFont="1" applyBorder="1" applyAlignment="1">
      <alignment horizontal="center" vertical="center"/>
    </xf>
    <xf numFmtId="0" fontId="85" fillId="0" borderId="121" xfId="0" quotePrefix="1" applyFont="1" applyBorder="1" applyAlignment="1">
      <alignment vertical="center"/>
    </xf>
    <xf numFmtId="0" fontId="62" fillId="0" borderId="121" xfId="0" applyFont="1" applyBorder="1" applyAlignment="1">
      <alignment horizontal="center" wrapText="1"/>
    </xf>
    <xf numFmtId="0" fontId="62" fillId="0" borderId="121" xfId="0" applyFont="1" applyBorder="1" applyAlignment="1">
      <alignment horizontal="left" vertical="center" wrapText="1"/>
    </xf>
    <xf numFmtId="0" fontId="62" fillId="0" borderId="121" xfId="0" applyFont="1" applyBorder="1" applyAlignment="1">
      <alignment wrapText="1"/>
    </xf>
    <xf numFmtId="0" fontId="85" fillId="0" borderId="121" xfId="0" applyFont="1" applyBorder="1" applyAlignment="1">
      <alignment vertical="center"/>
    </xf>
    <xf numFmtId="0" fontId="62" fillId="0" borderId="121" xfId="0" applyFont="1" applyBorder="1" applyAlignment="1">
      <alignment horizontal="center" vertical="center" wrapText="1"/>
    </xf>
    <xf numFmtId="164" fontId="62" fillId="0" borderId="121" xfId="0" applyNumberFormat="1" applyFont="1" applyBorder="1" applyAlignment="1">
      <alignment horizontal="center" vertical="center" wrapText="1"/>
    </xf>
    <xf numFmtId="9" fontId="62" fillId="0" borderId="121" xfId="0" applyNumberFormat="1" applyFont="1" applyBorder="1" applyAlignment="1">
      <alignment horizontal="center" wrapText="1"/>
    </xf>
    <xf numFmtId="0" fontId="62" fillId="0" borderId="121" xfId="0" applyFont="1" applyBorder="1" applyAlignment="1">
      <alignment horizontal="left" wrapText="1"/>
    </xf>
    <xf numFmtId="0" fontId="62" fillId="0" borderId="121" xfId="0" applyFont="1" applyBorder="1" applyAlignment="1">
      <alignment horizontal="center" vertical="top" wrapText="1"/>
    </xf>
    <xf numFmtId="0" fontId="62" fillId="0" borderId="121" xfId="0" applyFont="1" applyBorder="1" applyAlignment="1">
      <alignment vertical="top" wrapText="1"/>
    </xf>
    <xf numFmtId="164" fontId="62" fillId="0" borderId="121" xfId="1" applyNumberFormat="1" applyFont="1" applyBorder="1" applyAlignment="1">
      <alignment horizontal="center" vertical="top" wrapText="1"/>
    </xf>
    <xf numFmtId="0" fontId="62" fillId="3" borderId="121" xfId="0" applyFont="1" applyFill="1" applyBorder="1" applyAlignment="1">
      <alignment horizontal="left" vertical="center" wrapText="1"/>
    </xf>
    <xf numFmtId="10" fontId="62" fillId="0" borderId="121" xfId="0" applyNumberFormat="1" applyFont="1" applyBorder="1" applyAlignment="1">
      <alignment horizontal="center" wrapText="1"/>
    </xf>
    <xf numFmtId="0" fontId="62" fillId="0" borderId="149" xfId="0" applyFont="1" applyBorder="1" applyAlignment="1">
      <alignment horizontal="center" vertical="center"/>
    </xf>
    <xf numFmtId="0" fontId="85" fillId="0" borderId="149" xfId="0" applyFont="1" applyBorder="1" applyAlignment="1">
      <alignment vertical="center"/>
    </xf>
    <xf numFmtId="0" fontId="62" fillId="0" borderId="149" xfId="0" applyFont="1" applyBorder="1" applyAlignment="1">
      <alignment horizontal="center" wrapText="1"/>
    </xf>
    <xf numFmtId="0" fontId="62" fillId="0" borderId="149" xfId="0" applyFont="1" applyBorder="1" applyAlignment="1">
      <alignment horizontal="left" vertical="center" wrapText="1"/>
    </xf>
    <xf numFmtId="0" fontId="62" fillId="3" borderId="149" xfId="0" applyFont="1" applyFill="1" applyBorder="1" applyAlignment="1">
      <alignment horizontal="left" vertical="center" wrapText="1"/>
    </xf>
    <xf numFmtId="0" fontId="62" fillId="3" borderId="149" xfId="0" applyFont="1" applyFill="1" applyBorder="1" applyAlignment="1">
      <alignment wrapText="1"/>
    </xf>
    <xf numFmtId="0" fontId="62" fillId="0" borderId="120" xfId="0" applyFont="1" applyBorder="1" applyAlignment="1">
      <alignment horizontal="left" wrapText="1"/>
    </xf>
    <xf numFmtId="0" fontId="62" fillId="0" borderId="121" xfId="0" applyFont="1" applyBorder="1" applyAlignment="1">
      <alignment horizontal="left" vertical="top" wrapText="1"/>
    </xf>
    <xf numFmtId="0" fontId="62" fillId="0" borderId="149" xfId="0" applyFont="1" applyBorder="1" applyAlignment="1">
      <alignment horizontal="left" wrapText="1"/>
    </xf>
    <xf numFmtId="0" fontId="59" fillId="52" borderId="162" xfId="0" applyFont="1" applyFill="1" applyBorder="1" applyAlignment="1">
      <alignment horizontal="center" vertical="center" wrapText="1"/>
    </xf>
    <xf numFmtId="0" fontId="59" fillId="52" borderId="79" xfId="0" applyFont="1" applyFill="1" applyBorder="1" applyAlignment="1">
      <alignment horizontal="center" vertical="center" wrapText="1"/>
    </xf>
    <xf numFmtId="0" fontId="86" fillId="52" borderId="79" xfId="0" applyFont="1" applyFill="1" applyBorder="1" applyAlignment="1">
      <alignment horizontal="center" vertical="center"/>
    </xf>
    <xf numFmtId="17" fontId="62" fillId="0" borderId="121" xfId="0" applyNumberFormat="1" applyFont="1" applyBorder="1" applyAlignment="1">
      <alignment horizontal="left" wrapText="1"/>
    </xf>
    <xf numFmtId="16" fontId="62" fillId="0" borderId="121" xfId="0" applyNumberFormat="1" applyFont="1" applyBorder="1" applyAlignment="1">
      <alignment horizontal="left" wrapText="1"/>
    </xf>
    <xf numFmtId="164" fontId="62" fillId="0" borderId="149" xfId="0" applyNumberFormat="1" applyFont="1" applyBorder="1" applyAlignment="1">
      <alignment horizontal="center" wrapText="1"/>
    </xf>
    <xf numFmtId="0" fontId="62" fillId="0" borderId="120" xfId="0" applyFont="1" applyBorder="1" applyAlignment="1">
      <alignment horizontal="right" wrapText="1"/>
    </xf>
    <xf numFmtId="0" fontId="62" fillId="0" borderId="121" xfId="0" applyFont="1" applyBorder="1" applyAlignment="1">
      <alignment horizontal="right" wrapText="1"/>
    </xf>
    <xf numFmtId="0" fontId="62" fillId="0" borderId="121" xfId="0" applyFont="1" applyBorder="1" applyAlignment="1">
      <alignment horizontal="right" vertical="center" wrapText="1"/>
    </xf>
    <xf numFmtId="8" fontId="62" fillId="0" borderId="121" xfId="0" applyNumberFormat="1" applyFont="1" applyBorder="1" applyAlignment="1">
      <alignment horizontal="right" wrapText="1"/>
    </xf>
    <xf numFmtId="0" fontId="62" fillId="0" borderId="121" xfId="0" applyFont="1" applyBorder="1" applyAlignment="1">
      <alignment horizontal="right" vertical="top" wrapText="1"/>
    </xf>
    <xf numFmtId="0" fontId="62" fillId="0" borderId="149" xfId="0" applyFont="1" applyBorder="1" applyAlignment="1">
      <alignment horizontal="right" wrapText="1"/>
    </xf>
    <xf numFmtId="0" fontId="21" fillId="0" borderId="0" xfId="0" applyFont="1" applyAlignment="1">
      <alignment horizontal="center"/>
    </xf>
    <xf numFmtId="0" fontId="83" fillId="0" borderId="0" xfId="44" applyFont="1" applyFill="1"/>
    <xf numFmtId="0" fontId="88" fillId="18" borderId="108" xfId="0" applyFont="1" applyFill="1" applyBorder="1" applyAlignment="1">
      <alignment horizontal="center" vertical="center" wrapText="1"/>
    </xf>
    <xf numFmtId="0" fontId="50" fillId="0" borderId="0" xfId="0" applyFont="1" applyAlignment="1">
      <alignment vertical="center"/>
    </xf>
    <xf numFmtId="0" fontId="0" fillId="0" borderId="0" xfId="0" applyAlignment="1">
      <alignment wrapText="1"/>
    </xf>
    <xf numFmtId="0" fontId="89" fillId="0" borderId="164" xfId="0" applyFont="1" applyBorder="1" applyAlignment="1">
      <alignment horizontal="right"/>
    </xf>
    <xf numFmtId="0" fontId="89" fillId="0" borderId="165" xfId="0" applyFont="1" applyBorder="1" applyAlignment="1">
      <alignment vertical="center" wrapText="1"/>
    </xf>
    <xf numFmtId="0" fontId="20" fillId="0" borderId="166" xfId="0" applyFont="1" applyBorder="1"/>
    <xf numFmtId="0" fontId="62" fillId="0" borderId="167" xfId="0" applyFont="1" applyBorder="1" applyAlignment="1">
      <alignment horizontal="left" vertical="center" wrapText="1"/>
    </xf>
    <xf numFmtId="0" fontId="20" fillId="0" borderId="167" xfId="0" applyFont="1" applyBorder="1" applyAlignment="1">
      <alignment vertical="center" wrapText="1"/>
    </xf>
    <xf numFmtId="0" fontId="29" fillId="0" borderId="167" xfId="0" applyFont="1" applyBorder="1" applyAlignment="1">
      <alignment vertical="center" wrapText="1"/>
    </xf>
    <xf numFmtId="0" fontId="89" fillId="0" borderId="166" xfId="0" applyFont="1" applyBorder="1" applyAlignment="1">
      <alignment horizontal="right"/>
    </xf>
    <xf numFmtId="0" fontId="89" fillId="0" borderId="167" xfId="0" applyFont="1" applyBorder="1" applyAlignment="1">
      <alignment vertical="center" wrapText="1"/>
    </xf>
    <xf numFmtId="0" fontId="85" fillId="0" borderId="167" xfId="0" applyFont="1" applyBorder="1" applyAlignment="1">
      <alignment horizontal="left" vertical="center" wrapText="1"/>
    </xf>
    <xf numFmtId="0" fontId="20" fillId="0" borderId="167" xfId="0" applyFont="1" applyBorder="1" applyAlignment="1">
      <alignment wrapText="1"/>
    </xf>
    <xf numFmtId="0" fontId="20" fillId="0" borderId="167" xfId="0" applyFont="1" applyBorder="1" applyAlignment="1">
      <alignment vertical="top" wrapText="1"/>
    </xf>
    <xf numFmtId="0" fontId="61" fillId="0" borderId="167" xfId="0" applyFont="1" applyBorder="1" applyAlignment="1">
      <alignment vertical="center" wrapText="1"/>
    </xf>
    <xf numFmtId="0" fontId="20" fillId="0" borderId="167" xfId="0" applyFont="1" applyBorder="1" applyAlignment="1">
      <alignment horizontal="left" vertical="top" wrapText="1"/>
    </xf>
    <xf numFmtId="0" fontId="91" fillId="0" borderId="167" xfId="0" applyFont="1" applyBorder="1" applyAlignment="1">
      <alignment horizontal="left" vertical="top" wrapText="1"/>
    </xf>
    <xf numFmtId="0" fontId="20" fillId="0" borderId="167" xfId="0" applyFont="1" applyBorder="1" applyAlignment="1">
      <alignment horizontal="left" wrapText="1"/>
    </xf>
    <xf numFmtId="0" fontId="20" fillId="0" borderId="166" xfId="0" applyFont="1" applyBorder="1" applyAlignment="1">
      <alignment horizontal="right" vertical="center"/>
    </xf>
    <xf numFmtId="0" fontId="0" fillId="0" borderId="166" xfId="0" applyBorder="1"/>
    <xf numFmtId="0" fontId="0" fillId="0" borderId="167" xfId="0" applyBorder="1" applyAlignment="1">
      <alignment wrapText="1"/>
    </xf>
    <xf numFmtId="0" fontId="0" fillId="0" borderId="168" xfId="0" applyBorder="1"/>
    <xf numFmtId="0" fontId="0" fillId="0" borderId="100" xfId="0" applyBorder="1" applyAlignment="1">
      <alignment wrapText="1"/>
    </xf>
    <xf numFmtId="4" fontId="62" fillId="0" borderId="121" xfId="0" applyNumberFormat="1" applyFont="1" applyBorder="1" applyAlignment="1">
      <alignment horizontal="center" wrapText="1"/>
    </xf>
    <xf numFmtId="4" fontId="62" fillId="0" borderId="121" xfId="1" applyNumberFormat="1" applyFont="1" applyBorder="1" applyAlignment="1">
      <alignment horizontal="center" vertical="top" wrapText="1"/>
    </xf>
    <xf numFmtId="4" fontId="62" fillId="0" borderId="149" xfId="0" applyNumberFormat="1" applyFont="1" applyBorder="1" applyAlignment="1">
      <alignment horizontal="center" wrapText="1"/>
    </xf>
    <xf numFmtId="15" fontId="62" fillId="0" borderId="121" xfId="0" applyNumberFormat="1" applyFont="1" applyBorder="1" applyAlignment="1">
      <alignment horizontal="left" wrapText="1"/>
    </xf>
    <xf numFmtId="0" fontId="62" fillId="63" borderId="121" xfId="0" applyFont="1" applyFill="1" applyBorder="1" applyAlignment="1">
      <alignment horizontal="center" vertical="center"/>
    </xf>
    <xf numFmtId="0" fontId="85" fillId="63" borderId="121" xfId="0" applyFont="1" applyFill="1" applyBorder="1" applyAlignment="1">
      <alignment vertical="center"/>
    </xf>
    <xf numFmtId="0" fontId="62" fillId="63" borderId="121" xfId="0" applyFont="1" applyFill="1" applyBorder="1" applyAlignment="1">
      <alignment horizontal="left" vertical="center" wrapText="1"/>
    </xf>
    <xf numFmtId="0" fontId="62" fillId="63" borderId="121" xfId="0" applyFont="1" applyFill="1" applyBorder="1" applyAlignment="1">
      <alignment wrapText="1"/>
    </xf>
    <xf numFmtId="0" fontId="62" fillId="63" borderId="121" xfId="0" applyFont="1" applyFill="1" applyBorder="1" applyAlignment="1">
      <alignment horizontal="right" wrapText="1"/>
    </xf>
    <xf numFmtId="0" fontId="62" fillId="63" borderId="121" xfId="0" applyFont="1" applyFill="1" applyBorder="1" applyAlignment="1">
      <alignment horizontal="center" wrapText="1"/>
    </xf>
    <xf numFmtId="0" fontId="62" fillId="63" borderId="121" xfId="0" applyFont="1" applyFill="1" applyBorder="1" applyAlignment="1">
      <alignment horizontal="left" wrapText="1"/>
    </xf>
    <xf numFmtId="15" fontId="62" fillId="63" borderId="121" xfId="0" applyNumberFormat="1" applyFont="1" applyFill="1" applyBorder="1" applyAlignment="1">
      <alignment horizontal="left" wrapText="1"/>
    </xf>
    <xf numFmtId="0" fontId="62" fillId="63" borderId="121" xfId="0" applyFont="1" applyFill="1" applyBorder="1"/>
    <xf numFmtId="4" fontId="66" fillId="0" borderId="148" xfId="0" applyNumberFormat="1" applyFont="1" applyBorder="1" applyAlignment="1">
      <alignment horizontal="center" vertical="center"/>
    </xf>
    <xf numFmtId="4" fontId="66" fillId="0" borderId="147" xfId="0" applyNumberFormat="1" applyFont="1" applyBorder="1" applyAlignment="1">
      <alignment horizontal="center" vertical="center"/>
    </xf>
    <xf numFmtId="4" fontId="66" fillId="0" borderId="150" xfId="0" applyNumberFormat="1" applyFont="1" applyBorder="1" applyAlignment="1">
      <alignment horizontal="center" vertical="center"/>
    </xf>
    <xf numFmtId="4" fontId="66" fillId="0" borderId="0" xfId="0" applyNumberFormat="1" applyFont="1"/>
    <xf numFmtId="0" fontId="66" fillId="0" borderId="121" xfId="0" applyFont="1" applyBorder="1"/>
    <xf numFmtId="0" fontId="66" fillId="0" borderId="121" xfId="0" applyFont="1" applyBorder="1" applyAlignment="1">
      <alignment horizontal="right"/>
    </xf>
    <xf numFmtId="0" fontId="95" fillId="56" borderId="0" xfId="44" applyFont="1" applyFill="1" applyAlignment="1">
      <alignment vertical="center"/>
    </xf>
    <xf numFmtId="0" fontId="30" fillId="58" borderId="124" xfId="0" applyFont="1" applyFill="1" applyBorder="1" applyAlignment="1">
      <alignment vertical="center" wrapText="1"/>
    </xf>
    <xf numFmtId="0" fontId="30" fillId="58" borderId="125" xfId="0" applyFont="1" applyFill="1" applyBorder="1" applyAlignment="1">
      <alignment vertical="center" wrapText="1"/>
    </xf>
    <xf numFmtId="0" fontId="30" fillId="0" borderId="125" xfId="0" applyFont="1" applyBorder="1" applyAlignment="1">
      <alignment vertical="center" wrapText="1"/>
    </xf>
    <xf numFmtId="0" fontId="30" fillId="0" borderId="126" xfId="0" applyFont="1" applyBorder="1" applyAlignment="1">
      <alignment vertical="center" wrapText="1"/>
    </xf>
    <xf numFmtId="0" fontId="20" fillId="59" borderId="0" xfId="0" applyFont="1" applyFill="1"/>
    <xf numFmtId="0" fontId="21" fillId="0" borderId="0" xfId="0" applyFont="1"/>
    <xf numFmtId="0" fontId="20" fillId="58" borderId="127" xfId="0" applyFont="1" applyFill="1" applyBorder="1" applyAlignment="1">
      <alignment vertical="center" wrapText="1"/>
    </xf>
    <xf numFmtId="0" fontId="20" fillId="59" borderId="128" xfId="0" applyFont="1" applyFill="1" applyBorder="1" applyAlignment="1">
      <alignment vertical="center" wrapText="1"/>
    </xf>
    <xf numFmtId="0" fontId="20" fillId="0" borderId="128" xfId="0" applyFont="1" applyBorder="1"/>
    <xf numFmtId="0" fontId="20" fillId="0" borderId="129" xfId="0" applyFont="1" applyBorder="1"/>
    <xf numFmtId="0" fontId="20" fillId="0" borderId="129" xfId="0" applyFont="1" applyBorder="1" applyAlignment="1">
      <alignment wrapText="1"/>
    </xf>
    <xf numFmtId="0" fontId="20" fillId="0" borderId="128" xfId="0" applyFont="1" applyBorder="1" applyAlignment="1">
      <alignment vertical="center" wrapText="1"/>
    </xf>
    <xf numFmtId="0" fontId="25" fillId="0" borderId="128" xfId="0" applyFont="1" applyBorder="1"/>
    <xf numFmtId="0" fontId="20" fillId="60" borderId="128" xfId="0" applyFont="1" applyFill="1" applyBorder="1" applyAlignment="1">
      <alignment vertical="center" wrapText="1"/>
    </xf>
    <xf numFmtId="0" fontId="20" fillId="61" borderId="128" xfId="0" applyFont="1" applyFill="1" applyBorder="1" applyAlignment="1">
      <alignment vertical="center" wrapText="1"/>
    </xf>
    <xf numFmtId="0" fontId="20" fillId="58" borderId="128" xfId="0" applyFont="1" applyFill="1" applyBorder="1" applyAlignment="1">
      <alignment vertical="center" wrapText="1"/>
    </xf>
    <xf numFmtId="0" fontId="96" fillId="0" borderId="129" xfId="45" applyFont="1" applyFill="1" applyBorder="1"/>
    <xf numFmtId="0" fontId="25" fillId="0" borderId="128" xfId="0" applyFont="1" applyBorder="1" applyAlignment="1">
      <alignment wrapText="1"/>
    </xf>
    <xf numFmtId="0" fontId="20" fillId="58" borderId="130" xfId="0" applyFont="1" applyFill="1" applyBorder="1" applyAlignment="1">
      <alignment vertical="center" wrapText="1"/>
    </xf>
    <xf numFmtId="0" fontId="20" fillId="58" borderId="131" xfId="0" applyFont="1" applyFill="1" applyBorder="1" applyAlignment="1">
      <alignment vertical="center" wrapText="1"/>
    </xf>
    <xf numFmtId="0" fontId="20" fillId="0" borderId="131" xfId="0" applyFont="1" applyBorder="1"/>
    <xf numFmtId="0" fontId="20" fillId="0" borderId="132" xfId="0" applyFont="1" applyBorder="1"/>
    <xf numFmtId="0" fontId="20" fillId="0" borderId="170" xfId="0" applyFont="1" applyBorder="1" applyAlignment="1">
      <alignment horizontal="center" vertical="center"/>
    </xf>
    <xf numFmtId="0" fontId="20" fillId="0" borderId="170" xfId="0" applyFont="1" applyBorder="1"/>
    <xf numFmtId="0" fontId="20" fillId="0" borderId="171" xfId="0" applyFont="1" applyBorder="1" applyAlignment="1">
      <alignment horizontal="center" vertical="center"/>
    </xf>
    <xf numFmtId="0" fontId="20" fillId="0" borderId="171" xfId="0" applyFont="1" applyBorder="1"/>
    <xf numFmtId="0" fontId="3" fillId="0" borderId="0" xfId="0" pivotButton="1" applyFont="1" applyAlignment="1">
      <alignment horizontal="center"/>
    </xf>
    <xf numFmtId="0" fontId="29" fillId="53" borderId="0" xfId="0" applyFont="1" applyFill="1"/>
    <xf numFmtId="0" fontId="29" fillId="55" borderId="0" xfId="0" applyFont="1" applyFill="1"/>
    <xf numFmtId="0" fontId="29" fillId="54" borderId="0" xfId="0" applyFont="1" applyFill="1"/>
    <xf numFmtId="0" fontId="97" fillId="56" borderId="0" xfId="44" applyFont="1" applyFill="1"/>
    <xf numFmtId="0" fontId="74" fillId="0" borderId="0" xfId="0" applyFont="1" applyAlignment="1">
      <alignment horizontal="center" vertical="center"/>
    </xf>
    <xf numFmtId="0" fontId="75" fillId="0" borderId="0" xfId="0" applyFont="1" applyAlignment="1">
      <alignment horizontal="right"/>
    </xf>
    <xf numFmtId="0" fontId="67" fillId="54" borderId="164" xfId="0" applyFont="1" applyFill="1" applyBorder="1" applyAlignment="1">
      <alignment horizontal="center" vertical="center"/>
    </xf>
    <xf numFmtId="0" fontId="67" fillId="54" borderId="165" xfId="0" applyFont="1" applyFill="1" applyBorder="1" applyAlignment="1">
      <alignment horizontal="center" vertical="center"/>
    </xf>
    <xf numFmtId="0" fontId="80" fillId="0" borderId="168" xfId="0" applyFont="1" applyBorder="1" applyAlignment="1">
      <alignment horizontal="center" vertical="center"/>
    </xf>
    <xf numFmtId="0" fontId="80" fillId="0" borderId="100" xfId="0" applyFont="1" applyBorder="1" applyAlignment="1">
      <alignment horizontal="center" vertical="center"/>
    </xf>
    <xf numFmtId="0" fontId="20" fillId="0" borderId="166" xfId="0" applyFont="1" applyBorder="1" applyAlignment="1">
      <alignment horizontal="right" vertical="center"/>
    </xf>
    <xf numFmtId="0" fontId="20" fillId="0" borderId="167" xfId="0" applyFont="1" applyBorder="1" applyAlignment="1">
      <alignment horizontal="left" vertical="top" wrapText="1"/>
    </xf>
    <xf numFmtId="0" fontId="62" fillId="0" borderId="167" xfId="0" applyFont="1" applyBorder="1" applyAlignment="1">
      <alignment horizontal="left" wrapText="1"/>
    </xf>
    <xf numFmtId="0" fontId="20" fillId="0" borderId="167" xfId="0" applyFont="1" applyBorder="1" applyAlignment="1">
      <alignment horizontal="left" wrapText="1"/>
    </xf>
    <xf numFmtId="6" fontId="54" fillId="0" borderId="122" xfId="44" applyNumberFormat="1" applyFont="1" applyBorder="1" applyAlignment="1">
      <alignment horizontal="center"/>
    </xf>
    <xf numFmtId="0" fontId="50" fillId="63" borderId="122" xfId="0" applyFont="1" applyFill="1" applyBorder="1" applyAlignment="1">
      <alignment horizontal="center" vertical="center"/>
    </xf>
    <xf numFmtId="0" fontId="50" fillId="14" borderId="122" xfId="0" applyFont="1" applyFill="1" applyBorder="1" applyAlignment="1">
      <alignment horizontal="center" vertical="center"/>
    </xf>
    <xf numFmtId="0" fontId="98" fillId="0" borderId="0" xfId="0" applyFont="1" applyAlignment="1">
      <alignment horizontal="center" vertical="center"/>
    </xf>
    <xf numFmtId="0" fontId="13" fillId="0" borderId="0" xfId="0" applyFont="1" applyAlignment="1">
      <alignment horizontal="center" vertical="center" wrapText="1"/>
    </xf>
    <xf numFmtId="0" fontId="98" fillId="3" borderId="0" xfId="0" applyFont="1" applyFill="1" applyAlignment="1">
      <alignment horizontal="center" vertical="center"/>
    </xf>
    <xf numFmtId="0" fontId="50" fillId="54" borderId="122" xfId="0" applyFont="1" applyFill="1" applyBorder="1" applyAlignment="1">
      <alignment horizontal="center"/>
    </xf>
    <xf numFmtId="0" fontId="50" fillId="55" borderId="122" xfId="0" applyFont="1" applyFill="1" applyBorder="1" applyAlignment="1">
      <alignment horizontal="center"/>
    </xf>
    <xf numFmtId="0" fontId="21" fillId="0" borderId="0" xfId="0" applyFont="1" applyAlignment="1">
      <alignment horizontal="center" vertical="center" wrapText="1"/>
    </xf>
    <xf numFmtId="0" fontId="99" fillId="3" borderId="0" xfId="0" applyFont="1" applyFill="1" applyAlignment="1">
      <alignment horizontal="center"/>
    </xf>
    <xf numFmtId="0" fontId="21" fillId="3" borderId="0" xfId="0" applyFont="1" applyFill="1" applyAlignment="1">
      <alignment horizontal="center"/>
    </xf>
    <xf numFmtId="0" fontId="59" fillId="57" borderId="0" xfId="0" applyFont="1" applyFill="1" applyAlignment="1">
      <alignment horizontal="center" vertical="center"/>
    </xf>
    <xf numFmtId="0" fontId="61" fillId="53" borderId="0" xfId="0" applyFont="1" applyFill="1" applyAlignment="1">
      <alignment horizontal="center" vertical="center"/>
    </xf>
    <xf numFmtId="0" fontId="4" fillId="17" borderId="0" xfId="0" applyFont="1" applyFill="1" applyAlignment="1">
      <alignment horizontal="center" vertical="center"/>
    </xf>
    <xf numFmtId="0" fontId="68" fillId="64" borderId="0" xfId="0" applyFont="1" applyFill="1" applyAlignment="1">
      <alignment horizontal="center" vertical="center"/>
    </xf>
    <xf numFmtId="0" fontId="102" fillId="0" borderId="0" xfId="0" applyFont="1" applyAlignment="1">
      <alignment horizontal="center" vertical="center"/>
    </xf>
    <xf numFmtId="0" fontId="87" fillId="0" borderId="0" xfId="0" applyFont="1" applyAlignment="1">
      <alignment horizontal="center" vertical="center"/>
    </xf>
    <xf numFmtId="0" fontId="87" fillId="0" borderId="122" xfId="0" applyFont="1" applyBorder="1" applyAlignment="1">
      <alignment horizontal="center" vertical="center"/>
    </xf>
    <xf numFmtId="0" fontId="21" fillId="0" borderId="169" xfId="0" applyFont="1" applyBorder="1" applyAlignment="1">
      <alignment horizontal="center"/>
    </xf>
    <xf numFmtId="0" fontId="61" fillId="0" borderId="0" xfId="0" quotePrefix="1" applyFont="1" applyAlignment="1">
      <alignment horizontal="center" vertical="center"/>
    </xf>
    <xf numFmtId="0" fontId="4" fillId="8" borderId="50" xfId="0" applyFont="1" applyFill="1" applyBorder="1" applyAlignment="1">
      <alignment horizontal="center" vertical="center"/>
    </xf>
    <xf numFmtId="0" fontId="4" fillId="8" borderId="51" xfId="0" applyFont="1" applyFill="1" applyBorder="1" applyAlignment="1">
      <alignment horizontal="center" vertical="center"/>
    </xf>
    <xf numFmtId="0" fontId="4" fillId="8" borderId="49" xfId="0" applyFont="1" applyFill="1" applyBorder="1" applyAlignment="1">
      <alignment horizontal="center" vertical="center"/>
    </xf>
    <xf numFmtId="0" fontId="4" fillId="8" borderId="59" xfId="0" applyFont="1" applyFill="1" applyBorder="1" applyAlignment="1">
      <alignment horizontal="center" vertical="center"/>
    </xf>
    <xf numFmtId="0" fontId="4" fillId="8" borderId="48" xfId="0" applyFont="1" applyFill="1" applyBorder="1" applyAlignment="1">
      <alignment horizontal="center" vertical="center" wrapText="1"/>
    </xf>
    <xf numFmtId="0" fontId="4" fillId="8" borderId="54" xfId="0" applyFont="1" applyFill="1" applyBorder="1" applyAlignment="1">
      <alignment horizontal="center" vertical="center" wrapText="1"/>
    </xf>
    <xf numFmtId="0" fontId="4" fillId="8" borderId="47" xfId="0" applyFont="1" applyFill="1" applyBorder="1" applyAlignment="1">
      <alignment horizontal="center" vertical="center"/>
    </xf>
    <xf numFmtId="0" fontId="4" fillId="8" borderId="53" xfId="0" applyFont="1" applyFill="1" applyBorder="1" applyAlignment="1">
      <alignment horizontal="center" vertical="center"/>
    </xf>
    <xf numFmtId="0" fontId="4" fillId="8" borderId="48" xfId="0" applyFont="1" applyFill="1" applyBorder="1" applyAlignment="1">
      <alignment horizontal="center" vertical="center"/>
    </xf>
    <xf numFmtId="0" fontId="4" fillId="8" borderId="54" xfId="0" applyFont="1" applyFill="1" applyBorder="1" applyAlignment="1">
      <alignment horizontal="center" vertical="center"/>
    </xf>
    <xf numFmtId="0" fontId="3" fillId="9" borderId="108" xfId="0" quotePrefix="1" applyFont="1" applyFill="1" applyBorder="1" applyAlignment="1">
      <alignment horizontal="left" vertical="top" wrapText="1"/>
    </xf>
    <xf numFmtId="0" fontId="3" fillId="0" borderId="81" xfId="0" applyFont="1" applyBorder="1" applyAlignment="1">
      <alignment horizontal="center" vertical="center"/>
    </xf>
    <xf numFmtId="0" fontId="3" fillId="0" borderId="82" xfId="0" applyFont="1" applyBorder="1" applyAlignment="1">
      <alignment horizontal="center" vertical="center"/>
    </xf>
    <xf numFmtId="0" fontId="3" fillId="0" borderId="83" xfId="0" applyFont="1" applyBorder="1" applyAlignment="1">
      <alignment horizontal="center" vertical="center"/>
    </xf>
    <xf numFmtId="0" fontId="13" fillId="0" borderId="108" xfId="0" applyFont="1" applyBorder="1" applyAlignment="1">
      <alignment horizontal="center" vertical="center"/>
    </xf>
    <xf numFmtId="0" fontId="14" fillId="0" borderId="108" xfId="0" applyFont="1" applyBorder="1" applyAlignment="1">
      <alignment horizontal="center" vertical="center" wrapText="1"/>
    </xf>
    <xf numFmtId="0" fontId="25" fillId="3" borderId="108" xfId="0" quotePrefix="1" applyFont="1" applyFill="1" applyBorder="1" applyAlignment="1">
      <alignment horizontal="left" vertical="top" wrapText="1"/>
    </xf>
    <xf numFmtId="0" fontId="3" fillId="0" borderId="108" xfId="0" applyFont="1" applyBorder="1" applyAlignment="1">
      <alignment horizontal="center"/>
    </xf>
    <xf numFmtId="0" fontId="3" fillId="9" borderId="66" xfId="0" applyFont="1" applyFill="1" applyBorder="1" applyAlignment="1">
      <alignment horizontal="center" vertical="center"/>
    </xf>
    <xf numFmtId="0" fontId="3" fillId="9" borderId="71" xfId="0" applyFont="1" applyFill="1" applyBorder="1" applyAlignment="1">
      <alignment horizontal="center" vertical="center"/>
    </xf>
    <xf numFmtId="0" fontId="13" fillId="9" borderId="108" xfId="0" applyFont="1" applyFill="1" applyBorder="1" applyAlignment="1">
      <alignment horizontal="center" vertical="center"/>
    </xf>
    <xf numFmtId="0" fontId="14" fillId="9" borderId="108" xfId="0" applyFont="1" applyFill="1" applyBorder="1" applyAlignment="1">
      <alignment horizontal="center" vertical="center" wrapText="1"/>
    </xf>
    <xf numFmtId="0" fontId="3" fillId="9" borderId="108" xfId="0" applyFont="1" applyFill="1" applyBorder="1" applyAlignment="1">
      <alignment horizontal="left" vertical="top"/>
    </xf>
    <xf numFmtId="0" fontId="20" fillId="9" borderId="108" xfId="0" quotePrefix="1" applyFont="1" applyFill="1" applyBorder="1" applyAlignment="1">
      <alignment horizontal="center" vertical="top" wrapText="1"/>
    </xf>
    <xf numFmtId="0" fontId="20" fillId="9" borderId="108" xfId="0" applyFont="1" applyFill="1" applyBorder="1" applyAlignment="1">
      <alignment horizontal="left" vertical="top" wrapText="1"/>
    </xf>
    <xf numFmtId="0" fontId="3" fillId="0" borderId="84" xfId="0" applyFont="1" applyBorder="1" applyAlignment="1">
      <alignment horizontal="center" vertical="center"/>
    </xf>
    <xf numFmtId="0" fontId="20" fillId="3" borderId="108" xfId="0" applyFont="1" applyFill="1" applyBorder="1" applyAlignment="1">
      <alignment horizontal="left" vertical="top" wrapText="1"/>
    </xf>
    <xf numFmtId="0" fontId="3" fillId="3" borderId="85" xfId="0" applyFont="1" applyFill="1" applyBorder="1" applyAlignment="1">
      <alignment horizontal="center" vertical="center"/>
    </xf>
    <xf numFmtId="0" fontId="3" fillId="3" borderId="86" xfId="0" applyFont="1" applyFill="1" applyBorder="1" applyAlignment="1">
      <alignment horizontal="center" vertical="center"/>
    </xf>
    <xf numFmtId="0" fontId="25" fillId="9" borderId="108" xfId="0" applyFont="1" applyFill="1" applyBorder="1" applyAlignment="1">
      <alignment horizontal="left" vertical="top" wrapText="1"/>
    </xf>
    <xf numFmtId="0" fontId="3" fillId="9" borderId="108" xfId="0" applyFont="1" applyFill="1" applyBorder="1" applyAlignment="1">
      <alignment horizontal="center"/>
    </xf>
    <xf numFmtId="0" fontId="20" fillId="9" borderId="108" xfId="0" quotePrefix="1" applyFont="1" applyFill="1" applyBorder="1" applyAlignment="1">
      <alignment horizontal="left" vertical="top" wrapText="1"/>
    </xf>
    <xf numFmtId="0" fontId="3" fillId="3" borderId="108" xfId="0" applyFont="1" applyFill="1" applyBorder="1" applyAlignment="1">
      <alignment horizontal="center"/>
    </xf>
    <xf numFmtId="0" fontId="3" fillId="9" borderId="108" xfId="0" applyFont="1" applyFill="1" applyBorder="1" applyAlignment="1">
      <alignment horizontal="center" vertical="top" wrapText="1"/>
    </xf>
    <xf numFmtId="0" fontId="3" fillId="9" borderId="108" xfId="0" applyFont="1" applyFill="1" applyBorder="1" applyAlignment="1">
      <alignment horizontal="left" vertical="top" wrapText="1"/>
    </xf>
    <xf numFmtId="0" fontId="20" fillId="3" borderId="108" xfId="0" quotePrefix="1" applyFont="1" applyFill="1" applyBorder="1" applyAlignment="1">
      <alignment horizontal="left" vertical="top" wrapText="1"/>
    </xf>
    <xf numFmtId="0" fontId="100" fillId="0" borderId="0" xfId="0" applyFont="1" applyAlignment="1">
      <alignment horizontal="center" vertical="center"/>
    </xf>
    <xf numFmtId="0" fontId="61" fillId="0" borderId="0" xfId="0" applyFont="1" applyAlignment="1">
      <alignment horizontal="center" vertical="center" wrapText="1"/>
    </xf>
    <xf numFmtId="0" fontId="3" fillId="0" borderId="90" xfId="0" applyFont="1" applyBorder="1" applyAlignment="1">
      <alignment horizontal="center" vertical="center"/>
    </xf>
    <xf numFmtId="0" fontId="3" fillId="0" borderId="60" xfId="0" applyFont="1" applyBorder="1" applyAlignment="1">
      <alignment horizontal="center" vertical="center"/>
    </xf>
    <xf numFmtId="0" fontId="3" fillId="0" borderId="68" xfId="0" applyFont="1" applyBorder="1" applyAlignment="1">
      <alignment horizontal="center" vertical="center"/>
    </xf>
    <xf numFmtId="0" fontId="3" fillId="9" borderId="72" xfId="0" applyFont="1" applyFill="1" applyBorder="1" applyAlignment="1">
      <alignment horizontal="center" vertical="center"/>
    </xf>
    <xf numFmtId="0" fontId="3" fillId="9" borderId="73" xfId="0" applyFont="1" applyFill="1" applyBorder="1" applyAlignment="1">
      <alignment horizontal="center" vertical="center"/>
    </xf>
    <xf numFmtId="0" fontId="13" fillId="3" borderId="0" xfId="0" applyFont="1" applyFill="1" applyAlignment="1">
      <alignment horizontal="center" vertical="center"/>
    </xf>
    <xf numFmtId="0" fontId="13" fillId="3" borderId="74" xfId="0" applyFont="1" applyFill="1" applyBorder="1" applyAlignment="1">
      <alignment horizontal="center" vertical="center"/>
    </xf>
    <xf numFmtId="0" fontId="14" fillId="3" borderId="67" xfId="0" applyFont="1" applyFill="1" applyBorder="1" applyAlignment="1">
      <alignment horizontal="center" vertical="center" wrapText="1"/>
    </xf>
    <xf numFmtId="0" fontId="14" fillId="3" borderId="75" xfId="0" applyFont="1" applyFill="1" applyBorder="1" applyAlignment="1">
      <alignment horizontal="center" vertical="center" wrapText="1"/>
    </xf>
    <xf numFmtId="0" fontId="13" fillId="3" borderId="108" xfId="0" applyFont="1" applyFill="1" applyBorder="1" applyAlignment="1">
      <alignment horizontal="center" vertical="center"/>
    </xf>
    <xf numFmtId="0" fontId="14" fillId="3" borderId="108" xfId="0" applyFont="1" applyFill="1" applyBorder="1" applyAlignment="1">
      <alignment horizontal="center" vertical="center" wrapText="1"/>
    </xf>
    <xf numFmtId="0" fontId="20" fillId="0" borderId="108" xfId="0" applyFont="1" applyBorder="1" applyAlignment="1">
      <alignment horizontal="left" vertical="top" wrapText="1"/>
    </xf>
    <xf numFmtId="0" fontId="13" fillId="9" borderId="108" xfId="0" applyFont="1" applyFill="1" applyBorder="1" applyAlignment="1">
      <alignment horizontal="center" vertical="center" wrapText="1"/>
    </xf>
    <xf numFmtId="0" fontId="4" fillId="8" borderId="49" xfId="0" applyFont="1" applyFill="1" applyBorder="1" applyAlignment="1">
      <alignment horizontal="center" vertical="center" wrapText="1"/>
    </xf>
    <xf numFmtId="0" fontId="4" fillId="8" borderId="59" xfId="0" applyFont="1" applyFill="1" applyBorder="1" applyAlignment="1">
      <alignment horizontal="center" vertical="center" wrapText="1"/>
    </xf>
    <xf numFmtId="0" fontId="4" fillId="8" borderId="52" xfId="0" applyFont="1" applyFill="1" applyBorder="1" applyAlignment="1">
      <alignment horizontal="center" vertical="center"/>
    </xf>
    <xf numFmtId="0" fontId="21" fillId="9" borderId="108" xfId="0" quotePrefix="1" applyFont="1" applyFill="1" applyBorder="1" applyAlignment="1">
      <alignment horizontal="left" vertical="top" wrapText="1"/>
    </xf>
    <xf numFmtId="0" fontId="21" fillId="9" borderId="108" xfId="0" applyFont="1" applyFill="1" applyBorder="1" applyAlignment="1">
      <alignment horizontal="left" vertical="top" wrapText="1"/>
    </xf>
    <xf numFmtId="0" fontId="15" fillId="19" borderId="133" xfId="0" applyFont="1" applyFill="1" applyBorder="1" applyAlignment="1">
      <alignment horizontal="center" vertical="center" wrapText="1"/>
    </xf>
    <xf numFmtId="0" fontId="15" fillId="19" borderId="135" xfId="0" applyFont="1" applyFill="1" applyBorder="1" applyAlignment="1">
      <alignment horizontal="center" vertical="center" wrapText="1"/>
    </xf>
    <xf numFmtId="0" fontId="15" fillId="19" borderId="136" xfId="0" applyFont="1" applyFill="1" applyBorder="1" applyAlignment="1">
      <alignment horizontal="center" vertical="center" wrapText="1"/>
    </xf>
    <xf numFmtId="0" fontId="15" fillId="0" borderId="109" xfId="0" applyFont="1" applyBorder="1" applyAlignment="1">
      <alignment horizontal="center" vertical="center" wrapText="1"/>
    </xf>
    <xf numFmtId="0" fontId="15" fillId="19" borderId="138" xfId="0" applyFont="1" applyFill="1" applyBorder="1" applyAlignment="1">
      <alignment horizontal="center" vertical="center" wrapText="1"/>
    </xf>
    <xf numFmtId="0" fontId="15" fillId="0" borderId="138" xfId="0" applyFont="1" applyBorder="1" applyAlignment="1">
      <alignment horizontal="center" vertical="center" wrapText="1"/>
    </xf>
    <xf numFmtId="0" fontId="15" fillId="0" borderId="139" xfId="0" applyFont="1" applyBorder="1" applyAlignment="1">
      <alignment horizontal="center" vertical="center" wrapText="1"/>
    </xf>
    <xf numFmtId="0" fontId="15" fillId="0" borderId="137" xfId="0" applyFont="1" applyBorder="1" applyAlignment="1">
      <alignment horizontal="center" vertical="center" wrapText="1"/>
    </xf>
    <xf numFmtId="0" fontId="103" fillId="0" borderId="0" xfId="0" applyFont="1" applyAlignment="1">
      <alignment horizontal="center" vertical="center"/>
    </xf>
    <xf numFmtId="0" fontId="15" fillId="3" borderId="138" xfId="0" applyFont="1" applyFill="1" applyBorder="1" applyAlignment="1">
      <alignment horizontal="center" vertical="center" wrapText="1"/>
    </xf>
    <xf numFmtId="0" fontId="15" fillId="3" borderId="139" xfId="0" applyFont="1" applyFill="1" applyBorder="1" applyAlignment="1">
      <alignment horizontal="center" vertical="center" wrapText="1"/>
    </xf>
    <xf numFmtId="0" fontId="15" fillId="19" borderId="137" xfId="0" applyFont="1" applyFill="1" applyBorder="1" applyAlignment="1">
      <alignment horizontal="center" vertical="center" wrapText="1"/>
    </xf>
    <xf numFmtId="0" fontId="3" fillId="0" borderId="0" xfId="0" quotePrefix="1" applyFont="1" applyAlignment="1">
      <alignment horizontal="left" vertical="center" wrapText="1" indent="1"/>
    </xf>
    <xf numFmtId="0" fontId="4" fillId="8" borderId="79" xfId="0" applyFont="1" applyFill="1" applyBorder="1" applyAlignment="1">
      <alignment horizontal="center" vertical="center"/>
    </xf>
    <xf numFmtId="0" fontId="78" fillId="19" borderId="152" xfId="0" applyFont="1" applyFill="1" applyBorder="1" applyAlignment="1">
      <alignment horizontal="center" vertical="center" textRotation="90"/>
    </xf>
    <xf numFmtId="0" fontId="78" fillId="19" borderId="156" xfId="0" applyFont="1" applyFill="1" applyBorder="1" applyAlignment="1">
      <alignment horizontal="center" vertical="center" textRotation="90"/>
    </xf>
    <xf numFmtId="0" fontId="78" fillId="19" borderId="161" xfId="0" applyFont="1" applyFill="1" applyBorder="1" applyAlignment="1">
      <alignment horizontal="center" vertical="center" textRotation="90"/>
    </xf>
    <xf numFmtId="0" fontId="99" fillId="0" borderId="0" xfId="0" applyFont="1" applyAlignment="1">
      <alignment horizontal="center" vertical="center"/>
    </xf>
    <xf numFmtId="0" fontId="21" fillId="15" borderId="1" xfId="0" applyFont="1" applyFill="1" applyBorder="1" applyAlignment="1">
      <alignment horizontal="left" vertical="top" wrapText="1"/>
    </xf>
    <xf numFmtId="0" fontId="21" fillId="3" borderId="1" xfId="0" applyFont="1" applyFill="1" applyBorder="1" applyAlignment="1">
      <alignment horizontal="center" vertical="center" wrapText="1"/>
    </xf>
    <xf numFmtId="0" fontId="20" fillId="3" borderId="1" xfId="0" applyFont="1" applyFill="1" applyBorder="1" applyAlignment="1">
      <alignment horizontal="left" vertical="top" wrapText="1"/>
    </xf>
    <xf numFmtId="0" fontId="21" fillId="3" borderId="1" xfId="0" applyFont="1" applyFill="1" applyBorder="1" applyAlignment="1">
      <alignment horizontal="center" vertical="top" wrapText="1"/>
    </xf>
    <xf numFmtId="0" fontId="20" fillId="3" borderId="1" xfId="0" quotePrefix="1" applyFont="1" applyFill="1" applyBorder="1" applyAlignment="1">
      <alignment horizontal="left" vertical="top" wrapText="1"/>
    </xf>
    <xf numFmtId="0" fontId="20" fillId="3" borderId="79" xfId="0" quotePrefix="1" applyFont="1" applyFill="1" applyBorder="1" applyAlignment="1">
      <alignment horizontal="left" vertical="top" wrapText="1"/>
    </xf>
    <xf numFmtId="0" fontId="20" fillId="3" borderId="78" xfId="0" quotePrefix="1" applyFont="1" applyFill="1" applyBorder="1" applyAlignment="1">
      <alignment horizontal="left" vertical="top" wrapText="1"/>
    </xf>
    <xf numFmtId="0" fontId="20" fillId="3" borderId="80" xfId="0" quotePrefix="1" applyFont="1" applyFill="1" applyBorder="1" applyAlignment="1">
      <alignment horizontal="left" vertical="top" wrapText="1"/>
    </xf>
    <xf numFmtId="0" fontId="20" fillId="3" borderId="1" xfId="0" applyFont="1" applyFill="1" applyBorder="1" applyAlignment="1">
      <alignment horizontal="center" vertical="top" wrapText="1"/>
    </xf>
    <xf numFmtId="0" fontId="21" fillId="14" borderId="1" xfId="0" applyFont="1" applyFill="1" applyBorder="1" applyAlignment="1">
      <alignment horizontal="left" vertical="top" wrapText="1"/>
    </xf>
    <xf numFmtId="0" fontId="21" fillId="15" borderId="1" xfId="0" applyFont="1" applyFill="1" applyBorder="1" applyAlignment="1">
      <alignment horizontal="center" vertical="center" wrapText="1"/>
    </xf>
    <xf numFmtId="0" fontId="21" fillId="15" borderId="1" xfId="0" applyFont="1" applyFill="1" applyBorder="1" applyAlignment="1">
      <alignment horizontal="center" vertical="top" wrapText="1"/>
    </xf>
    <xf numFmtId="0" fontId="21" fillId="14" borderId="1" xfId="0" applyFont="1" applyFill="1" applyBorder="1" applyAlignment="1">
      <alignment horizontal="center" vertical="top" wrapText="1"/>
    </xf>
    <xf numFmtId="0" fontId="21" fillId="14" borderId="79" xfId="0" applyFont="1" applyFill="1" applyBorder="1" applyAlignment="1">
      <alignment horizontal="left" vertical="top" wrapText="1"/>
    </xf>
    <xf numFmtId="0" fontId="21" fillId="14" borderId="80" xfId="0" applyFont="1" applyFill="1" applyBorder="1" applyAlignment="1">
      <alignment horizontal="left" vertical="top" wrapText="1"/>
    </xf>
    <xf numFmtId="0" fontId="20" fillId="0" borderId="1" xfId="0" applyFont="1" applyBorder="1" applyAlignment="1">
      <alignment horizontal="left" vertical="top" wrapText="1"/>
    </xf>
    <xf numFmtId="0" fontId="20" fillId="13" borderId="1" xfId="0" applyFont="1" applyFill="1" applyBorder="1" applyAlignment="1">
      <alignment horizontal="left" vertical="top" wrapText="1"/>
    </xf>
    <xf numFmtId="0" fontId="21" fillId="13" borderId="1" xfId="0" applyFont="1" applyFill="1" applyBorder="1" applyAlignment="1">
      <alignment horizontal="center" vertical="top" wrapText="1"/>
    </xf>
    <xf numFmtId="0" fontId="20" fillId="13" borderId="1" xfId="0" applyFont="1" applyFill="1" applyBorder="1" applyAlignment="1">
      <alignment horizontal="center" vertical="top" wrapText="1"/>
    </xf>
    <xf numFmtId="0" fontId="27" fillId="13" borderId="78" xfId="0" applyFont="1" applyFill="1" applyBorder="1" applyAlignment="1">
      <alignment horizontal="left" vertical="top" wrapText="1"/>
    </xf>
    <xf numFmtId="0" fontId="27" fillId="13" borderId="80" xfId="0" applyFont="1" applyFill="1" applyBorder="1" applyAlignment="1">
      <alignment horizontal="left" vertical="top" wrapText="1"/>
    </xf>
    <xf numFmtId="0" fontId="20" fillId="13" borderId="79" xfId="0" applyFont="1" applyFill="1" applyBorder="1" applyAlignment="1">
      <alignment horizontal="center" vertical="top" wrapText="1"/>
    </xf>
    <xf numFmtId="0" fontId="20" fillId="13" borderId="78" xfId="0" applyFont="1" applyFill="1" applyBorder="1" applyAlignment="1">
      <alignment horizontal="center" vertical="top" wrapText="1"/>
    </xf>
    <xf numFmtId="0" fontId="20" fillId="13" borderId="80" xfId="0" applyFont="1" applyFill="1" applyBorder="1" applyAlignment="1">
      <alignment horizontal="center" vertical="top" wrapText="1"/>
    </xf>
    <xf numFmtId="0" fontId="27" fillId="13" borderId="79" xfId="0" applyFont="1" applyFill="1" applyBorder="1" applyAlignment="1">
      <alignment horizontal="left" vertical="top" wrapText="1"/>
    </xf>
    <xf numFmtId="0" fontId="20" fillId="13" borderId="79" xfId="0" applyFont="1" applyFill="1" applyBorder="1" applyAlignment="1">
      <alignment horizontal="left" vertical="top" wrapText="1"/>
    </xf>
    <xf numFmtId="0" fontId="20" fillId="13" borderId="80" xfId="0" applyFont="1" applyFill="1" applyBorder="1" applyAlignment="1">
      <alignment horizontal="left" vertical="top" wrapText="1"/>
    </xf>
    <xf numFmtId="0" fontId="21" fillId="13" borderId="79" xfId="0" applyFont="1" applyFill="1" applyBorder="1" applyAlignment="1">
      <alignment horizontal="center" vertical="top" wrapText="1"/>
    </xf>
    <xf numFmtId="0" fontId="21" fillId="13" borderId="80" xfId="0" applyFont="1" applyFill="1" applyBorder="1" applyAlignment="1">
      <alignment horizontal="center" vertical="top" wrapText="1"/>
    </xf>
    <xf numFmtId="0" fontId="21" fillId="3" borderId="79" xfId="0" applyFont="1" applyFill="1" applyBorder="1" applyAlignment="1">
      <alignment horizontal="center" vertical="center" wrapText="1"/>
    </xf>
    <xf numFmtId="0" fontId="21" fillId="3" borderId="1" xfId="0" applyFont="1" applyFill="1" applyBorder="1" applyAlignment="1">
      <alignment horizontal="left" vertical="top" wrapText="1"/>
    </xf>
    <xf numFmtId="0" fontId="21" fillId="3" borderId="79" xfId="0" applyFont="1" applyFill="1" applyBorder="1" applyAlignment="1">
      <alignment horizontal="left" vertical="top" wrapText="1"/>
    </xf>
    <xf numFmtId="0" fontId="21" fillId="3" borderId="79" xfId="0" applyFont="1" applyFill="1" applyBorder="1" applyAlignment="1">
      <alignment horizontal="center" vertical="top" wrapText="1"/>
    </xf>
    <xf numFmtId="0" fontId="20" fillId="3" borderId="79" xfId="0" applyFont="1" applyFill="1" applyBorder="1" applyAlignment="1">
      <alignment horizontal="left" vertical="top" wrapText="1"/>
    </xf>
    <xf numFmtId="0" fontId="21" fillId="13" borderId="78" xfId="0" applyFont="1" applyFill="1" applyBorder="1" applyAlignment="1">
      <alignment horizontal="center" vertical="center" wrapText="1"/>
    </xf>
    <xf numFmtId="0" fontId="21" fillId="13" borderId="80" xfId="0" applyFont="1" applyFill="1" applyBorder="1" applyAlignment="1">
      <alignment horizontal="center" vertical="center" wrapText="1"/>
    </xf>
    <xf numFmtId="0" fontId="25" fillId="13" borderId="78" xfId="0" applyFont="1" applyFill="1" applyBorder="1" applyAlignment="1">
      <alignment horizontal="left" vertical="top" wrapText="1"/>
    </xf>
    <xf numFmtId="0" fontId="25" fillId="13" borderId="80" xfId="0" applyFont="1" applyFill="1" applyBorder="1" applyAlignment="1">
      <alignment horizontal="left" vertical="top" wrapText="1"/>
    </xf>
    <xf numFmtId="0" fontId="21" fillId="13" borderId="78" xfId="0" applyFont="1" applyFill="1" applyBorder="1" applyAlignment="1">
      <alignment horizontal="center" vertical="top" wrapText="1"/>
    </xf>
    <xf numFmtId="0" fontId="20" fillId="13" borderId="78" xfId="0" quotePrefix="1" applyFont="1" applyFill="1" applyBorder="1" applyAlignment="1">
      <alignment horizontal="left" vertical="top" wrapText="1"/>
    </xf>
    <xf numFmtId="0" fontId="20" fillId="13" borderId="78" xfId="0" applyFont="1" applyFill="1" applyBorder="1" applyAlignment="1">
      <alignment horizontal="left" vertical="top" wrapText="1"/>
    </xf>
    <xf numFmtId="0" fontId="20" fillId="13" borderId="79" xfId="0" quotePrefix="1" applyFont="1" applyFill="1" applyBorder="1" applyAlignment="1">
      <alignment horizontal="center" vertical="top" wrapText="1"/>
    </xf>
    <xf numFmtId="0" fontId="20" fillId="13" borderId="78" xfId="0" quotePrefix="1" applyFont="1" applyFill="1" applyBorder="1" applyAlignment="1">
      <alignment horizontal="center" vertical="top" wrapText="1"/>
    </xf>
    <xf numFmtId="0" fontId="20" fillId="13" borderId="80" xfId="0" quotePrefix="1" applyFont="1" applyFill="1" applyBorder="1" applyAlignment="1">
      <alignment horizontal="center" vertical="top" wrapText="1"/>
    </xf>
    <xf numFmtId="0" fontId="0" fillId="0" borderId="89" xfId="0" applyBorder="1" applyAlignment="1">
      <alignment horizontal="center" vertical="top" wrapText="1"/>
    </xf>
    <xf numFmtId="0" fontId="0" fillId="0" borderId="78" xfId="0" applyBorder="1" applyAlignment="1">
      <alignment horizontal="center" vertical="top" wrapText="1"/>
    </xf>
    <xf numFmtId="0" fontId="0" fillId="0" borderId="80" xfId="0" applyBorder="1" applyAlignment="1">
      <alignment horizontal="center" vertical="top" wrapText="1"/>
    </xf>
    <xf numFmtId="0" fontId="20" fillId="3" borderId="79" xfId="0" applyFont="1" applyFill="1" applyBorder="1" applyAlignment="1">
      <alignment horizontal="center" vertical="top" wrapText="1"/>
    </xf>
    <xf numFmtId="0" fontId="0" fillId="16" borderId="91" xfId="0" applyFill="1" applyBorder="1" applyAlignment="1">
      <alignment horizontal="center" vertical="top" wrapText="1"/>
    </xf>
    <xf numFmtId="0" fontId="0" fillId="16" borderId="92" xfId="0" applyFill="1" applyBorder="1" applyAlignment="1">
      <alignment horizontal="center" vertical="top" wrapText="1"/>
    </xf>
    <xf numFmtId="0" fontId="0" fillId="16" borderId="93" xfId="0" applyFill="1" applyBorder="1" applyAlignment="1">
      <alignment horizontal="center" vertical="top" wrapText="1"/>
    </xf>
    <xf numFmtId="0" fontId="13" fillId="0" borderId="80" xfId="0" applyFont="1" applyBorder="1" applyAlignment="1">
      <alignment horizontal="center" vertical="center" wrapText="1"/>
    </xf>
    <xf numFmtId="0" fontId="13" fillId="0" borderId="1" xfId="0" applyFont="1" applyBorder="1" applyAlignment="1">
      <alignment horizontal="center" vertical="center" wrapText="1"/>
    </xf>
    <xf numFmtId="0" fontId="20" fillId="3" borderId="80" xfId="0" applyFont="1" applyFill="1" applyBorder="1" applyAlignment="1">
      <alignment horizontal="left" vertical="top" wrapText="1"/>
    </xf>
    <xf numFmtId="0" fontId="21" fillId="3" borderId="80" xfId="0" applyFont="1" applyFill="1" applyBorder="1" applyAlignment="1">
      <alignment horizontal="center" vertical="center" wrapText="1"/>
    </xf>
    <xf numFmtId="0" fontId="20" fillId="3" borderId="80" xfId="0" applyFont="1" applyFill="1" applyBorder="1" applyAlignment="1">
      <alignment horizontal="left" vertical="center" wrapText="1"/>
    </xf>
    <xf numFmtId="0" fontId="20" fillId="3" borderId="1" xfId="0" applyFont="1" applyFill="1" applyBorder="1" applyAlignment="1">
      <alignment horizontal="left" vertical="center" wrapText="1"/>
    </xf>
    <xf numFmtId="0" fontId="0" fillId="0" borderId="1" xfId="0" applyBorder="1" applyAlignment="1">
      <alignment horizontal="center" vertical="top" wrapText="1"/>
    </xf>
    <xf numFmtId="0" fontId="20" fillId="0" borderId="79" xfId="0" applyFont="1" applyBorder="1" applyAlignment="1">
      <alignment horizontal="left" vertical="top" wrapText="1"/>
    </xf>
    <xf numFmtId="0" fontId="21" fillId="3" borderId="78" xfId="0" applyFont="1" applyFill="1" applyBorder="1" applyAlignment="1">
      <alignment horizontal="center" vertical="top" wrapText="1"/>
    </xf>
    <xf numFmtId="0" fontId="21" fillId="3" borderId="80" xfId="0" applyFont="1" applyFill="1" applyBorder="1" applyAlignment="1">
      <alignment horizontal="center" vertical="top" wrapText="1"/>
    </xf>
    <xf numFmtId="0" fontId="20" fillId="3" borderId="78" xfId="0" applyFont="1" applyFill="1" applyBorder="1" applyAlignment="1">
      <alignment horizontal="center" vertical="top" wrapText="1"/>
    </xf>
    <xf numFmtId="0" fontId="20" fillId="3" borderId="80" xfId="0" applyFont="1" applyFill="1" applyBorder="1" applyAlignment="1">
      <alignment horizontal="center" vertical="top" wrapText="1"/>
    </xf>
    <xf numFmtId="0" fontId="20" fillId="3" borderId="78" xfId="0" applyFont="1" applyFill="1" applyBorder="1" applyAlignment="1">
      <alignment horizontal="left" vertical="top" wrapText="1"/>
    </xf>
    <xf numFmtId="0" fontId="20" fillId="3" borderId="80"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25" fillId="13" borderId="1" xfId="0" applyFont="1" applyFill="1" applyBorder="1" applyAlignment="1">
      <alignment horizontal="left" vertical="top" wrapText="1"/>
    </xf>
    <xf numFmtId="0" fontId="0" fillId="13" borderId="1" xfId="0" applyFill="1" applyBorder="1" applyAlignment="1">
      <alignment horizontal="center" vertical="top" wrapText="1"/>
    </xf>
    <xf numFmtId="0" fontId="21" fillId="3" borderId="78" xfId="0" applyFont="1" applyFill="1" applyBorder="1" applyAlignment="1">
      <alignment horizontal="left" vertical="top" wrapText="1"/>
    </xf>
    <xf numFmtId="0" fontId="21" fillId="3" borderId="80" xfId="0" applyFont="1" applyFill="1" applyBorder="1" applyAlignment="1">
      <alignment horizontal="left" vertical="top" wrapText="1"/>
    </xf>
    <xf numFmtId="0" fontId="0" fillId="0" borderId="95" xfId="0" applyBorder="1" applyAlignment="1">
      <alignment horizontal="center" vertical="top" wrapText="1"/>
    </xf>
    <xf numFmtId="0" fontId="20" fillId="13" borderId="88" xfId="0" applyFont="1" applyFill="1" applyBorder="1" applyAlignment="1">
      <alignment horizontal="center" vertical="center" wrapText="1"/>
    </xf>
    <xf numFmtId="0" fontId="20" fillId="3" borderId="94" xfId="0" applyFont="1" applyFill="1" applyBorder="1" applyAlignment="1">
      <alignment horizontal="center" vertical="center" wrapText="1"/>
    </xf>
    <xf numFmtId="0" fontId="0" fillId="13" borderId="89" xfId="0" applyFill="1" applyBorder="1" applyAlignment="1">
      <alignment horizontal="center" vertical="top" wrapText="1"/>
    </xf>
    <xf numFmtId="0" fontId="0" fillId="13" borderId="78" xfId="0" applyFill="1" applyBorder="1" applyAlignment="1">
      <alignment horizontal="center" vertical="top" wrapText="1"/>
    </xf>
    <xf numFmtId="0" fontId="0" fillId="13" borderId="80" xfId="0" applyFill="1" applyBorder="1" applyAlignment="1">
      <alignment horizontal="center" vertical="top" wrapText="1"/>
    </xf>
    <xf numFmtId="0" fontId="20" fillId="3" borderId="79" xfId="0" applyFont="1" applyFill="1" applyBorder="1" applyAlignment="1">
      <alignment horizontal="center" vertical="center" wrapText="1"/>
    </xf>
    <xf numFmtId="0" fontId="13" fillId="0" borderId="79" xfId="0" applyFont="1" applyBorder="1" applyAlignment="1">
      <alignment horizontal="center" vertical="center" wrapText="1"/>
    </xf>
    <xf numFmtId="0" fontId="2" fillId="5" borderId="31" xfId="0" applyFont="1" applyFill="1" applyBorder="1" applyAlignment="1">
      <alignment horizontal="center" wrapText="1" readingOrder="1"/>
    </xf>
    <xf numFmtId="0" fontId="2" fillId="5" borderId="42" xfId="0" applyFont="1" applyFill="1" applyBorder="1" applyAlignment="1">
      <alignment horizontal="center" wrapText="1" readingOrder="1"/>
    </xf>
    <xf numFmtId="0" fontId="2" fillId="5" borderId="32" xfId="0" applyFont="1" applyFill="1" applyBorder="1" applyAlignment="1">
      <alignment horizontal="center" wrapText="1" readingOrder="1"/>
    </xf>
    <xf numFmtId="0" fontId="10" fillId="0" borderId="14" xfId="0" applyFont="1" applyBorder="1" applyAlignment="1">
      <alignment horizontal="center" vertical="center" wrapText="1" readingOrder="1"/>
    </xf>
    <xf numFmtId="0" fontId="10" fillId="0" borderId="17" xfId="0" applyFont="1" applyBorder="1" applyAlignment="1">
      <alignment horizontal="center" vertical="center" wrapText="1" readingOrder="1"/>
    </xf>
    <xf numFmtId="0" fontId="6" fillId="5" borderId="31" xfId="0" applyFont="1"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32" xfId="0" applyFont="1" applyFill="1" applyBorder="1" applyAlignment="1">
      <alignment horizontal="center" vertical="center" wrapText="1"/>
    </xf>
    <xf numFmtId="0" fontId="2" fillId="5" borderId="31" xfId="0" applyFont="1" applyFill="1" applyBorder="1" applyAlignment="1">
      <alignment horizontal="center" vertical="center" wrapText="1" readingOrder="1"/>
    </xf>
    <xf numFmtId="0" fontId="2" fillId="5" borderId="42" xfId="0" applyFont="1" applyFill="1" applyBorder="1" applyAlignment="1">
      <alignment horizontal="center" vertical="center" wrapText="1" readingOrder="1"/>
    </xf>
    <xf numFmtId="0" fontId="2" fillId="5" borderId="32" xfId="0" applyFont="1" applyFill="1" applyBorder="1" applyAlignment="1">
      <alignment horizontal="center" vertical="center" wrapText="1" readingOrder="1"/>
    </xf>
    <xf numFmtId="0" fontId="10" fillId="0" borderId="31" xfId="0" applyFont="1" applyBorder="1" applyAlignment="1">
      <alignment horizontal="center" wrapText="1" readingOrder="1"/>
    </xf>
    <xf numFmtId="0" fontId="10" fillId="0" borderId="34" xfId="0" applyFont="1" applyBorder="1" applyAlignment="1">
      <alignment horizontal="center" wrapText="1" readingOrder="1"/>
    </xf>
    <xf numFmtId="0" fontId="2" fillId="5" borderId="20" xfId="0" applyFont="1" applyFill="1" applyBorder="1" applyAlignment="1">
      <alignment horizontal="center" wrapText="1" readingOrder="1"/>
    </xf>
    <xf numFmtId="0" fontId="2" fillId="5" borderId="21" xfId="0" applyFont="1" applyFill="1" applyBorder="1" applyAlignment="1">
      <alignment horizontal="center" wrapText="1" readingOrder="1"/>
    </xf>
    <xf numFmtId="0" fontId="2" fillId="5" borderId="22" xfId="0" applyFont="1" applyFill="1" applyBorder="1" applyAlignment="1">
      <alignment horizontal="center" wrapText="1" readingOrder="1"/>
    </xf>
    <xf numFmtId="0" fontId="10" fillId="0" borderId="20" xfId="0" applyFont="1" applyBorder="1" applyAlignment="1">
      <alignment horizontal="center" wrapText="1" readingOrder="1"/>
    </xf>
    <xf numFmtId="0" fontId="10" fillId="0" borderId="23" xfId="0" applyFont="1" applyBorder="1" applyAlignment="1">
      <alignment horizontal="center" wrapText="1" readingOrder="1"/>
    </xf>
    <xf numFmtId="0" fontId="2" fillId="5" borderId="25" xfId="0" applyFont="1" applyFill="1" applyBorder="1" applyAlignment="1">
      <alignment horizontal="center" wrapText="1" readingOrder="1"/>
    </xf>
    <xf numFmtId="0" fontId="2" fillId="5" borderId="26" xfId="0" applyFont="1" applyFill="1" applyBorder="1" applyAlignment="1">
      <alignment horizontal="center" wrapText="1" readingOrder="1"/>
    </xf>
    <xf numFmtId="0" fontId="2" fillId="5" borderId="28" xfId="0" applyFont="1" applyFill="1" applyBorder="1" applyAlignment="1">
      <alignment horizontal="center" wrapText="1" readingOrder="1"/>
    </xf>
    <xf numFmtId="0" fontId="10" fillId="0" borderId="31" xfId="0" applyFont="1" applyBorder="1" applyAlignment="1">
      <alignment horizontal="center" vertical="center" wrapText="1" readingOrder="1"/>
    </xf>
    <xf numFmtId="0" fontId="10" fillId="0" borderId="34" xfId="0" applyFont="1" applyBorder="1" applyAlignment="1">
      <alignment horizontal="center" vertical="center" wrapText="1" readingOrder="1"/>
    </xf>
    <xf numFmtId="0" fontId="6" fillId="6" borderId="25" xfId="0" applyFont="1" applyFill="1" applyBorder="1" applyAlignment="1">
      <alignment horizontal="center" vertical="center" wrapText="1"/>
    </xf>
    <xf numFmtId="0" fontId="6" fillId="6" borderId="26" xfId="0" applyFont="1" applyFill="1" applyBorder="1" applyAlignment="1">
      <alignment horizontal="center" vertical="center" wrapText="1"/>
    </xf>
    <xf numFmtId="0" fontId="6" fillId="6" borderId="27" xfId="0" applyFont="1" applyFill="1" applyBorder="1" applyAlignment="1">
      <alignment horizontal="center" vertical="center" wrapText="1"/>
    </xf>
    <xf numFmtId="0" fontId="2" fillId="5" borderId="45" xfId="0" applyFont="1" applyFill="1" applyBorder="1" applyAlignment="1">
      <alignment horizontal="center" vertical="center" wrapText="1" readingOrder="1"/>
    </xf>
    <xf numFmtId="0" fontId="2" fillId="5" borderId="46" xfId="0" applyFont="1" applyFill="1" applyBorder="1" applyAlignment="1">
      <alignment horizontal="center" vertical="center" wrapText="1" readingOrder="1"/>
    </xf>
    <xf numFmtId="0" fontId="10" fillId="7" borderId="25" xfId="0" applyFont="1" applyFill="1" applyBorder="1" applyAlignment="1">
      <alignment horizontal="center" vertical="center" wrapText="1" readingOrder="1"/>
    </xf>
    <xf numFmtId="0" fontId="10" fillId="7" borderId="28" xfId="0" applyFont="1" applyFill="1" applyBorder="1" applyAlignment="1">
      <alignment horizontal="center" vertical="center" wrapText="1" readingOrder="1"/>
    </xf>
    <xf numFmtId="0" fontId="6" fillId="6" borderId="25" xfId="0" applyFont="1" applyFill="1" applyBorder="1" applyAlignment="1">
      <alignment vertical="center" wrapText="1"/>
    </xf>
    <xf numFmtId="0" fontId="6" fillId="6" borderId="28" xfId="0" applyFont="1" applyFill="1" applyBorder="1" applyAlignment="1">
      <alignment vertical="center" wrapText="1"/>
    </xf>
    <xf numFmtId="0" fontId="2" fillId="5" borderId="25" xfId="0" applyFont="1" applyFill="1" applyBorder="1" applyAlignment="1">
      <alignment horizontal="center" vertical="center" wrapText="1" readingOrder="1"/>
    </xf>
    <xf numFmtId="0" fontId="2" fillId="5" borderId="26" xfId="0" applyFont="1" applyFill="1" applyBorder="1" applyAlignment="1">
      <alignment horizontal="center" vertical="center" wrapText="1" readingOrder="1"/>
    </xf>
    <xf numFmtId="0" fontId="2" fillId="5" borderId="28" xfId="0" applyFont="1" applyFill="1" applyBorder="1" applyAlignment="1">
      <alignment horizontal="center" vertical="center" wrapText="1" readingOrder="1"/>
    </xf>
    <xf numFmtId="0" fontId="2" fillId="5" borderId="20" xfId="0" applyFont="1" applyFill="1" applyBorder="1" applyAlignment="1">
      <alignment horizontal="center" vertical="center" wrapText="1" readingOrder="1"/>
    </xf>
    <xf numFmtId="0" fontId="2" fillId="5" borderId="21" xfId="0" applyFont="1" applyFill="1" applyBorder="1" applyAlignment="1">
      <alignment horizontal="center" vertical="center" wrapText="1" readingOrder="1"/>
    </xf>
    <xf numFmtId="0" fontId="2" fillId="5" borderId="22" xfId="0" applyFont="1" applyFill="1" applyBorder="1" applyAlignment="1">
      <alignment horizontal="center" vertical="center" wrapText="1" readingOrder="1"/>
    </xf>
    <xf numFmtId="0" fontId="2" fillId="5" borderId="35" xfId="0" applyFont="1" applyFill="1" applyBorder="1" applyAlignment="1">
      <alignment horizontal="center" vertical="center" wrapText="1" readingOrder="1"/>
    </xf>
    <xf numFmtId="0" fontId="2" fillId="5" borderId="8" xfId="0" applyFont="1" applyFill="1" applyBorder="1" applyAlignment="1">
      <alignment horizontal="center" vertical="center" wrapText="1" readingOrder="1"/>
    </xf>
    <xf numFmtId="0" fontId="2" fillId="5" borderId="43" xfId="0" applyFont="1" applyFill="1" applyBorder="1" applyAlignment="1">
      <alignment horizontal="center" vertical="center" wrapText="1" readingOrder="1"/>
    </xf>
    <xf numFmtId="0" fontId="2" fillId="5" borderId="44" xfId="0" applyFont="1" applyFill="1" applyBorder="1" applyAlignment="1">
      <alignment horizontal="center" vertical="center" wrapText="1" readingOrder="1"/>
    </xf>
    <xf numFmtId="0" fontId="2" fillId="5" borderId="38" xfId="0" applyFont="1" applyFill="1" applyBorder="1" applyAlignment="1">
      <alignment horizontal="center" vertical="center" wrapText="1" readingOrder="1"/>
    </xf>
    <xf numFmtId="0" fontId="2" fillId="5" borderId="41" xfId="0" applyFont="1" applyFill="1" applyBorder="1" applyAlignment="1">
      <alignment horizontal="center" vertical="center" wrapText="1" readingOrder="1"/>
    </xf>
    <xf numFmtId="0" fontId="2" fillId="5" borderId="27" xfId="0" applyFont="1" applyFill="1" applyBorder="1" applyAlignment="1">
      <alignment horizontal="center" vertical="center" wrapText="1" readingOrder="1"/>
    </xf>
    <xf numFmtId="0" fontId="10" fillId="6" borderId="31" xfId="0" applyFont="1" applyFill="1" applyBorder="1" applyAlignment="1">
      <alignment horizontal="center" vertical="center" wrapText="1" readingOrder="1"/>
    </xf>
    <xf numFmtId="0" fontId="10" fillId="6" borderId="42" xfId="0" applyFont="1" applyFill="1" applyBorder="1" applyAlignment="1">
      <alignment horizontal="center" vertical="center" wrapText="1" readingOrder="1"/>
    </xf>
    <xf numFmtId="0" fontId="10" fillId="6" borderId="32" xfId="0" applyFont="1" applyFill="1" applyBorder="1" applyAlignment="1">
      <alignment horizontal="center" vertical="center" wrapText="1" readingOrder="1"/>
    </xf>
    <xf numFmtId="0" fontId="10" fillId="7" borderId="31" xfId="0" applyFont="1" applyFill="1" applyBorder="1" applyAlignment="1">
      <alignment horizontal="center" vertical="center" wrapText="1" readingOrder="1"/>
    </xf>
    <xf numFmtId="0" fontId="10" fillId="7" borderId="34" xfId="0" applyFont="1" applyFill="1" applyBorder="1" applyAlignment="1">
      <alignment horizontal="center" vertical="center" wrapText="1" readingOrder="1"/>
    </xf>
    <xf numFmtId="0" fontId="10" fillId="0" borderId="20" xfId="0" applyFont="1" applyBorder="1" applyAlignment="1">
      <alignment horizontal="center" vertical="center" wrapText="1" readingOrder="1"/>
    </xf>
    <xf numFmtId="0" fontId="10" fillId="0" borderId="23" xfId="0" applyFont="1" applyBorder="1" applyAlignment="1">
      <alignment horizontal="center" vertical="center" wrapText="1" readingOrder="1"/>
    </xf>
    <xf numFmtId="0" fontId="10" fillId="0" borderId="32" xfId="0" applyFont="1" applyBorder="1" applyAlignment="1">
      <alignment horizontal="center" vertical="center" wrapText="1" readingOrder="1"/>
    </xf>
    <xf numFmtId="0" fontId="2" fillId="5" borderId="36" xfId="0" applyFont="1" applyFill="1" applyBorder="1" applyAlignment="1">
      <alignment horizontal="center" vertical="center" wrapText="1" readingOrder="1"/>
    </xf>
    <xf numFmtId="0" fontId="2" fillId="5" borderId="37" xfId="0" applyFont="1" applyFill="1" applyBorder="1" applyAlignment="1">
      <alignment horizontal="center" vertical="center" wrapText="1" readingOrder="1"/>
    </xf>
    <xf numFmtId="0" fontId="2" fillId="5" borderId="39" xfId="0" applyFont="1" applyFill="1" applyBorder="1" applyAlignment="1">
      <alignment horizontal="center" vertical="center" wrapText="1" readingOrder="1"/>
    </xf>
    <xf numFmtId="0" fontId="2" fillId="5" borderId="40" xfId="0" applyFont="1" applyFill="1" applyBorder="1" applyAlignment="1">
      <alignment horizontal="center" vertical="center" wrapText="1" readingOrder="1"/>
    </xf>
    <xf numFmtId="0" fontId="7" fillId="4" borderId="2" xfId="0" applyFont="1" applyFill="1" applyBorder="1" applyAlignment="1">
      <alignment horizontal="center" vertical="center" wrapText="1" readingOrder="1"/>
    </xf>
    <xf numFmtId="0" fontId="7" fillId="4" borderId="3" xfId="0" applyFont="1" applyFill="1" applyBorder="1" applyAlignment="1">
      <alignment horizontal="center" vertical="center" wrapText="1" readingOrder="1"/>
    </xf>
    <xf numFmtId="0" fontId="7" fillId="4" borderId="4" xfId="0" applyFont="1" applyFill="1" applyBorder="1" applyAlignment="1">
      <alignment horizontal="center" wrapText="1" readingOrder="1"/>
    </xf>
    <xf numFmtId="0" fontId="7" fillId="4" borderId="5" xfId="0" applyFont="1" applyFill="1" applyBorder="1" applyAlignment="1">
      <alignment horizontal="center" wrapText="1" readingOrder="1"/>
    </xf>
    <xf numFmtId="0" fontId="7" fillId="4" borderId="6" xfId="0" applyFont="1" applyFill="1" applyBorder="1" applyAlignment="1">
      <alignment horizontal="center" wrapText="1" readingOrder="1"/>
    </xf>
    <xf numFmtId="0" fontId="7" fillId="4" borderId="7"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7" fillId="4" borderId="9" xfId="0" applyFont="1" applyFill="1" applyBorder="1" applyAlignment="1">
      <alignment horizontal="center" vertical="center" wrapText="1" readingOrder="1"/>
    </xf>
    <xf numFmtId="0" fontId="7" fillId="4" borderId="10" xfId="0" applyFont="1" applyFill="1" applyBorder="1" applyAlignment="1">
      <alignment horizontal="center" vertical="center" wrapText="1" readingOrder="1"/>
    </xf>
    <xf numFmtId="0" fontId="2" fillId="5" borderId="14" xfId="0" applyFont="1" applyFill="1" applyBorder="1" applyAlignment="1">
      <alignment horizontal="center" vertical="center" wrapText="1" readingOrder="1"/>
    </xf>
    <xf numFmtId="0" fontId="2" fillId="5" borderId="15" xfId="0" applyFont="1" applyFill="1" applyBorder="1" applyAlignment="1">
      <alignment horizontal="center" vertical="center" wrapText="1" readingOrder="1"/>
    </xf>
    <xf numFmtId="0" fontId="2" fillId="5" borderId="16" xfId="0" applyFont="1" applyFill="1" applyBorder="1" applyAlignment="1">
      <alignment horizontal="center" vertical="center" wrapText="1" readingOrder="1"/>
    </xf>
    <xf numFmtId="0" fontId="15" fillId="0" borderId="1" xfId="0" applyFont="1" applyBorder="1" applyAlignment="1">
      <alignment horizontal="center" vertical="center" wrapText="1"/>
    </xf>
    <xf numFmtId="0" fontId="7" fillId="17" borderId="103" xfId="0" applyFont="1" applyFill="1" applyBorder="1" applyAlignment="1">
      <alignment horizontal="center" vertical="center" wrapText="1" readingOrder="1"/>
    </xf>
    <xf numFmtId="0" fontId="7" fillId="17" borderId="107" xfId="0" applyFont="1" applyFill="1" applyBorder="1" applyAlignment="1">
      <alignment horizontal="center" vertical="center" wrapText="1" readingOrder="1"/>
    </xf>
    <xf numFmtId="0" fontId="15" fillId="0" borderId="1" xfId="0" quotePrefix="1" applyFont="1" applyBorder="1" applyAlignment="1">
      <alignment horizontal="center" vertical="center" wrapText="1" readingOrder="1"/>
    </xf>
    <xf numFmtId="0" fontId="7" fillId="4" borderId="101" xfId="0" applyFont="1" applyFill="1" applyBorder="1" applyAlignment="1">
      <alignment horizontal="center" vertical="center" wrapText="1" readingOrder="1"/>
    </xf>
    <xf numFmtId="0" fontId="7" fillId="4" borderId="102" xfId="0" applyFont="1" applyFill="1" applyBorder="1" applyAlignment="1">
      <alignment horizontal="center" vertical="center" wrapText="1" readingOrder="1"/>
    </xf>
    <xf numFmtId="0" fontId="7" fillId="4" borderId="104" xfId="0" applyFont="1" applyFill="1" applyBorder="1" applyAlignment="1">
      <alignment horizontal="center" vertical="center" wrapText="1" readingOrder="1"/>
    </xf>
    <xf numFmtId="0" fontId="7" fillId="4" borderId="105" xfId="0" applyFont="1" applyFill="1" applyBorder="1" applyAlignment="1">
      <alignment horizontal="center" vertical="center" wrapText="1" readingOrder="1"/>
    </xf>
    <xf numFmtId="0" fontId="7" fillId="4" borderId="106" xfId="0" applyFont="1" applyFill="1" applyBorder="1" applyAlignment="1">
      <alignment horizontal="center" vertical="center" wrapText="1" readingOrder="1"/>
    </xf>
    <xf numFmtId="0" fontId="7" fillId="4" borderId="103" xfId="0" applyFont="1" applyFill="1" applyBorder="1" applyAlignment="1">
      <alignment horizontal="center" vertical="center" wrapText="1" readingOrder="1"/>
    </xf>
    <xf numFmtId="0" fontId="7" fillId="4" borderId="107" xfId="0" applyFont="1" applyFill="1" applyBorder="1" applyAlignment="1">
      <alignment horizontal="center" vertical="center" wrapText="1" readingOrder="1"/>
    </xf>
    <xf numFmtId="0" fontId="3" fillId="11" borderId="79" xfId="0" applyFont="1" applyFill="1" applyBorder="1" applyAlignment="1">
      <alignment horizontal="center"/>
    </xf>
    <xf numFmtId="0" fontId="3" fillId="12" borderId="79" xfId="0" applyFont="1" applyFill="1" applyBorder="1" applyAlignment="1">
      <alignment horizontal="center"/>
    </xf>
    <xf numFmtId="0" fontId="21" fillId="0" borderId="0" xfId="0" applyFont="1" applyAlignment="1">
      <alignment horizontal="center" vertical="center"/>
    </xf>
    <xf numFmtId="0" fontId="60" fillId="2" borderId="141" xfId="0" applyFont="1" applyFill="1" applyBorder="1" applyAlignment="1">
      <alignment horizontal="left" vertical="top" wrapText="1"/>
    </xf>
    <xf numFmtId="0" fontId="60" fillId="2" borderId="145" xfId="0" applyFont="1" applyFill="1" applyBorder="1" applyAlignment="1">
      <alignment horizontal="left" vertical="top" wrapText="1"/>
    </xf>
    <xf numFmtId="0" fontId="21" fillId="3" borderId="146" xfId="0" applyFont="1" applyFill="1" applyBorder="1" applyAlignment="1">
      <alignment horizontal="center" vertical="center" wrapText="1"/>
    </xf>
    <xf numFmtId="0" fontId="20" fillId="3" borderId="146" xfId="0" applyFont="1" applyFill="1" applyBorder="1" applyAlignment="1">
      <alignment horizontal="left" vertical="top" wrapText="1"/>
    </xf>
    <xf numFmtId="0" fontId="21" fillId="3" borderId="146" xfId="0" applyFont="1" applyFill="1" applyBorder="1" applyAlignment="1">
      <alignment horizontal="center" vertical="top" wrapText="1"/>
    </xf>
    <xf numFmtId="0" fontId="20" fillId="3" borderId="146" xfId="0" quotePrefix="1" applyFont="1" applyFill="1" applyBorder="1" applyAlignment="1">
      <alignment horizontal="left" vertical="top" wrapText="1"/>
    </xf>
    <xf numFmtId="0" fontId="20" fillId="3" borderId="146" xfId="0" applyFont="1" applyFill="1" applyBorder="1" applyAlignment="1">
      <alignment horizontal="center" vertical="top" wrapText="1"/>
    </xf>
    <xf numFmtId="0" fontId="60" fillId="2" borderId="142" xfId="0" applyFont="1" applyFill="1" applyBorder="1" applyAlignment="1">
      <alignment horizontal="center" vertical="center" wrapText="1"/>
    </xf>
    <xf numFmtId="0" fontId="60" fillId="2" borderId="143" xfId="0" applyFont="1" applyFill="1" applyBorder="1" applyAlignment="1">
      <alignment horizontal="center" vertical="center" wrapText="1"/>
    </xf>
    <xf numFmtId="0" fontId="60" fillId="2" borderId="144" xfId="0" applyFont="1" applyFill="1" applyBorder="1" applyAlignment="1">
      <alignment horizontal="center" vertical="center" wrapText="1"/>
    </xf>
    <xf numFmtId="0" fontId="60" fillId="2" borderId="141" xfId="0" applyFont="1" applyFill="1" applyBorder="1" applyAlignment="1">
      <alignment horizontal="center" vertical="top" wrapText="1"/>
    </xf>
    <xf numFmtId="0" fontId="60" fillId="2" borderId="145" xfId="0" applyFont="1" applyFill="1" applyBorder="1" applyAlignment="1">
      <alignment horizontal="center" vertical="top" wrapText="1"/>
    </xf>
    <xf numFmtId="0" fontId="20" fillId="0" borderId="146" xfId="0" applyFont="1" applyBorder="1" applyAlignment="1">
      <alignment horizontal="left" vertical="top" wrapText="1"/>
    </xf>
    <xf numFmtId="0" fontId="20" fillId="13" borderId="146" xfId="0" applyFont="1" applyFill="1" applyBorder="1" applyAlignment="1">
      <alignment horizontal="left" vertical="top" wrapText="1"/>
    </xf>
    <xf numFmtId="0" fontId="21" fillId="13" borderId="146" xfId="0" applyFont="1" applyFill="1" applyBorder="1" applyAlignment="1">
      <alignment horizontal="center" vertical="top" wrapText="1"/>
    </xf>
    <xf numFmtId="0" fontId="20" fillId="13" borderId="146" xfId="0" applyFont="1" applyFill="1" applyBorder="1" applyAlignment="1">
      <alignment horizontal="center" vertical="top" wrapText="1"/>
    </xf>
    <xf numFmtId="0" fontId="27" fillId="13" borderId="146" xfId="0" applyFont="1" applyFill="1" applyBorder="1" applyAlignment="1">
      <alignment horizontal="left" vertical="top" wrapText="1"/>
    </xf>
    <xf numFmtId="0" fontId="21" fillId="3" borderId="146" xfId="0" applyFont="1" applyFill="1" applyBorder="1" applyAlignment="1">
      <alignment horizontal="left" vertical="top" wrapText="1"/>
    </xf>
    <xf numFmtId="0" fontId="21" fillId="13" borderId="146" xfId="0" applyFont="1" applyFill="1" applyBorder="1" applyAlignment="1">
      <alignment horizontal="center" vertical="center" wrapText="1"/>
    </xf>
    <xf numFmtId="0" fontId="25" fillId="13" borderId="146" xfId="0" applyFont="1" applyFill="1" applyBorder="1" applyAlignment="1">
      <alignment horizontal="left" vertical="top" wrapText="1"/>
    </xf>
    <xf numFmtId="0" fontId="20" fillId="13" borderId="146" xfId="0" quotePrefix="1" applyFont="1" applyFill="1" applyBorder="1" applyAlignment="1">
      <alignment horizontal="left" vertical="top" wrapText="1"/>
    </xf>
    <xf numFmtId="0" fontId="20" fillId="13" borderId="146" xfId="0" quotePrefix="1" applyFont="1" applyFill="1" applyBorder="1" applyAlignment="1">
      <alignment horizontal="center" vertical="top" wrapText="1"/>
    </xf>
    <xf numFmtId="0" fontId="0" fillId="0" borderId="146" xfId="0" applyBorder="1" applyAlignment="1">
      <alignment horizontal="center" vertical="top" wrapText="1"/>
    </xf>
    <xf numFmtId="0" fontId="0" fillId="16" borderId="146" xfId="0" applyFill="1" applyBorder="1" applyAlignment="1">
      <alignment horizontal="center" vertical="top" wrapText="1"/>
    </xf>
    <xf numFmtId="0" fontId="13" fillId="0" borderId="146" xfId="0" applyFont="1" applyBorder="1" applyAlignment="1">
      <alignment horizontal="center" vertical="center" wrapText="1"/>
    </xf>
    <xf numFmtId="0" fontId="20" fillId="3" borderId="146" xfId="0" applyFont="1" applyFill="1" applyBorder="1" applyAlignment="1">
      <alignment horizontal="left" vertical="center" wrapText="1"/>
    </xf>
    <xf numFmtId="0" fontId="20" fillId="3" borderId="146" xfId="0" applyFont="1" applyFill="1" applyBorder="1" applyAlignment="1">
      <alignment horizontal="center" vertical="center" wrapText="1"/>
    </xf>
    <xf numFmtId="0" fontId="0" fillId="13" borderId="146" xfId="0" applyFill="1" applyBorder="1" applyAlignment="1">
      <alignment horizontal="center" vertical="top" wrapText="1"/>
    </xf>
    <xf numFmtId="0" fontId="20" fillId="13" borderId="146" xfId="0" applyFont="1" applyFill="1" applyBorder="1" applyAlignment="1">
      <alignment horizontal="center" vertical="center" wrapText="1"/>
    </xf>
    <xf numFmtId="0" fontId="99" fillId="0" borderId="0" xfId="0" applyFont="1" applyAlignment="1">
      <alignment horizontal="center" vertical="center" wrapText="1"/>
    </xf>
    <xf numFmtId="0" fontId="69" fillId="54" borderId="0" xfId="0" applyFont="1" applyFill="1" applyAlignment="1">
      <alignment horizontal="center"/>
    </xf>
    <xf numFmtId="0" fontId="101" fillId="0" borderId="0" xfId="0" applyFont="1" applyAlignment="1">
      <alignment horizontal="center" vertical="center"/>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8" builtinId="27" customBuiltin="1"/>
    <cellStyle name="Calculation" xfId="12" builtinId="22" customBuiltin="1"/>
    <cellStyle name="Check Cell" xfId="14" builtinId="23" customBuiltin="1"/>
    <cellStyle name="Explanatory Text" xfId="16"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4" builtinId="8"/>
    <cellStyle name="Hyperlink 2" xfId="45" xr:uid="{00000000-0005-0000-0000-000022000000}"/>
    <cellStyle name="Input" xfId="10" builtinId="20" customBuiltin="1"/>
    <cellStyle name="Linked Cell" xfId="13" builtinId="24" customBuiltin="1"/>
    <cellStyle name="Neutral" xfId="9" builtinId="28" customBuiltin="1"/>
    <cellStyle name="Normal" xfId="0" builtinId="0"/>
    <cellStyle name="Normal 2" xfId="42" xr:uid="{00000000-0005-0000-0000-000027000000}"/>
    <cellStyle name="Note 2" xfId="43" xr:uid="{00000000-0005-0000-0000-000028000000}"/>
    <cellStyle name="Output" xfId="11" builtinId="21" customBuiltin="1"/>
    <cellStyle name="Percent" xfId="1" builtinId="5"/>
    <cellStyle name="Title" xfId="2" builtinId="15" customBuiltin="1"/>
    <cellStyle name="Total" xfId="17" builtinId="25" customBuiltin="1"/>
    <cellStyle name="Warning Text" xfId="15" builtinId="11" customBuiltin="1"/>
  </cellStyles>
  <dxfs count="202">
    <dxf>
      <font>
        <color rgb="FF9C0006"/>
      </font>
      <fill>
        <patternFill>
          <bgColor rgb="FFFFC7CE"/>
        </patternFill>
      </fill>
    </dxf>
    <dxf>
      <font>
        <color rgb="FFFFC000"/>
      </font>
      <fill>
        <patternFill>
          <bgColor rgb="FFFFC000"/>
        </patternFill>
      </fill>
    </dxf>
    <dxf>
      <font>
        <color rgb="FF92D050"/>
      </font>
      <fill>
        <patternFill>
          <bgColor rgb="FF92D050"/>
        </patternFill>
      </fill>
    </dxf>
    <dxf>
      <font>
        <color rgb="FF00B0F0"/>
      </font>
      <fill>
        <patternFill>
          <bgColor rgb="FF00B0F0"/>
        </patternFill>
      </fill>
    </dxf>
    <dxf>
      <alignment horizontal="center" readingOrder="0"/>
    </dxf>
    <dxf>
      <alignment horizontal="general" readingOrder="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readingOrder="0"/>
    </dxf>
    <dxf>
      <alignment horizontal="center" readingOrder="0"/>
    </dxf>
    <dxf>
      <alignment horizontal="center" readingOrder="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readingOrder="0"/>
    </dxf>
    <dxf>
      <alignment horizontal="general" readingOrder="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Go-To-Market Plan'!A1"/><Relationship Id="rId13" Type="http://schemas.openxmlformats.org/officeDocument/2006/relationships/hyperlink" Target="#'Solution Evaluation Criteria'!A1"/><Relationship Id="rId3" Type="http://schemas.openxmlformats.org/officeDocument/2006/relationships/hyperlink" Target="#'Competitor Analysis'!A1"/><Relationship Id="rId7" Type="http://schemas.openxmlformats.org/officeDocument/2006/relationships/hyperlink" Target="#'Build-Buy-Partner Analysis'!A1"/><Relationship Id="rId12" Type="http://schemas.openxmlformats.org/officeDocument/2006/relationships/hyperlink" Target="#'Client Prioritization Framework'!A1"/><Relationship Id="rId2" Type="http://schemas.openxmlformats.org/officeDocument/2006/relationships/hyperlink" Target="#'Buyer Priorities'!A1"/><Relationship Id="rId1" Type="http://schemas.openxmlformats.org/officeDocument/2006/relationships/hyperlink" Target="#'Top Insurers and Brokers'!A1"/><Relationship Id="rId6" Type="http://schemas.openxmlformats.org/officeDocument/2006/relationships/hyperlink" Target="#'Capability Gap Assessment '!A1"/><Relationship Id="rId11" Type="http://schemas.openxmlformats.org/officeDocument/2006/relationships/hyperlink" Target="#'P&amp;C Solutions List'!A1"/><Relationship Id="rId5" Type="http://schemas.openxmlformats.org/officeDocument/2006/relationships/hyperlink" Target="#'Partnerships and Alliances'!A1"/><Relationship Id="rId15" Type="http://schemas.openxmlformats.org/officeDocument/2006/relationships/hyperlink" Target="#'Top Clients Shortlist'!A1"/><Relationship Id="rId10" Type="http://schemas.openxmlformats.org/officeDocument/2006/relationships/hyperlink" Target="#'Partnership Landscape'!A1"/><Relationship Id="rId4" Type="http://schemas.openxmlformats.org/officeDocument/2006/relationships/hyperlink" Target="#Dashboard!A1"/><Relationship Id="rId9" Type="http://schemas.openxmlformats.org/officeDocument/2006/relationships/hyperlink" Target="#'InsureTech Landscape'!A1"/><Relationship Id="rId14" Type="http://schemas.openxmlformats.org/officeDocument/2006/relationships/hyperlink" Target="#'Collated Collaterals List'!A1"/></Relationships>
</file>

<file path=xl/drawings/_rels/drawing5.xml.rels><?xml version="1.0" encoding="UTF-8" standalone="yes"?>
<Relationships xmlns="http://schemas.openxmlformats.org/package/2006/relationships"><Relationship Id="rId3" Type="http://schemas.openxmlformats.org/officeDocument/2006/relationships/hyperlink" Target="#'Capability Gap Assessment '!A1"/><Relationship Id="rId2" Type="http://schemas.openxmlformats.org/officeDocument/2006/relationships/hyperlink" Target="#'2019 Raw Data'!A1"/><Relationship Id="rId1" Type="http://schemas.openxmlformats.org/officeDocument/2006/relationships/hyperlink" Target="#'2020 Raw Data'!A1"/><Relationship Id="rId4" Type="http://schemas.openxmlformats.org/officeDocument/2006/relationships/hyperlink" Target="#'Solution Description'!A1"/></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342900</xdr:colOff>
      <xdr:row>3</xdr:row>
      <xdr:rowOff>66675</xdr:rowOff>
    </xdr:from>
    <xdr:to>
      <xdr:col>4</xdr:col>
      <xdr:colOff>352425</xdr:colOff>
      <xdr:row>23</xdr:row>
      <xdr:rowOff>0</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342900" y="638175"/>
          <a:ext cx="2447925" cy="3743325"/>
        </a:xfrm>
        <a:prstGeom prst="roundRect">
          <a:avLst/>
        </a:prstGeom>
        <a:solidFill>
          <a:schemeClr val="accent1"/>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a:solidFill>
                <a:schemeClr val="bg1"/>
              </a:solidFill>
            </a:rPr>
            <a:t>External</a:t>
          </a:r>
          <a:r>
            <a:rPr lang="en-US" sz="1400" b="1" baseline="0">
              <a:solidFill>
                <a:schemeClr val="bg1"/>
              </a:solidFill>
            </a:rPr>
            <a:t> Research </a:t>
          </a:r>
          <a:endParaRPr lang="en-US" sz="1400" b="1">
            <a:solidFill>
              <a:schemeClr val="bg1"/>
            </a:solidFill>
          </a:endParaRPr>
        </a:p>
      </xdr:txBody>
    </xdr:sp>
    <xdr:clientData/>
  </xdr:twoCellAnchor>
  <xdr:twoCellAnchor>
    <xdr:from>
      <xdr:col>1</xdr:col>
      <xdr:colOff>61912</xdr:colOff>
      <xdr:row>5</xdr:row>
      <xdr:rowOff>0</xdr:rowOff>
    </xdr:from>
    <xdr:to>
      <xdr:col>4</xdr:col>
      <xdr:colOff>23812</xdr:colOff>
      <xdr:row>6</xdr:row>
      <xdr:rowOff>104775</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671512" y="952500"/>
          <a:ext cx="1790700" cy="295275"/>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Top Insurers and Brokers</a:t>
          </a:r>
        </a:p>
      </xdr:txBody>
    </xdr:sp>
    <xdr:clientData/>
  </xdr:twoCellAnchor>
  <xdr:twoCellAnchor>
    <xdr:from>
      <xdr:col>1</xdr:col>
      <xdr:colOff>61912</xdr:colOff>
      <xdr:row>7</xdr:row>
      <xdr:rowOff>25400</xdr:rowOff>
    </xdr:from>
    <xdr:to>
      <xdr:col>4</xdr:col>
      <xdr:colOff>23812</xdr:colOff>
      <xdr:row>8</xdr:row>
      <xdr:rowOff>130175</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671512" y="1358900"/>
          <a:ext cx="1790700" cy="295275"/>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Buyer Priorities</a:t>
          </a:r>
        </a:p>
      </xdr:txBody>
    </xdr:sp>
    <xdr:clientData/>
  </xdr:twoCellAnchor>
  <xdr:twoCellAnchor>
    <xdr:from>
      <xdr:col>1</xdr:col>
      <xdr:colOff>61912</xdr:colOff>
      <xdr:row>9</xdr:row>
      <xdr:rowOff>50800</xdr:rowOff>
    </xdr:from>
    <xdr:to>
      <xdr:col>4</xdr:col>
      <xdr:colOff>23812</xdr:colOff>
      <xdr:row>10</xdr:row>
      <xdr:rowOff>155575</xdr:rowOff>
    </xdr:to>
    <xdr:sp macro="" textlink="">
      <xdr:nvSpPr>
        <xdr:cNvPr id="4" name="Rounded Rectangle 3">
          <a:hlinkClick xmlns:r="http://schemas.openxmlformats.org/officeDocument/2006/relationships" r:id="rId3"/>
          <a:extLst>
            <a:ext uri="{FF2B5EF4-FFF2-40B4-BE49-F238E27FC236}">
              <a16:creationId xmlns:a16="http://schemas.microsoft.com/office/drawing/2014/main" id="{00000000-0008-0000-0100-000004000000}"/>
            </a:ext>
          </a:extLst>
        </xdr:cNvPr>
        <xdr:cNvSpPr/>
      </xdr:nvSpPr>
      <xdr:spPr>
        <a:xfrm>
          <a:off x="671512" y="1765300"/>
          <a:ext cx="1790700" cy="295275"/>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Competitor</a:t>
          </a:r>
          <a:r>
            <a:rPr lang="en-US" sz="1100" b="1" baseline="0"/>
            <a:t> Analysis</a:t>
          </a:r>
          <a:endParaRPr lang="en-US" sz="1100" b="1"/>
        </a:p>
      </xdr:txBody>
    </xdr:sp>
    <xdr:clientData/>
  </xdr:twoCellAnchor>
  <xdr:twoCellAnchor>
    <xdr:from>
      <xdr:col>1</xdr:col>
      <xdr:colOff>61912</xdr:colOff>
      <xdr:row>11</xdr:row>
      <xdr:rowOff>76200</xdr:rowOff>
    </xdr:from>
    <xdr:to>
      <xdr:col>4</xdr:col>
      <xdr:colOff>23812</xdr:colOff>
      <xdr:row>12</xdr:row>
      <xdr:rowOff>180975</xdr:rowOff>
    </xdr:to>
    <xdr:sp macro="" textlink="">
      <xdr:nvSpPr>
        <xdr:cNvPr id="5" name="Rounded Rectangle 4">
          <a:hlinkClick xmlns:r="http://schemas.openxmlformats.org/officeDocument/2006/relationships" r:id="rId4"/>
          <a:extLst>
            <a:ext uri="{FF2B5EF4-FFF2-40B4-BE49-F238E27FC236}">
              <a16:creationId xmlns:a16="http://schemas.microsoft.com/office/drawing/2014/main" id="{00000000-0008-0000-0100-000005000000}"/>
            </a:ext>
          </a:extLst>
        </xdr:cNvPr>
        <xdr:cNvSpPr/>
      </xdr:nvSpPr>
      <xdr:spPr>
        <a:xfrm>
          <a:off x="671512" y="2171700"/>
          <a:ext cx="1790700" cy="295275"/>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Dashboard</a:t>
          </a:r>
        </a:p>
      </xdr:txBody>
    </xdr:sp>
    <xdr:clientData/>
  </xdr:twoCellAnchor>
  <xdr:twoCellAnchor>
    <xdr:from>
      <xdr:col>4</xdr:col>
      <xdr:colOff>557212</xdr:colOff>
      <xdr:row>3</xdr:row>
      <xdr:rowOff>66675</xdr:rowOff>
    </xdr:from>
    <xdr:to>
      <xdr:col>8</xdr:col>
      <xdr:colOff>566737</xdr:colOff>
      <xdr:row>23</xdr:row>
      <xdr:rowOff>0</xdr:rowOff>
    </xdr:to>
    <xdr:sp macro="" textlink="">
      <xdr:nvSpPr>
        <xdr:cNvPr id="7" name="Rounded Rectangle 6">
          <a:extLst>
            <a:ext uri="{FF2B5EF4-FFF2-40B4-BE49-F238E27FC236}">
              <a16:creationId xmlns:a16="http://schemas.microsoft.com/office/drawing/2014/main" id="{00000000-0008-0000-0100-000007000000}"/>
            </a:ext>
          </a:extLst>
        </xdr:cNvPr>
        <xdr:cNvSpPr/>
      </xdr:nvSpPr>
      <xdr:spPr>
        <a:xfrm>
          <a:off x="2995612" y="638175"/>
          <a:ext cx="2447925" cy="3743325"/>
        </a:xfrm>
        <a:prstGeom prst="roundRect">
          <a:avLst/>
        </a:prstGeom>
        <a:solidFill>
          <a:schemeClr val="accent2"/>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a:solidFill>
                <a:schemeClr val="bg1"/>
              </a:solidFill>
            </a:rPr>
            <a:t>Business Development Plan</a:t>
          </a:r>
        </a:p>
      </xdr:txBody>
    </xdr:sp>
    <xdr:clientData/>
  </xdr:twoCellAnchor>
  <xdr:twoCellAnchor>
    <xdr:from>
      <xdr:col>5</xdr:col>
      <xdr:colOff>264318</xdr:colOff>
      <xdr:row>8</xdr:row>
      <xdr:rowOff>148590</xdr:rowOff>
    </xdr:from>
    <xdr:to>
      <xdr:col>8</xdr:col>
      <xdr:colOff>226218</xdr:colOff>
      <xdr:row>10</xdr:row>
      <xdr:rowOff>72390</xdr:rowOff>
    </xdr:to>
    <xdr:sp macro="" textlink="">
      <xdr:nvSpPr>
        <xdr:cNvPr id="8" name="Rounded Rectangle 7">
          <a:hlinkClick xmlns:r="http://schemas.openxmlformats.org/officeDocument/2006/relationships" r:id="rId5"/>
          <a:extLst>
            <a:ext uri="{FF2B5EF4-FFF2-40B4-BE49-F238E27FC236}">
              <a16:creationId xmlns:a16="http://schemas.microsoft.com/office/drawing/2014/main" id="{00000000-0008-0000-0100-000008000000}"/>
            </a:ext>
          </a:extLst>
        </xdr:cNvPr>
        <xdr:cNvSpPr/>
      </xdr:nvSpPr>
      <xdr:spPr>
        <a:xfrm>
          <a:off x="3312318" y="159639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Partnership &amp; Alliances</a:t>
          </a:r>
        </a:p>
      </xdr:txBody>
    </xdr:sp>
    <xdr:clientData/>
  </xdr:twoCellAnchor>
  <xdr:twoCellAnchor>
    <xdr:from>
      <xdr:col>5</xdr:col>
      <xdr:colOff>264318</xdr:colOff>
      <xdr:row>10</xdr:row>
      <xdr:rowOff>165735</xdr:rowOff>
    </xdr:from>
    <xdr:to>
      <xdr:col>8</xdr:col>
      <xdr:colOff>226218</xdr:colOff>
      <xdr:row>12</xdr:row>
      <xdr:rowOff>89535</xdr:rowOff>
    </xdr:to>
    <xdr:sp macro="" textlink="">
      <xdr:nvSpPr>
        <xdr:cNvPr id="9" name="Rounded Rectangle 8">
          <a:hlinkClick xmlns:r="http://schemas.openxmlformats.org/officeDocument/2006/relationships" r:id="rId6"/>
          <a:extLst>
            <a:ext uri="{FF2B5EF4-FFF2-40B4-BE49-F238E27FC236}">
              <a16:creationId xmlns:a16="http://schemas.microsoft.com/office/drawing/2014/main" id="{00000000-0008-0000-0100-000009000000}"/>
            </a:ext>
          </a:extLst>
        </xdr:cNvPr>
        <xdr:cNvSpPr/>
      </xdr:nvSpPr>
      <xdr:spPr>
        <a:xfrm>
          <a:off x="3312318" y="1975485"/>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Capability</a:t>
          </a:r>
          <a:r>
            <a:rPr lang="en-US" sz="1100" b="1" baseline="0"/>
            <a:t> Gap Assessment</a:t>
          </a:r>
          <a:endParaRPr lang="en-US" sz="1100" b="1"/>
        </a:p>
      </xdr:txBody>
    </xdr:sp>
    <xdr:clientData/>
  </xdr:twoCellAnchor>
  <xdr:twoCellAnchor>
    <xdr:from>
      <xdr:col>5</xdr:col>
      <xdr:colOff>264318</xdr:colOff>
      <xdr:row>13</xdr:row>
      <xdr:rowOff>1905</xdr:rowOff>
    </xdr:from>
    <xdr:to>
      <xdr:col>8</xdr:col>
      <xdr:colOff>226218</xdr:colOff>
      <xdr:row>14</xdr:row>
      <xdr:rowOff>106680</xdr:rowOff>
    </xdr:to>
    <xdr:sp macro="" textlink="">
      <xdr:nvSpPr>
        <xdr:cNvPr id="10" name="Rounded Rectangle 9">
          <a:hlinkClick xmlns:r="http://schemas.openxmlformats.org/officeDocument/2006/relationships" r:id="rId7"/>
          <a:extLst>
            <a:ext uri="{FF2B5EF4-FFF2-40B4-BE49-F238E27FC236}">
              <a16:creationId xmlns:a16="http://schemas.microsoft.com/office/drawing/2014/main" id="{00000000-0008-0000-0100-00000A000000}"/>
            </a:ext>
          </a:extLst>
        </xdr:cNvPr>
        <xdr:cNvSpPr/>
      </xdr:nvSpPr>
      <xdr:spPr>
        <a:xfrm>
          <a:off x="3312318" y="235458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Build</a:t>
          </a:r>
          <a:r>
            <a:rPr lang="en-US" sz="1100" b="1" baseline="0"/>
            <a:t> - Buy - Partner</a:t>
          </a:r>
          <a:endParaRPr lang="en-US" sz="1100" b="1"/>
        </a:p>
      </xdr:txBody>
    </xdr:sp>
    <xdr:clientData/>
  </xdr:twoCellAnchor>
  <xdr:twoCellAnchor>
    <xdr:from>
      <xdr:col>5</xdr:col>
      <xdr:colOff>264318</xdr:colOff>
      <xdr:row>4</xdr:row>
      <xdr:rowOff>114300</xdr:rowOff>
    </xdr:from>
    <xdr:to>
      <xdr:col>8</xdr:col>
      <xdr:colOff>226218</xdr:colOff>
      <xdr:row>6</xdr:row>
      <xdr:rowOff>38100</xdr:rowOff>
    </xdr:to>
    <xdr:sp macro="" textlink="">
      <xdr:nvSpPr>
        <xdr:cNvPr id="11" name="Rounded Rectangle 10">
          <a:hlinkClick xmlns:r="http://schemas.openxmlformats.org/officeDocument/2006/relationships" r:id="rId8"/>
          <a:extLst>
            <a:ext uri="{FF2B5EF4-FFF2-40B4-BE49-F238E27FC236}">
              <a16:creationId xmlns:a16="http://schemas.microsoft.com/office/drawing/2014/main" id="{00000000-0008-0000-0100-00000B000000}"/>
            </a:ext>
          </a:extLst>
        </xdr:cNvPr>
        <xdr:cNvSpPr/>
      </xdr:nvSpPr>
      <xdr:spPr>
        <a:xfrm>
          <a:off x="3312318" y="83820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Go-To-Market</a:t>
          </a:r>
          <a:r>
            <a:rPr lang="en-US" sz="1100" b="1" baseline="0"/>
            <a:t> Plan</a:t>
          </a:r>
          <a:endParaRPr lang="en-US" sz="1100" b="1"/>
        </a:p>
      </xdr:txBody>
    </xdr:sp>
    <xdr:clientData/>
  </xdr:twoCellAnchor>
  <xdr:twoCellAnchor>
    <xdr:from>
      <xdr:col>9</xdr:col>
      <xdr:colOff>161925</xdr:colOff>
      <xdr:row>3</xdr:row>
      <xdr:rowOff>66675</xdr:rowOff>
    </xdr:from>
    <xdr:to>
      <xdr:col>13</xdr:col>
      <xdr:colOff>171450</xdr:colOff>
      <xdr:row>23</xdr:row>
      <xdr:rowOff>0</xdr:rowOff>
    </xdr:to>
    <xdr:sp macro="" textlink="">
      <xdr:nvSpPr>
        <xdr:cNvPr id="12" name="Rounded Rectangle 11">
          <a:extLst>
            <a:ext uri="{FF2B5EF4-FFF2-40B4-BE49-F238E27FC236}">
              <a16:creationId xmlns:a16="http://schemas.microsoft.com/office/drawing/2014/main" id="{00000000-0008-0000-0100-00000C000000}"/>
            </a:ext>
          </a:extLst>
        </xdr:cNvPr>
        <xdr:cNvSpPr/>
      </xdr:nvSpPr>
      <xdr:spPr>
        <a:xfrm>
          <a:off x="5648325" y="638175"/>
          <a:ext cx="2447925" cy="3743325"/>
        </a:xfrm>
        <a:prstGeom prst="roundRect">
          <a:avLst/>
        </a:prstGeom>
        <a:solidFill>
          <a:schemeClr val="bg1">
            <a:lumMod val="5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1">
              <a:solidFill>
                <a:schemeClr val="bg1"/>
              </a:solidFill>
            </a:rPr>
            <a:t>Research Logs</a:t>
          </a:r>
        </a:p>
      </xdr:txBody>
    </xdr:sp>
    <xdr:clientData/>
  </xdr:twoCellAnchor>
  <xdr:twoCellAnchor>
    <xdr:from>
      <xdr:col>9</xdr:col>
      <xdr:colOff>490537</xdr:colOff>
      <xdr:row>4</xdr:row>
      <xdr:rowOff>139700</xdr:rowOff>
    </xdr:from>
    <xdr:to>
      <xdr:col>12</xdr:col>
      <xdr:colOff>452437</xdr:colOff>
      <xdr:row>6</xdr:row>
      <xdr:rowOff>63500</xdr:rowOff>
    </xdr:to>
    <xdr:sp macro="" textlink="">
      <xdr:nvSpPr>
        <xdr:cNvPr id="14" name="Rounded Rectangle 13">
          <a:hlinkClick xmlns:r="http://schemas.openxmlformats.org/officeDocument/2006/relationships" r:id="rId9"/>
          <a:extLst>
            <a:ext uri="{FF2B5EF4-FFF2-40B4-BE49-F238E27FC236}">
              <a16:creationId xmlns:a16="http://schemas.microsoft.com/office/drawing/2014/main" id="{00000000-0008-0000-0100-00000E000000}"/>
            </a:ext>
          </a:extLst>
        </xdr:cNvPr>
        <xdr:cNvSpPr/>
      </xdr:nvSpPr>
      <xdr:spPr>
        <a:xfrm>
          <a:off x="5976937" y="86360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InsureTech Landscape</a:t>
          </a:r>
        </a:p>
      </xdr:txBody>
    </xdr:sp>
    <xdr:clientData/>
  </xdr:twoCellAnchor>
  <xdr:twoCellAnchor>
    <xdr:from>
      <xdr:col>9</xdr:col>
      <xdr:colOff>490537</xdr:colOff>
      <xdr:row>6</xdr:row>
      <xdr:rowOff>165100</xdr:rowOff>
    </xdr:from>
    <xdr:to>
      <xdr:col>12</xdr:col>
      <xdr:colOff>452437</xdr:colOff>
      <xdr:row>8</xdr:row>
      <xdr:rowOff>88900</xdr:rowOff>
    </xdr:to>
    <xdr:sp macro="" textlink="">
      <xdr:nvSpPr>
        <xdr:cNvPr id="15" name="Rounded Rectangle 14">
          <a:hlinkClick xmlns:r="http://schemas.openxmlformats.org/officeDocument/2006/relationships" r:id="rId10"/>
          <a:extLst>
            <a:ext uri="{FF2B5EF4-FFF2-40B4-BE49-F238E27FC236}">
              <a16:creationId xmlns:a16="http://schemas.microsoft.com/office/drawing/2014/main" id="{00000000-0008-0000-0100-00000F000000}"/>
            </a:ext>
          </a:extLst>
        </xdr:cNvPr>
        <xdr:cNvSpPr/>
      </xdr:nvSpPr>
      <xdr:spPr>
        <a:xfrm>
          <a:off x="5976937" y="125095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Partnership</a:t>
          </a:r>
          <a:r>
            <a:rPr lang="en-US" sz="1100" b="1" baseline="0"/>
            <a:t> Landscape</a:t>
          </a:r>
          <a:endParaRPr lang="en-US" sz="1100" b="1"/>
        </a:p>
      </xdr:txBody>
    </xdr:sp>
    <xdr:clientData/>
  </xdr:twoCellAnchor>
  <xdr:twoCellAnchor>
    <xdr:from>
      <xdr:col>9</xdr:col>
      <xdr:colOff>490537</xdr:colOff>
      <xdr:row>9</xdr:row>
      <xdr:rowOff>9525</xdr:rowOff>
    </xdr:from>
    <xdr:to>
      <xdr:col>12</xdr:col>
      <xdr:colOff>452437</xdr:colOff>
      <xdr:row>10</xdr:row>
      <xdr:rowOff>114300</xdr:rowOff>
    </xdr:to>
    <xdr:sp macro="" textlink="">
      <xdr:nvSpPr>
        <xdr:cNvPr id="16" name="Rounded Rectangle 15">
          <a:hlinkClick xmlns:r="http://schemas.openxmlformats.org/officeDocument/2006/relationships" r:id="rId11"/>
          <a:extLst>
            <a:ext uri="{FF2B5EF4-FFF2-40B4-BE49-F238E27FC236}">
              <a16:creationId xmlns:a16="http://schemas.microsoft.com/office/drawing/2014/main" id="{00000000-0008-0000-0100-000010000000}"/>
            </a:ext>
          </a:extLst>
        </xdr:cNvPr>
        <xdr:cNvSpPr/>
      </xdr:nvSpPr>
      <xdr:spPr>
        <a:xfrm>
          <a:off x="5976937" y="1638300"/>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P&amp;C Solutions List</a:t>
          </a:r>
        </a:p>
      </xdr:txBody>
    </xdr:sp>
    <xdr:clientData/>
  </xdr:twoCellAnchor>
  <xdr:twoCellAnchor>
    <xdr:from>
      <xdr:col>9</xdr:col>
      <xdr:colOff>481012</xdr:colOff>
      <xdr:row>11</xdr:row>
      <xdr:rowOff>66675</xdr:rowOff>
    </xdr:from>
    <xdr:to>
      <xdr:col>12</xdr:col>
      <xdr:colOff>442912</xdr:colOff>
      <xdr:row>13</xdr:row>
      <xdr:rowOff>123825</xdr:rowOff>
    </xdr:to>
    <xdr:sp macro="" textlink="">
      <xdr:nvSpPr>
        <xdr:cNvPr id="20" name="Rounded Rectangle 19">
          <a:hlinkClick xmlns:r="http://schemas.openxmlformats.org/officeDocument/2006/relationships" r:id="rId12"/>
          <a:extLst>
            <a:ext uri="{FF2B5EF4-FFF2-40B4-BE49-F238E27FC236}">
              <a16:creationId xmlns:a16="http://schemas.microsoft.com/office/drawing/2014/main" id="{00000000-0008-0000-0100-000014000000}"/>
            </a:ext>
          </a:extLst>
        </xdr:cNvPr>
        <xdr:cNvSpPr/>
      </xdr:nvSpPr>
      <xdr:spPr>
        <a:xfrm>
          <a:off x="5967412" y="2057400"/>
          <a:ext cx="1790700" cy="41910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lstStyle/>
        <a:p>
          <a:pPr algn="ctr"/>
          <a:r>
            <a:rPr lang="en-US" sz="1100" b="1"/>
            <a:t>Client</a:t>
          </a:r>
          <a:r>
            <a:rPr lang="en-US" sz="1100" b="1" baseline="0"/>
            <a:t> Prioritization Framework</a:t>
          </a:r>
          <a:endParaRPr lang="en-US" sz="1100" b="1"/>
        </a:p>
      </xdr:txBody>
    </xdr:sp>
    <xdr:clientData/>
  </xdr:twoCellAnchor>
  <xdr:twoCellAnchor>
    <xdr:from>
      <xdr:col>9</xdr:col>
      <xdr:colOff>461962</xdr:colOff>
      <xdr:row>14</xdr:row>
      <xdr:rowOff>66674</xdr:rowOff>
    </xdr:from>
    <xdr:to>
      <xdr:col>12</xdr:col>
      <xdr:colOff>423862</xdr:colOff>
      <xdr:row>17</xdr:row>
      <xdr:rowOff>38100</xdr:rowOff>
    </xdr:to>
    <xdr:sp macro="" textlink="">
      <xdr:nvSpPr>
        <xdr:cNvPr id="21" name="Rounded Rectangle 20">
          <a:hlinkClick xmlns:r="http://schemas.openxmlformats.org/officeDocument/2006/relationships" r:id="rId13"/>
          <a:extLst>
            <a:ext uri="{FF2B5EF4-FFF2-40B4-BE49-F238E27FC236}">
              <a16:creationId xmlns:a16="http://schemas.microsoft.com/office/drawing/2014/main" id="{00000000-0008-0000-0100-000015000000}"/>
            </a:ext>
          </a:extLst>
        </xdr:cNvPr>
        <xdr:cNvSpPr/>
      </xdr:nvSpPr>
      <xdr:spPr>
        <a:xfrm>
          <a:off x="5948362" y="2600324"/>
          <a:ext cx="1790700" cy="514351"/>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Solution Evaluation Criteria</a:t>
          </a:r>
        </a:p>
      </xdr:txBody>
    </xdr:sp>
    <xdr:clientData/>
  </xdr:twoCellAnchor>
  <xdr:twoCellAnchor>
    <xdr:from>
      <xdr:col>5</xdr:col>
      <xdr:colOff>264318</xdr:colOff>
      <xdr:row>15</xdr:row>
      <xdr:rowOff>19050</xdr:rowOff>
    </xdr:from>
    <xdr:to>
      <xdr:col>8</xdr:col>
      <xdr:colOff>226218</xdr:colOff>
      <xdr:row>16</xdr:row>
      <xdr:rowOff>123825</xdr:rowOff>
    </xdr:to>
    <xdr:sp macro="" textlink="">
      <xdr:nvSpPr>
        <xdr:cNvPr id="22" name="Rounded Rectangle 21">
          <a:hlinkClick xmlns:r="http://schemas.openxmlformats.org/officeDocument/2006/relationships" r:id="rId14"/>
          <a:extLst>
            <a:ext uri="{FF2B5EF4-FFF2-40B4-BE49-F238E27FC236}">
              <a16:creationId xmlns:a16="http://schemas.microsoft.com/office/drawing/2014/main" id="{00000000-0008-0000-0100-000016000000}"/>
            </a:ext>
          </a:extLst>
        </xdr:cNvPr>
        <xdr:cNvSpPr/>
      </xdr:nvSpPr>
      <xdr:spPr>
        <a:xfrm>
          <a:off x="3312318" y="2733675"/>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Collated Collaterals List</a:t>
          </a:r>
        </a:p>
      </xdr:txBody>
    </xdr:sp>
    <xdr:clientData/>
  </xdr:twoCellAnchor>
  <xdr:twoCellAnchor>
    <xdr:from>
      <xdr:col>5</xdr:col>
      <xdr:colOff>264318</xdr:colOff>
      <xdr:row>6</xdr:row>
      <xdr:rowOff>131445</xdr:rowOff>
    </xdr:from>
    <xdr:to>
      <xdr:col>8</xdr:col>
      <xdr:colOff>226218</xdr:colOff>
      <xdr:row>8</xdr:row>
      <xdr:rowOff>55245</xdr:rowOff>
    </xdr:to>
    <xdr:sp macro="" textlink="">
      <xdr:nvSpPr>
        <xdr:cNvPr id="25" name="Rounded Rectangle 24">
          <a:hlinkClick xmlns:r="http://schemas.openxmlformats.org/officeDocument/2006/relationships" r:id="rId15"/>
          <a:extLst>
            <a:ext uri="{FF2B5EF4-FFF2-40B4-BE49-F238E27FC236}">
              <a16:creationId xmlns:a16="http://schemas.microsoft.com/office/drawing/2014/main" id="{00000000-0008-0000-0100-000019000000}"/>
            </a:ext>
          </a:extLst>
        </xdr:cNvPr>
        <xdr:cNvSpPr/>
      </xdr:nvSpPr>
      <xdr:spPr>
        <a:xfrm>
          <a:off x="3312318" y="1217295"/>
          <a:ext cx="1790700" cy="285750"/>
        </a:xfrm>
        <a:prstGeom prst="roundRect">
          <a:avLst/>
        </a:prstGeom>
        <a:solidFill>
          <a:schemeClr val="tx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Top Clients Shortlist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904875</xdr:colOff>
      <xdr:row>6</xdr:row>
      <xdr:rowOff>28575</xdr:rowOff>
    </xdr:from>
    <xdr:to>
      <xdr:col>11</xdr:col>
      <xdr:colOff>4143375</xdr:colOff>
      <xdr:row>37</xdr:row>
      <xdr:rowOff>104775</xdr:rowOff>
    </xdr:to>
    <xdr:sp macro="" textlink="">
      <xdr:nvSpPr>
        <xdr:cNvPr id="3" name="Rounded Rectangle 2">
          <a:extLst>
            <a:ext uri="{FF2B5EF4-FFF2-40B4-BE49-F238E27FC236}">
              <a16:creationId xmlns:a16="http://schemas.microsoft.com/office/drawing/2014/main" id="{00000000-0008-0000-0400-000003000000}"/>
            </a:ext>
          </a:extLst>
        </xdr:cNvPr>
        <xdr:cNvSpPr/>
      </xdr:nvSpPr>
      <xdr:spPr>
        <a:xfrm>
          <a:off x="11010900" y="523875"/>
          <a:ext cx="4943475" cy="4505325"/>
        </a:xfrm>
        <a:prstGeom prst="roundRect">
          <a:avLst>
            <a:gd name="adj" fmla="val 3982"/>
          </a:avLst>
        </a:prstGeom>
        <a:solidFill>
          <a:schemeClr val="accent1">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a:solidFill>
                <a:schemeClr val="tx1"/>
              </a:solidFill>
              <a:latin typeface="Arial" panose="020B0604020202020204" pitchFamily="34" charset="0"/>
              <a:cs typeface="Arial" panose="020B0604020202020204" pitchFamily="34" charset="0"/>
            </a:rPr>
            <a:t>To be populated post discussion with the</a:t>
          </a:r>
          <a:r>
            <a:rPr lang="en-US" sz="1800" baseline="0">
              <a:solidFill>
                <a:schemeClr val="tx1"/>
              </a:solidFill>
              <a:latin typeface="Arial" panose="020B0604020202020204" pitchFamily="34" charset="0"/>
              <a:cs typeface="Arial" panose="020B0604020202020204" pitchFamily="34" charset="0"/>
            </a:rPr>
            <a:t> Client(s)</a:t>
          </a:r>
        </a:p>
        <a:p>
          <a:pPr algn="l"/>
          <a:endParaRPr lang="en-US" sz="1800" baseline="0">
            <a:solidFill>
              <a:schemeClr val="tx1"/>
            </a:solidFill>
            <a:latin typeface="Arial" panose="020B0604020202020204" pitchFamily="34" charset="0"/>
            <a:cs typeface="Arial" panose="020B0604020202020204" pitchFamily="34" charset="0"/>
          </a:endParaRPr>
        </a:p>
        <a:p>
          <a:pPr algn="l"/>
          <a:r>
            <a:rPr lang="en-US" sz="1800" baseline="0">
              <a:solidFill>
                <a:schemeClr val="tx1"/>
              </a:solidFill>
              <a:latin typeface="Arial" panose="020B0604020202020204" pitchFamily="34" charset="0"/>
              <a:cs typeface="Arial" panose="020B0604020202020204" pitchFamily="34" charset="0"/>
            </a:rPr>
            <a:t>The idea is to:</a:t>
          </a:r>
        </a:p>
        <a:p>
          <a:pPr algn="l"/>
          <a:r>
            <a:rPr lang="en-US" sz="1800" baseline="0">
              <a:solidFill>
                <a:schemeClr val="tx1"/>
              </a:solidFill>
              <a:latin typeface="Arial" panose="020B0604020202020204" pitchFamily="34" charset="0"/>
              <a:cs typeface="Arial" panose="020B0604020202020204" pitchFamily="34" charset="0"/>
            </a:rPr>
            <a:t>1. Translate VOC into actionable opportunities or</a:t>
          </a:r>
        </a:p>
        <a:p>
          <a:pPr algn="l"/>
          <a:r>
            <a:rPr lang="en-US" sz="1800" baseline="0">
              <a:solidFill>
                <a:schemeClr val="tx1"/>
              </a:solidFill>
              <a:latin typeface="Arial" panose="020B0604020202020204" pitchFamily="34" charset="0"/>
              <a:cs typeface="Arial" panose="020B0604020202020204" pitchFamily="34" charset="0"/>
            </a:rPr>
            <a:t>2. Validate the 11 solution elements identified ,are in line with client expectations and if they are willing to work with EXL to develop/ partner/ enhance one of the 11 solution elements. </a:t>
          </a:r>
          <a:endParaRPr lang="en-US" sz="1800">
            <a:solidFill>
              <a:schemeClr val="tx1"/>
            </a:solidFill>
            <a:latin typeface="Arial" panose="020B0604020202020204" pitchFamily="34" charset="0"/>
            <a:cs typeface="Arial" panose="020B0604020202020204" pitchFamily="34" charset="0"/>
          </a:endParaRPr>
        </a:p>
      </xdr:txBody>
    </xdr:sp>
    <xdr:clientData/>
  </xdr:twoCellAnchor>
  <xdr:twoCellAnchor>
    <xdr:from>
      <xdr:col>0</xdr:col>
      <xdr:colOff>828676</xdr:colOff>
      <xdr:row>6</xdr:row>
      <xdr:rowOff>0</xdr:rowOff>
    </xdr:from>
    <xdr:to>
      <xdr:col>3</xdr:col>
      <xdr:colOff>9526</xdr:colOff>
      <xdr:row>37</xdr:row>
      <xdr:rowOff>76200</xdr:rowOff>
    </xdr:to>
    <xdr:sp macro="" textlink="">
      <xdr:nvSpPr>
        <xdr:cNvPr id="4" name="Rounded Rectangle 3">
          <a:extLst>
            <a:ext uri="{FF2B5EF4-FFF2-40B4-BE49-F238E27FC236}">
              <a16:creationId xmlns:a16="http://schemas.microsoft.com/office/drawing/2014/main" id="{00000000-0008-0000-0400-000004000000}"/>
            </a:ext>
          </a:extLst>
        </xdr:cNvPr>
        <xdr:cNvSpPr/>
      </xdr:nvSpPr>
      <xdr:spPr>
        <a:xfrm>
          <a:off x="828676" y="495300"/>
          <a:ext cx="2038350" cy="4505325"/>
        </a:xfrm>
        <a:prstGeom prst="roundRect">
          <a:avLst>
            <a:gd name="adj" fmla="val 3982"/>
          </a:avLst>
        </a:prstGeom>
        <a:solidFill>
          <a:schemeClr val="accent1">
            <a:alpha val="2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latin typeface="Arial" panose="020B0604020202020204" pitchFamily="34" charset="0"/>
              <a:cs typeface="Arial" panose="020B0604020202020204" pitchFamily="34" charset="0"/>
            </a:rPr>
            <a:t>To be populated post discussion with the</a:t>
          </a:r>
          <a:r>
            <a:rPr lang="en-US" sz="1800" baseline="0">
              <a:solidFill>
                <a:schemeClr val="tx1"/>
              </a:solidFill>
              <a:latin typeface="Arial" panose="020B0604020202020204" pitchFamily="34" charset="0"/>
              <a:cs typeface="Arial" panose="020B0604020202020204" pitchFamily="34" charset="0"/>
            </a:rPr>
            <a:t> Client(s)</a:t>
          </a:r>
          <a:endParaRPr lang="en-US" sz="1800">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647699</xdr:colOff>
      <xdr:row>17</xdr:row>
      <xdr:rowOff>19050</xdr:rowOff>
    </xdr:from>
    <xdr:to>
      <xdr:col>11</xdr:col>
      <xdr:colOff>323849</xdr:colOff>
      <xdr:row>21</xdr:row>
      <xdr:rowOff>171450</xdr:rowOff>
    </xdr:to>
    <xdr:sp macro="" textlink="">
      <xdr:nvSpPr>
        <xdr:cNvPr id="2" name="Rounded Rectangle 1">
          <a:extLst>
            <a:ext uri="{FF2B5EF4-FFF2-40B4-BE49-F238E27FC236}">
              <a16:creationId xmlns:a16="http://schemas.microsoft.com/office/drawing/2014/main" id="{00000000-0008-0000-0600-000002000000}"/>
            </a:ext>
          </a:extLst>
        </xdr:cNvPr>
        <xdr:cNvSpPr/>
      </xdr:nvSpPr>
      <xdr:spPr>
        <a:xfrm rot="19600464">
          <a:off x="6581774" y="2857500"/>
          <a:ext cx="4276725"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Arial" panose="020B0604020202020204" pitchFamily="34" charset="0"/>
              <a:cs typeface="Arial" panose="020B0604020202020204" pitchFamily="34" charset="0"/>
            </a:rPr>
            <a:t>Under Construction</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4</xdr:col>
      <xdr:colOff>0</xdr:colOff>
      <xdr:row>40</xdr:row>
      <xdr:rowOff>0</xdr:rowOff>
    </xdr:from>
    <xdr:ext cx="304800" cy="304800"/>
    <xdr:sp macro="" textlink="">
      <xdr:nvSpPr>
        <xdr:cNvPr id="2" name="AutoShape 7" descr="*">
          <a:extLst>
            <a:ext uri="{FF2B5EF4-FFF2-40B4-BE49-F238E27FC236}">
              <a16:creationId xmlns:a16="http://schemas.microsoft.com/office/drawing/2014/main" id="{00000000-0008-0000-0900-000002000000}"/>
            </a:ext>
          </a:extLst>
        </xdr:cNvPr>
        <xdr:cNvSpPr>
          <a:spLocks noChangeAspect="1" noChangeArrowheads="1"/>
        </xdr:cNvSpPr>
      </xdr:nvSpPr>
      <xdr:spPr bwMode="auto">
        <a:xfrm>
          <a:off x="3876675" y="286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50</xdr:row>
      <xdr:rowOff>0</xdr:rowOff>
    </xdr:from>
    <xdr:ext cx="304800" cy="304800"/>
    <xdr:sp macro="" textlink="">
      <xdr:nvSpPr>
        <xdr:cNvPr id="3" name="AutoShape 8" descr="*">
          <a:extLst>
            <a:ext uri="{FF2B5EF4-FFF2-40B4-BE49-F238E27FC236}">
              <a16:creationId xmlns:a16="http://schemas.microsoft.com/office/drawing/2014/main" id="{00000000-0008-0000-0900-000003000000}"/>
            </a:ext>
          </a:extLst>
        </xdr:cNvPr>
        <xdr:cNvSpPr>
          <a:spLocks noChangeAspect="1" noChangeArrowheads="1"/>
        </xdr:cNvSpPr>
      </xdr:nvSpPr>
      <xdr:spPr bwMode="auto">
        <a:xfrm>
          <a:off x="3876675" y="378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50</xdr:row>
      <xdr:rowOff>0</xdr:rowOff>
    </xdr:from>
    <xdr:ext cx="304800" cy="304800"/>
    <xdr:sp macro="" textlink="">
      <xdr:nvSpPr>
        <xdr:cNvPr id="4" name="AutoShape 9" descr="*">
          <a:extLst>
            <a:ext uri="{FF2B5EF4-FFF2-40B4-BE49-F238E27FC236}">
              <a16:creationId xmlns:a16="http://schemas.microsoft.com/office/drawing/2014/main" id="{00000000-0008-0000-0900-000004000000}"/>
            </a:ext>
          </a:extLst>
        </xdr:cNvPr>
        <xdr:cNvSpPr>
          <a:spLocks noChangeAspect="1" noChangeArrowheads="1"/>
        </xdr:cNvSpPr>
      </xdr:nvSpPr>
      <xdr:spPr bwMode="auto">
        <a:xfrm>
          <a:off x="3876675" y="378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182594"/>
    <xdr:sp macro="" textlink="">
      <xdr:nvSpPr>
        <xdr:cNvPr id="5" name="AutoShape 10" descr="*">
          <a:extLst>
            <a:ext uri="{FF2B5EF4-FFF2-40B4-BE49-F238E27FC236}">
              <a16:creationId xmlns:a16="http://schemas.microsoft.com/office/drawing/2014/main" id="{00000000-0008-0000-0900-000005000000}"/>
            </a:ext>
          </a:extLst>
        </xdr:cNvPr>
        <xdr:cNvSpPr>
          <a:spLocks noChangeAspect="1" noChangeArrowheads="1"/>
        </xdr:cNvSpPr>
      </xdr:nvSpPr>
      <xdr:spPr bwMode="auto">
        <a:xfrm>
          <a:off x="3876675" y="341376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182594"/>
    <xdr:sp macro="" textlink="">
      <xdr:nvSpPr>
        <xdr:cNvPr id="6" name="AutoShape 11" descr="*">
          <a:extLst>
            <a:ext uri="{FF2B5EF4-FFF2-40B4-BE49-F238E27FC236}">
              <a16:creationId xmlns:a16="http://schemas.microsoft.com/office/drawing/2014/main" id="{00000000-0008-0000-0900-000006000000}"/>
            </a:ext>
          </a:extLst>
        </xdr:cNvPr>
        <xdr:cNvSpPr>
          <a:spLocks noChangeAspect="1" noChangeArrowheads="1"/>
        </xdr:cNvSpPr>
      </xdr:nvSpPr>
      <xdr:spPr bwMode="auto">
        <a:xfrm>
          <a:off x="3876675" y="341376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304800" cy="308687"/>
    <xdr:sp macro="" textlink="">
      <xdr:nvSpPr>
        <xdr:cNvPr id="7" name="AutoShape 12" descr="*">
          <a:extLst>
            <a:ext uri="{FF2B5EF4-FFF2-40B4-BE49-F238E27FC236}">
              <a16:creationId xmlns:a16="http://schemas.microsoft.com/office/drawing/2014/main" id="{00000000-0008-0000-0900-000007000000}"/>
            </a:ext>
          </a:extLst>
        </xdr:cNvPr>
        <xdr:cNvSpPr>
          <a:spLocks noChangeAspect="1" noChangeArrowheads="1"/>
        </xdr:cNvSpPr>
      </xdr:nvSpPr>
      <xdr:spPr bwMode="auto">
        <a:xfrm>
          <a:off x="3876675" y="48158400"/>
          <a:ext cx="304800" cy="3086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65580"/>
    <xdr:sp macro="" textlink="">
      <xdr:nvSpPr>
        <xdr:cNvPr id="8" name="AutoShape 14" descr="*">
          <a:extLst>
            <a:ext uri="{FF2B5EF4-FFF2-40B4-BE49-F238E27FC236}">
              <a16:creationId xmlns:a16="http://schemas.microsoft.com/office/drawing/2014/main" id="{00000000-0008-0000-0900-000008000000}"/>
            </a:ext>
          </a:extLst>
        </xdr:cNvPr>
        <xdr:cNvSpPr>
          <a:spLocks noChangeAspect="1" noChangeArrowheads="1"/>
        </xdr:cNvSpPr>
      </xdr:nvSpPr>
      <xdr:spPr bwMode="auto">
        <a:xfrm>
          <a:off x="3876675" y="48539400"/>
          <a:ext cx="304800" cy="3655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304800" cy="311148"/>
    <xdr:sp macro="" textlink="">
      <xdr:nvSpPr>
        <xdr:cNvPr id="9" name="AutoShape 15" descr="*">
          <a:extLst>
            <a:ext uri="{FF2B5EF4-FFF2-40B4-BE49-F238E27FC236}">
              <a16:creationId xmlns:a16="http://schemas.microsoft.com/office/drawing/2014/main" id="{00000000-0008-0000-0900-000009000000}"/>
            </a:ext>
          </a:extLst>
        </xdr:cNvPr>
        <xdr:cNvSpPr>
          <a:spLocks noChangeAspect="1" noChangeArrowheads="1"/>
        </xdr:cNvSpPr>
      </xdr:nvSpPr>
      <xdr:spPr bwMode="auto">
        <a:xfrm>
          <a:off x="3876675" y="487299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40</xdr:row>
      <xdr:rowOff>0</xdr:rowOff>
    </xdr:from>
    <xdr:ext cx="304800" cy="304800"/>
    <xdr:sp macro="" textlink="">
      <xdr:nvSpPr>
        <xdr:cNvPr id="10" name="AutoShape 7" descr="*">
          <a:extLst>
            <a:ext uri="{FF2B5EF4-FFF2-40B4-BE49-F238E27FC236}">
              <a16:creationId xmlns:a16="http://schemas.microsoft.com/office/drawing/2014/main" id="{00000000-0008-0000-0900-00000A000000}"/>
            </a:ext>
          </a:extLst>
        </xdr:cNvPr>
        <xdr:cNvSpPr>
          <a:spLocks noChangeAspect="1" noChangeArrowheads="1"/>
        </xdr:cNvSpPr>
      </xdr:nvSpPr>
      <xdr:spPr bwMode="auto">
        <a:xfrm>
          <a:off x="3876675" y="2865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50</xdr:row>
      <xdr:rowOff>0</xdr:rowOff>
    </xdr:from>
    <xdr:ext cx="304800" cy="304800"/>
    <xdr:sp macro="" textlink="">
      <xdr:nvSpPr>
        <xdr:cNvPr id="11" name="AutoShape 8" descr="*">
          <a:extLst>
            <a:ext uri="{FF2B5EF4-FFF2-40B4-BE49-F238E27FC236}">
              <a16:creationId xmlns:a16="http://schemas.microsoft.com/office/drawing/2014/main" id="{00000000-0008-0000-0900-00000B000000}"/>
            </a:ext>
          </a:extLst>
        </xdr:cNvPr>
        <xdr:cNvSpPr>
          <a:spLocks noChangeAspect="1" noChangeArrowheads="1"/>
        </xdr:cNvSpPr>
      </xdr:nvSpPr>
      <xdr:spPr bwMode="auto">
        <a:xfrm>
          <a:off x="3876675" y="378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50</xdr:row>
      <xdr:rowOff>0</xdr:rowOff>
    </xdr:from>
    <xdr:ext cx="304800" cy="304800"/>
    <xdr:sp macro="" textlink="">
      <xdr:nvSpPr>
        <xdr:cNvPr id="12" name="AutoShape 9" descr="*">
          <a:extLst>
            <a:ext uri="{FF2B5EF4-FFF2-40B4-BE49-F238E27FC236}">
              <a16:creationId xmlns:a16="http://schemas.microsoft.com/office/drawing/2014/main" id="{00000000-0008-0000-0900-00000C000000}"/>
            </a:ext>
          </a:extLst>
        </xdr:cNvPr>
        <xdr:cNvSpPr>
          <a:spLocks noChangeAspect="1" noChangeArrowheads="1"/>
        </xdr:cNvSpPr>
      </xdr:nvSpPr>
      <xdr:spPr bwMode="auto">
        <a:xfrm>
          <a:off x="3876675" y="378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182594"/>
    <xdr:sp macro="" textlink="">
      <xdr:nvSpPr>
        <xdr:cNvPr id="13" name="AutoShape 10" descr="*">
          <a:extLst>
            <a:ext uri="{FF2B5EF4-FFF2-40B4-BE49-F238E27FC236}">
              <a16:creationId xmlns:a16="http://schemas.microsoft.com/office/drawing/2014/main" id="{00000000-0008-0000-0900-00000D000000}"/>
            </a:ext>
          </a:extLst>
        </xdr:cNvPr>
        <xdr:cNvSpPr>
          <a:spLocks noChangeAspect="1" noChangeArrowheads="1"/>
        </xdr:cNvSpPr>
      </xdr:nvSpPr>
      <xdr:spPr bwMode="auto">
        <a:xfrm>
          <a:off x="3876675" y="341376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182594"/>
    <xdr:sp macro="" textlink="">
      <xdr:nvSpPr>
        <xdr:cNvPr id="14" name="AutoShape 11" descr="*">
          <a:extLst>
            <a:ext uri="{FF2B5EF4-FFF2-40B4-BE49-F238E27FC236}">
              <a16:creationId xmlns:a16="http://schemas.microsoft.com/office/drawing/2014/main" id="{00000000-0008-0000-0900-00000E000000}"/>
            </a:ext>
          </a:extLst>
        </xdr:cNvPr>
        <xdr:cNvSpPr>
          <a:spLocks noChangeAspect="1" noChangeArrowheads="1"/>
        </xdr:cNvSpPr>
      </xdr:nvSpPr>
      <xdr:spPr bwMode="auto">
        <a:xfrm>
          <a:off x="3876675" y="341376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twoCellAnchor>
    <xdr:from>
      <xdr:col>7</xdr:col>
      <xdr:colOff>841704</xdr:colOff>
      <xdr:row>0</xdr:row>
      <xdr:rowOff>77609</xdr:rowOff>
    </xdr:from>
    <xdr:to>
      <xdr:col>9</xdr:col>
      <xdr:colOff>190503</xdr:colOff>
      <xdr:row>1</xdr:row>
      <xdr:rowOff>7053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a:xfrm>
          <a:off x="10547679" y="77609"/>
          <a:ext cx="1644324" cy="329494"/>
        </a:xfrm>
        <a:prstGeom prst="rect">
          <a:avLst/>
        </a:prstGeom>
        <a:solidFill>
          <a:schemeClr val="accent2"/>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US" sz="1100" b="1"/>
            <a:t>Raw Data 2020</a:t>
          </a:r>
        </a:p>
      </xdr:txBody>
    </xdr:sp>
    <xdr:clientData/>
  </xdr:twoCellAnchor>
  <xdr:twoCellAnchor>
    <xdr:from>
      <xdr:col>7</xdr:col>
      <xdr:colOff>846666</xdr:colOff>
      <xdr:row>1</xdr:row>
      <xdr:rowOff>28221</xdr:rowOff>
    </xdr:from>
    <xdr:to>
      <xdr:col>9</xdr:col>
      <xdr:colOff>197556</xdr:colOff>
      <xdr:row>2</xdr:row>
      <xdr:rowOff>63498</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0A00-000003000000}"/>
            </a:ext>
          </a:extLst>
        </xdr:cNvPr>
        <xdr:cNvSpPr/>
      </xdr:nvSpPr>
      <xdr:spPr>
        <a:xfrm>
          <a:off x="10552641" y="428271"/>
          <a:ext cx="1646415" cy="292452"/>
        </a:xfrm>
        <a:prstGeom prst="rect">
          <a:avLst/>
        </a:prstGeom>
        <a:solidFill>
          <a:schemeClr val="accent2"/>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100" b="1"/>
            <a:t>Raw Data 2019</a:t>
          </a:r>
        </a:p>
      </xdr:txBody>
    </xdr:sp>
    <xdr:clientData/>
  </xdr:twoCellAnchor>
  <xdr:twoCellAnchor>
    <xdr:from>
      <xdr:col>7</xdr:col>
      <xdr:colOff>846666</xdr:colOff>
      <xdr:row>2</xdr:row>
      <xdr:rowOff>105831</xdr:rowOff>
    </xdr:from>
    <xdr:to>
      <xdr:col>9</xdr:col>
      <xdr:colOff>197556</xdr:colOff>
      <xdr:row>4</xdr:row>
      <xdr:rowOff>42332</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0A00-000004000000}"/>
            </a:ext>
          </a:extLst>
        </xdr:cNvPr>
        <xdr:cNvSpPr/>
      </xdr:nvSpPr>
      <xdr:spPr>
        <a:xfrm>
          <a:off x="10552641" y="763056"/>
          <a:ext cx="1646415" cy="260351"/>
        </a:xfrm>
        <a:prstGeom prst="rect">
          <a:avLst/>
        </a:prstGeom>
        <a:solidFill>
          <a:schemeClr val="accent2"/>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100" b="1"/>
            <a:t>Capability Gap Assessment </a:t>
          </a:r>
        </a:p>
      </xdr:txBody>
    </xdr:sp>
    <xdr:clientData/>
  </xdr:twoCellAnchor>
  <xdr:twoCellAnchor>
    <xdr:from>
      <xdr:col>7</xdr:col>
      <xdr:colOff>853722</xdr:colOff>
      <xdr:row>4</xdr:row>
      <xdr:rowOff>84665</xdr:rowOff>
    </xdr:from>
    <xdr:to>
      <xdr:col>9</xdr:col>
      <xdr:colOff>204612</xdr:colOff>
      <xdr:row>6</xdr:row>
      <xdr:rowOff>21165</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0A00-000005000000}"/>
            </a:ext>
          </a:extLst>
        </xdr:cNvPr>
        <xdr:cNvSpPr/>
      </xdr:nvSpPr>
      <xdr:spPr>
        <a:xfrm>
          <a:off x="10559697" y="1065740"/>
          <a:ext cx="1646415" cy="260350"/>
        </a:xfrm>
        <a:prstGeom prst="rect">
          <a:avLst/>
        </a:prstGeom>
        <a:solidFill>
          <a:schemeClr val="accent2"/>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1100" b="1"/>
            <a:t>Solution Description</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4</xdr:col>
      <xdr:colOff>0</xdr:colOff>
      <xdr:row>35</xdr:row>
      <xdr:rowOff>0</xdr:rowOff>
    </xdr:from>
    <xdr:ext cx="304800" cy="304800"/>
    <xdr:sp macro="" textlink="">
      <xdr:nvSpPr>
        <xdr:cNvPr id="2" name="AutoShape 7" descr="*">
          <a:extLst>
            <a:ext uri="{FF2B5EF4-FFF2-40B4-BE49-F238E27FC236}">
              <a16:creationId xmlns:a16="http://schemas.microsoft.com/office/drawing/2014/main" id="{00000000-0008-0000-0E00-000002000000}"/>
            </a:ext>
          </a:extLst>
        </xdr:cNvPr>
        <xdr:cNvSpPr>
          <a:spLocks noChangeAspect="1" noChangeArrowheads="1"/>
        </xdr:cNvSpPr>
      </xdr:nvSpPr>
      <xdr:spPr bwMode="auto">
        <a:xfrm>
          <a:off x="4064000" y="281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4800"/>
    <xdr:sp macro="" textlink="">
      <xdr:nvSpPr>
        <xdr:cNvPr id="3" name="AutoShape 8" descr="*">
          <a:extLst>
            <a:ext uri="{FF2B5EF4-FFF2-40B4-BE49-F238E27FC236}">
              <a16:creationId xmlns:a16="http://schemas.microsoft.com/office/drawing/2014/main" id="{00000000-0008-0000-0E00-000003000000}"/>
            </a:ext>
          </a:extLst>
        </xdr:cNvPr>
        <xdr:cNvSpPr>
          <a:spLocks noChangeAspect="1" noChangeArrowheads="1"/>
        </xdr:cNvSpPr>
      </xdr:nvSpPr>
      <xdr:spPr bwMode="auto">
        <a:xfrm>
          <a:off x="4064000" y="3714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4800"/>
    <xdr:sp macro="" textlink="">
      <xdr:nvSpPr>
        <xdr:cNvPr id="4" name="AutoShape 9" descr="*">
          <a:extLst>
            <a:ext uri="{FF2B5EF4-FFF2-40B4-BE49-F238E27FC236}">
              <a16:creationId xmlns:a16="http://schemas.microsoft.com/office/drawing/2014/main" id="{00000000-0008-0000-0E00-000004000000}"/>
            </a:ext>
          </a:extLst>
        </xdr:cNvPr>
        <xdr:cNvSpPr>
          <a:spLocks noChangeAspect="1" noChangeArrowheads="1"/>
        </xdr:cNvSpPr>
      </xdr:nvSpPr>
      <xdr:spPr bwMode="auto">
        <a:xfrm>
          <a:off x="4064000" y="3714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41</xdr:row>
      <xdr:rowOff>0</xdr:rowOff>
    </xdr:from>
    <xdr:ext cx="304800" cy="182594"/>
    <xdr:sp macro="" textlink="">
      <xdr:nvSpPr>
        <xdr:cNvPr id="5" name="AutoShape 10" descr="*">
          <a:extLst>
            <a:ext uri="{FF2B5EF4-FFF2-40B4-BE49-F238E27FC236}">
              <a16:creationId xmlns:a16="http://schemas.microsoft.com/office/drawing/2014/main" id="{00000000-0008-0000-0E00-000005000000}"/>
            </a:ext>
          </a:extLst>
        </xdr:cNvPr>
        <xdr:cNvSpPr>
          <a:spLocks noChangeAspect="1" noChangeArrowheads="1"/>
        </xdr:cNvSpPr>
      </xdr:nvSpPr>
      <xdr:spPr bwMode="auto">
        <a:xfrm>
          <a:off x="4064000" y="33616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41</xdr:row>
      <xdr:rowOff>0</xdr:rowOff>
    </xdr:from>
    <xdr:ext cx="304800" cy="182594"/>
    <xdr:sp macro="" textlink="">
      <xdr:nvSpPr>
        <xdr:cNvPr id="6" name="AutoShape 11" descr="*">
          <a:extLst>
            <a:ext uri="{FF2B5EF4-FFF2-40B4-BE49-F238E27FC236}">
              <a16:creationId xmlns:a16="http://schemas.microsoft.com/office/drawing/2014/main" id="{00000000-0008-0000-0E00-000006000000}"/>
            </a:ext>
          </a:extLst>
        </xdr:cNvPr>
        <xdr:cNvSpPr>
          <a:spLocks noChangeAspect="1" noChangeArrowheads="1"/>
        </xdr:cNvSpPr>
      </xdr:nvSpPr>
      <xdr:spPr bwMode="auto">
        <a:xfrm>
          <a:off x="4064000" y="33616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63</xdr:row>
      <xdr:rowOff>0</xdr:rowOff>
    </xdr:from>
    <xdr:ext cx="304800" cy="308687"/>
    <xdr:sp macro="" textlink="">
      <xdr:nvSpPr>
        <xdr:cNvPr id="7" name="AutoShape 12" descr="*">
          <a:extLst>
            <a:ext uri="{FF2B5EF4-FFF2-40B4-BE49-F238E27FC236}">
              <a16:creationId xmlns:a16="http://schemas.microsoft.com/office/drawing/2014/main" id="{00000000-0008-0000-0E00-000007000000}"/>
            </a:ext>
          </a:extLst>
        </xdr:cNvPr>
        <xdr:cNvSpPr>
          <a:spLocks noChangeAspect="1" noChangeArrowheads="1"/>
        </xdr:cNvSpPr>
      </xdr:nvSpPr>
      <xdr:spPr bwMode="auto">
        <a:xfrm>
          <a:off x="4064000" y="47339250"/>
          <a:ext cx="304800" cy="3086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65</xdr:row>
      <xdr:rowOff>0</xdr:rowOff>
    </xdr:from>
    <xdr:ext cx="304800" cy="365580"/>
    <xdr:sp macro="" textlink="">
      <xdr:nvSpPr>
        <xdr:cNvPr id="8" name="AutoShape 14" descr="*">
          <a:extLst>
            <a:ext uri="{FF2B5EF4-FFF2-40B4-BE49-F238E27FC236}">
              <a16:creationId xmlns:a16="http://schemas.microsoft.com/office/drawing/2014/main" id="{00000000-0008-0000-0E00-000008000000}"/>
            </a:ext>
          </a:extLst>
        </xdr:cNvPr>
        <xdr:cNvSpPr>
          <a:spLocks noChangeAspect="1" noChangeArrowheads="1"/>
        </xdr:cNvSpPr>
      </xdr:nvSpPr>
      <xdr:spPr bwMode="auto">
        <a:xfrm>
          <a:off x="4064000" y="47707550"/>
          <a:ext cx="304800" cy="3655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66</xdr:row>
      <xdr:rowOff>0</xdr:rowOff>
    </xdr:from>
    <xdr:ext cx="304800" cy="311148"/>
    <xdr:sp macro="" textlink="">
      <xdr:nvSpPr>
        <xdr:cNvPr id="9" name="AutoShape 15" descr="*">
          <a:extLst>
            <a:ext uri="{FF2B5EF4-FFF2-40B4-BE49-F238E27FC236}">
              <a16:creationId xmlns:a16="http://schemas.microsoft.com/office/drawing/2014/main" id="{00000000-0008-0000-0E00-000009000000}"/>
            </a:ext>
          </a:extLst>
        </xdr:cNvPr>
        <xdr:cNvSpPr>
          <a:spLocks noChangeAspect="1" noChangeArrowheads="1"/>
        </xdr:cNvSpPr>
      </xdr:nvSpPr>
      <xdr:spPr bwMode="auto">
        <a:xfrm>
          <a:off x="4064000" y="478917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35</xdr:row>
      <xdr:rowOff>0</xdr:rowOff>
    </xdr:from>
    <xdr:ext cx="304800" cy="304800"/>
    <xdr:sp macro="" textlink="">
      <xdr:nvSpPr>
        <xdr:cNvPr id="10" name="AutoShape 7" descr="*">
          <a:extLst>
            <a:ext uri="{FF2B5EF4-FFF2-40B4-BE49-F238E27FC236}">
              <a16:creationId xmlns:a16="http://schemas.microsoft.com/office/drawing/2014/main" id="{00000000-0008-0000-0E00-00000A000000}"/>
            </a:ext>
          </a:extLst>
        </xdr:cNvPr>
        <xdr:cNvSpPr>
          <a:spLocks noChangeAspect="1" noChangeArrowheads="1"/>
        </xdr:cNvSpPr>
      </xdr:nvSpPr>
      <xdr:spPr bwMode="auto">
        <a:xfrm>
          <a:off x="4064000" y="2862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4800"/>
    <xdr:sp macro="" textlink="">
      <xdr:nvSpPr>
        <xdr:cNvPr id="11" name="AutoShape 8" descr="*">
          <a:extLst>
            <a:ext uri="{FF2B5EF4-FFF2-40B4-BE49-F238E27FC236}">
              <a16:creationId xmlns:a16="http://schemas.microsoft.com/office/drawing/2014/main" id="{00000000-0008-0000-0E00-00000B000000}"/>
            </a:ext>
          </a:extLst>
        </xdr:cNvPr>
        <xdr:cNvSpPr>
          <a:spLocks noChangeAspect="1" noChangeArrowheads="1"/>
        </xdr:cNvSpPr>
      </xdr:nvSpPr>
      <xdr:spPr bwMode="auto">
        <a:xfrm>
          <a:off x="4064000" y="376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4800"/>
    <xdr:sp macro="" textlink="">
      <xdr:nvSpPr>
        <xdr:cNvPr id="12" name="AutoShape 9" descr="*">
          <a:extLst>
            <a:ext uri="{FF2B5EF4-FFF2-40B4-BE49-F238E27FC236}">
              <a16:creationId xmlns:a16="http://schemas.microsoft.com/office/drawing/2014/main" id="{00000000-0008-0000-0E00-00000C000000}"/>
            </a:ext>
          </a:extLst>
        </xdr:cNvPr>
        <xdr:cNvSpPr>
          <a:spLocks noChangeAspect="1" noChangeArrowheads="1"/>
        </xdr:cNvSpPr>
      </xdr:nvSpPr>
      <xdr:spPr bwMode="auto">
        <a:xfrm>
          <a:off x="4064000" y="376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41</xdr:row>
      <xdr:rowOff>0</xdr:rowOff>
    </xdr:from>
    <xdr:ext cx="304800" cy="182594"/>
    <xdr:sp macro="" textlink="">
      <xdr:nvSpPr>
        <xdr:cNvPr id="13" name="AutoShape 10" descr="*">
          <a:extLst>
            <a:ext uri="{FF2B5EF4-FFF2-40B4-BE49-F238E27FC236}">
              <a16:creationId xmlns:a16="http://schemas.microsoft.com/office/drawing/2014/main" id="{00000000-0008-0000-0E00-00000D000000}"/>
            </a:ext>
          </a:extLst>
        </xdr:cNvPr>
        <xdr:cNvSpPr>
          <a:spLocks noChangeAspect="1" noChangeArrowheads="1"/>
        </xdr:cNvSpPr>
      </xdr:nvSpPr>
      <xdr:spPr bwMode="auto">
        <a:xfrm>
          <a:off x="4064000" y="3409315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41</xdr:row>
      <xdr:rowOff>0</xdr:rowOff>
    </xdr:from>
    <xdr:ext cx="304800" cy="182594"/>
    <xdr:sp macro="" textlink="">
      <xdr:nvSpPr>
        <xdr:cNvPr id="14" name="AutoShape 11" descr="*">
          <a:extLst>
            <a:ext uri="{FF2B5EF4-FFF2-40B4-BE49-F238E27FC236}">
              <a16:creationId xmlns:a16="http://schemas.microsoft.com/office/drawing/2014/main" id="{00000000-0008-0000-0E00-00000E000000}"/>
            </a:ext>
          </a:extLst>
        </xdr:cNvPr>
        <xdr:cNvSpPr>
          <a:spLocks noChangeAspect="1" noChangeArrowheads="1"/>
        </xdr:cNvSpPr>
      </xdr:nvSpPr>
      <xdr:spPr bwMode="auto">
        <a:xfrm>
          <a:off x="4064000" y="3409315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7.xml><?xml version="1.0" encoding="utf-8"?>
<xdr:wsDr xmlns:xdr="http://schemas.openxmlformats.org/drawingml/2006/spreadsheetDrawing" xmlns:a="http://schemas.openxmlformats.org/drawingml/2006/main">
  <xdr:oneCellAnchor>
    <xdr:from>
      <xdr:col>5</xdr:col>
      <xdr:colOff>0</xdr:colOff>
      <xdr:row>35</xdr:row>
      <xdr:rowOff>0</xdr:rowOff>
    </xdr:from>
    <xdr:ext cx="304800" cy="304800"/>
    <xdr:sp macro="" textlink="">
      <xdr:nvSpPr>
        <xdr:cNvPr id="2" name="AutoShape 7" descr="*">
          <a:extLst>
            <a:ext uri="{FF2B5EF4-FFF2-40B4-BE49-F238E27FC236}">
              <a16:creationId xmlns:a16="http://schemas.microsoft.com/office/drawing/2014/main" id="{00000000-0008-0000-0F00-000002000000}"/>
            </a:ext>
          </a:extLst>
        </xdr:cNvPr>
        <xdr:cNvSpPr>
          <a:spLocks noChangeAspect="1" noChangeArrowheads="1"/>
        </xdr:cNvSpPr>
      </xdr:nvSpPr>
      <xdr:spPr bwMode="auto">
        <a:xfrm>
          <a:off x="3876675" y="283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45</xdr:row>
      <xdr:rowOff>0</xdr:rowOff>
    </xdr:from>
    <xdr:ext cx="304800" cy="304800"/>
    <xdr:sp macro="" textlink="">
      <xdr:nvSpPr>
        <xdr:cNvPr id="3" name="AutoShape 8" descr="*">
          <a:extLst>
            <a:ext uri="{FF2B5EF4-FFF2-40B4-BE49-F238E27FC236}">
              <a16:creationId xmlns:a16="http://schemas.microsoft.com/office/drawing/2014/main" id="{00000000-0008-0000-0F00-000003000000}"/>
            </a:ext>
          </a:extLst>
        </xdr:cNvPr>
        <xdr:cNvSpPr>
          <a:spLocks noChangeAspect="1" noChangeArrowheads="1"/>
        </xdr:cNvSpPr>
      </xdr:nvSpPr>
      <xdr:spPr bwMode="auto">
        <a:xfrm>
          <a:off x="3876675" y="376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45</xdr:row>
      <xdr:rowOff>0</xdr:rowOff>
    </xdr:from>
    <xdr:ext cx="304800" cy="304800"/>
    <xdr:sp macro="" textlink="">
      <xdr:nvSpPr>
        <xdr:cNvPr id="4" name="AutoShape 9" descr="*">
          <a:extLst>
            <a:ext uri="{FF2B5EF4-FFF2-40B4-BE49-F238E27FC236}">
              <a16:creationId xmlns:a16="http://schemas.microsoft.com/office/drawing/2014/main" id="{00000000-0008-0000-0F00-000004000000}"/>
            </a:ext>
          </a:extLst>
        </xdr:cNvPr>
        <xdr:cNvSpPr>
          <a:spLocks noChangeAspect="1" noChangeArrowheads="1"/>
        </xdr:cNvSpPr>
      </xdr:nvSpPr>
      <xdr:spPr bwMode="auto">
        <a:xfrm>
          <a:off x="3876675" y="376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41</xdr:row>
      <xdr:rowOff>0</xdr:rowOff>
    </xdr:from>
    <xdr:ext cx="304800" cy="182594"/>
    <xdr:sp macro="" textlink="">
      <xdr:nvSpPr>
        <xdr:cNvPr id="5" name="AutoShape 10" descr="*">
          <a:extLst>
            <a:ext uri="{FF2B5EF4-FFF2-40B4-BE49-F238E27FC236}">
              <a16:creationId xmlns:a16="http://schemas.microsoft.com/office/drawing/2014/main" id="{00000000-0008-0000-0F00-000005000000}"/>
            </a:ext>
          </a:extLst>
        </xdr:cNvPr>
        <xdr:cNvSpPr>
          <a:spLocks noChangeAspect="1" noChangeArrowheads="1"/>
        </xdr:cNvSpPr>
      </xdr:nvSpPr>
      <xdr:spPr bwMode="auto">
        <a:xfrm>
          <a:off x="3876675" y="33870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41</xdr:row>
      <xdr:rowOff>0</xdr:rowOff>
    </xdr:from>
    <xdr:ext cx="304800" cy="182594"/>
    <xdr:sp macro="" textlink="">
      <xdr:nvSpPr>
        <xdr:cNvPr id="6" name="AutoShape 11" descr="*">
          <a:extLst>
            <a:ext uri="{FF2B5EF4-FFF2-40B4-BE49-F238E27FC236}">
              <a16:creationId xmlns:a16="http://schemas.microsoft.com/office/drawing/2014/main" id="{00000000-0008-0000-0F00-000006000000}"/>
            </a:ext>
          </a:extLst>
        </xdr:cNvPr>
        <xdr:cNvSpPr>
          <a:spLocks noChangeAspect="1" noChangeArrowheads="1"/>
        </xdr:cNvSpPr>
      </xdr:nvSpPr>
      <xdr:spPr bwMode="auto">
        <a:xfrm>
          <a:off x="3876675" y="33870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63</xdr:row>
      <xdr:rowOff>0</xdr:rowOff>
    </xdr:from>
    <xdr:ext cx="304800" cy="308687"/>
    <xdr:sp macro="" textlink="">
      <xdr:nvSpPr>
        <xdr:cNvPr id="7" name="AutoShape 12" descr="*">
          <a:extLst>
            <a:ext uri="{FF2B5EF4-FFF2-40B4-BE49-F238E27FC236}">
              <a16:creationId xmlns:a16="http://schemas.microsoft.com/office/drawing/2014/main" id="{00000000-0008-0000-0F00-000007000000}"/>
            </a:ext>
          </a:extLst>
        </xdr:cNvPr>
        <xdr:cNvSpPr>
          <a:spLocks noChangeAspect="1" noChangeArrowheads="1"/>
        </xdr:cNvSpPr>
      </xdr:nvSpPr>
      <xdr:spPr bwMode="auto">
        <a:xfrm>
          <a:off x="3876675" y="47891700"/>
          <a:ext cx="304800" cy="3086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65</xdr:row>
      <xdr:rowOff>0</xdr:rowOff>
    </xdr:from>
    <xdr:ext cx="304800" cy="365580"/>
    <xdr:sp macro="" textlink="">
      <xdr:nvSpPr>
        <xdr:cNvPr id="8" name="AutoShape 14" descr="*">
          <a:extLst>
            <a:ext uri="{FF2B5EF4-FFF2-40B4-BE49-F238E27FC236}">
              <a16:creationId xmlns:a16="http://schemas.microsoft.com/office/drawing/2014/main" id="{00000000-0008-0000-0F00-000008000000}"/>
            </a:ext>
          </a:extLst>
        </xdr:cNvPr>
        <xdr:cNvSpPr>
          <a:spLocks noChangeAspect="1" noChangeArrowheads="1"/>
        </xdr:cNvSpPr>
      </xdr:nvSpPr>
      <xdr:spPr bwMode="auto">
        <a:xfrm>
          <a:off x="3876675" y="48272700"/>
          <a:ext cx="304800" cy="3655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66</xdr:row>
      <xdr:rowOff>0</xdr:rowOff>
    </xdr:from>
    <xdr:ext cx="304800" cy="311148"/>
    <xdr:sp macro="" textlink="">
      <xdr:nvSpPr>
        <xdr:cNvPr id="9" name="AutoShape 15" descr="*">
          <a:extLst>
            <a:ext uri="{FF2B5EF4-FFF2-40B4-BE49-F238E27FC236}">
              <a16:creationId xmlns:a16="http://schemas.microsoft.com/office/drawing/2014/main" id="{00000000-0008-0000-0F00-000009000000}"/>
            </a:ext>
          </a:extLst>
        </xdr:cNvPr>
        <xdr:cNvSpPr>
          <a:spLocks noChangeAspect="1" noChangeArrowheads="1"/>
        </xdr:cNvSpPr>
      </xdr:nvSpPr>
      <xdr:spPr bwMode="auto">
        <a:xfrm>
          <a:off x="3876675" y="48463200"/>
          <a:ext cx="304800" cy="3111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35</xdr:row>
      <xdr:rowOff>0</xdr:rowOff>
    </xdr:from>
    <xdr:ext cx="304800" cy="304800"/>
    <xdr:sp macro="" textlink="">
      <xdr:nvSpPr>
        <xdr:cNvPr id="10" name="AutoShape 7" descr="*">
          <a:extLst>
            <a:ext uri="{FF2B5EF4-FFF2-40B4-BE49-F238E27FC236}">
              <a16:creationId xmlns:a16="http://schemas.microsoft.com/office/drawing/2014/main" id="{00000000-0008-0000-0F00-00000A000000}"/>
            </a:ext>
          </a:extLst>
        </xdr:cNvPr>
        <xdr:cNvSpPr>
          <a:spLocks noChangeAspect="1" noChangeArrowheads="1"/>
        </xdr:cNvSpPr>
      </xdr:nvSpPr>
      <xdr:spPr bwMode="auto">
        <a:xfrm>
          <a:off x="3876675" y="2838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45</xdr:row>
      <xdr:rowOff>0</xdr:rowOff>
    </xdr:from>
    <xdr:ext cx="304800" cy="304800"/>
    <xdr:sp macro="" textlink="">
      <xdr:nvSpPr>
        <xdr:cNvPr id="11" name="AutoShape 8" descr="*">
          <a:extLst>
            <a:ext uri="{FF2B5EF4-FFF2-40B4-BE49-F238E27FC236}">
              <a16:creationId xmlns:a16="http://schemas.microsoft.com/office/drawing/2014/main" id="{00000000-0008-0000-0F00-00000B000000}"/>
            </a:ext>
          </a:extLst>
        </xdr:cNvPr>
        <xdr:cNvSpPr>
          <a:spLocks noChangeAspect="1" noChangeArrowheads="1"/>
        </xdr:cNvSpPr>
      </xdr:nvSpPr>
      <xdr:spPr bwMode="auto">
        <a:xfrm>
          <a:off x="3876675" y="376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45</xdr:row>
      <xdr:rowOff>0</xdr:rowOff>
    </xdr:from>
    <xdr:ext cx="304800" cy="304800"/>
    <xdr:sp macro="" textlink="">
      <xdr:nvSpPr>
        <xdr:cNvPr id="12" name="AutoShape 9" descr="*">
          <a:extLst>
            <a:ext uri="{FF2B5EF4-FFF2-40B4-BE49-F238E27FC236}">
              <a16:creationId xmlns:a16="http://schemas.microsoft.com/office/drawing/2014/main" id="{00000000-0008-0000-0F00-00000C000000}"/>
            </a:ext>
          </a:extLst>
        </xdr:cNvPr>
        <xdr:cNvSpPr>
          <a:spLocks noChangeAspect="1" noChangeArrowheads="1"/>
        </xdr:cNvSpPr>
      </xdr:nvSpPr>
      <xdr:spPr bwMode="auto">
        <a:xfrm>
          <a:off x="3876675" y="376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41</xdr:row>
      <xdr:rowOff>0</xdr:rowOff>
    </xdr:from>
    <xdr:ext cx="304800" cy="182594"/>
    <xdr:sp macro="" textlink="">
      <xdr:nvSpPr>
        <xdr:cNvPr id="13" name="AutoShape 10" descr="*">
          <a:extLst>
            <a:ext uri="{FF2B5EF4-FFF2-40B4-BE49-F238E27FC236}">
              <a16:creationId xmlns:a16="http://schemas.microsoft.com/office/drawing/2014/main" id="{00000000-0008-0000-0F00-00000D000000}"/>
            </a:ext>
          </a:extLst>
        </xdr:cNvPr>
        <xdr:cNvSpPr>
          <a:spLocks noChangeAspect="1" noChangeArrowheads="1"/>
        </xdr:cNvSpPr>
      </xdr:nvSpPr>
      <xdr:spPr bwMode="auto">
        <a:xfrm>
          <a:off x="3876675" y="33870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41</xdr:row>
      <xdr:rowOff>0</xdr:rowOff>
    </xdr:from>
    <xdr:ext cx="304800" cy="182594"/>
    <xdr:sp macro="" textlink="">
      <xdr:nvSpPr>
        <xdr:cNvPr id="14" name="AutoShape 11" descr="*">
          <a:extLst>
            <a:ext uri="{FF2B5EF4-FFF2-40B4-BE49-F238E27FC236}">
              <a16:creationId xmlns:a16="http://schemas.microsoft.com/office/drawing/2014/main" id="{00000000-0008-0000-0F00-00000E000000}"/>
            </a:ext>
          </a:extLst>
        </xdr:cNvPr>
        <xdr:cNvSpPr>
          <a:spLocks noChangeAspect="1" noChangeArrowheads="1"/>
        </xdr:cNvSpPr>
      </xdr:nvSpPr>
      <xdr:spPr bwMode="auto">
        <a:xfrm>
          <a:off x="3876675" y="33870900"/>
          <a:ext cx="304800" cy="1825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8.xml><?xml version="1.0" encoding="utf-8"?>
<xdr:wsDr xmlns:xdr="http://schemas.openxmlformats.org/drawingml/2006/spreadsheetDrawing" xmlns:a="http://schemas.openxmlformats.org/drawingml/2006/main">
  <xdr:oneCellAnchor>
    <xdr:from>
      <xdr:col>9</xdr:col>
      <xdr:colOff>0</xdr:colOff>
      <xdr:row>10</xdr:row>
      <xdr:rowOff>0</xdr:rowOff>
    </xdr:from>
    <xdr:ext cx="304800" cy="1322949"/>
    <xdr:sp macro="" textlink="">
      <xdr:nvSpPr>
        <xdr:cNvPr id="2" name="AutoShape 2" descr="https://sb.scorecardresearch.com/b?rn=64879226&amp;C1=2&amp;C2=1000009&amp;C4=https%3A%2F%2Fwww.crunchbase.com%2F&amp;C5=us.crunchbase&amp;C7=https%3A%2F%2Fwww.crunchbase.com%2F&amp;C8=Crunchbase%3A%20Discover%20innovative%20companies%20and%20the%20people%20behind%20them">
          <a:extLst>
            <a:ext uri="{FF2B5EF4-FFF2-40B4-BE49-F238E27FC236}">
              <a16:creationId xmlns:a16="http://schemas.microsoft.com/office/drawing/2014/main" id="{00000000-0008-0000-1200-000002000000}"/>
            </a:ext>
          </a:extLst>
        </xdr:cNvPr>
        <xdr:cNvSpPr>
          <a:spLocks noChangeAspect="1" noChangeArrowheads="1"/>
        </xdr:cNvSpPr>
      </xdr:nvSpPr>
      <xdr:spPr bwMode="auto">
        <a:xfrm>
          <a:off x="6867525" y="809625"/>
          <a:ext cx="304800" cy="1322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10</xdr:row>
      <xdr:rowOff>0</xdr:rowOff>
    </xdr:from>
    <xdr:ext cx="304800" cy="2868930"/>
    <xdr:sp macro="" textlink="">
      <xdr:nvSpPr>
        <xdr:cNvPr id="3" name="AutoShape 4" descr="https://sb.scorecardresearch.com/b?rn=54660760&amp;C1=2&amp;C2=1000009&amp;C4=https%3A%2F%2Fwww.crunchbase.com%2Forganization%2Fsafe&amp;C5=us.crunchbase&amp;C7=https%3A%2F%2Fwww.crunchbase.com%2Forganization%2Fsafe&amp;C8=Getsafe%20%7C%20Crunchbase">
          <a:extLst>
            <a:ext uri="{FF2B5EF4-FFF2-40B4-BE49-F238E27FC236}">
              <a16:creationId xmlns:a16="http://schemas.microsoft.com/office/drawing/2014/main" id="{00000000-0008-0000-1200-000003000000}"/>
            </a:ext>
          </a:extLst>
        </xdr:cNvPr>
        <xdr:cNvSpPr>
          <a:spLocks noChangeAspect="1" noChangeArrowheads="1"/>
        </xdr:cNvSpPr>
      </xdr:nvSpPr>
      <xdr:spPr bwMode="auto">
        <a:xfrm>
          <a:off x="6867525" y="809625"/>
          <a:ext cx="304800" cy="2868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10</xdr:row>
      <xdr:rowOff>0</xdr:rowOff>
    </xdr:from>
    <xdr:ext cx="304800" cy="1322949"/>
    <xdr:sp macro="" textlink="">
      <xdr:nvSpPr>
        <xdr:cNvPr id="4" name="AutoShape 2" descr="https://sb.scorecardresearch.com/b?rn=64879226&amp;C1=2&amp;C2=1000009&amp;C4=https%3A%2F%2Fwww.crunchbase.com%2F&amp;C5=us.crunchbase&amp;C7=https%3A%2F%2Fwww.crunchbase.com%2F&amp;C8=Crunchbase%3A%20Discover%20innovative%20companies%20and%20the%20people%20behind%20them">
          <a:extLst>
            <a:ext uri="{FF2B5EF4-FFF2-40B4-BE49-F238E27FC236}">
              <a16:creationId xmlns:a16="http://schemas.microsoft.com/office/drawing/2014/main" id="{00000000-0008-0000-1200-000004000000}"/>
            </a:ext>
          </a:extLst>
        </xdr:cNvPr>
        <xdr:cNvSpPr>
          <a:spLocks noChangeAspect="1" noChangeArrowheads="1"/>
        </xdr:cNvSpPr>
      </xdr:nvSpPr>
      <xdr:spPr bwMode="auto">
        <a:xfrm>
          <a:off x="13439775" y="809625"/>
          <a:ext cx="304800" cy="13229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10</xdr:row>
      <xdr:rowOff>0</xdr:rowOff>
    </xdr:from>
    <xdr:ext cx="304800" cy="2868930"/>
    <xdr:sp macro="" textlink="">
      <xdr:nvSpPr>
        <xdr:cNvPr id="5" name="AutoShape 4" descr="https://sb.scorecardresearch.com/b?rn=54660760&amp;C1=2&amp;C2=1000009&amp;C4=https%3A%2F%2Fwww.crunchbase.com%2Forganization%2Fsafe&amp;C5=us.crunchbase&amp;C7=https%3A%2F%2Fwww.crunchbase.com%2Forganization%2Fsafe&amp;C8=Getsafe%20%7C%20Crunchbase">
          <a:extLst>
            <a:ext uri="{FF2B5EF4-FFF2-40B4-BE49-F238E27FC236}">
              <a16:creationId xmlns:a16="http://schemas.microsoft.com/office/drawing/2014/main" id="{00000000-0008-0000-1200-000005000000}"/>
            </a:ext>
          </a:extLst>
        </xdr:cNvPr>
        <xdr:cNvSpPr>
          <a:spLocks noChangeAspect="1" noChangeArrowheads="1"/>
        </xdr:cNvSpPr>
      </xdr:nvSpPr>
      <xdr:spPr bwMode="auto">
        <a:xfrm>
          <a:off x="13439775" y="809625"/>
          <a:ext cx="304800" cy="2868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9.xml><?xml version="1.0" encoding="utf-8"?>
<xdr:wsDr xmlns:xdr="http://schemas.openxmlformats.org/drawingml/2006/spreadsheetDrawing" xmlns:a="http://schemas.openxmlformats.org/drawingml/2006/main">
  <xdr:twoCellAnchor>
    <xdr:from>
      <xdr:col>1</xdr:col>
      <xdr:colOff>19050</xdr:colOff>
      <xdr:row>1</xdr:row>
      <xdr:rowOff>19050</xdr:rowOff>
    </xdr:from>
    <xdr:to>
      <xdr:col>11</xdr:col>
      <xdr:colOff>19050</xdr:colOff>
      <xdr:row>19</xdr:row>
      <xdr:rowOff>19050</xdr:rowOff>
    </xdr:to>
    <xdr:pic>
      <xdr:nvPicPr>
        <xdr:cNvPr id="2" name="Picture 2" descr="image001">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209550"/>
          <a:ext cx="6096000" cy="342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419100</xdr:colOff>
      <xdr:row>14</xdr:row>
      <xdr:rowOff>171450</xdr:rowOff>
    </xdr:from>
    <xdr:to>
      <xdr:col>17</xdr:col>
      <xdr:colOff>428625</xdr:colOff>
      <xdr:row>19</xdr:row>
      <xdr:rowOff>133350</xdr:rowOff>
    </xdr:to>
    <xdr:sp macro="" textlink="">
      <xdr:nvSpPr>
        <xdr:cNvPr id="3" name="Rounded Rectangle 2">
          <a:extLst>
            <a:ext uri="{FF2B5EF4-FFF2-40B4-BE49-F238E27FC236}">
              <a16:creationId xmlns:a16="http://schemas.microsoft.com/office/drawing/2014/main" id="{00000000-0008-0000-1600-000003000000}"/>
            </a:ext>
          </a:extLst>
        </xdr:cNvPr>
        <xdr:cNvSpPr/>
      </xdr:nvSpPr>
      <xdr:spPr>
        <a:xfrm rot="19600464">
          <a:off x="6515100" y="2838450"/>
          <a:ext cx="4276725"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Arial" panose="020B0604020202020204" pitchFamily="34" charset="0"/>
              <a:cs typeface="Arial" panose="020B0604020202020204" pitchFamily="34" charset="0"/>
            </a:rPr>
            <a:t>Under Construction</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run25168/AppData/Local/Microsoft/Windows/INetCache/Content.Outlook/WI59Y0YL/Build%20Buy%20Partner%20Analysis_%202020%2007312020v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hmi Ashrafi" refreshedDate="44042.666119097223" createdVersion="6" refreshedVersion="6" minRefreshableVersion="3" recordCount="64" xr:uid="{00000000-000A-0000-FFFF-FFFF00000000}">
  <cacheSource type="worksheet">
    <worksheetSource ref="A1:W64" sheet="2020 Raw Data" r:id="rId2"/>
  </cacheSource>
  <cacheFields count="23">
    <cacheField name="Providers" numFmtId="0">
      <sharedItems count="63">
        <s v="ACI Worldwide"/>
        <s v="acko (India)"/>
        <s v="Actec"/>
        <s v="American Well"/>
        <s v="AnsaFone"/>
        <s v="BlockClaim (Sprout.ai)"/>
        <s v="Bold Penguin"/>
        <s v="BriteCore"/>
        <s v="Cake"/>
        <s v="Shift Technology"/>
        <s v="Cape Analytic"/>
        <s v="Chisel.ai"/>
        <s v="Clara"/>
        <s v="Commerce Bank"/>
        <s v="concirrus"/>
        <s v="Cove (New Zealand)"/>
        <s v="Crawford/ Broadspire"/>
        <s v="DataCubes_x000a_(Now Convr)"/>
        <s v="digit (India)"/>
        <s v="EK Health_x000a__x000a_(Woman owned business.  Need to find out if service all 50 dates.  Specialize in CA.)"/>
        <s v="ESIS"/>
        <s v="Fiserv"/>
        <s v="FloodFlash"/>
        <s v="Flyreel"/>
        <s v="Gallagher Bassett_x000a__x000a_(Everest Group (Skand) published a 2020 State of the TPA industry report.  Must be purchased to review. ($5000) )"/>
        <s v="Gerber NCS"/>
        <s v="Goji_x000a_(UK Company)"/>
        <s v="Gradient"/>
        <s v="Groundspeed"/>
        <s v="handdii_x000a_(Australian Company)"/>
        <s v="Hippo"/>
        <s v="Hover"/>
        <s v="Hyperscience"/>
        <s v="Ingo Money"/>
        <s v="Invenger"/>
        <s v="IVANS Insurance Solutions"/>
        <s v="Jooycar"/>
        <s v="KORE"/>
        <s v="Lightico"/>
        <s v="Matterport"/>
        <s v="Mitchell/Genex"/>
        <s v="NetClaim"/>
        <s v="omni:us"/>
        <s v="One Inc"/>
        <s v="otonomo"/>
        <s v="Plnar"/>
        <s v="Quantemplate"/>
        <s v="RiskAPP"/>
        <s v="Riskgenius"/>
        <s v="Safelite"/>
        <s v="Sedgewick"/>
        <s v="Setoo"/>
        <s v="Slice"/>
        <s v="Snapsheet"/>
        <s v="Strataware"/>
        <s v="Sumyag Data Sciences"/>
        <s v="Sure"/>
        <s v="TensorFlight"/>
        <s v="Tractable"/>
        <s v="TrakGlobalGroup"/>
        <s v="Vpay"/>
        <s v="Westhill"/>
        <s v="Zesty AI"/>
      </sharedItems>
    </cacheField>
    <cacheField name="Type" numFmtId="0">
      <sharedItems containsBlank="1"/>
    </cacheField>
    <cacheField name="What they do" numFmtId="0">
      <sharedItems longText="1"/>
    </cacheField>
    <cacheField name="Value Chain" numFmtId="0">
      <sharedItems/>
    </cacheField>
    <cacheField name="Applicable Function" numFmtId="0">
      <sharedItems/>
    </cacheField>
    <cacheField name="Market" numFmtId="0">
      <sharedItems/>
    </cacheField>
    <cacheField name="LOB" numFmtId="0">
      <sharedItems/>
    </cacheField>
    <cacheField name="Function/Capability" numFmtId="0">
      <sharedItems count="44">
        <s v="Payment Platform"/>
        <s v="Digital Insurer"/>
        <s v="Contact Center"/>
        <s v="Telemedicine Platform"/>
        <s v="Advanced Analytics"/>
        <s v="Digital Exchange"/>
        <s v="Policy Admin System"/>
        <s v="Content Extraction"/>
        <s v="Claim Processing"/>
        <s v="Medical Mgmt Supplier"/>
        <s v="Estimating Software"/>
        <s v="FNOL"/>
        <s v="Telematics"/>
        <s v="eSignatures and Document Collection"/>
        <s v="Big Data"/>
        <s v="Risk Assessment"/>
        <s v="Platform" u="1"/>
        <s v="Insurance Platform " u="1"/>
        <s v="Connecting restoration services with carriers" u="1"/>
        <s v="TPA" u="1"/>
        <s v="ML Analytics" u="1"/>
        <s v="commercial insurance exchange" u="1"/>
        <s v="Analytics - Big Data" u="1"/>
        <s v="Digital Desk Platform for Interior Property Claims" u="1"/>
        <s v="Non Intrusive Plug-In Software_x000a_Data Aggregation" u="1"/>
        <s v="Aggregator" u="1"/>
        <s v="Platform and Digital Portals" u="1"/>
        <s v="Remote Property Estimate" u="1"/>
        <s v="Digital Platform for Payments" u="1"/>
        <s v="AI powered Self Service Portals_x000a_Claim Workflows_x000a_3rd Party integrations" u="1"/>
        <s v="Connecting contractors with insurers and policyholders" u="1"/>
        <s v="Analytics" u="1"/>
        <s v="Consultant" u="1"/>
        <s v="Insurance Analytics" u="1"/>
        <s v="Claim Appraisal and Estimates" u="1"/>
        <s v="Market Place" u="1"/>
        <s v="Specialize Finance_x000a_Application Software" u="1"/>
        <s v="NLP/ NLU based solutions" u="1"/>
        <s v="Payments, Marketing Promotions" u="1"/>
        <s v="Digital exchange " u="1"/>
        <s v="Payment, Billing, Back Office Recon" u="1"/>
        <s v="Advanced Analytics powered by AI" u="1"/>
        <s v="Medical Claims Management Solutions" u="1"/>
        <s v="FNOL Contact Center" u="1"/>
      </sharedItems>
    </cacheField>
    <cacheField name="Inception Year" numFmtId="0">
      <sharedItems containsString="0" containsBlank="1" containsNumber="1" containsInteger="1" minValue="1866" maxValue="2019"/>
    </cacheField>
    <cacheField name="2019 EXL Ranking" numFmtId="0">
      <sharedItems containsBlank="1"/>
    </cacheField>
    <cacheField name="2020 EXL Rating" numFmtId="0">
      <sharedItems count="3">
        <s v="Medium"/>
        <s v="Low"/>
        <s v="High"/>
      </sharedItems>
    </cacheField>
    <cacheField name="No of solutions that it aplies to" numFmtId="0">
      <sharedItems containsSemiMixedTypes="0" containsString="0" containsNumber="1" containsInteger="1" minValue="0" maxValue="7"/>
    </cacheField>
    <cacheField name="FNOL" numFmtId="0">
      <sharedItems containsBlank="1"/>
    </cacheField>
    <cacheField name="Payments as a Service" numFmtId="0">
      <sharedItems containsBlank="1"/>
    </cacheField>
    <cacheField name="Worker's Compensation" numFmtId="0">
      <sharedItems containsBlank="1"/>
    </cacheField>
    <cacheField name="Submit to Quote" numFmtId="0">
      <sharedItems containsBlank="1"/>
    </cacheField>
    <cacheField name="Endorsements" numFmtId="0">
      <sharedItems containsBlank="1"/>
    </cacheField>
    <cacheField name="Broker Intake" numFmtId="0">
      <sharedItems containsBlank="1"/>
    </cacheField>
    <cacheField name="Intelligent Collections" numFmtId="0">
      <sharedItems containsBlank="1"/>
    </cacheField>
    <cacheField name="Audit Analytics" numFmtId="0">
      <sharedItems containsNonDate="0" containsString="0" containsBlank="1"/>
    </cacheField>
    <cacheField name="Process Risk Assessment" numFmtId="0">
      <sharedItems containsBlank="1"/>
    </cacheField>
    <cacheField name="Finance Automation" numFmtId="0">
      <sharedItems containsBlank="1"/>
    </cacheField>
    <cacheField name="Transformation Roadmap for Finance Functio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4">
  <r>
    <x v="0"/>
    <s v="Other"/>
    <s v="Powers electronic payments for more than 6,000 organizations around the world. More than 1,000 of the largest financial institutions and intermediaries, as well as thousands of global merchants, rely on ACI to execute $14 trillion each day in payments and securities. In addition, myriad organizations utilize ACI’s electronic bill presentment and payment services. Through its comprehensive suite of software solutions delivered on customers’ premises or through ACI’s private cloud, ACI provides real time, immediate payments capabilities and enables an omnichannel payments experience.  digital claims notifications and disbursements, real time claims system integration, text message payments, and personalized marketing promotions."/>
    <s v="P &amp; C Claims, Finance"/>
    <s v="Claims Payment, AP"/>
    <s v="Both"/>
    <s v="All"/>
    <x v="0"/>
    <n v="1975"/>
    <s v="Not Evaluated"/>
    <x v="0"/>
    <n v="2"/>
    <m/>
    <s v="Yes"/>
    <m/>
    <m/>
    <m/>
    <m/>
    <m/>
    <m/>
    <m/>
    <s v="Yes"/>
    <m/>
  </r>
  <r>
    <x v="1"/>
    <s v="InsurTech"/>
    <s v="A wholly independent digital platform proving general insurance in India, which recently received investment from Amazon. Company is transforming insurance through technology and data-based underwriting and a unique customer-centric approach. The company uses a direct-to-consumer approach for distributing motor insurance, allowing for favorable risk selection and superior underwriting. Personal Auto"/>
    <s v="Underwriting"/>
    <s v="Risk Assessment"/>
    <s v="Personal"/>
    <s v="Auto"/>
    <x v="1"/>
    <m/>
    <s v="Not Evaluated"/>
    <x v="1"/>
    <n v="0"/>
    <m/>
    <m/>
    <m/>
    <m/>
    <m/>
    <m/>
    <m/>
    <m/>
    <m/>
    <m/>
    <m/>
  </r>
  <r>
    <x v="2"/>
    <s v="Other"/>
    <s v="Seamless third party contact center with associates trained as FNOL intake staff.  Staff augmentation.  24/7.  Proprietary intake platform.  FROI and state specific questions included.  Reporting capabilities.  Customizable scripts.  "/>
    <s v="P &amp; C Claims"/>
    <s v="Claims Processing"/>
    <s v="Both"/>
    <s v="All (WC, Auto, Property)"/>
    <x v="2"/>
    <n v="1989"/>
    <s v="Not Evaluated"/>
    <x v="0"/>
    <n v="1"/>
    <s v="Yes"/>
    <m/>
    <m/>
    <m/>
    <m/>
    <m/>
    <m/>
    <m/>
    <m/>
    <m/>
    <m/>
  </r>
  <r>
    <x v="3"/>
    <s v="InsurTech"/>
    <s v="American Well is a telehealth platform that connects and enables providers, insurers, patients, and innovators to deliver greater access to affordable, high quality care.  With its belief that digital care delivery will transform healthcare, the insurtech offers a single, comprehensive platform to support all telehealth needs from urgent to acute and post-acute care as well as chronic care management and healthy living"/>
    <s v="Healthcare"/>
    <s v="Claims Processing"/>
    <s v="Healthcare"/>
    <s v="Workers' Comp"/>
    <x v="3"/>
    <m/>
    <s v="Not Evaluated"/>
    <x v="0"/>
    <n v="1"/>
    <m/>
    <m/>
    <s v="Yes"/>
    <m/>
    <m/>
    <m/>
    <m/>
    <m/>
    <m/>
    <m/>
    <m/>
  </r>
  <r>
    <x v="4"/>
    <m/>
    <s v="Contact Center services - inbound and outbound calls.  Some FNOL capabilities - CAT response"/>
    <s v="P &amp; C Claims"/>
    <s v="Claims Processing"/>
    <s v="Both"/>
    <s v="All (WC, Auto, Property)"/>
    <x v="2"/>
    <n v="1970"/>
    <s v="Not Evaluated"/>
    <x v="1"/>
    <n v="1"/>
    <s v="Yes"/>
    <m/>
    <m/>
    <m/>
    <m/>
    <m/>
    <m/>
    <m/>
    <m/>
    <m/>
    <m/>
  </r>
  <r>
    <x v="5"/>
    <s v="InsurTech"/>
    <s v="Developed at Imperial College London, the advanced claims automation and fraud detection plug-in is already used by global insurers across three continents. The technology combines the power of Contextual AI and Block chain, that empowers insurers to settle claims in as little as 24 hours by providing data driven insights. Sprout.ai customers can expect a magnitude of benefits including reduced settlement times, increased fraud detection, reduction in operational costs and industrial grade security"/>
    <s v="P &amp; C Claims - UK"/>
    <s v="Claims Triage, Fraud Analytics"/>
    <s v="Both"/>
    <s v="Health _x000a_Motor_x000a_Others Unknown_x000a__x000a__x000a__x000a_"/>
    <x v="4"/>
    <n v="2018"/>
    <s v="Not Evaluated"/>
    <x v="1"/>
    <n v="0"/>
    <m/>
    <m/>
    <m/>
    <m/>
    <m/>
    <m/>
    <m/>
    <m/>
    <m/>
    <m/>
    <m/>
  </r>
  <r>
    <x v="6"/>
    <s v="InsurTech"/>
    <s v="Bold Penguin is a commercial insurance exchange that connects customers, agents, and carriers to match the right quote in record time. With a heavy focus on the agents, Bold Penguin pushes the boundaries of user experience for businesses, an easy tool for agents, and a streamlined process of underwriting for carriers.The company operates an Exchange which utilizes a set of solutions to identify, triage, quote, and bind commercial insurance in a highly efficient and tech-enabled way. It plans to deliver on the platform enhancements which include more flexibility in how the core technology is leveraged by enterprise customers, expanding in excess and surplus lines. The Company offers a streamlined process of underwriting for carriers in commercial property and casualty insurance services."/>
    <s v="P&amp;C Underwriting"/>
    <s v="Underwriting, Acquisition, Broker Management"/>
    <s v="Commercial"/>
    <s v="All"/>
    <x v="5"/>
    <n v="2016"/>
    <s v="Not Evaluated"/>
    <x v="0"/>
    <n v="2"/>
    <m/>
    <m/>
    <m/>
    <s v="Yes"/>
    <m/>
    <s v="Yes"/>
    <m/>
    <m/>
    <m/>
    <m/>
    <m/>
  </r>
  <r>
    <x v="7"/>
    <s v="InsurTech"/>
    <s v="Admin platforms across Policy, Claim and Billing with agency, policy holder and insurer portals. They provide alternative to the legacy system for Small, regional insurance carriers like American Farmers and Ranchers Mutual Insurance Company (AFR) ,Friends Cove, Loudoun(Agency), Jetty (Rental Insurance) etc."/>
    <s v="P &amp; C Underwriting &amp; Claims"/>
    <s v="All"/>
    <s v="Personal, Commercial"/>
    <s v="All"/>
    <x v="6"/>
    <m/>
    <m/>
    <x v="1"/>
    <n v="0"/>
    <m/>
    <m/>
    <m/>
    <m/>
    <m/>
    <m/>
    <m/>
    <m/>
    <m/>
    <m/>
    <m/>
  </r>
  <r>
    <x v="8"/>
    <s v="InsurTech"/>
    <s v="Care Insure offers an intuitive, easy-to-use and fast mobile platform to help small business owners provide workers' compensation insurance to their employees.  The platform allows organizations to buy WC insurance easily online, is built on top of Salesforce, and bypasses traditional insurance buying approach.  Cake Insure leverages AI to accurately classify the businesses of its clients based not eh description they provide in the platform.  Care also manages digital proof of coverage.  www.cakeinsure.com"/>
    <s v="P &amp; C Underwriting &amp; Broker"/>
    <s v="All"/>
    <s v="Commercial"/>
    <s v="Workers' Comp"/>
    <x v="1"/>
    <m/>
    <s v="Not Evaluated"/>
    <x v="1"/>
    <n v="0"/>
    <m/>
    <m/>
    <m/>
    <m/>
    <m/>
    <m/>
    <m/>
    <m/>
    <m/>
    <m/>
    <m/>
  </r>
  <r>
    <x v="9"/>
    <s v="InsurTech"/>
    <s v="Software as a solution for insurers, which utilizes Big Data analytics and Machine Learning technology to improve fraud detection. Company's flagship product provides insurers a decision-making platform speciﬁcally designed for their fraud handlers to scale their capacity to detect a wide spectrum of fraudulent insurance behaviors, from opportunistic to organized crime!  LUKE delivers powerful claims capabilities built around Shift's highly accurate AI decision engine.  Delivers claim automation, easy claim submission, accurate claim vaidation and fraud detection, immediate settlement and payout of simple cliams - augments claim handlers capabilities.   FORCE is the fraud detection suite.  "/>
    <s v="P &amp; C Claims "/>
    <s v="Fraud Analytics"/>
    <s v="Both"/>
    <s v="All"/>
    <x v="4"/>
    <n v="2013"/>
    <s v="High"/>
    <x v="2"/>
    <n v="1"/>
    <s v="Yes"/>
    <m/>
    <m/>
    <m/>
    <m/>
    <m/>
    <m/>
    <m/>
    <m/>
    <m/>
    <m/>
  </r>
  <r>
    <x v="10"/>
    <s v="InsurTech"/>
    <s v="A data provider drawing on computer vision, geospatial imagery, and machine learning to extract property data for insurers.  Currently only in Personal but appears they may be branching out to Commercial.  Www.capeanalytics.com"/>
    <s v="P &amp; C Underwriting"/>
    <s v="Underwriting"/>
    <s v="Personal "/>
    <s v="Property"/>
    <x v="4"/>
    <n v="2014"/>
    <s v="High"/>
    <x v="1"/>
    <n v="1"/>
    <m/>
    <m/>
    <m/>
    <s v="Yes"/>
    <m/>
    <m/>
    <m/>
    <m/>
    <m/>
    <m/>
    <m/>
  </r>
  <r>
    <x v="11"/>
    <s v="InsurTech"/>
    <s v="Chisel AI’s Natural Language Processing (NLP) and Machine Learning (ML) solution, which is purpose-built for insurance, helps commercial insurance brokers and carriers extract, interpret, classify and analyze unstructured data in policies, quotes, submissions, applications, binders, and endorsements 400 times faster than a human can—with significantly greater accuracy.Freeing trapped knowledge enables brokers and carriers to automate high-volume, routine underwriting and brokering tasks. It has modules for Policy CHeck, Submission Prioritization and triage"/>
    <s v="P&amp;C Underwriting"/>
    <s v="New Business"/>
    <s v="Commercial"/>
    <s v="All"/>
    <x v="7"/>
    <n v="2016"/>
    <s v="Not Evaluated"/>
    <x v="2"/>
    <n v="3"/>
    <m/>
    <m/>
    <m/>
    <s v="Yes"/>
    <s v="Yes"/>
    <s v="Yes"/>
    <m/>
    <m/>
    <m/>
    <m/>
    <m/>
  </r>
  <r>
    <x v="12"/>
    <s v="InsurTech"/>
    <s v="Clara Analytics builds product platforms to  Improve Claims Outcomes in Commercial Insurance Through Easy-to-Use AI. The products they service are:_x000a__x000a_Claims:  _x000a_- Help mitigate escalating claim costs_x000a_- Identify claims that are at risk and resolve them effectively_x000a_Litigation:_x000a_- CLARA litigation uses AI insights to detect litigation risk, manage attorney performance, and resolve claims effectively. additional capabilities - litigation avoidance, panel management, settlement alerts _x000a_Providers:_x000a_- AI powered growing network that helps in quickly identifying the best doctor for every claim/ client_x000a_Medicare Set Aside (MSA):_x000a_CLARA analytics is set to revolutionize the MSA practice by providing services faster, and at vastly reduced costs, including unlimited updates and CMS submission. Their MSA solution alleviates the hassle, enabling adjusters to generate MSAs at any time via the online solution. In addition, CLARA’s MSA solution is offered as an integrated feature of CLARA claims, meaning payers will be able to access all claim recommendation features within CLARA claims, as well."/>
    <s v="P &amp; C Claims"/>
    <s v="Claims Processing, Fraud Analytics, Claims Medical Management, Claims Litigation Management"/>
    <s v="Commercial"/>
    <s v="All (Workers' Comp/GL/Auto)"/>
    <x v="4"/>
    <n v="2015"/>
    <s v="Not Evaluated"/>
    <x v="0"/>
    <n v="1"/>
    <m/>
    <m/>
    <s v="Yes"/>
    <m/>
    <m/>
    <m/>
    <m/>
    <m/>
    <m/>
    <m/>
    <m/>
  </r>
  <r>
    <x v="13"/>
    <s v="Other"/>
    <s v="Built in collaboration with a council of insurers across the nation, CommercePayments™ PreferPay is a solution from Commerce Bank that can provide an insurance company a way to provide single and multi-party electronic claims payments while giving insureds and claimants faster access to their funds. PreferPay gives claimants access to claims payments with options like direct-to-debit card and direct deposit.  Once an adjuster issues a payment, your insureds or claimants are provided a secure,one-time-use PreferPay login to verify and access their funds. They can select how they want to be paid while customer data is securely housed at Commerce Bank."/>
    <s v="P &amp; C Claims, Finance"/>
    <s v="Claims Payment, AP"/>
    <s v="Both"/>
    <s v="All"/>
    <x v="0"/>
    <n v="1866"/>
    <s v="Not Evaluated"/>
    <x v="2"/>
    <n v="2"/>
    <m/>
    <s v="Yes"/>
    <m/>
    <m/>
    <m/>
    <m/>
    <m/>
    <m/>
    <m/>
    <s v="Yes"/>
    <m/>
  </r>
  <r>
    <x v="14"/>
    <s v="InsurTech"/>
    <s v="Quest, accesses and interprets wide-ranging datasets, combining them with historical claims information to reveal the behaviors that correlate to claims. The results enable insurers and brokers to more accurately quantify risk; reduce losses and boost profits. Quest also makes new, powerful and differentiated product propositions a reality. (Through our analytics work with leading London and Global insurers, we have proven that behavioral data is a better indicator of risk than traditional demographics. With every customer, we’ve delivered insights and new rating factors that simply did not exist before allowing increased profits, the ability to write more business with or without claims history, and reduced administration costs.)"/>
    <s v="P &amp; C Underwriting"/>
    <s v="Risk Assessment"/>
    <s v="Commercial"/>
    <s v="Auto, Marine"/>
    <x v="4"/>
    <n v="2012"/>
    <m/>
    <x v="0"/>
    <n v="2"/>
    <m/>
    <m/>
    <m/>
    <s v="Yes"/>
    <m/>
    <s v="Yes"/>
    <m/>
    <m/>
    <m/>
    <m/>
    <m/>
  </r>
  <r>
    <x v="15"/>
    <s v="InsurTech"/>
    <s v="Cove is a New Zealand company bringing a touch of innovation and simplicity to the insurance industry. It is a digital insureCove is a Lloyd’s coverholder. All Cove insurance products are underwritten by certain underwriters at Lloyd’s of London."/>
    <s v="Underwriting"/>
    <s v="Product Acquisition, Underwriting"/>
    <s v="Personal"/>
    <s v="Auto"/>
    <x v="1"/>
    <n v="2018"/>
    <m/>
    <x v="1"/>
    <n v="0"/>
    <m/>
    <m/>
    <m/>
    <m/>
    <m/>
    <m/>
    <m/>
    <m/>
    <m/>
    <m/>
    <m/>
  </r>
  <r>
    <x v="16"/>
    <s v="TPA"/>
    <s v="Broadspire is an Insurance company that specializes in providing customized, integrated claims solutions to corporations, brokers, insurers and Lyods Market_x000a_Suite of Services: Loss Adjusting, 3rd Party Administration, Managed Repair, Medical Management, On-Demand Services, CAT Responses, Mobile Self Service"/>
    <s v="P &amp; C Claims"/>
    <s v="Claims Processing"/>
    <s v="Both"/>
    <s v="All (Auto, Property, WC, Disability Leave, Cyber Risk, Accident &amp; Health, Forensic Accounting. Casualty/ Liability, Construction, Hospitality, Transportation)"/>
    <x v="8"/>
    <n v="1941"/>
    <s v="Not Evaluated"/>
    <x v="1"/>
    <n v="2"/>
    <s v="Yes"/>
    <m/>
    <s v="Yes"/>
    <m/>
    <m/>
    <m/>
    <m/>
    <m/>
    <m/>
    <m/>
    <m/>
  </r>
  <r>
    <x v="17"/>
    <s v="InsurTech"/>
    <s v="DataCubes is the first data science platform for commercial underwriting. DataCubes helps carriers improve customer engagement, underwriting productivity, and profitability. DataCubes' platform uses data science to eliminate paperwork, provide a holistic view of risks by analyzing a broad array of internal and external data sources, and score and prioritize commercial risks."/>
    <s v="P &amp; C Underwriting"/>
    <s v="Underwriting"/>
    <s v="Commercial"/>
    <s v="Auto, Property"/>
    <x v="7"/>
    <n v="2016"/>
    <s v="High "/>
    <x v="1"/>
    <n v="1"/>
    <m/>
    <m/>
    <m/>
    <s v="Yes"/>
    <m/>
    <m/>
    <m/>
    <m/>
    <m/>
    <m/>
    <m/>
  </r>
  <r>
    <x v="18"/>
    <s v="InsurTech"/>
    <s v="India's first digital insurer backed by Fairfax - Digit,  plans to disrupt the traditionally run Indian general insurance sector by challenging predecessors and disruption of established business processes, equipping and authorizing partners and distributors more on policy issuance, quotes, documentation and claim processing"/>
    <s v="Underwriting"/>
    <s v="Claims Processing"/>
    <s v="Both"/>
    <s v="Motor_x000a_Property_x000a_Travel_x000a_Health_x000a_Bike_x000a_Home_x000a_Fire_x000a_Theft and Burglary_x000a_Health"/>
    <x v="1"/>
    <m/>
    <s v="Not Evaluated"/>
    <x v="1"/>
    <n v="0"/>
    <m/>
    <m/>
    <m/>
    <m/>
    <m/>
    <m/>
    <m/>
    <m/>
    <m/>
    <m/>
    <m/>
  </r>
  <r>
    <x v="19"/>
    <s v="Other"/>
    <s v="Bill repricing, State Reporting, Nurse Review, Network Optimization, Peer Review with extensive panel of peer review physicians, Medicare Set Aside, Case Mgmt, DWC approved MPN"/>
    <s v="P &amp; C Claims"/>
    <s v="Claims Processing"/>
    <s v="Commercial"/>
    <s v="WC"/>
    <x v="9"/>
    <n v="1998"/>
    <s v="Not Evaluated"/>
    <x v="0"/>
    <n v="1"/>
    <m/>
    <m/>
    <s v="Yes"/>
    <m/>
    <m/>
    <m/>
    <m/>
    <m/>
    <m/>
    <m/>
    <m/>
  </r>
  <r>
    <x v="20"/>
    <s v="TPA"/>
    <s v="Leading provider of TPA and risk management service offerings.  Physical damage service unit, SIU, BI, auto/truck/heavy equipment appraisal. For WC, ESIS Medical Impact is their proprietary medical management solution."/>
    <s v="P &amp; C Claims"/>
    <s v="Claims Processing"/>
    <s v="Commercial"/>
    <s v="All (Auto Liab, WC, GL, PL)"/>
    <x v="8"/>
    <m/>
    <s v="Not Evaluated"/>
    <x v="1"/>
    <n v="1"/>
    <m/>
    <m/>
    <s v="Yes"/>
    <m/>
    <m/>
    <m/>
    <m/>
    <m/>
    <m/>
    <m/>
    <m/>
  </r>
  <r>
    <x v="21"/>
    <s v="Other"/>
    <s v="As a global leader in payments and financial technology, the company helps clients achieve best-in-class results through a commitment to innovation and excellence in areas such as account processing and digital banking solutions; card issuer processing and network services; payments; e-commerce; merchant acquiring and processing; and the Clover® cloud-based point-of-sale solution. Engagement Advantage offers an integrated approach to businesses’ billing and payment strategy by supporting the presentment and payment channels, methods, and services their customers want, along with the back office reconciliation process they need. This helps businesses accelerate the transition from paper to digital communications while driving faster collections and improving the customer experience."/>
    <s v="P &amp; C Claims, Finance"/>
    <s v="Claims Payment, AP"/>
    <s v="Both"/>
    <s v="All"/>
    <x v="0"/>
    <n v="1984"/>
    <s v="Not Evaluated"/>
    <x v="0"/>
    <n v="2"/>
    <m/>
    <s v="Yes"/>
    <m/>
    <m/>
    <m/>
    <m/>
    <m/>
    <m/>
    <m/>
    <s v="Yes"/>
    <m/>
  </r>
  <r>
    <x v="22"/>
    <s v="InsurTech"/>
    <s v="They provide event-based cover available to everyone and ensure that everybody is able to recover from catastrophe. Their data and smart sensor approach removes the uncertainty, cost and time of traditional insurance. As a result they are able to provide fast, easy and flexible flood insurance to businesses and landlords"/>
    <s v="P &amp; C Underwriting"/>
    <s v="All"/>
    <s v="Commercial"/>
    <s v="Flood"/>
    <x v="1"/>
    <m/>
    <s v="Not Evaluated"/>
    <x v="1"/>
    <n v="0"/>
    <m/>
    <m/>
    <m/>
    <m/>
    <m/>
    <m/>
    <m/>
    <m/>
    <m/>
    <m/>
    <m/>
  </r>
  <r>
    <x v="23"/>
    <s v="InsurTech"/>
    <s v="Flyreel provides a comprehensive baseline record for underwriting, risk management and claims for Property Insurance. Their AI Assistant guides policyholders through effortless self-service inspections and claims workflows, thoroughly documenting interior and exterior data like property risks, hazards, features, materials and more. Additionally, they also have a number of ready-made 3rd party integrations to provide data enrichment, and to support existing workflows. With their API, they are able to integrate into clients' preferred backend platform or service of choice. example: Google Maps, Source7, Loss Control 360 etc."/>
    <s v="P &amp; C Claims"/>
    <s v="Risk Assessment, Claims FNOL, Claims Processing"/>
    <s v="Both"/>
    <s v="Property"/>
    <x v="10"/>
    <n v="2013"/>
    <s v="Not Evaluated"/>
    <x v="0"/>
    <n v="3"/>
    <s v="Yes"/>
    <m/>
    <m/>
    <s v="Yes"/>
    <s v="Yes"/>
    <m/>
    <m/>
    <m/>
    <m/>
    <m/>
    <m/>
  </r>
  <r>
    <x v="24"/>
    <s v="TPA"/>
    <s v="Premier multiline claim services provider.  Services:_x000a_'-PC 365 is their Managed Care Platform.  During COVID, they are referring 20% of cases to ta telephysician at point of injury for injured workers based on medically appropraite triage criteria.  _x000a_-They have telephysican networks in 47/50 states.  _x000a_-THey have Telerehab partnerships (PT, chiro ) with major WC service providers.  _x000a_-They also have a Hotline and telemedicine capability.  _x000a_-They provide Nurse Case Mgmt services also.  _x000a_-THey also have an analytics platform (LUMINOS) and a _x000a_-Mobile app (GBGO) to help injured workers berter manage their cliams and get in touch with the GB Resolution Managers (adjusters). It provides pesonalized mesages, notifications, reminders; it allows EE and employer to view benefit payment history, track MD appts, access digital version of the Medical Cards and RX cards.   _x000a_-ClaimZoneReporting seamlessly sends claims to your distribution list and claim systems.  _x000a_GBGO firstconnect lets clients report losses and check status of claims.  Supports the 4 major lines of business (WC, GL, Auto, Prop).  Faster data entry through SMART forms, attach photos and videos from accident site, get immediate notification of successful loss submission - mobile and tablet enabled_x000a_-Waypoint is a decsion support tool which takes structured and unstructured data and provides decision routes/paths for adjusters_x000a_-Rx Profile is a tool for identifying claimants at risk of becoming narcotics addicted and thos efalling outside of safe guidliens .  _x000a_-TQI (Treatment Quality Index) uses the power of evidence based medicine (EBM) to get hte best outcomes for patients.  .  it is reported as a percentage, measured against th EBM guidelines proved in peer reviewed clinical studies.  Higher score = better outcomes. "/>
    <s v="P &amp; C Claims"/>
    <s v="Claims Processing"/>
    <s v="Both"/>
    <s v="All (WC, GL, Auto Liab, Professional Liability, Medical Malpractice, Property)"/>
    <x v="8"/>
    <n v="1962"/>
    <s v="Not Evaluated"/>
    <x v="2"/>
    <n v="2"/>
    <s v="Yes"/>
    <m/>
    <s v="Yes"/>
    <m/>
    <m/>
    <m/>
    <m/>
    <m/>
    <m/>
    <m/>
    <m/>
  </r>
  <r>
    <x v="25"/>
    <s v="TPA"/>
    <s v="Nationwide claims administrator for reporting auto claims.  Customer Service Agents 24/7.  Gerber used to be Gerber Collision and Glass and is now Gerber National Claim Services  They also have a call center help desk.  TPA for servicing auto and glass claims in FNOL.  "/>
    <s v="P &amp; C Claims"/>
    <s v="FNOL"/>
    <s v="Both"/>
    <s v="Auto"/>
    <x v="11"/>
    <n v="2016"/>
    <s v="Not Evaluated"/>
    <x v="0"/>
    <n v="1"/>
    <s v="Yes"/>
    <m/>
    <m/>
    <m/>
    <m/>
    <m/>
    <m/>
    <m/>
    <m/>
    <m/>
    <m/>
  </r>
  <r>
    <x v="26"/>
    <s v="InsurTech"/>
    <s v="An insurance comparison platform for home and auto policies, providing a service switching solution for users."/>
    <s v="P &amp; C Underwriting"/>
    <s v="Underwriting"/>
    <s v="Personal"/>
    <s v="Auto, Property"/>
    <x v="5"/>
    <n v="2007"/>
    <s v="Low"/>
    <x v="1"/>
    <n v="1"/>
    <m/>
    <m/>
    <m/>
    <m/>
    <m/>
    <s v="Yes"/>
    <m/>
    <m/>
    <m/>
    <m/>
    <m/>
  </r>
  <r>
    <x v="27"/>
    <s v="InsurTech"/>
    <s v="Predictive Analytics, decision support and workflow automation driven by AI.  NetClaim announced partnership with Gradient AI.  Software and AI models to catch most expensive claims within first 30 days, STP, predict incurred cost of each claim, assign adjuster and supervisors more effectively, automate and provide decision support throughout the claim lifecycle, predict upcoming claim developments, treatment indicator models.  Founder acquired the company from Millimen (industry known actuarial experts)"/>
    <s v="P &amp; C Claims"/>
    <s v="Claim Processing, Risk Assessment"/>
    <s v="Both"/>
    <s v="Unknown "/>
    <x v="4"/>
    <n v="2018"/>
    <s v="Not Evaluated"/>
    <x v="2"/>
    <n v="1"/>
    <s v="Yes"/>
    <m/>
    <m/>
    <m/>
    <m/>
    <m/>
    <m/>
    <m/>
    <m/>
    <m/>
    <m/>
  </r>
  <r>
    <x v="28"/>
    <s v="InsurTech"/>
    <s v="Groundspeed’s Adaptive Data Pipeline as a Service™ helps clients accelerate their commercial insurance submission process by unlocking the value in their unstructured data.cross broker, carrier, or managing general agent, Groundspeed enables faster to the market with more accurate information.Adaptive Data Pipeline converts files like loss runs, exposure schedules, policies and submissions to cleaned, structured and enhanced information"/>
    <s v="P&amp;C Underwriting"/>
    <s v="New Business"/>
    <s v="Commercial"/>
    <s v="All"/>
    <x v="7"/>
    <n v="2016"/>
    <s v="Not Evaluated"/>
    <x v="2"/>
    <n v="2"/>
    <m/>
    <m/>
    <m/>
    <s v="Yes"/>
    <m/>
    <s v="Yes"/>
    <m/>
    <m/>
    <m/>
    <m/>
    <m/>
  </r>
  <r>
    <x v="29"/>
    <s v="InsurTech"/>
    <s v="A three sided marketplace connecting customers directly with contractors for insurance companies.  Determines the right contractor to undertake repairs and schedules.  Once contractor inspects and property owner reviews and coverage is confirmed, deductible check is issued.  Progress on repairs is communicated through a handdii storyboard.  once done, customers rate the contractor.  Digital platform that automates the property insurance claim process from FNOL to finalization.  Australian based company.  "/>
    <s v="P &amp; C Claims"/>
    <s v="Claims Processing"/>
    <s v="Personal"/>
    <s v="Property"/>
    <x v="5"/>
    <n v="2018"/>
    <s v="Not Evaluated"/>
    <x v="1"/>
    <n v="1"/>
    <s v="Yes"/>
    <m/>
    <m/>
    <m/>
    <m/>
    <m/>
    <m/>
    <m/>
    <m/>
    <m/>
    <m/>
  </r>
  <r>
    <x v="30"/>
    <s v="InsurTech"/>
    <s v="Hippo Insurance launched in 2015 with the deep belief that homeowners deserve better home insurance. We automated the process and modernized coverage, allowing us to offer policies that cover the homes and possessions that consumers own today, often with greater savings. We also recognized a smarter home is a safer home: We take a proactive approach to home insurance, providing our customers with smart home devices and working with them to identify and solve small issues in their homes before they become big claims. Most importantly, we built a top-notch support team to care for our customers, something we believe truly differentiates Hippo Insurance."/>
    <s v="P &amp; C Underwriting"/>
    <s v="All"/>
    <s v="Personal"/>
    <s v="Homeowner"/>
    <x v="1"/>
    <n v="2015"/>
    <s v="Not Evaluated"/>
    <x v="1"/>
    <n v="2"/>
    <s v="No"/>
    <s v="No"/>
    <m/>
    <m/>
    <m/>
    <m/>
    <m/>
    <m/>
    <m/>
    <m/>
    <m/>
  </r>
  <r>
    <x v="31"/>
    <s v="InsurTech"/>
    <s v="HOVER Apps for Insurance Adjusters_x000a_HOVER offers one of the best apps for insurance adjusters. Calculate accurate measurements in minutes as HOVER creates a scaled 3D rendering of a home based on a few mobile photos taken of the property. Avoid wasting time taking home measurements by hand. Also, with HOVER’s web platform, you can easily access accurate home measurements to provide insurance coverage or process claims._x000a__x000a_"/>
    <s v="P &amp; C Claims"/>
    <s v="Claims Processing"/>
    <s v="Personal, Commercial"/>
    <s v="Property, Home Owner"/>
    <x v="10"/>
    <n v="2012"/>
    <s v="Not Evaluated"/>
    <x v="0"/>
    <n v="2"/>
    <s v="No"/>
    <s v="No"/>
    <m/>
    <m/>
    <m/>
    <m/>
    <m/>
    <m/>
    <m/>
    <m/>
    <m/>
  </r>
  <r>
    <x v="32"/>
    <s v="InsurTech"/>
    <s v="Fully-customizable solution, powered with document processing technology, out-of-the-box workflows, connectors and intelligence needed to build, run and manage mission-critical business processes - makes us the solution of choice for top public companies and major governments around the world._x000a__x000a_Hyperscience’s IDP solution uses proprietary machine learning models to extract printed and handwritten text from structured and semi-structured documents, such as forms, invoices, paystubs, and checks. Its success is driven by enterprise-friendly features, such as the ability to configure accuracy thresholds, quality assurance capability for measuring the model’s accuracy and improvements, and comprehensive analytics dashboards that provide a unified view of human and machine performance."/>
    <s v="P &amp; C Claims, UW"/>
    <s v="All"/>
    <s v="Personal, Commercial"/>
    <s v="All"/>
    <x v="7"/>
    <n v="2014"/>
    <s v="Not Evaluated"/>
    <x v="0"/>
    <n v="7"/>
    <s v="Yes"/>
    <s v="Yes"/>
    <s v="Yes"/>
    <s v="Yes"/>
    <s v="Yes"/>
    <s v="Yes"/>
    <s v="Yes"/>
    <m/>
    <m/>
    <m/>
    <m/>
  </r>
  <r>
    <x v="33"/>
    <m/>
    <s v="instant money company. Pay anyone anywhere for anything in an instant with real time secure funding.  Ingo Money’s full-service Disbursements Marketplace platform provides a range of disbursement services via lightweight technical integrations that feature payment choice."/>
    <s v="P &amp; C Claims, Finance"/>
    <s v="Claims Payment, AP"/>
    <s v="Both"/>
    <s v="All"/>
    <x v="0"/>
    <n v="2001"/>
    <s v="Not Evaluated"/>
    <x v="0"/>
    <n v="2"/>
    <m/>
    <s v="Yes"/>
    <m/>
    <m/>
    <m/>
    <m/>
    <m/>
    <m/>
    <m/>
    <s v="Yes"/>
    <m/>
  </r>
  <r>
    <x v="34"/>
    <s v="Other"/>
    <s v="They empower insurers to deliver a digital premium and claims payment experience that customers expect — fast, flexible, and future-focused. digital claim payments platform enables real time data retrieval and facilitates faster responses and payment transactions through the use of a robust set of web services.  T/L leinholder payments, mortgagee payments, reporting and reconciliation"/>
    <s v="P &amp; C Claims, Finance, Billing"/>
    <s v="Claims Payment, AP, AR"/>
    <s v="Both"/>
    <s v="All"/>
    <x v="0"/>
    <n v="2003"/>
    <s v="Not Evaluated"/>
    <x v="0"/>
    <n v="2"/>
    <m/>
    <s v="Yes"/>
    <m/>
    <m/>
    <m/>
    <m/>
    <m/>
    <m/>
    <m/>
    <s v="Yes"/>
    <m/>
  </r>
  <r>
    <x v="35"/>
    <s v="InsurTech"/>
    <s v="Connectivity is changing consumer expectations and business operations. Leverage IVANS, the insurance industry’s exchange connecting insurers, MGAs, agencies and insureds, to digitally distribute products and services in more ways than ever before"/>
    <s v="P&amp;C Underwriting"/>
    <s v="Underwriting, Acquisition, Broker Management"/>
    <s v="Commercial"/>
    <s v="All"/>
    <x v="5"/>
    <n v="1983"/>
    <s v="Not Evaluated"/>
    <x v="1"/>
    <n v="1"/>
    <m/>
    <m/>
    <m/>
    <m/>
    <m/>
    <s v="Yes"/>
    <m/>
    <m/>
    <m/>
    <m/>
    <m/>
  </r>
  <r>
    <x v="36"/>
    <s v="InsurTech"/>
    <s v="An IoT-enabled solution for the usage-based insurance market. Its usage-based insurance (UBI) solution demanded various data inputs and outputs, including automotive data collection, user data collection and output to many possible data bases and applications. To create such a flexible smart car platform, Jooycar enlisted the help of Telit’s IoT technology and expertise. (Basically a front end app tover Telit's hardware)"/>
    <s v="P &amp; C Underwriting"/>
    <s v="Product Acquisition, Underwriting"/>
    <s v="Personal"/>
    <s v="Auto"/>
    <x v="12"/>
    <n v="1999"/>
    <m/>
    <x v="1"/>
    <n v="0"/>
    <m/>
    <m/>
    <m/>
    <m/>
    <m/>
    <m/>
    <m/>
    <m/>
    <m/>
    <m/>
    <m/>
  </r>
  <r>
    <x v="37"/>
    <s v="InsurTech"/>
    <s v="Kore.ai provides platforms and solutions to o enable enterprises to automate and enhance digital interactions with their customers, employees and partners. Kore.ai provides a Conversational AI based no/low code enterprise platform to create virtual assistants with conversational &amp; digital user experiences. Kore.ai also provides domain trained pre-built virtual assistants for Banking, Insurance, HR and IT Support. The company has launched an enterprise digital assistant called Kora which acts as a universal/master/concierge assistant with inbuilt skills for knowledge mgt, enterprise search and meetings/tasks mgt and extensible with custom chatbot/digital, RPA &amp; search skills. In addition, the company provides a cloud based call automation and digital deflection service called Deflect."/>
    <s v="P &amp; C Underwriting &amp; Claims"/>
    <s v="Underwriting, Claim"/>
    <s v="Both"/>
    <s v="All"/>
    <x v="7"/>
    <n v="2013"/>
    <s v="Not Evaluated"/>
    <x v="2"/>
    <n v="7"/>
    <s v="Yes"/>
    <s v="Yes"/>
    <s v="Yes"/>
    <s v="Yes"/>
    <s v="Yes"/>
    <s v="Yes"/>
    <s v="Yes"/>
    <m/>
    <m/>
    <m/>
    <m/>
  </r>
  <r>
    <x v="38"/>
    <s v="InsurTech"/>
    <s v="eSignatures, eForms, Document Collection (use cellphones to snap and submit photos of bills, proof of income, passports), ID verification, Digital Consent, Secure Payment (pci compliant payments), Shared Review.  More efficient and intuitive claims and renewal processes.  Can also collect info at FNOL.Fastest growing eSignature insurance solution"/>
    <s v="P &amp; C Claims, UW"/>
    <s v="All"/>
    <s v="Both"/>
    <s v="All (WC, Auto, Property)"/>
    <x v="13"/>
    <n v="2015"/>
    <s v="Not Evaluated"/>
    <x v="0"/>
    <n v="7"/>
    <s v="Yes"/>
    <s v="Yes"/>
    <s v="Yes"/>
    <s v="Yes"/>
    <s v="Yes"/>
    <s v="Yes"/>
    <m/>
    <m/>
    <m/>
    <s v="Yes"/>
    <m/>
  </r>
  <r>
    <x v="39"/>
    <s v="InsurTech"/>
    <s v="Matterport ensures the highest accuracy in processing claims, reducing discrepancies and travel times necessary to verify jobs, decreasing overall costs, and providing better customer service to your clients._x000a__x000a_Improve accuracy and reduce the claim cycle._x000a_Adjust remotely and reduce travel time._x000a_Increase operational transparency with the ability to share links of 3D spaces to different stakeholders._x000a_Boost adjusting quality by enabling adjusters to review and navigate the loss remotely with accurate property dimensions._x000a_Improve customer service experience for policyholders by closing claims faster._x000a_Add additional notes and details with Mattertags™_x000a_Improve catastrophic (CAT) event response when in-house field adjusting teams are stretched thin by accessing the network of thousands of Matterport Service Partners, helping get people back into their homes and getting businesses up and running faster._x000a_Train and educate remotely with photo-realistic 3D experiences that are more cost effective than VR studios."/>
    <s v="P &amp; C Claims"/>
    <s v="Risk Assessment, Claims Processing"/>
    <s v="Personal, Commercial"/>
    <s v="Property, Home Owner"/>
    <x v="10"/>
    <n v="2011"/>
    <s v="Not Evaluated"/>
    <x v="0"/>
    <n v="2"/>
    <s v="No"/>
    <s v="No"/>
    <m/>
    <m/>
    <m/>
    <m/>
    <m/>
    <m/>
    <m/>
    <m/>
    <m/>
  </r>
  <r>
    <x v="40"/>
    <s v="Other"/>
    <s v="Mitchell International delviered smart technology solutions that simplify and acclerate claims handling, repair process and pharmacy transactions.  _x000a_Collision Repair &amp; Auto Body Shop Software Solutions - shop esimtaing, mgmt and workflow, estimating software, repair networks, DRP solutions, Auto Glass, _x000a_Physical Damage Clms Mgmt - Mitchell Work Center - open, E2E modular solution:  streamline assignment and claim routing, produce accurate estimates, T/L valuations, Photo Estimating, _x000a_PIP - Review Medical Bills, Access Auto Networks, Process Bills.  DecisionPoint is the Medical Bill Review Platform.  Also do 2nd level code and nurse review_x000a_3rd Party Casualty - Mitchell ClaimIQ - Injury and Assessment Software to assess liability and evaluate general damages_x000a_WC - Compliance Connection website to inform of regulatory changes, Regulatory Reporting Solution, SmartAdvisor Medical Bill Review Platform, AuditPro helps payors identify erros and abuses on medical bills, UM/UR, Physician Advisor Services, Nurse Case Management, IME's, RX intervention._x000a_Through Genex - Field Case Management, Telephonic Case Management, CAT Case Mgmt, UM/UR, Provider Care Networks, Cost containment programs in WC_x000a_"/>
    <s v="P &amp; C Claims"/>
    <s v="Claims Processing"/>
    <s v="Both"/>
    <s v="All (Auto, PIP, Liability, WC)"/>
    <x v="9"/>
    <n v="1978"/>
    <s v="Not Evaluated"/>
    <x v="0"/>
    <n v="1"/>
    <m/>
    <m/>
    <s v="Yes"/>
    <m/>
    <m/>
    <m/>
    <m/>
    <m/>
    <m/>
    <m/>
    <m/>
  </r>
  <r>
    <x v="41"/>
    <s v="InsurTech"/>
    <s v="Largest provider of outsourced FNOL in NA. Always Available Intake team providing 24/7 coverage.  Accommodates all methods of intake and tailored to integrate with national PPO networks.  Module called Companion Claim streamlines the reporting process y pre-populating info when there are multiple claims from a  single incident  Integrity checks provided automated, real time quality assurance, while a highly sophisticated dissemination and escalation engine supports complex routing in multiple formatted leading software and services solution copnay for insurance claims intake &quot;NetClaim analytics powered by Gradient AI&quot;.  They have a Web reporting capability also.  Call center capability,.  Module called CrisisPoint is an escalation engine/tool that gets info on crisis losses to the right person immediately (i.e.; CAT, hostage, etc).  TPA's also use NetClaim (ESIS)"/>
    <s v="P &amp; C Claims"/>
    <s v="Claims Processing"/>
    <s v="Both"/>
    <s v="All"/>
    <x v="11"/>
    <n v="2000"/>
    <s v="Not Evaluated"/>
    <x v="2"/>
    <n v="1"/>
    <s v="Yes"/>
    <m/>
    <m/>
    <m/>
    <m/>
    <m/>
    <m/>
    <m/>
    <m/>
    <m/>
    <m/>
  </r>
  <r>
    <x v="42"/>
    <s v="InsurTech"/>
    <s v="omni:us is bridging the gap between legacy insurance processes and intelligent systems to allow for required empathy. Leverage cutting-edge machine learning technology and revitalize your customer journey from the ground up. By automating non customer-facing workflows and offering valuable decision support to claims agents, you can realign around the immediate needs of policyholders. The modules are Cognitive Intake &amp; Enrichment, AI automation of data intense task and enable Straight through processing, automated coverage check and document completeness check"/>
    <s v="P &amp; C Claims"/>
    <s v="Claims Processing"/>
    <s v="Both"/>
    <s v="All"/>
    <x v="7"/>
    <n v="2015"/>
    <m/>
    <x v="0"/>
    <n v="1"/>
    <s v="Yes"/>
    <m/>
    <m/>
    <m/>
    <m/>
    <m/>
    <m/>
    <m/>
    <m/>
    <m/>
    <m/>
  </r>
  <r>
    <x v="43"/>
    <s v="Other"/>
    <s v="One Inc provides insurance companies a digital payments platform designed to increase retention, decrease admin expenses, and mitigate data security risk — while simplifying compliance. Combining multichannel digital communications with electronic payment processing and disbursement, the One Inc digital payments platform creates a frictionless premium and claims payment experience. Multiple payment methods — Allow payees to select how they want to be paid. Pay via an instant digital payment ClaimsCard®; push to an existing debit card; direct deposit via ACH; or mail a physical check in the mail._x000a_• Multiparty approvals and payments — Digitally obtain all required approvals and pay multiple parties on the same claim, reducing the cost and time it takes to close a claim._x000a_• API integration — Integrate directly into your claims management system, saving time and simplifying adjuster onboarding by fitting naturally into their workflow._x000a_• Two-factor authentication — Approvers and payees authenticate themselves by providing personal information as well as a code provided via phone or text,"/>
    <s v="P &amp; C Claims, Finance"/>
    <s v="Claims Payment, AP"/>
    <s v="Both"/>
    <s v="All"/>
    <x v="0"/>
    <n v="2012"/>
    <s v="Not Evaluated"/>
    <x v="2"/>
    <n v="2"/>
    <m/>
    <s v="Yes"/>
    <m/>
    <m/>
    <m/>
    <m/>
    <m/>
    <m/>
    <m/>
    <s v="Yes"/>
    <m/>
  </r>
  <r>
    <x v="44"/>
    <s v="InsurTech"/>
    <s v="The Otonomo Automotive Data Services Platform uses patented technology to ingest, secure, cleanse, normalize, aggregate, and enrich car data from 18 million vehicles. It is cloud-based software platform that captures and anonymizes vehicle data so it can then be used to create apps to provide services such as electric vehicle management, subscription-based fueling, parking, mapping, usage-based insurance and emergency service.It helps Usage-Based Insurance, Driver Behavior Monitoring and Feedback, Mileage Verification, First Notice of Loss, Claim, and Incident Reporting, Accident Reconstruction etc (Israeli startup)"/>
    <s v="P &amp; C Underwriting"/>
    <s v="Product Acquisition, Underwriting, claim"/>
    <s v="Personal"/>
    <s v="Auto"/>
    <x v="14"/>
    <n v="2015"/>
    <m/>
    <x v="1"/>
    <n v="0"/>
    <m/>
    <m/>
    <m/>
    <m/>
    <m/>
    <m/>
    <m/>
    <m/>
    <m/>
    <m/>
    <m/>
  </r>
  <r>
    <x v="45"/>
    <s v="InsurTech"/>
    <s v="Plnar is a leader in unlocking the power of digital photos with technology. Since its launch in 2017, our original augmented reality dimensioning app has been downloaded more than 400,000 times and helped users create thousands of projects. _x000a_plnar’s first-of-its-kind technology transforms interior property claims by creating better consumer experiences, shortening cycle times and streamlining expensive, inefficient processes. For insurers, they enable the digital desk for interior property claims by putting desk adjusters virtually into interior spaces in 3 simple steps:_x000a__x000a_1) Simple Smart device data capture: Homeowner, gig worker, inspector or field adjuster captures the interior _x000a_     property and damage with their smartphone, with or without measurements, to initiate the virtual claim_x000a_2) AR and AI enabled 3D modeling generates complete data sets and 3D models from digital photos taken of _x000a_     the interior property and damages_x000a_3) Digital Desk Portal : Desk adjusters can add annotations, take additional measurements from digital _x000a_    photos, update 2D &amp; 3D models in real time, generate reports and leverage digital adjusting tools to _x000a_    resolve virtual claims with confidence"/>
    <s v="P &amp; C Claims"/>
    <s v="Claims Processing"/>
    <s v="Both"/>
    <s v="Property"/>
    <x v="10"/>
    <n v="2017"/>
    <s v="Not Evaluated"/>
    <x v="0"/>
    <n v="1"/>
    <s v="Yes"/>
    <m/>
    <m/>
    <m/>
    <m/>
    <m/>
    <m/>
    <m/>
    <m/>
    <m/>
    <m/>
  </r>
  <r>
    <x v="46"/>
    <s v="InsurTech"/>
    <s v="The Quantemplate platform is specifically tailored to the day-to-day needs of insurance and re/insurance companies, putting the tools to manage data into the hands of the Underwriters, actuaries and management perform who perform deep analytics, share insights across their organization and use underwriting, claims and reserving data to drive financial performance. Build proprietary customer, market and pricing insights with Quantemplate analytic. _x000a_Quantemplate enables commercial property companies to quickly screen and prioritize submissions by automating the data preparation process, utilizing machine learning and applying validations to implement carrier rules_x000a_Case Study : TRANSAMERICA"/>
    <s v="P &amp; C Underwriting"/>
    <s v="Underwriting"/>
    <s v="Commercial"/>
    <s v="Property"/>
    <x v="14"/>
    <n v="2012"/>
    <m/>
    <x v="2"/>
    <n v="1"/>
    <m/>
    <m/>
    <m/>
    <s v="Yes"/>
    <m/>
    <m/>
    <m/>
    <m/>
    <m/>
    <m/>
    <m/>
  </r>
  <r>
    <x v="47"/>
    <s v="InsurTech"/>
    <s v="It creates clear report of your risks basis structured dataset. This company also offers to automate rating process if carrier is trying to digitize SME business"/>
    <s v="P &amp; C Underwriting"/>
    <s v="Underwriting"/>
    <s v="Both"/>
    <s v="All"/>
    <x v="15"/>
    <n v="2015"/>
    <s v="Not Evaluated"/>
    <x v="0"/>
    <n v="3"/>
    <m/>
    <m/>
    <m/>
    <s v="Yes"/>
    <s v="Yes"/>
    <m/>
    <m/>
    <m/>
    <s v="Yes"/>
    <m/>
    <m/>
  </r>
  <r>
    <x v="48"/>
    <s v="InsurTech"/>
    <s v="RiskGenius is policy documents reading tool which help summarize the coverages, identify risks or gaps in prodcuts using ML. Works for both Carriers and Brokers_x000a_RiskGenius increases the quality and speed of coverage delivery so you can work smarter and earn more business_x000a__x000a_The RiskGenius team is working to fix these processes by supporting insurance professionals with automation. By applying machine learning to insurance policies, we can streamline the work of underwriters, brokers and everyone in between. The result is insurance professionals can do more meaningful work for satisfied customers_x000a_"/>
    <s v="P &amp; C Underwriting &amp; Broker"/>
    <s v="Risk Engineering"/>
    <s v="Commercial"/>
    <s v="All"/>
    <x v="15"/>
    <n v="2011"/>
    <s v="Not Evaluated"/>
    <x v="1"/>
    <n v="4"/>
    <s v="No"/>
    <s v="No"/>
    <m/>
    <s v="Yes"/>
    <m/>
    <s v="Yes"/>
    <m/>
    <m/>
    <m/>
    <m/>
    <m/>
  </r>
  <r>
    <x v="49"/>
    <s v="Other"/>
    <s v="safelitesolutions.com.  Self service photo options, partnership with CCC to connect to DRP's and identify T/L.  FNOL across all lines of business and through all channels including mobile.  "/>
    <s v="P &amp; C Claims"/>
    <s v="Claims Processing"/>
    <s v="Both"/>
    <s v="All (WC, Auto, Property)"/>
    <x v="11"/>
    <n v="1947"/>
    <s v="Not Evaluated"/>
    <x v="2"/>
    <n v="1"/>
    <s v="Yes"/>
    <m/>
    <m/>
    <m/>
    <m/>
    <m/>
    <m/>
    <m/>
    <m/>
    <m/>
    <m/>
  </r>
  <r>
    <x v="50"/>
    <s v="TPA"/>
    <s v="Begun as a regional claims administrator founded in 1969, Sedgwick has grown into a leading global provider of technology-enabled risk, benefits and integrated business solutions with nearly 27,000 colleagues, located across 65 countries._x000a_Global Solutions : Auto/motor liability, Catastrophe response, Claims administration, Employers’ liability, Engineering, fire + environmental services, General liability, Loss adjusting, Major + complex loss, Marine, Product liability + recall and Technology solutions_x000a_Emerging global solutions : Absence management + tracking, Building consulting, Customized client apps, Cyber + technology liability, Global claim intake portal, Repair, restoration + mitigation, Workplace injury management_x000a_Industry specialties : Aviation, Construction, Education, Energy, Engineering, Environmental, Fine art + private clients, Healthcare, Hospitality, Lloyd's of London market, Manufacturing, Marine, Mining, Power, Public entity, Real estate, Retail + distribution, Technology, Transportation"/>
    <s v="P&amp;C Claims"/>
    <s v="Claims Processing"/>
    <s v="Both"/>
    <s v="All (WC, liability, property, disability, casualty, marine, integrated technology)"/>
    <x v="8"/>
    <n v="1969"/>
    <s v="Not Evaluated"/>
    <x v="2"/>
    <n v="1"/>
    <m/>
    <m/>
    <s v="Yes"/>
    <m/>
    <m/>
    <m/>
    <m/>
    <m/>
    <m/>
    <m/>
    <m/>
  </r>
  <r>
    <x v="51"/>
    <s v="InsurTech"/>
    <s v="Setoo™ is an insurance platform that enables ancillary revenue growth for travel and leisure e-businesses by providing them the ability to create and distribute personalized insurance products that precisely address their customers' concerns. _x000a_Setoo's insurance-as-a-service platform allows e-businesses to independently create and distribute personalized, claims-free insurance products elegantly integrated into the digital customer journey within minutes"/>
    <s v="Travel &amp; Leisure Underwriting"/>
    <s v="Product Management, "/>
    <s v="Personal"/>
    <s v="Travel_x000a_Leisure-E-Businesses"/>
    <x v="6"/>
    <n v="2018"/>
    <s v="Not Evaluated"/>
    <x v="1"/>
    <n v="0"/>
    <m/>
    <m/>
    <m/>
    <m/>
    <m/>
    <m/>
    <m/>
    <m/>
    <m/>
    <m/>
    <m/>
  </r>
  <r>
    <x v="52"/>
    <s v="InsurTech"/>
    <s v="Slice provides insurance for special products such as Home share, Ride share, Cyber etc._x000a__x000a_Additionally provides &quot;SLICE INSURANCE CLOUD SERVICES™&quot; and claims to be world’s first on-demand insurance cloud platform. With ICS one can build and launch on-demand insurance products, whether personal or commercial._x000a__x000a_Claims to have full, end-to-end insurance value chain capabilities including product integration, configuration, quote, bind, issue, built-in online payment (and refund) capabilities, FNOL and more"/>
    <s v="P &amp; C Claims"/>
    <s v="All"/>
    <s v="Personal, Commercial"/>
    <s v="Rideshare, Homeshare, Cyber"/>
    <x v="1"/>
    <m/>
    <s v="Not Evaluated"/>
    <x v="0"/>
    <n v="2"/>
    <s v="Yes"/>
    <s v="No"/>
    <m/>
    <m/>
    <m/>
    <m/>
    <m/>
    <m/>
    <m/>
    <m/>
    <m/>
  </r>
  <r>
    <x v="53"/>
    <s v="InsurTech"/>
    <s v="A cloud-based SAAS solution used by motor insurance providers to guide claimants through a photo &amp; information gathering process on the scene of an accident. The company was founded in 2010 as BodyShopBids and rebranded as Snapsheet in 2012.  Virtual appraisal platform , payments, managing rental reimbursement"/>
    <s v="P &amp; C Claims"/>
    <s v="Claims Processing"/>
    <s v="Both"/>
    <s v="Auto"/>
    <x v="10"/>
    <n v="2011"/>
    <s v="High"/>
    <x v="0"/>
    <n v="0"/>
    <m/>
    <m/>
    <m/>
    <m/>
    <m/>
    <m/>
    <m/>
    <m/>
    <m/>
    <m/>
    <m/>
  </r>
  <r>
    <x v="54"/>
    <s v="Other"/>
    <s v="Strataware s a leading medical bill review and medical management platform used by insurers and claims administrators to lower costs and improve patient outcomes. "/>
    <s v="P&amp;C Claims"/>
    <s v="Claims Processing"/>
    <s v="Commercial"/>
    <s v="All (Workers Compensation, Disability, Auto Casualty)"/>
    <x v="9"/>
    <n v="1978"/>
    <s v="Not Evaluated"/>
    <x v="2"/>
    <n v="1"/>
    <m/>
    <m/>
    <s v="Yes"/>
    <m/>
    <m/>
    <m/>
    <m/>
    <m/>
    <m/>
    <m/>
    <m/>
  </r>
  <r>
    <x v="55"/>
    <s v="InsurTech"/>
    <s v="Sygnif.ai extracts and delivers contextual business insurance data with complex data structures and tags them._x000a_Symplif.ai automates claim processing by extracting bill information from scans and records.  References Healthcare"/>
    <s v="P &amp; C Underwriting &amp; Claims"/>
    <s v="Underwriting, Claim"/>
    <s v="Both"/>
    <s v="Unclear"/>
    <x v="7"/>
    <n v="2019"/>
    <s v="Not Evaluated"/>
    <x v="0"/>
    <n v="4"/>
    <s v="Yes"/>
    <m/>
    <s v="Yes"/>
    <s v="Yes"/>
    <s v="Yes"/>
    <m/>
    <m/>
    <m/>
    <m/>
    <m/>
    <m/>
  </r>
  <r>
    <x v="56"/>
    <s v="InsurTech"/>
    <s v="Sure is a platform which integrates with Carriers systems to provide digital UW, Claims Processing (incl FNOL), Cloud based policy administration and supports OMNI channels. _x000a_Key clients include CHUBB, Farmers, Assurant"/>
    <s v="P &amp; C Underwriting &amp; Claims"/>
    <s v="Quoting, FNOL, Broker Intake"/>
    <s v="Personal, Commercial"/>
    <s v="All"/>
    <x v="6"/>
    <n v="2014"/>
    <s v="Not Evaluated"/>
    <x v="2"/>
    <n v="2"/>
    <s v="Yes"/>
    <s v="No"/>
    <m/>
    <m/>
    <m/>
    <m/>
    <m/>
    <m/>
    <m/>
    <m/>
    <m/>
  </r>
  <r>
    <x v="57"/>
    <s v="InsurTech"/>
    <s v="Developer of an AI-assisted underwriting system intended to help users make smarter, data-based underwriting and policy decisions. The company's system adapts and guides users through the underwriting process using an intuitive AI-assistant, insurance-specific computer vision and detailed property and contents reports, enabling commercial and residential properties owners to improve underwriting efficiency, risk management, loss ratio and customer satisfaction"/>
    <s v="P &amp; C Underwriting"/>
    <s v="Underwriting"/>
    <s v="Both"/>
    <s v="Property_x000a_Energy"/>
    <x v="15"/>
    <n v="2013"/>
    <s v="Not Evaluated"/>
    <x v="0"/>
    <n v="1"/>
    <m/>
    <m/>
    <m/>
    <s v="Yes"/>
    <m/>
    <m/>
    <m/>
    <m/>
    <m/>
    <m/>
    <m/>
  </r>
  <r>
    <x v="58"/>
    <s v="InsurTech"/>
    <s v="This insurtech is changing the way car insurers handle claims by applying AI to accident and disaster recovery.  The technology looks at the asset damage and predicts repair costs from photos in real time so claims can be settle faster.  Founded in 2014.  Tractable trains its deep learning technology on over 100 million images to make their models work more accurately.  Creates damage estimates and cost estimates"/>
    <s v="P &amp; C Claims"/>
    <s v="Claim Processing"/>
    <s v="Personal"/>
    <s v="Auto/Property"/>
    <x v="10"/>
    <n v="2014"/>
    <s v="Not Evaluated"/>
    <x v="0"/>
    <n v="1"/>
    <s v="Yes"/>
    <m/>
    <m/>
    <m/>
    <m/>
    <m/>
    <m/>
    <m/>
    <m/>
    <m/>
    <m/>
  </r>
  <r>
    <x v="59"/>
    <s v="InsurTech"/>
    <s v="About Trak Global Group Operating in five countries, Trak Global Group (TGG) is one of the world's largest telematics companies, gathering and interpreting data from connected devices to help organizations manage driver and vehicle risk. They develop hardware and application based connected vehicle data platform.Trak Global Group Limited develops hardware and application based connected vehicle data platform.The Company offers solutions for commercial motors, leasing, carsharing, and corporate fleets. Trak Global Group serves customers worldwide."/>
    <s v="P &amp; C Underwriting"/>
    <s v="Product Acquisition, Underwriting"/>
    <s v="Commercial"/>
    <s v="Auto"/>
    <x v="12"/>
    <n v="2016"/>
    <m/>
    <x v="1"/>
    <n v="0"/>
    <m/>
    <m/>
    <m/>
    <m/>
    <m/>
    <m/>
    <m/>
    <m/>
    <m/>
    <m/>
    <m/>
  </r>
  <r>
    <x v="60"/>
    <s v="Other"/>
    <s v="VPay equips insurers with configurable, next-generation digital solutions that streamline every aspect of the claims payment process.  VPay’s mobile expedited claim payment solution is a web-based solution that enables policyholder and multiparty claim payments from any device. Policyholders can quickly review their claim, approve service provider payments, or select a preferred payment type for receiving their own claim payment — all through a convenient mobile solution."/>
    <s v="P &amp; C Claims, Finance, Billing"/>
    <s v="Claims Payment, AP, AR"/>
    <s v="Both"/>
    <s v="All"/>
    <x v="0"/>
    <n v="2002"/>
    <s v="Not Evaluated"/>
    <x v="0"/>
    <n v="1"/>
    <m/>
    <s v="Yes"/>
    <m/>
    <m/>
    <m/>
    <m/>
    <m/>
    <m/>
    <m/>
    <m/>
    <m/>
  </r>
  <r>
    <x v="61"/>
    <s v="InsurTech"/>
    <s v="Provides digital solutions for P &amp; C focused on delivering exceptional claim experience.  Connects insurance carriers, contractors and policyholders.  Repair and restoration services.  Westhillglobal.com"/>
    <s v="P &amp; C Claims"/>
    <s v="Claims Processing"/>
    <s v="Both"/>
    <s v="Property"/>
    <x v="5"/>
    <n v="2019"/>
    <s v="Not Evaluated"/>
    <x v="1"/>
    <n v="0"/>
    <m/>
    <m/>
    <m/>
    <m/>
    <m/>
    <m/>
    <m/>
    <m/>
    <m/>
    <m/>
    <m/>
  </r>
  <r>
    <x v="62"/>
    <s v="InsurTech"/>
    <s v="Zesty harnesses the power of AI to change the way the trillion dollar property insurance industry is assessing risk.  They use the elates advancements I computer vision and deep learning on 115+Bn data points on residential and commercial properties to extract key building features to accurately model the potential impact of both non-catastrophic and catastrophic loss events.  insurance carriers and reinsurers have partnered with Zesty to underwrite risk more accurately, provide their customers a smoother purchasing experience and manage inspections more cost-effectively"/>
    <s v="P &amp; C Underwriting"/>
    <s v="New Business"/>
    <s v="Both"/>
    <s v="Property"/>
    <x v="14"/>
    <m/>
    <s v="Not Evaluated"/>
    <x v="0"/>
    <n v="1"/>
    <m/>
    <m/>
    <m/>
    <s v="Yes"/>
    <m/>
    <m/>
    <m/>
    <m/>
    <m/>
    <m/>
    <m/>
  </r>
  <r>
    <x v="62"/>
    <s v="InsurTech"/>
    <s v="Zesty harnesses the power of AI to change the way the trillion dollar property insurance industry is assessing risk.  They use the elates advancements I computer vision and deep learning on 115+Bn data points on residential and commercial properties to extract key building features to accurately model the potential impact of both non-catastrophic and catastrophic loss events.  insurance carriers and reinsurers have partnered with Zesty to underwrite risk more accurately, provide their customers a smoother purchasing experience and manage inspections more cost-effectively"/>
    <s v="P &amp; C Underwriting"/>
    <s v="New Business"/>
    <s v="Both"/>
    <s v="Property"/>
    <x v="14"/>
    <m/>
    <s v="Not Evaluated"/>
    <x v="0"/>
    <n v="1"/>
    <m/>
    <m/>
    <m/>
    <s v="Yes"/>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0" applyNumberFormats="0" applyBorderFormats="0" applyFontFormats="0" applyPatternFormats="0" applyAlignmentFormats="0" applyWidthHeightFormats="1" dataCaption="Values" updatedVersion="6" minRefreshableVersion="3" useAutoFormatting="1" colGrandTotals="0" itemPrintTitles="1" createdVersion="6" indent="0" compact="0" compactData="0" multipleFieldFilters="0">
  <location ref="C6:E70" firstHeaderRow="1" firstDataRow="1" firstDataCol="3"/>
  <pivotFields count="23">
    <pivotField axis="axisRow" compact="0" outline="0" showAll="0" defaultSubtotal="0">
      <items count="63">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9"/>
        <item x="52"/>
        <item x="53"/>
        <item x="54"/>
        <item x="55"/>
        <item x="56"/>
        <item x="57"/>
        <item x="58"/>
        <item x="59"/>
        <item x="60"/>
        <item x="61"/>
        <item x="62"/>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defaultSubtotal="0">
      <items count="44">
        <item x="4"/>
        <item m="1" x="41"/>
        <item m="1" x="25"/>
        <item m="1" x="29"/>
        <item m="1" x="31"/>
        <item m="1" x="22"/>
        <item x="14"/>
        <item m="1" x="34"/>
        <item x="8"/>
        <item m="1" x="21"/>
        <item m="1" x="30"/>
        <item m="1" x="18"/>
        <item m="1" x="32"/>
        <item x="2"/>
        <item x="7"/>
        <item m="1" x="23"/>
        <item x="5"/>
        <item m="1" x="39"/>
        <item x="1"/>
        <item m="1" x="28"/>
        <item x="13"/>
        <item x="10"/>
        <item x="11"/>
        <item m="1" x="43"/>
        <item m="1" x="33"/>
        <item m="1" x="17"/>
        <item m="1" x="35"/>
        <item m="1" x="42"/>
        <item x="9"/>
        <item m="1" x="20"/>
        <item m="1" x="37"/>
        <item m="1" x="24"/>
        <item x="0"/>
        <item m="1" x="40"/>
        <item m="1" x="38"/>
        <item m="1" x="16"/>
        <item m="1" x="26"/>
        <item x="6"/>
        <item m="1" x="27"/>
        <item x="15"/>
        <item m="1" x="36"/>
        <item x="12"/>
        <item x="3"/>
        <item m="1" x="19"/>
      </items>
    </pivotField>
    <pivotField compact="0" outline="0" showAll="0"/>
    <pivotField compact="0" outline="0" showAll="0"/>
    <pivotField name="2020 EXL Assessment "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7"/>
    <field x="0"/>
    <field x="10"/>
  </rowFields>
  <rowItems count="64">
    <i>
      <x/>
      <x v="5"/>
      <x v="1"/>
    </i>
    <i r="1">
      <x v="9"/>
      <x v="1"/>
    </i>
    <i r="1">
      <x v="11"/>
      <x v="2"/>
    </i>
    <i r="1">
      <x v="13"/>
      <x v="2"/>
    </i>
    <i r="1">
      <x v="26"/>
      <x/>
    </i>
    <i r="1">
      <x v="51"/>
      <x/>
    </i>
    <i>
      <x v="6"/>
      <x v="43"/>
      <x v="1"/>
    </i>
    <i r="1">
      <x v="45"/>
      <x/>
    </i>
    <i r="1">
      <x v="62"/>
      <x v="2"/>
    </i>
    <i>
      <x v="8"/>
      <x v="15"/>
      <x v="1"/>
    </i>
    <i r="1">
      <x v="19"/>
      <x v="1"/>
    </i>
    <i r="1">
      <x v="23"/>
      <x/>
    </i>
    <i r="1">
      <x v="49"/>
      <x/>
    </i>
    <i>
      <x v="13"/>
      <x v="2"/>
      <x v="2"/>
    </i>
    <i r="1">
      <x v="4"/>
      <x v="1"/>
    </i>
    <i>
      <x v="14"/>
      <x v="10"/>
      <x/>
    </i>
    <i r="1">
      <x v="16"/>
      <x v="1"/>
    </i>
    <i r="1">
      <x v="27"/>
      <x/>
    </i>
    <i r="1">
      <x v="31"/>
      <x v="2"/>
    </i>
    <i r="1">
      <x v="36"/>
      <x/>
    </i>
    <i r="1">
      <x v="41"/>
      <x v="2"/>
    </i>
    <i r="1">
      <x v="55"/>
      <x v="2"/>
    </i>
    <i>
      <x v="16"/>
      <x v="6"/>
      <x v="2"/>
    </i>
    <i r="1">
      <x v="25"/>
      <x v="1"/>
    </i>
    <i r="1">
      <x v="28"/>
      <x v="1"/>
    </i>
    <i r="1">
      <x v="34"/>
      <x v="1"/>
    </i>
    <i r="1">
      <x v="61"/>
      <x v="1"/>
    </i>
    <i>
      <x v="18"/>
      <x v="1"/>
      <x v="1"/>
    </i>
    <i r="1">
      <x v="8"/>
      <x v="1"/>
    </i>
    <i r="1">
      <x v="14"/>
      <x v="1"/>
    </i>
    <i r="1">
      <x v="17"/>
      <x v="1"/>
    </i>
    <i r="1">
      <x v="21"/>
      <x v="1"/>
    </i>
    <i r="1">
      <x v="29"/>
      <x v="1"/>
    </i>
    <i r="1">
      <x v="52"/>
      <x v="2"/>
    </i>
    <i>
      <x v="20"/>
      <x v="37"/>
      <x v="2"/>
    </i>
    <i>
      <x v="21"/>
      <x v="22"/>
      <x v="2"/>
    </i>
    <i r="1">
      <x v="30"/>
      <x v="2"/>
    </i>
    <i r="1">
      <x v="38"/>
      <x v="2"/>
    </i>
    <i r="1">
      <x v="44"/>
      <x v="2"/>
    </i>
    <i r="1">
      <x v="53"/>
      <x v="2"/>
    </i>
    <i r="1">
      <x v="58"/>
      <x v="2"/>
    </i>
    <i>
      <x v="22"/>
      <x v="24"/>
      <x v="2"/>
    </i>
    <i r="1">
      <x v="40"/>
      <x/>
    </i>
    <i r="1">
      <x v="48"/>
      <x/>
    </i>
    <i>
      <x v="28"/>
      <x v="18"/>
      <x v="2"/>
    </i>
    <i r="1">
      <x v="39"/>
      <x v="2"/>
    </i>
    <i r="1">
      <x v="54"/>
      <x/>
    </i>
    <i>
      <x v="32"/>
      <x/>
      <x v="2"/>
    </i>
    <i r="1">
      <x v="12"/>
      <x/>
    </i>
    <i r="1">
      <x v="20"/>
      <x v="2"/>
    </i>
    <i r="1">
      <x v="32"/>
      <x v="2"/>
    </i>
    <i r="1">
      <x v="33"/>
      <x v="2"/>
    </i>
    <i r="1">
      <x v="42"/>
      <x/>
    </i>
    <i r="1">
      <x v="60"/>
      <x v="2"/>
    </i>
    <i>
      <x v="37"/>
      <x v="7"/>
      <x v="1"/>
    </i>
    <i r="1">
      <x v="50"/>
      <x v="1"/>
    </i>
    <i r="1">
      <x v="56"/>
      <x/>
    </i>
    <i>
      <x v="39"/>
      <x v="46"/>
      <x v="2"/>
    </i>
    <i r="1">
      <x v="47"/>
      <x v="1"/>
    </i>
    <i r="1">
      <x v="57"/>
      <x v="2"/>
    </i>
    <i>
      <x v="41"/>
      <x v="35"/>
      <x v="1"/>
    </i>
    <i r="1">
      <x v="59"/>
      <x v="1"/>
    </i>
    <i>
      <x v="42"/>
      <x v="3"/>
      <x v="2"/>
    </i>
    <i t="grand">
      <x/>
    </i>
  </rowItems>
  <colItems count="1">
    <i/>
  </colItems>
  <formats count="142">
    <format dxfId="201">
      <pivotArea outline="0" collapsedLevelsAreSubtotals="1" fieldPosition="0">
        <references count="1">
          <reference field="10" count="0" selected="0"/>
        </references>
      </pivotArea>
    </format>
    <format dxfId="200">
      <pivotArea dataOnly="0" labelOnly="1" fieldPosition="0">
        <references count="1">
          <reference field="10" count="0"/>
        </references>
      </pivotArea>
    </format>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10" type="button" dataOnly="0" labelOnly="1" outline="0" axis="axisRow" fieldPosition="2"/>
    </format>
    <format dxfId="195">
      <pivotArea type="topRight" dataOnly="0" labelOnly="1" outline="0" fieldPosition="0"/>
    </format>
    <format dxfId="194">
      <pivotArea field="7" type="button" dataOnly="0" labelOnly="1" outline="0" axis="axisRow" fieldPosition="0"/>
    </format>
    <format dxfId="193">
      <pivotArea dataOnly="0" labelOnly="1" fieldPosition="0">
        <references count="1">
          <reference field="7" count="0"/>
        </references>
      </pivotArea>
    </format>
    <format dxfId="192">
      <pivotArea dataOnly="0" labelOnly="1" grandRow="1" outline="0" fieldPosition="0"/>
    </format>
    <format dxfId="191">
      <pivotArea dataOnly="0" labelOnly="1" fieldPosition="0">
        <references count="2">
          <reference field="0" count="6">
            <x v="5"/>
            <x v="9"/>
            <x v="11"/>
            <x v="13"/>
            <x v="26"/>
            <x v="51"/>
          </reference>
          <reference field="7" count="1" selected="0">
            <x v="0"/>
          </reference>
        </references>
      </pivotArea>
    </format>
    <format dxfId="190">
      <pivotArea dataOnly="0" labelOnly="1" fieldPosition="0">
        <references count="2">
          <reference field="0" count="3">
            <x v="43"/>
            <x v="45"/>
            <x v="62"/>
          </reference>
          <reference field="7" count="1" selected="0">
            <x v="6"/>
          </reference>
        </references>
      </pivotArea>
    </format>
    <format dxfId="189">
      <pivotArea dataOnly="0" labelOnly="1" fieldPosition="0">
        <references count="2">
          <reference field="0" count="4">
            <x v="15"/>
            <x v="19"/>
            <x v="23"/>
            <x v="49"/>
          </reference>
          <reference field="7" count="1" selected="0">
            <x v="8"/>
          </reference>
        </references>
      </pivotArea>
    </format>
    <format dxfId="188">
      <pivotArea dataOnly="0" labelOnly="1" fieldPosition="0">
        <references count="2">
          <reference field="0" count="2">
            <x v="2"/>
            <x v="4"/>
          </reference>
          <reference field="7" count="1" selected="0">
            <x v="13"/>
          </reference>
        </references>
      </pivotArea>
    </format>
    <format dxfId="187">
      <pivotArea dataOnly="0" labelOnly="1" fieldPosition="0">
        <references count="2">
          <reference field="0" count="7">
            <x v="10"/>
            <x v="16"/>
            <x v="27"/>
            <x v="31"/>
            <x v="36"/>
            <x v="41"/>
            <x v="55"/>
          </reference>
          <reference field="7" count="1" selected="0">
            <x v="14"/>
          </reference>
        </references>
      </pivotArea>
    </format>
    <format dxfId="186">
      <pivotArea dataOnly="0" labelOnly="1" fieldPosition="0">
        <references count="2">
          <reference field="0" count="5">
            <x v="6"/>
            <x v="25"/>
            <x v="28"/>
            <x v="34"/>
            <x v="61"/>
          </reference>
          <reference field="7" count="1" selected="0">
            <x v="16"/>
          </reference>
        </references>
      </pivotArea>
    </format>
    <format dxfId="185">
      <pivotArea dataOnly="0" labelOnly="1" fieldPosition="0">
        <references count="2">
          <reference field="0" count="7">
            <x v="1"/>
            <x v="8"/>
            <x v="14"/>
            <x v="17"/>
            <x v="21"/>
            <x v="29"/>
            <x v="52"/>
          </reference>
          <reference field="7" count="1" selected="0">
            <x v="18"/>
          </reference>
        </references>
      </pivotArea>
    </format>
    <format dxfId="184">
      <pivotArea dataOnly="0" labelOnly="1" fieldPosition="0">
        <references count="2">
          <reference field="0" count="1">
            <x v="37"/>
          </reference>
          <reference field="7" count="1" selected="0">
            <x v="20"/>
          </reference>
        </references>
      </pivotArea>
    </format>
    <format dxfId="183">
      <pivotArea dataOnly="0" labelOnly="1" fieldPosition="0">
        <references count="2">
          <reference field="0" count="6">
            <x v="22"/>
            <x v="30"/>
            <x v="38"/>
            <x v="44"/>
            <x v="53"/>
            <x v="58"/>
          </reference>
          <reference field="7" count="1" selected="0">
            <x v="21"/>
          </reference>
        </references>
      </pivotArea>
    </format>
    <format dxfId="182">
      <pivotArea dataOnly="0" labelOnly="1" fieldPosition="0">
        <references count="2">
          <reference field="0" count="3">
            <x v="24"/>
            <x v="40"/>
            <x v="48"/>
          </reference>
          <reference field="7" count="1" selected="0">
            <x v="22"/>
          </reference>
        </references>
      </pivotArea>
    </format>
    <format dxfId="181">
      <pivotArea dataOnly="0" labelOnly="1" fieldPosition="0">
        <references count="2">
          <reference field="0" count="3">
            <x v="18"/>
            <x v="39"/>
            <x v="54"/>
          </reference>
          <reference field="7" count="1" selected="0">
            <x v="28"/>
          </reference>
        </references>
      </pivotArea>
    </format>
    <format dxfId="180">
      <pivotArea dataOnly="0" labelOnly="1" fieldPosition="0">
        <references count="2">
          <reference field="0" count="7">
            <x v="0"/>
            <x v="12"/>
            <x v="20"/>
            <x v="32"/>
            <x v="33"/>
            <x v="42"/>
            <x v="60"/>
          </reference>
          <reference field="7" count="1" selected="0">
            <x v="32"/>
          </reference>
        </references>
      </pivotArea>
    </format>
    <format dxfId="179">
      <pivotArea dataOnly="0" labelOnly="1" fieldPosition="0">
        <references count="2">
          <reference field="0" count="3">
            <x v="7"/>
            <x v="50"/>
            <x v="56"/>
          </reference>
          <reference field="7" count="1" selected="0">
            <x v="37"/>
          </reference>
        </references>
      </pivotArea>
    </format>
    <format dxfId="178">
      <pivotArea dataOnly="0" labelOnly="1" fieldPosition="0">
        <references count="2">
          <reference field="0" count="3">
            <x v="46"/>
            <x v="47"/>
            <x v="57"/>
          </reference>
          <reference field="7" count="1" selected="0">
            <x v="39"/>
          </reference>
        </references>
      </pivotArea>
    </format>
    <format dxfId="177">
      <pivotArea dataOnly="0" labelOnly="1" fieldPosition="0">
        <references count="2">
          <reference field="0" count="2">
            <x v="35"/>
            <x v="59"/>
          </reference>
          <reference field="7" count="1" selected="0">
            <x v="41"/>
          </reference>
        </references>
      </pivotArea>
    </format>
    <format dxfId="176">
      <pivotArea dataOnly="0" labelOnly="1" fieldPosition="0">
        <references count="2">
          <reference field="0" count="1">
            <x v="3"/>
          </reference>
          <reference field="7" count="1" selected="0">
            <x v="42"/>
          </reference>
        </references>
      </pivotArea>
    </format>
    <format dxfId="175">
      <pivotArea dataOnly="0" labelOnly="1" fieldPosition="0">
        <references count="1">
          <reference field="10" count="0"/>
        </references>
      </pivotArea>
    </format>
    <format dxfId="174">
      <pivotArea dataOnly="0" labelOnly="1" grandCol="1" outline="0" fieldPosition="0"/>
    </format>
    <format dxfId="173">
      <pivotArea type="all" dataOnly="0" outline="0" fieldPosition="0"/>
    </format>
    <format dxfId="172">
      <pivotArea outline="0" collapsedLevelsAreSubtotals="1" fieldPosition="0"/>
    </format>
    <format dxfId="171">
      <pivotArea type="origin" dataOnly="0" labelOnly="1" outline="0" fieldPosition="0"/>
    </format>
    <format dxfId="170">
      <pivotArea field="10" type="button" dataOnly="0" labelOnly="1" outline="0" axis="axisRow" fieldPosition="2"/>
    </format>
    <format dxfId="169">
      <pivotArea type="topRight" dataOnly="0" labelOnly="1" outline="0" fieldPosition="0"/>
    </format>
    <format dxfId="168">
      <pivotArea field="7" type="button" dataOnly="0" labelOnly="1" outline="0" axis="axisRow" fieldPosition="0"/>
    </format>
    <format dxfId="167">
      <pivotArea dataOnly="0" labelOnly="1" fieldPosition="0">
        <references count="1">
          <reference field="7" count="0"/>
        </references>
      </pivotArea>
    </format>
    <format dxfId="166">
      <pivotArea dataOnly="0" labelOnly="1" grandRow="1" outline="0" fieldPosition="0"/>
    </format>
    <format dxfId="165">
      <pivotArea dataOnly="0" labelOnly="1" fieldPosition="0">
        <references count="2">
          <reference field="0" count="6">
            <x v="5"/>
            <x v="9"/>
            <x v="11"/>
            <x v="13"/>
            <x v="26"/>
            <x v="51"/>
          </reference>
          <reference field="7" count="1" selected="0">
            <x v="0"/>
          </reference>
        </references>
      </pivotArea>
    </format>
    <format dxfId="164">
      <pivotArea dataOnly="0" labelOnly="1" fieldPosition="0">
        <references count="2">
          <reference field="0" count="3">
            <x v="43"/>
            <x v="45"/>
            <x v="62"/>
          </reference>
          <reference field="7" count="1" selected="0">
            <x v="6"/>
          </reference>
        </references>
      </pivotArea>
    </format>
    <format dxfId="163">
      <pivotArea dataOnly="0" labelOnly="1" fieldPosition="0">
        <references count="2">
          <reference field="0" count="4">
            <x v="15"/>
            <x v="19"/>
            <x v="23"/>
            <x v="49"/>
          </reference>
          <reference field="7" count="1" selected="0">
            <x v="8"/>
          </reference>
        </references>
      </pivotArea>
    </format>
    <format dxfId="162">
      <pivotArea dataOnly="0" labelOnly="1" fieldPosition="0">
        <references count="2">
          <reference field="0" count="2">
            <x v="2"/>
            <x v="4"/>
          </reference>
          <reference field="7" count="1" selected="0">
            <x v="13"/>
          </reference>
        </references>
      </pivotArea>
    </format>
    <format dxfId="161">
      <pivotArea dataOnly="0" labelOnly="1" fieldPosition="0">
        <references count="2">
          <reference field="0" count="7">
            <x v="10"/>
            <x v="16"/>
            <x v="27"/>
            <x v="31"/>
            <x v="36"/>
            <x v="41"/>
            <x v="55"/>
          </reference>
          <reference field="7" count="1" selected="0">
            <x v="14"/>
          </reference>
        </references>
      </pivotArea>
    </format>
    <format dxfId="160">
      <pivotArea dataOnly="0" labelOnly="1" fieldPosition="0">
        <references count="2">
          <reference field="0" count="5">
            <x v="6"/>
            <x v="25"/>
            <x v="28"/>
            <x v="34"/>
            <x v="61"/>
          </reference>
          <reference field="7" count="1" selected="0">
            <x v="16"/>
          </reference>
        </references>
      </pivotArea>
    </format>
    <format dxfId="159">
      <pivotArea dataOnly="0" labelOnly="1" fieldPosition="0">
        <references count="2">
          <reference field="0" count="7">
            <x v="1"/>
            <x v="8"/>
            <x v="14"/>
            <x v="17"/>
            <x v="21"/>
            <x v="29"/>
            <x v="52"/>
          </reference>
          <reference field="7" count="1" selected="0">
            <x v="18"/>
          </reference>
        </references>
      </pivotArea>
    </format>
    <format dxfId="158">
      <pivotArea dataOnly="0" labelOnly="1" fieldPosition="0">
        <references count="2">
          <reference field="0" count="1">
            <x v="37"/>
          </reference>
          <reference field="7" count="1" selected="0">
            <x v="20"/>
          </reference>
        </references>
      </pivotArea>
    </format>
    <format dxfId="157">
      <pivotArea dataOnly="0" labelOnly="1" fieldPosition="0">
        <references count="2">
          <reference field="0" count="6">
            <x v="22"/>
            <x v="30"/>
            <x v="38"/>
            <x v="44"/>
            <x v="53"/>
            <x v="58"/>
          </reference>
          <reference field="7" count="1" selected="0">
            <x v="21"/>
          </reference>
        </references>
      </pivotArea>
    </format>
    <format dxfId="156">
      <pivotArea dataOnly="0" labelOnly="1" fieldPosition="0">
        <references count="2">
          <reference field="0" count="3">
            <x v="24"/>
            <x v="40"/>
            <x v="48"/>
          </reference>
          <reference field="7" count="1" selected="0">
            <x v="22"/>
          </reference>
        </references>
      </pivotArea>
    </format>
    <format dxfId="155">
      <pivotArea dataOnly="0" labelOnly="1" fieldPosition="0">
        <references count="2">
          <reference field="0" count="3">
            <x v="18"/>
            <x v="39"/>
            <x v="54"/>
          </reference>
          <reference field="7" count="1" selected="0">
            <x v="28"/>
          </reference>
        </references>
      </pivotArea>
    </format>
    <format dxfId="154">
      <pivotArea dataOnly="0" labelOnly="1" fieldPosition="0">
        <references count="2">
          <reference field="0" count="7">
            <x v="0"/>
            <x v="12"/>
            <x v="20"/>
            <x v="32"/>
            <x v="33"/>
            <x v="42"/>
            <x v="60"/>
          </reference>
          <reference field="7" count="1" selected="0">
            <x v="32"/>
          </reference>
        </references>
      </pivotArea>
    </format>
    <format dxfId="153">
      <pivotArea dataOnly="0" labelOnly="1" fieldPosition="0">
        <references count="2">
          <reference field="0" count="3">
            <x v="7"/>
            <x v="50"/>
            <x v="56"/>
          </reference>
          <reference field="7" count="1" selected="0">
            <x v="37"/>
          </reference>
        </references>
      </pivotArea>
    </format>
    <format dxfId="152">
      <pivotArea dataOnly="0" labelOnly="1" fieldPosition="0">
        <references count="2">
          <reference field="0" count="3">
            <x v="46"/>
            <x v="47"/>
            <x v="57"/>
          </reference>
          <reference field="7" count="1" selected="0">
            <x v="39"/>
          </reference>
        </references>
      </pivotArea>
    </format>
    <format dxfId="151">
      <pivotArea dataOnly="0" labelOnly="1" fieldPosition="0">
        <references count="2">
          <reference field="0" count="2">
            <x v="35"/>
            <x v="59"/>
          </reference>
          <reference field="7" count="1" selected="0">
            <x v="41"/>
          </reference>
        </references>
      </pivotArea>
    </format>
    <format dxfId="150">
      <pivotArea dataOnly="0" labelOnly="1" fieldPosition="0">
        <references count="2">
          <reference field="0" count="1">
            <x v="3"/>
          </reference>
          <reference field="7" count="1" selected="0">
            <x v="42"/>
          </reference>
        </references>
      </pivotArea>
    </format>
    <format dxfId="149">
      <pivotArea dataOnly="0" labelOnly="1" fieldPosition="0">
        <references count="1">
          <reference field="10" count="0"/>
        </references>
      </pivotArea>
    </format>
    <format dxfId="148">
      <pivotArea dataOnly="0" labelOnly="1" grandCol="1" outline="0" fieldPosition="0"/>
    </format>
    <format dxfId="147">
      <pivotArea outline="0" collapsedLevelsAreSubtotals="1" fieldPosition="0"/>
    </format>
    <format dxfId="146">
      <pivotArea outline="0" collapsedLevelsAreSubtotals="1" fieldPosition="0"/>
    </format>
    <format dxfId="145">
      <pivotArea type="all" dataOnly="0" outline="0" fieldPosition="0"/>
    </format>
    <format dxfId="144">
      <pivotArea field="7" type="button" dataOnly="0" labelOnly="1" outline="0" axis="axisRow" fieldPosition="0"/>
    </format>
    <format dxfId="143">
      <pivotArea field="0" type="button" dataOnly="0" labelOnly="1" outline="0" axis="axisRow" fieldPosition="1"/>
    </format>
    <format dxfId="142">
      <pivotArea field="10" type="button" dataOnly="0" labelOnly="1" outline="0" axis="axisRow" fieldPosition="2"/>
    </format>
    <format dxfId="141">
      <pivotArea dataOnly="0" labelOnly="1" outline="0" fieldPosition="0">
        <references count="1">
          <reference field="7" count="0"/>
        </references>
      </pivotArea>
    </format>
    <format dxfId="140">
      <pivotArea dataOnly="0" labelOnly="1" grandRow="1" outline="0" fieldPosition="0"/>
    </format>
    <format dxfId="139">
      <pivotArea dataOnly="0" labelOnly="1" outline="0" fieldPosition="0">
        <references count="2">
          <reference field="0" count="6">
            <x v="5"/>
            <x v="9"/>
            <x v="11"/>
            <x v="13"/>
            <x v="26"/>
            <x v="51"/>
          </reference>
          <reference field="7" count="1" selected="0">
            <x v="0"/>
          </reference>
        </references>
      </pivotArea>
    </format>
    <format dxfId="138">
      <pivotArea dataOnly="0" labelOnly="1" outline="0" fieldPosition="0">
        <references count="2">
          <reference field="0" count="3">
            <x v="43"/>
            <x v="45"/>
            <x v="62"/>
          </reference>
          <reference field="7" count="1" selected="0">
            <x v="6"/>
          </reference>
        </references>
      </pivotArea>
    </format>
    <format dxfId="137">
      <pivotArea dataOnly="0" labelOnly="1" outline="0" fieldPosition="0">
        <references count="2">
          <reference field="0" count="4">
            <x v="15"/>
            <x v="19"/>
            <x v="23"/>
            <x v="49"/>
          </reference>
          <reference field="7" count="1" selected="0">
            <x v="8"/>
          </reference>
        </references>
      </pivotArea>
    </format>
    <format dxfId="136">
      <pivotArea dataOnly="0" labelOnly="1" outline="0" fieldPosition="0">
        <references count="2">
          <reference field="0" count="2">
            <x v="2"/>
            <x v="4"/>
          </reference>
          <reference field="7" count="1" selected="0">
            <x v="13"/>
          </reference>
        </references>
      </pivotArea>
    </format>
    <format dxfId="135">
      <pivotArea dataOnly="0" labelOnly="1" outline="0" fieldPosition="0">
        <references count="2">
          <reference field="0" count="7">
            <x v="10"/>
            <x v="16"/>
            <x v="27"/>
            <x v="31"/>
            <x v="36"/>
            <x v="41"/>
            <x v="55"/>
          </reference>
          <reference field="7" count="1" selected="0">
            <x v="14"/>
          </reference>
        </references>
      </pivotArea>
    </format>
    <format dxfId="134">
      <pivotArea dataOnly="0" labelOnly="1" outline="0" fieldPosition="0">
        <references count="2">
          <reference field="0" count="5">
            <x v="6"/>
            <x v="25"/>
            <x v="28"/>
            <x v="34"/>
            <x v="61"/>
          </reference>
          <reference field="7" count="1" selected="0">
            <x v="16"/>
          </reference>
        </references>
      </pivotArea>
    </format>
    <format dxfId="133">
      <pivotArea dataOnly="0" labelOnly="1" outline="0" fieldPosition="0">
        <references count="2">
          <reference field="0" count="7">
            <x v="1"/>
            <x v="8"/>
            <x v="14"/>
            <x v="17"/>
            <x v="21"/>
            <x v="29"/>
            <x v="52"/>
          </reference>
          <reference field="7" count="1" selected="0">
            <x v="18"/>
          </reference>
        </references>
      </pivotArea>
    </format>
    <format dxfId="132">
      <pivotArea dataOnly="0" labelOnly="1" outline="0" fieldPosition="0">
        <references count="2">
          <reference field="0" count="1">
            <x v="37"/>
          </reference>
          <reference field="7" count="1" selected="0">
            <x v="20"/>
          </reference>
        </references>
      </pivotArea>
    </format>
    <format dxfId="131">
      <pivotArea dataOnly="0" labelOnly="1" outline="0" fieldPosition="0">
        <references count="2">
          <reference field="0" count="6">
            <x v="22"/>
            <x v="30"/>
            <x v="38"/>
            <x v="44"/>
            <x v="53"/>
            <x v="58"/>
          </reference>
          <reference field="7" count="1" selected="0">
            <x v="21"/>
          </reference>
        </references>
      </pivotArea>
    </format>
    <format dxfId="130">
      <pivotArea dataOnly="0" labelOnly="1" outline="0" fieldPosition="0">
        <references count="2">
          <reference field="0" count="3">
            <x v="24"/>
            <x v="40"/>
            <x v="48"/>
          </reference>
          <reference field="7" count="1" selected="0">
            <x v="22"/>
          </reference>
        </references>
      </pivotArea>
    </format>
    <format dxfId="129">
      <pivotArea dataOnly="0" labelOnly="1" outline="0" fieldPosition="0">
        <references count="2">
          <reference field="0" count="3">
            <x v="18"/>
            <x v="39"/>
            <x v="54"/>
          </reference>
          <reference field="7" count="1" selected="0">
            <x v="28"/>
          </reference>
        </references>
      </pivotArea>
    </format>
    <format dxfId="128">
      <pivotArea dataOnly="0" labelOnly="1" outline="0" fieldPosition="0">
        <references count="2">
          <reference field="0" count="7">
            <x v="0"/>
            <x v="12"/>
            <x v="20"/>
            <x v="32"/>
            <x v="33"/>
            <x v="42"/>
            <x v="60"/>
          </reference>
          <reference field="7" count="1" selected="0">
            <x v="32"/>
          </reference>
        </references>
      </pivotArea>
    </format>
    <format dxfId="127">
      <pivotArea dataOnly="0" labelOnly="1" outline="0" fieldPosition="0">
        <references count="2">
          <reference field="0" count="3">
            <x v="7"/>
            <x v="50"/>
            <x v="56"/>
          </reference>
          <reference field="7" count="1" selected="0">
            <x v="37"/>
          </reference>
        </references>
      </pivotArea>
    </format>
    <format dxfId="126">
      <pivotArea dataOnly="0" labelOnly="1" outline="0" fieldPosition="0">
        <references count="2">
          <reference field="0" count="3">
            <x v="46"/>
            <x v="47"/>
            <x v="57"/>
          </reference>
          <reference field="7" count="1" selected="0">
            <x v="39"/>
          </reference>
        </references>
      </pivotArea>
    </format>
    <format dxfId="125">
      <pivotArea dataOnly="0" labelOnly="1" outline="0" fieldPosition="0">
        <references count="2">
          <reference field="0" count="2">
            <x v="35"/>
            <x v="59"/>
          </reference>
          <reference field="7" count="1" selected="0">
            <x v="41"/>
          </reference>
        </references>
      </pivotArea>
    </format>
    <format dxfId="124">
      <pivotArea dataOnly="0" labelOnly="1" outline="0" fieldPosition="0">
        <references count="2">
          <reference field="0" count="1">
            <x v="3"/>
          </reference>
          <reference field="7" count="1" selected="0">
            <x v="42"/>
          </reference>
        </references>
      </pivotArea>
    </format>
    <format dxfId="123">
      <pivotArea dataOnly="0" labelOnly="1" outline="0" fieldPosition="0">
        <references count="3">
          <reference field="0" count="1" selected="0">
            <x v="5"/>
          </reference>
          <reference field="7" count="1" selected="0">
            <x v="0"/>
          </reference>
          <reference field="10" count="1">
            <x v="1"/>
          </reference>
        </references>
      </pivotArea>
    </format>
    <format dxfId="122">
      <pivotArea dataOnly="0" labelOnly="1" outline="0" fieldPosition="0">
        <references count="3">
          <reference field="0" count="1" selected="0">
            <x v="9"/>
          </reference>
          <reference field="7" count="1" selected="0">
            <x v="0"/>
          </reference>
          <reference field="10" count="1">
            <x v="1"/>
          </reference>
        </references>
      </pivotArea>
    </format>
    <format dxfId="121">
      <pivotArea dataOnly="0" labelOnly="1" outline="0" fieldPosition="0">
        <references count="3">
          <reference field="0" count="1" selected="0">
            <x v="11"/>
          </reference>
          <reference field="7" count="1" selected="0">
            <x v="0"/>
          </reference>
          <reference field="10" count="1">
            <x v="2"/>
          </reference>
        </references>
      </pivotArea>
    </format>
    <format dxfId="120">
      <pivotArea dataOnly="0" labelOnly="1" outline="0" fieldPosition="0">
        <references count="3">
          <reference field="0" count="1" selected="0">
            <x v="13"/>
          </reference>
          <reference field="7" count="1" selected="0">
            <x v="0"/>
          </reference>
          <reference field="10" count="1">
            <x v="2"/>
          </reference>
        </references>
      </pivotArea>
    </format>
    <format dxfId="119">
      <pivotArea dataOnly="0" labelOnly="1" outline="0" fieldPosition="0">
        <references count="3">
          <reference field="0" count="1" selected="0">
            <x v="26"/>
          </reference>
          <reference field="7" count="1" selected="0">
            <x v="0"/>
          </reference>
          <reference field="10" count="1">
            <x v="0"/>
          </reference>
        </references>
      </pivotArea>
    </format>
    <format dxfId="118">
      <pivotArea dataOnly="0" labelOnly="1" outline="0" fieldPosition="0">
        <references count="3">
          <reference field="0" count="1" selected="0">
            <x v="51"/>
          </reference>
          <reference field="7" count="1" selected="0">
            <x v="0"/>
          </reference>
          <reference field="10" count="1">
            <x v="0"/>
          </reference>
        </references>
      </pivotArea>
    </format>
    <format dxfId="117">
      <pivotArea dataOnly="0" labelOnly="1" outline="0" fieldPosition="0">
        <references count="3">
          <reference field="0" count="1" selected="0">
            <x v="43"/>
          </reference>
          <reference field="7" count="1" selected="0">
            <x v="6"/>
          </reference>
          <reference field="10" count="1">
            <x v="1"/>
          </reference>
        </references>
      </pivotArea>
    </format>
    <format dxfId="116">
      <pivotArea dataOnly="0" labelOnly="1" outline="0" fieldPosition="0">
        <references count="3">
          <reference field="0" count="1" selected="0">
            <x v="45"/>
          </reference>
          <reference field="7" count="1" selected="0">
            <x v="6"/>
          </reference>
          <reference field="10" count="1">
            <x v="0"/>
          </reference>
        </references>
      </pivotArea>
    </format>
    <format dxfId="115">
      <pivotArea dataOnly="0" labelOnly="1" outline="0" fieldPosition="0">
        <references count="3">
          <reference field="0" count="1" selected="0">
            <x v="62"/>
          </reference>
          <reference field="7" count="1" selected="0">
            <x v="6"/>
          </reference>
          <reference field="10" count="1">
            <x v="2"/>
          </reference>
        </references>
      </pivotArea>
    </format>
    <format dxfId="114">
      <pivotArea dataOnly="0" labelOnly="1" outline="0" fieldPosition="0">
        <references count="3">
          <reference field="0" count="1" selected="0">
            <x v="15"/>
          </reference>
          <reference field="7" count="1" selected="0">
            <x v="8"/>
          </reference>
          <reference field="10" count="1">
            <x v="1"/>
          </reference>
        </references>
      </pivotArea>
    </format>
    <format dxfId="113">
      <pivotArea dataOnly="0" labelOnly="1" outline="0" fieldPosition="0">
        <references count="3">
          <reference field="0" count="1" selected="0">
            <x v="19"/>
          </reference>
          <reference field="7" count="1" selected="0">
            <x v="8"/>
          </reference>
          <reference field="10" count="1">
            <x v="1"/>
          </reference>
        </references>
      </pivotArea>
    </format>
    <format dxfId="112">
      <pivotArea dataOnly="0" labelOnly="1" outline="0" fieldPosition="0">
        <references count="3">
          <reference field="0" count="1" selected="0">
            <x v="23"/>
          </reference>
          <reference field="7" count="1" selected="0">
            <x v="8"/>
          </reference>
          <reference field="10" count="1">
            <x v="0"/>
          </reference>
        </references>
      </pivotArea>
    </format>
    <format dxfId="111">
      <pivotArea dataOnly="0" labelOnly="1" outline="0" fieldPosition="0">
        <references count="3">
          <reference field="0" count="1" selected="0">
            <x v="49"/>
          </reference>
          <reference field="7" count="1" selected="0">
            <x v="8"/>
          </reference>
          <reference field="10" count="1">
            <x v="0"/>
          </reference>
        </references>
      </pivotArea>
    </format>
    <format dxfId="110">
      <pivotArea dataOnly="0" labelOnly="1" outline="0" fieldPosition="0">
        <references count="3">
          <reference field="0" count="1" selected="0">
            <x v="2"/>
          </reference>
          <reference field="7" count="1" selected="0">
            <x v="13"/>
          </reference>
          <reference field="10" count="1">
            <x v="2"/>
          </reference>
        </references>
      </pivotArea>
    </format>
    <format dxfId="109">
      <pivotArea dataOnly="0" labelOnly="1" outline="0" fieldPosition="0">
        <references count="3">
          <reference field="0" count="1" selected="0">
            <x v="4"/>
          </reference>
          <reference field="7" count="1" selected="0">
            <x v="13"/>
          </reference>
          <reference field="10" count="1">
            <x v="1"/>
          </reference>
        </references>
      </pivotArea>
    </format>
    <format dxfId="108">
      <pivotArea dataOnly="0" labelOnly="1" outline="0" fieldPosition="0">
        <references count="3">
          <reference field="0" count="1" selected="0">
            <x v="10"/>
          </reference>
          <reference field="7" count="1" selected="0">
            <x v="14"/>
          </reference>
          <reference field="10" count="1">
            <x v="0"/>
          </reference>
        </references>
      </pivotArea>
    </format>
    <format dxfId="107">
      <pivotArea dataOnly="0" labelOnly="1" outline="0" fieldPosition="0">
        <references count="3">
          <reference field="0" count="1" selected="0">
            <x v="16"/>
          </reference>
          <reference field="7" count="1" selected="0">
            <x v="14"/>
          </reference>
          <reference field="10" count="1">
            <x v="1"/>
          </reference>
        </references>
      </pivotArea>
    </format>
    <format dxfId="106">
      <pivotArea dataOnly="0" labelOnly="1" outline="0" fieldPosition="0">
        <references count="3">
          <reference field="0" count="1" selected="0">
            <x v="27"/>
          </reference>
          <reference field="7" count="1" selected="0">
            <x v="14"/>
          </reference>
          <reference field="10" count="1">
            <x v="0"/>
          </reference>
        </references>
      </pivotArea>
    </format>
    <format dxfId="105">
      <pivotArea dataOnly="0" labelOnly="1" outline="0" fieldPosition="0">
        <references count="3">
          <reference field="0" count="1" selected="0">
            <x v="31"/>
          </reference>
          <reference field="7" count="1" selected="0">
            <x v="14"/>
          </reference>
          <reference field="10" count="1">
            <x v="2"/>
          </reference>
        </references>
      </pivotArea>
    </format>
    <format dxfId="104">
      <pivotArea dataOnly="0" labelOnly="1" outline="0" fieldPosition="0">
        <references count="3">
          <reference field="0" count="1" selected="0">
            <x v="36"/>
          </reference>
          <reference field="7" count="1" selected="0">
            <x v="14"/>
          </reference>
          <reference field="10" count="1">
            <x v="0"/>
          </reference>
        </references>
      </pivotArea>
    </format>
    <format dxfId="103">
      <pivotArea dataOnly="0" labelOnly="1" outline="0" fieldPosition="0">
        <references count="3">
          <reference field="0" count="1" selected="0">
            <x v="41"/>
          </reference>
          <reference field="7" count="1" selected="0">
            <x v="14"/>
          </reference>
          <reference field="10" count="1">
            <x v="2"/>
          </reference>
        </references>
      </pivotArea>
    </format>
    <format dxfId="102">
      <pivotArea dataOnly="0" labelOnly="1" outline="0" fieldPosition="0">
        <references count="3">
          <reference field="0" count="1" selected="0">
            <x v="55"/>
          </reference>
          <reference field="7" count="1" selected="0">
            <x v="14"/>
          </reference>
          <reference field="10" count="1">
            <x v="2"/>
          </reference>
        </references>
      </pivotArea>
    </format>
    <format dxfId="101">
      <pivotArea dataOnly="0" labelOnly="1" outline="0" fieldPosition="0">
        <references count="3">
          <reference field="0" count="1" selected="0">
            <x v="6"/>
          </reference>
          <reference field="7" count="1" selected="0">
            <x v="16"/>
          </reference>
          <reference field="10" count="1">
            <x v="2"/>
          </reference>
        </references>
      </pivotArea>
    </format>
    <format dxfId="100">
      <pivotArea dataOnly="0" labelOnly="1" outline="0" fieldPosition="0">
        <references count="3">
          <reference field="0" count="1" selected="0">
            <x v="25"/>
          </reference>
          <reference field="7" count="1" selected="0">
            <x v="16"/>
          </reference>
          <reference field="10" count="1">
            <x v="1"/>
          </reference>
        </references>
      </pivotArea>
    </format>
    <format dxfId="99">
      <pivotArea dataOnly="0" labelOnly="1" outline="0" fieldPosition="0">
        <references count="3">
          <reference field="0" count="1" selected="0">
            <x v="28"/>
          </reference>
          <reference field="7" count="1" selected="0">
            <x v="16"/>
          </reference>
          <reference field="10" count="1">
            <x v="1"/>
          </reference>
        </references>
      </pivotArea>
    </format>
    <format dxfId="98">
      <pivotArea dataOnly="0" labelOnly="1" outline="0" fieldPosition="0">
        <references count="3">
          <reference field="0" count="1" selected="0">
            <x v="34"/>
          </reference>
          <reference field="7" count="1" selected="0">
            <x v="16"/>
          </reference>
          <reference field="10" count="1">
            <x v="1"/>
          </reference>
        </references>
      </pivotArea>
    </format>
    <format dxfId="97">
      <pivotArea dataOnly="0" labelOnly="1" outline="0" fieldPosition="0">
        <references count="3">
          <reference field="0" count="1" selected="0">
            <x v="61"/>
          </reference>
          <reference field="7" count="1" selected="0">
            <x v="16"/>
          </reference>
          <reference field="10" count="1">
            <x v="1"/>
          </reference>
        </references>
      </pivotArea>
    </format>
    <format dxfId="96">
      <pivotArea dataOnly="0" labelOnly="1" outline="0" fieldPosition="0">
        <references count="3">
          <reference field="0" count="1" selected="0">
            <x v="1"/>
          </reference>
          <reference field="7" count="1" selected="0">
            <x v="18"/>
          </reference>
          <reference field="10" count="1">
            <x v="1"/>
          </reference>
        </references>
      </pivotArea>
    </format>
    <format dxfId="95">
      <pivotArea dataOnly="0" labelOnly="1" outline="0" fieldPosition="0">
        <references count="3">
          <reference field="0" count="1" selected="0">
            <x v="8"/>
          </reference>
          <reference field="7" count="1" selected="0">
            <x v="18"/>
          </reference>
          <reference field="10" count="1">
            <x v="1"/>
          </reference>
        </references>
      </pivotArea>
    </format>
    <format dxfId="94">
      <pivotArea dataOnly="0" labelOnly="1" outline="0" fieldPosition="0">
        <references count="3">
          <reference field="0" count="1" selected="0">
            <x v="14"/>
          </reference>
          <reference field="7" count="1" selected="0">
            <x v="18"/>
          </reference>
          <reference field="10" count="1">
            <x v="1"/>
          </reference>
        </references>
      </pivotArea>
    </format>
    <format dxfId="93">
      <pivotArea dataOnly="0" labelOnly="1" outline="0" fieldPosition="0">
        <references count="3">
          <reference field="0" count="1" selected="0">
            <x v="17"/>
          </reference>
          <reference field="7" count="1" selected="0">
            <x v="18"/>
          </reference>
          <reference field="10" count="1">
            <x v="1"/>
          </reference>
        </references>
      </pivotArea>
    </format>
    <format dxfId="92">
      <pivotArea dataOnly="0" labelOnly="1" outline="0" fieldPosition="0">
        <references count="3">
          <reference field="0" count="1" selected="0">
            <x v="21"/>
          </reference>
          <reference field="7" count="1" selected="0">
            <x v="18"/>
          </reference>
          <reference field="10" count="1">
            <x v="1"/>
          </reference>
        </references>
      </pivotArea>
    </format>
    <format dxfId="91">
      <pivotArea dataOnly="0" labelOnly="1" outline="0" fieldPosition="0">
        <references count="3">
          <reference field="0" count="1" selected="0">
            <x v="29"/>
          </reference>
          <reference field="7" count="1" selected="0">
            <x v="18"/>
          </reference>
          <reference field="10" count="1">
            <x v="1"/>
          </reference>
        </references>
      </pivotArea>
    </format>
    <format dxfId="90">
      <pivotArea dataOnly="0" labelOnly="1" outline="0" fieldPosition="0">
        <references count="3">
          <reference field="0" count="1" selected="0">
            <x v="52"/>
          </reference>
          <reference field="7" count="1" selected="0">
            <x v="18"/>
          </reference>
          <reference field="10" count="1">
            <x v="2"/>
          </reference>
        </references>
      </pivotArea>
    </format>
    <format dxfId="89">
      <pivotArea dataOnly="0" labelOnly="1" outline="0" fieldPosition="0">
        <references count="3">
          <reference field="0" count="1" selected="0">
            <x v="37"/>
          </reference>
          <reference field="7" count="1" selected="0">
            <x v="20"/>
          </reference>
          <reference field="10" count="1">
            <x v="2"/>
          </reference>
        </references>
      </pivotArea>
    </format>
    <format dxfId="88">
      <pivotArea dataOnly="0" labelOnly="1" outline="0" fieldPosition="0">
        <references count="3">
          <reference field="0" count="1" selected="0">
            <x v="22"/>
          </reference>
          <reference field="7" count="1" selected="0">
            <x v="21"/>
          </reference>
          <reference field="10" count="1">
            <x v="2"/>
          </reference>
        </references>
      </pivotArea>
    </format>
    <format dxfId="87">
      <pivotArea dataOnly="0" labelOnly="1" outline="0" fieldPosition="0">
        <references count="3">
          <reference field="0" count="1" selected="0">
            <x v="30"/>
          </reference>
          <reference field="7" count="1" selected="0">
            <x v="21"/>
          </reference>
          <reference field="10" count="1">
            <x v="2"/>
          </reference>
        </references>
      </pivotArea>
    </format>
    <format dxfId="86">
      <pivotArea dataOnly="0" labelOnly="1" outline="0" fieldPosition="0">
        <references count="3">
          <reference field="0" count="1" selected="0">
            <x v="38"/>
          </reference>
          <reference field="7" count="1" selected="0">
            <x v="21"/>
          </reference>
          <reference field="10" count="1">
            <x v="2"/>
          </reference>
        </references>
      </pivotArea>
    </format>
    <format dxfId="85">
      <pivotArea dataOnly="0" labelOnly="1" outline="0" fieldPosition="0">
        <references count="3">
          <reference field="0" count="1" selected="0">
            <x v="44"/>
          </reference>
          <reference field="7" count="1" selected="0">
            <x v="21"/>
          </reference>
          <reference field="10" count="1">
            <x v="2"/>
          </reference>
        </references>
      </pivotArea>
    </format>
    <format dxfId="84">
      <pivotArea dataOnly="0" labelOnly="1" outline="0" fieldPosition="0">
        <references count="3">
          <reference field="0" count="1" selected="0">
            <x v="53"/>
          </reference>
          <reference field="7" count="1" selected="0">
            <x v="21"/>
          </reference>
          <reference field="10" count="1">
            <x v="2"/>
          </reference>
        </references>
      </pivotArea>
    </format>
    <format dxfId="83">
      <pivotArea dataOnly="0" labelOnly="1" outline="0" fieldPosition="0">
        <references count="3">
          <reference field="0" count="1" selected="0">
            <x v="58"/>
          </reference>
          <reference field="7" count="1" selected="0">
            <x v="21"/>
          </reference>
          <reference field="10" count="1">
            <x v="2"/>
          </reference>
        </references>
      </pivotArea>
    </format>
    <format dxfId="82">
      <pivotArea dataOnly="0" labelOnly="1" outline="0" fieldPosition="0">
        <references count="3">
          <reference field="0" count="1" selected="0">
            <x v="24"/>
          </reference>
          <reference field="7" count="1" selected="0">
            <x v="22"/>
          </reference>
          <reference field="10" count="1">
            <x v="2"/>
          </reference>
        </references>
      </pivotArea>
    </format>
    <format dxfId="81">
      <pivotArea dataOnly="0" labelOnly="1" outline="0" fieldPosition="0">
        <references count="3">
          <reference field="0" count="1" selected="0">
            <x v="40"/>
          </reference>
          <reference field="7" count="1" selected="0">
            <x v="22"/>
          </reference>
          <reference field="10" count="1">
            <x v="0"/>
          </reference>
        </references>
      </pivotArea>
    </format>
    <format dxfId="80">
      <pivotArea dataOnly="0" labelOnly="1" outline="0" fieldPosition="0">
        <references count="3">
          <reference field="0" count="1" selected="0">
            <x v="48"/>
          </reference>
          <reference field="7" count="1" selected="0">
            <x v="22"/>
          </reference>
          <reference field="10" count="1">
            <x v="0"/>
          </reference>
        </references>
      </pivotArea>
    </format>
    <format dxfId="79">
      <pivotArea dataOnly="0" labelOnly="1" outline="0" fieldPosition="0">
        <references count="3">
          <reference field="0" count="1" selected="0">
            <x v="18"/>
          </reference>
          <reference field="7" count="1" selected="0">
            <x v="28"/>
          </reference>
          <reference field="10" count="1">
            <x v="2"/>
          </reference>
        </references>
      </pivotArea>
    </format>
    <format dxfId="78">
      <pivotArea dataOnly="0" labelOnly="1" outline="0" fieldPosition="0">
        <references count="3">
          <reference field="0" count="1" selected="0">
            <x v="39"/>
          </reference>
          <reference field="7" count="1" selected="0">
            <x v="28"/>
          </reference>
          <reference field="10" count="1">
            <x v="2"/>
          </reference>
        </references>
      </pivotArea>
    </format>
    <format dxfId="77">
      <pivotArea dataOnly="0" labelOnly="1" outline="0" fieldPosition="0">
        <references count="3">
          <reference field="0" count="1" selected="0">
            <x v="54"/>
          </reference>
          <reference field="7" count="1" selected="0">
            <x v="28"/>
          </reference>
          <reference field="10" count="1">
            <x v="0"/>
          </reference>
        </references>
      </pivotArea>
    </format>
    <format dxfId="76">
      <pivotArea dataOnly="0" labelOnly="1" outline="0" fieldPosition="0">
        <references count="3">
          <reference field="0" count="1" selected="0">
            <x v="0"/>
          </reference>
          <reference field="7" count="1" selected="0">
            <x v="32"/>
          </reference>
          <reference field="10" count="1">
            <x v="2"/>
          </reference>
        </references>
      </pivotArea>
    </format>
    <format dxfId="75">
      <pivotArea dataOnly="0" labelOnly="1" outline="0" fieldPosition="0">
        <references count="3">
          <reference field="0" count="1" selected="0">
            <x v="12"/>
          </reference>
          <reference field="7" count="1" selected="0">
            <x v="32"/>
          </reference>
          <reference field="10" count="1">
            <x v="0"/>
          </reference>
        </references>
      </pivotArea>
    </format>
    <format dxfId="74">
      <pivotArea dataOnly="0" labelOnly="1" outline="0" fieldPosition="0">
        <references count="3">
          <reference field="0" count="1" selected="0">
            <x v="20"/>
          </reference>
          <reference field="7" count="1" selected="0">
            <x v="32"/>
          </reference>
          <reference field="10" count="1">
            <x v="2"/>
          </reference>
        </references>
      </pivotArea>
    </format>
    <format dxfId="73">
      <pivotArea dataOnly="0" labelOnly="1" outline="0" fieldPosition="0">
        <references count="3">
          <reference field="0" count="1" selected="0">
            <x v="32"/>
          </reference>
          <reference field="7" count="1" selected="0">
            <x v="32"/>
          </reference>
          <reference field="10" count="1">
            <x v="2"/>
          </reference>
        </references>
      </pivotArea>
    </format>
    <format dxfId="72">
      <pivotArea dataOnly="0" labelOnly="1" outline="0" fieldPosition="0">
        <references count="3">
          <reference field="0" count="1" selected="0">
            <x v="33"/>
          </reference>
          <reference field="7" count="1" selected="0">
            <x v="32"/>
          </reference>
          <reference field="10" count="1">
            <x v="2"/>
          </reference>
        </references>
      </pivotArea>
    </format>
    <format dxfId="71">
      <pivotArea dataOnly="0" labelOnly="1" outline="0" fieldPosition="0">
        <references count="3">
          <reference field="0" count="1" selected="0">
            <x v="42"/>
          </reference>
          <reference field="7" count="1" selected="0">
            <x v="32"/>
          </reference>
          <reference field="10" count="1">
            <x v="0"/>
          </reference>
        </references>
      </pivotArea>
    </format>
    <format dxfId="70">
      <pivotArea dataOnly="0" labelOnly="1" outline="0" fieldPosition="0">
        <references count="3">
          <reference field="0" count="1" selected="0">
            <x v="60"/>
          </reference>
          <reference field="7" count="1" selected="0">
            <x v="32"/>
          </reference>
          <reference field="10" count="1">
            <x v="2"/>
          </reference>
        </references>
      </pivotArea>
    </format>
    <format dxfId="69">
      <pivotArea dataOnly="0" labelOnly="1" outline="0" fieldPosition="0">
        <references count="3">
          <reference field="0" count="1" selected="0">
            <x v="7"/>
          </reference>
          <reference field="7" count="1" selected="0">
            <x v="37"/>
          </reference>
          <reference field="10" count="1">
            <x v="1"/>
          </reference>
        </references>
      </pivotArea>
    </format>
    <format dxfId="68">
      <pivotArea dataOnly="0" labelOnly="1" outline="0" fieldPosition="0">
        <references count="3">
          <reference field="0" count="1" selected="0">
            <x v="50"/>
          </reference>
          <reference field="7" count="1" selected="0">
            <x v="37"/>
          </reference>
          <reference field="10" count="1">
            <x v="1"/>
          </reference>
        </references>
      </pivotArea>
    </format>
    <format dxfId="67">
      <pivotArea dataOnly="0" labelOnly="1" outline="0" fieldPosition="0">
        <references count="3">
          <reference field="0" count="1" selected="0">
            <x v="56"/>
          </reference>
          <reference field="7" count="1" selected="0">
            <x v="37"/>
          </reference>
          <reference field="10" count="1">
            <x v="0"/>
          </reference>
        </references>
      </pivotArea>
    </format>
    <format dxfId="66">
      <pivotArea dataOnly="0" labelOnly="1" outline="0" fieldPosition="0">
        <references count="3">
          <reference field="0" count="1" selected="0">
            <x v="46"/>
          </reference>
          <reference field="7" count="1" selected="0">
            <x v="39"/>
          </reference>
          <reference field="10" count="1">
            <x v="2"/>
          </reference>
        </references>
      </pivotArea>
    </format>
    <format dxfId="65">
      <pivotArea dataOnly="0" labelOnly="1" outline="0" fieldPosition="0">
        <references count="3">
          <reference field="0" count="1" selected="0">
            <x v="47"/>
          </reference>
          <reference field="7" count="1" selected="0">
            <x v="39"/>
          </reference>
          <reference field="10" count="1">
            <x v="1"/>
          </reference>
        </references>
      </pivotArea>
    </format>
    <format dxfId="64">
      <pivotArea dataOnly="0" labelOnly="1" outline="0" fieldPosition="0">
        <references count="3">
          <reference field="0" count="1" selected="0">
            <x v="57"/>
          </reference>
          <reference field="7" count="1" selected="0">
            <x v="39"/>
          </reference>
          <reference field="10" count="1">
            <x v="2"/>
          </reference>
        </references>
      </pivotArea>
    </format>
    <format dxfId="63">
      <pivotArea dataOnly="0" labelOnly="1" outline="0" fieldPosition="0">
        <references count="3">
          <reference field="0" count="1" selected="0">
            <x v="35"/>
          </reference>
          <reference field="7" count="1" selected="0">
            <x v="41"/>
          </reference>
          <reference field="10" count="1">
            <x v="1"/>
          </reference>
        </references>
      </pivotArea>
    </format>
    <format dxfId="62">
      <pivotArea dataOnly="0" labelOnly="1" outline="0" fieldPosition="0">
        <references count="3">
          <reference field="0" count="1" selected="0">
            <x v="59"/>
          </reference>
          <reference field="7" count="1" selected="0">
            <x v="41"/>
          </reference>
          <reference field="10" count="1">
            <x v="1"/>
          </reference>
        </references>
      </pivotArea>
    </format>
    <format dxfId="61">
      <pivotArea dataOnly="0" labelOnly="1" outline="0" fieldPosition="0">
        <references count="3">
          <reference field="0" count="1" selected="0">
            <x v="3"/>
          </reference>
          <reference field="7" count="1" selected="0">
            <x v="42"/>
          </reference>
          <reference field="10" count="1">
            <x v="2"/>
          </reference>
        </references>
      </pivotArea>
    </format>
    <format dxfId="60">
      <pivotArea field="10" type="button" dataOnly="0" labelOnly="1" outline="0" axis="axisRow" fieldPosition="2"/>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1"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location ref="C57:F138" firstHeaderRow="1" firstDataRow="2" firstDataCol="1"/>
  <pivotFields count="23">
    <pivotField axis="axisRow" dataField="1" showAll="0">
      <items count="64">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9"/>
        <item x="52"/>
        <item x="53"/>
        <item x="54"/>
        <item x="55"/>
        <item x="56"/>
        <item x="57"/>
        <item x="58"/>
        <item x="59"/>
        <item x="60"/>
        <item x="61"/>
        <item x="62"/>
        <item t="default"/>
      </items>
    </pivotField>
    <pivotField showAll="0"/>
    <pivotField showAll="0"/>
    <pivotField showAll="0"/>
    <pivotField showAll="0"/>
    <pivotField showAll="0"/>
    <pivotField showAll="0"/>
    <pivotField axis="axisRow" showAll="0" sortType="ascending">
      <items count="45">
        <item x="4"/>
        <item m="1" x="41"/>
        <item m="1" x="25"/>
        <item m="1" x="29"/>
        <item m="1" x="31"/>
        <item m="1" x="22"/>
        <item x="14"/>
        <item m="1" x="34"/>
        <item x="8"/>
        <item m="1" x="21"/>
        <item m="1" x="30"/>
        <item m="1" x="18"/>
        <item m="1" x="32"/>
        <item x="2"/>
        <item x="7"/>
        <item m="1" x="23"/>
        <item x="5"/>
        <item m="1" x="39"/>
        <item x="1"/>
        <item m="1" x="28"/>
        <item x="13"/>
        <item x="10"/>
        <item x="11"/>
        <item m="1" x="43"/>
        <item m="1" x="33"/>
        <item m="1" x="17"/>
        <item m="1" x="35"/>
        <item m="1" x="42"/>
        <item x="9"/>
        <item m="1" x="20"/>
        <item m="1" x="37"/>
        <item m="1" x="24"/>
        <item x="0"/>
        <item m="1" x="40"/>
        <item m="1" x="38"/>
        <item m="1" x="16"/>
        <item m="1" x="26"/>
        <item x="6"/>
        <item m="1" x="27"/>
        <item x="15"/>
        <item m="1" x="36"/>
        <item x="12"/>
        <item x="3"/>
        <item m="1" x="19"/>
        <item t="default"/>
      </items>
    </pivotField>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0"/>
  </rowFields>
  <rowItems count="80">
    <i>
      <x/>
    </i>
    <i r="1">
      <x v="5"/>
    </i>
    <i r="1">
      <x v="9"/>
    </i>
    <i r="1">
      <x v="11"/>
    </i>
    <i r="1">
      <x v="13"/>
    </i>
    <i r="1">
      <x v="26"/>
    </i>
    <i r="1">
      <x v="51"/>
    </i>
    <i>
      <x v="6"/>
    </i>
    <i r="1">
      <x v="43"/>
    </i>
    <i r="1">
      <x v="45"/>
    </i>
    <i r="1">
      <x v="62"/>
    </i>
    <i>
      <x v="8"/>
    </i>
    <i r="1">
      <x v="15"/>
    </i>
    <i r="1">
      <x v="19"/>
    </i>
    <i r="1">
      <x v="23"/>
    </i>
    <i r="1">
      <x v="49"/>
    </i>
    <i>
      <x v="13"/>
    </i>
    <i r="1">
      <x v="2"/>
    </i>
    <i r="1">
      <x v="4"/>
    </i>
    <i>
      <x v="14"/>
    </i>
    <i r="1">
      <x v="10"/>
    </i>
    <i r="1">
      <x v="16"/>
    </i>
    <i r="1">
      <x v="27"/>
    </i>
    <i r="1">
      <x v="31"/>
    </i>
    <i r="1">
      <x v="36"/>
    </i>
    <i r="1">
      <x v="41"/>
    </i>
    <i r="1">
      <x v="55"/>
    </i>
    <i>
      <x v="16"/>
    </i>
    <i r="1">
      <x v="6"/>
    </i>
    <i r="1">
      <x v="25"/>
    </i>
    <i r="1">
      <x v="28"/>
    </i>
    <i r="1">
      <x v="34"/>
    </i>
    <i r="1">
      <x v="61"/>
    </i>
    <i>
      <x v="18"/>
    </i>
    <i r="1">
      <x v="1"/>
    </i>
    <i r="1">
      <x v="8"/>
    </i>
    <i r="1">
      <x v="14"/>
    </i>
    <i r="1">
      <x v="17"/>
    </i>
    <i r="1">
      <x v="21"/>
    </i>
    <i r="1">
      <x v="29"/>
    </i>
    <i r="1">
      <x v="52"/>
    </i>
    <i>
      <x v="20"/>
    </i>
    <i r="1">
      <x v="37"/>
    </i>
    <i>
      <x v="21"/>
    </i>
    <i r="1">
      <x v="22"/>
    </i>
    <i r="1">
      <x v="30"/>
    </i>
    <i r="1">
      <x v="38"/>
    </i>
    <i r="1">
      <x v="44"/>
    </i>
    <i r="1">
      <x v="53"/>
    </i>
    <i r="1">
      <x v="58"/>
    </i>
    <i>
      <x v="22"/>
    </i>
    <i r="1">
      <x v="24"/>
    </i>
    <i r="1">
      <x v="40"/>
    </i>
    <i r="1">
      <x v="48"/>
    </i>
    <i>
      <x v="28"/>
    </i>
    <i r="1">
      <x v="18"/>
    </i>
    <i r="1">
      <x v="39"/>
    </i>
    <i r="1">
      <x v="54"/>
    </i>
    <i>
      <x v="32"/>
    </i>
    <i r="1">
      <x/>
    </i>
    <i r="1">
      <x v="12"/>
    </i>
    <i r="1">
      <x v="20"/>
    </i>
    <i r="1">
      <x v="32"/>
    </i>
    <i r="1">
      <x v="33"/>
    </i>
    <i r="1">
      <x v="42"/>
    </i>
    <i r="1">
      <x v="60"/>
    </i>
    <i>
      <x v="37"/>
    </i>
    <i r="1">
      <x v="7"/>
    </i>
    <i r="1">
      <x v="50"/>
    </i>
    <i r="1">
      <x v="56"/>
    </i>
    <i>
      <x v="39"/>
    </i>
    <i r="1">
      <x v="46"/>
    </i>
    <i r="1">
      <x v="47"/>
    </i>
    <i r="1">
      <x v="57"/>
    </i>
    <i>
      <x v="41"/>
    </i>
    <i r="1">
      <x v="35"/>
    </i>
    <i r="1">
      <x v="59"/>
    </i>
    <i>
      <x v="42"/>
    </i>
    <i r="1">
      <x v="3"/>
    </i>
    <i t="grand">
      <x/>
    </i>
  </rowItems>
  <colFields count="1">
    <field x="10"/>
  </colFields>
  <colItems count="3">
    <i>
      <x/>
    </i>
    <i>
      <x v="1"/>
    </i>
    <i>
      <x v="2"/>
    </i>
  </colItems>
  <dataFields count="1">
    <dataField name="Count of Providers" fld="0" subtotal="count" baseField="0" baseItem="0"/>
  </dataFields>
  <formats count="56">
    <format dxfId="59">
      <pivotArea outline="0" collapsedLevelsAreSubtotals="1" fieldPosition="0">
        <references count="1">
          <reference field="10" count="0" selected="0"/>
        </references>
      </pivotArea>
    </format>
    <format dxfId="58">
      <pivotArea dataOnly="0" labelOnly="1" fieldPosition="0">
        <references count="1">
          <reference field="10" count="0"/>
        </references>
      </pivotArea>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10" type="button" dataOnly="0" labelOnly="1" outline="0" axis="axisCol" fieldPosition="0"/>
    </format>
    <format dxfId="53">
      <pivotArea type="topRight" dataOnly="0" labelOnly="1" outline="0" fieldPosition="0"/>
    </format>
    <format dxfId="52">
      <pivotArea field="7" type="button" dataOnly="0" labelOnly="1" outline="0" axis="axisRow" fieldPosition="0"/>
    </format>
    <format dxfId="51">
      <pivotArea dataOnly="0" labelOnly="1" fieldPosition="0">
        <references count="1">
          <reference field="7" count="0"/>
        </references>
      </pivotArea>
    </format>
    <format dxfId="50">
      <pivotArea dataOnly="0" labelOnly="1" grandRow="1" outline="0" fieldPosition="0"/>
    </format>
    <format dxfId="49">
      <pivotArea dataOnly="0" labelOnly="1" fieldPosition="0">
        <references count="2">
          <reference field="0" count="6">
            <x v="5"/>
            <x v="9"/>
            <x v="11"/>
            <x v="13"/>
            <x v="26"/>
            <x v="51"/>
          </reference>
          <reference field="7" count="1" selected="0">
            <x v="0"/>
          </reference>
        </references>
      </pivotArea>
    </format>
    <format dxfId="48">
      <pivotArea dataOnly="0" labelOnly="1" fieldPosition="0">
        <references count="2">
          <reference field="0" count="3">
            <x v="43"/>
            <x v="45"/>
            <x v="62"/>
          </reference>
          <reference field="7" count="1" selected="0">
            <x v="6"/>
          </reference>
        </references>
      </pivotArea>
    </format>
    <format dxfId="47">
      <pivotArea dataOnly="0" labelOnly="1" fieldPosition="0">
        <references count="2">
          <reference field="0" count="4">
            <x v="15"/>
            <x v="19"/>
            <x v="23"/>
            <x v="49"/>
          </reference>
          <reference field="7" count="1" selected="0">
            <x v="8"/>
          </reference>
        </references>
      </pivotArea>
    </format>
    <format dxfId="46">
      <pivotArea dataOnly="0" labelOnly="1" fieldPosition="0">
        <references count="2">
          <reference field="0" count="2">
            <x v="2"/>
            <x v="4"/>
          </reference>
          <reference field="7" count="1" selected="0">
            <x v="13"/>
          </reference>
        </references>
      </pivotArea>
    </format>
    <format dxfId="45">
      <pivotArea dataOnly="0" labelOnly="1" fieldPosition="0">
        <references count="2">
          <reference field="0" count="7">
            <x v="10"/>
            <x v="16"/>
            <x v="27"/>
            <x v="31"/>
            <x v="36"/>
            <x v="41"/>
            <x v="55"/>
          </reference>
          <reference field="7" count="1" selected="0">
            <x v="14"/>
          </reference>
        </references>
      </pivotArea>
    </format>
    <format dxfId="44">
      <pivotArea dataOnly="0" labelOnly="1" fieldPosition="0">
        <references count="2">
          <reference field="0" count="5">
            <x v="6"/>
            <x v="25"/>
            <x v="28"/>
            <x v="34"/>
            <x v="61"/>
          </reference>
          <reference field="7" count="1" selected="0">
            <x v="16"/>
          </reference>
        </references>
      </pivotArea>
    </format>
    <format dxfId="43">
      <pivotArea dataOnly="0" labelOnly="1" fieldPosition="0">
        <references count="2">
          <reference field="0" count="7">
            <x v="1"/>
            <x v="8"/>
            <x v="14"/>
            <x v="17"/>
            <x v="21"/>
            <x v="29"/>
            <x v="52"/>
          </reference>
          <reference field="7" count="1" selected="0">
            <x v="18"/>
          </reference>
        </references>
      </pivotArea>
    </format>
    <format dxfId="42">
      <pivotArea dataOnly="0" labelOnly="1" fieldPosition="0">
        <references count="2">
          <reference field="0" count="1">
            <x v="37"/>
          </reference>
          <reference field="7" count="1" selected="0">
            <x v="20"/>
          </reference>
        </references>
      </pivotArea>
    </format>
    <format dxfId="41">
      <pivotArea dataOnly="0" labelOnly="1" fieldPosition="0">
        <references count="2">
          <reference field="0" count="6">
            <x v="22"/>
            <x v="30"/>
            <x v="38"/>
            <x v="44"/>
            <x v="53"/>
            <x v="58"/>
          </reference>
          <reference field="7" count="1" selected="0">
            <x v="21"/>
          </reference>
        </references>
      </pivotArea>
    </format>
    <format dxfId="40">
      <pivotArea dataOnly="0" labelOnly="1" fieldPosition="0">
        <references count="2">
          <reference field="0" count="3">
            <x v="24"/>
            <x v="40"/>
            <x v="48"/>
          </reference>
          <reference field="7" count="1" selected="0">
            <x v="22"/>
          </reference>
        </references>
      </pivotArea>
    </format>
    <format dxfId="39">
      <pivotArea dataOnly="0" labelOnly="1" fieldPosition="0">
        <references count="2">
          <reference field="0" count="3">
            <x v="18"/>
            <x v="39"/>
            <x v="54"/>
          </reference>
          <reference field="7" count="1" selected="0">
            <x v="28"/>
          </reference>
        </references>
      </pivotArea>
    </format>
    <format dxfId="38">
      <pivotArea dataOnly="0" labelOnly="1" fieldPosition="0">
        <references count="2">
          <reference field="0" count="7">
            <x v="0"/>
            <x v="12"/>
            <x v="20"/>
            <x v="32"/>
            <x v="33"/>
            <x v="42"/>
            <x v="60"/>
          </reference>
          <reference field="7" count="1" selected="0">
            <x v="32"/>
          </reference>
        </references>
      </pivotArea>
    </format>
    <format dxfId="37">
      <pivotArea dataOnly="0" labelOnly="1" fieldPosition="0">
        <references count="2">
          <reference field="0" count="3">
            <x v="7"/>
            <x v="50"/>
            <x v="56"/>
          </reference>
          <reference field="7" count="1" selected="0">
            <x v="37"/>
          </reference>
        </references>
      </pivotArea>
    </format>
    <format dxfId="36">
      <pivotArea dataOnly="0" labelOnly="1" fieldPosition="0">
        <references count="2">
          <reference field="0" count="3">
            <x v="46"/>
            <x v="47"/>
            <x v="57"/>
          </reference>
          <reference field="7" count="1" selected="0">
            <x v="39"/>
          </reference>
        </references>
      </pivotArea>
    </format>
    <format dxfId="35">
      <pivotArea dataOnly="0" labelOnly="1" fieldPosition="0">
        <references count="2">
          <reference field="0" count="2">
            <x v="35"/>
            <x v="59"/>
          </reference>
          <reference field="7" count="1" selected="0">
            <x v="41"/>
          </reference>
        </references>
      </pivotArea>
    </format>
    <format dxfId="34">
      <pivotArea dataOnly="0" labelOnly="1" fieldPosition="0">
        <references count="2">
          <reference field="0" count="1">
            <x v="3"/>
          </reference>
          <reference field="7" count="1" selected="0">
            <x v="42"/>
          </reference>
        </references>
      </pivotArea>
    </format>
    <format dxfId="33">
      <pivotArea dataOnly="0" labelOnly="1" fieldPosition="0">
        <references count="1">
          <reference field="10" count="0"/>
        </references>
      </pivotArea>
    </format>
    <format dxfId="32">
      <pivotArea dataOnly="0" labelOnly="1" grandCol="1" outline="0"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10" type="button" dataOnly="0" labelOnly="1" outline="0" axis="axisCol" fieldPosition="0"/>
    </format>
    <format dxfId="27">
      <pivotArea type="topRight" dataOnly="0" labelOnly="1" outline="0" fieldPosition="0"/>
    </format>
    <format dxfId="26">
      <pivotArea field="7" type="button" dataOnly="0" labelOnly="1" outline="0" axis="axisRow" fieldPosition="0"/>
    </format>
    <format dxfId="25">
      <pivotArea dataOnly="0" labelOnly="1" fieldPosition="0">
        <references count="1">
          <reference field="7" count="0"/>
        </references>
      </pivotArea>
    </format>
    <format dxfId="24">
      <pivotArea dataOnly="0" labelOnly="1" grandRow="1" outline="0" fieldPosition="0"/>
    </format>
    <format dxfId="23">
      <pivotArea dataOnly="0" labelOnly="1" fieldPosition="0">
        <references count="2">
          <reference field="0" count="6">
            <x v="5"/>
            <x v="9"/>
            <x v="11"/>
            <x v="13"/>
            <x v="26"/>
            <x v="51"/>
          </reference>
          <reference field="7" count="1" selected="0">
            <x v="0"/>
          </reference>
        </references>
      </pivotArea>
    </format>
    <format dxfId="22">
      <pivotArea dataOnly="0" labelOnly="1" fieldPosition="0">
        <references count="2">
          <reference field="0" count="3">
            <x v="43"/>
            <x v="45"/>
            <x v="62"/>
          </reference>
          <reference field="7" count="1" selected="0">
            <x v="6"/>
          </reference>
        </references>
      </pivotArea>
    </format>
    <format dxfId="21">
      <pivotArea dataOnly="0" labelOnly="1" fieldPosition="0">
        <references count="2">
          <reference field="0" count="4">
            <x v="15"/>
            <x v="19"/>
            <x v="23"/>
            <x v="49"/>
          </reference>
          <reference field="7" count="1" selected="0">
            <x v="8"/>
          </reference>
        </references>
      </pivotArea>
    </format>
    <format dxfId="20">
      <pivotArea dataOnly="0" labelOnly="1" fieldPosition="0">
        <references count="2">
          <reference field="0" count="2">
            <x v="2"/>
            <x v="4"/>
          </reference>
          <reference field="7" count="1" selected="0">
            <x v="13"/>
          </reference>
        </references>
      </pivotArea>
    </format>
    <format dxfId="19">
      <pivotArea dataOnly="0" labelOnly="1" fieldPosition="0">
        <references count="2">
          <reference field="0" count="7">
            <x v="10"/>
            <x v="16"/>
            <x v="27"/>
            <x v="31"/>
            <x v="36"/>
            <x v="41"/>
            <x v="55"/>
          </reference>
          <reference field="7" count="1" selected="0">
            <x v="14"/>
          </reference>
        </references>
      </pivotArea>
    </format>
    <format dxfId="18">
      <pivotArea dataOnly="0" labelOnly="1" fieldPosition="0">
        <references count="2">
          <reference field="0" count="5">
            <x v="6"/>
            <x v="25"/>
            <x v="28"/>
            <x v="34"/>
            <x v="61"/>
          </reference>
          <reference field="7" count="1" selected="0">
            <x v="16"/>
          </reference>
        </references>
      </pivotArea>
    </format>
    <format dxfId="17">
      <pivotArea dataOnly="0" labelOnly="1" fieldPosition="0">
        <references count="2">
          <reference field="0" count="7">
            <x v="1"/>
            <x v="8"/>
            <x v="14"/>
            <x v="17"/>
            <x v="21"/>
            <x v="29"/>
            <x v="52"/>
          </reference>
          <reference field="7" count="1" selected="0">
            <x v="18"/>
          </reference>
        </references>
      </pivotArea>
    </format>
    <format dxfId="16">
      <pivotArea dataOnly="0" labelOnly="1" fieldPosition="0">
        <references count="2">
          <reference field="0" count="1">
            <x v="37"/>
          </reference>
          <reference field="7" count="1" selected="0">
            <x v="20"/>
          </reference>
        </references>
      </pivotArea>
    </format>
    <format dxfId="15">
      <pivotArea dataOnly="0" labelOnly="1" fieldPosition="0">
        <references count="2">
          <reference field="0" count="6">
            <x v="22"/>
            <x v="30"/>
            <x v="38"/>
            <x v="44"/>
            <x v="53"/>
            <x v="58"/>
          </reference>
          <reference field="7" count="1" selected="0">
            <x v="21"/>
          </reference>
        </references>
      </pivotArea>
    </format>
    <format dxfId="14">
      <pivotArea dataOnly="0" labelOnly="1" fieldPosition="0">
        <references count="2">
          <reference field="0" count="3">
            <x v="24"/>
            <x v="40"/>
            <x v="48"/>
          </reference>
          <reference field="7" count="1" selected="0">
            <x v="22"/>
          </reference>
        </references>
      </pivotArea>
    </format>
    <format dxfId="13">
      <pivotArea dataOnly="0" labelOnly="1" fieldPosition="0">
        <references count="2">
          <reference field="0" count="3">
            <x v="18"/>
            <x v="39"/>
            <x v="54"/>
          </reference>
          <reference field="7" count="1" selected="0">
            <x v="28"/>
          </reference>
        </references>
      </pivotArea>
    </format>
    <format dxfId="12">
      <pivotArea dataOnly="0" labelOnly="1" fieldPosition="0">
        <references count="2">
          <reference field="0" count="7">
            <x v="0"/>
            <x v="12"/>
            <x v="20"/>
            <x v="32"/>
            <x v="33"/>
            <x v="42"/>
            <x v="60"/>
          </reference>
          <reference field="7" count="1" selected="0">
            <x v="32"/>
          </reference>
        </references>
      </pivotArea>
    </format>
    <format dxfId="11">
      <pivotArea dataOnly="0" labelOnly="1" fieldPosition="0">
        <references count="2">
          <reference field="0" count="3">
            <x v="7"/>
            <x v="50"/>
            <x v="56"/>
          </reference>
          <reference field="7" count="1" selected="0">
            <x v="37"/>
          </reference>
        </references>
      </pivotArea>
    </format>
    <format dxfId="10">
      <pivotArea dataOnly="0" labelOnly="1" fieldPosition="0">
        <references count="2">
          <reference field="0" count="3">
            <x v="46"/>
            <x v="47"/>
            <x v="57"/>
          </reference>
          <reference field="7" count="1" selected="0">
            <x v="39"/>
          </reference>
        </references>
      </pivotArea>
    </format>
    <format dxfId="9">
      <pivotArea dataOnly="0" labelOnly="1" fieldPosition="0">
        <references count="2">
          <reference field="0" count="2">
            <x v="35"/>
            <x v="59"/>
          </reference>
          <reference field="7" count="1" selected="0">
            <x v="41"/>
          </reference>
        </references>
      </pivotArea>
    </format>
    <format dxfId="8">
      <pivotArea dataOnly="0" labelOnly="1" fieldPosition="0">
        <references count="2">
          <reference field="0" count="1">
            <x v="3"/>
          </reference>
          <reference field="7" count="1" selected="0">
            <x v="42"/>
          </reference>
        </references>
      </pivotArea>
    </format>
    <format dxfId="7">
      <pivotArea dataOnly="0" labelOnly="1" fieldPosition="0">
        <references count="1">
          <reference field="10" count="0"/>
        </references>
      </pivotArea>
    </format>
    <format dxfId="6">
      <pivotArea dataOnly="0" labelOnly="1" grandCol="1" outline="0" fieldPosition="0"/>
    </format>
    <format dxfId="5">
      <pivotArea outline="0" collapsedLevelsAreSubtotals="1" fieldPosition="0"/>
    </format>
    <format dxfId="4">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insurancejournal.com/top-100-insurance-agencies/" TargetMode="External"/><Relationship Id="rId1" Type="http://schemas.openxmlformats.org/officeDocument/2006/relationships/hyperlink" Target="http://www.ambest.com/review/displaychart.aspx?Record_Code=274586"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genpact.com/about-us/media/press-releases/2019-root-insurance-partners-with-genpact-to-transform-the-auto-insurance-industry"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exlservice.com/responding-to-covid-19-in-insurance-operations-four-key-stages-to-accelerate-recovery-as-the-future-of-work-is-redefined" TargetMode="External"/><Relationship Id="rId18" Type="http://schemas.openxmlformats.org/officeDocument/2006/relationships/hyperlink" Target="https://www.exlservice.com/how-insurers-can-leverage-digital-labor-to-enable-resilience" TargetMode="External"/><Relationship Id="rId26" Type="http://schemas.openxmlformats.org/officeDocument/2006/relationships/hyperlink" Target="https://www.exlservice.com/robots-smart-homes-and-ride-shares" TargetMode="External"/><Relationship Id="rId39" Type="http://schemas.openxmlformats.org/officeDocument/2006/relationships/hyperlink" Target="https://www.exlservice.com/postmerger-integration-for-insurers-to-unlock-desired-value" TargetMode="External"/><Relationship Id="rId21" Type="http://schemas.openxmlformats.org/officeDocument/2006/relationships/hyperlink" Target="https://www.exlservice.com/delivering-next-generation-claims-operating-model-for-general-insurers" TargetMode="External"/><Relationship Id="rId34" Type="http://schemas.openxmlformats.org/officeDocument/2006/relationships/hyperlink" Target="https://www.exlservice.com/subrosource-infographic" TargetMode="External"/><Relationship Id="rId7" Type="http://schemas.openxmlformats.org/officeDocument/2006/relationships/hyperlink" Target="https://www.exlservice.com/how-insurance-companies-can-adapt-to-the-new-normal" TargetMode="External"/><Relationship Id="rId12" Type="http://schemas.openxmlformats.org/officeDocument/2006/relationships/hyperlink" Target="https://www.exlservice.com/the-insurance-supply-chain" TargetMode="External"/><Relationship Id="rId17" Type="http://schemas.openxmlformats.org/officeDocument/2006/relationships/hyperlink" Target="https://www.exlservice.com/moving-beyond-the-rpa-pilot-stage-how-pc-insurers-can-operationalize-automation" TargetMode="External"/><Relationship Id="rId25" Type="http://schemas.openxmlformats.org/officeDocument/2006/relationships/hyperlink" Target="https://www.exlservice.com/using-advanced-analytics-to-identify-fraud-in-property-and-casualty-insurance" TargetMode="External"/><Relationship Id="rId33" Type="http://schemas.openxmlformats.org/officeDocument/2006/relationships/hyperlink" Target="https://www.exlservice.com/policy-processing-and-broker-service-offerings-covid-19-and-beyond" TargetMode="External"/><Relationship Id="rId38" Type="http://schemas.openxmlformats.org/officeDocument/2006/relationships/hyperlink" Target="https://www.exlservice.com/fraud-detection-and-investigation-management" TargetMode="External"/><Relationship Id="rId2" Type="http://schemas.openxmlformats.org/officeDocument/2006/relationships/hyperlink" Target="https://www.exlservice.com/why-insurance-companies-should-reevaluate-operations-in-a-digital-world" TargetMode="External"/><Relationship Id="rId16" Type="http://schemas.openxmlformats.org/officeDocument/2006/relationships/hyperlink" Target="https://www.exlservice.com/operational-resilience-in-insurance-uks-changing-regulatory-landscape" TargetMode="External"/><Relationship Id="rId20" Type="http://schemas.openxmlformats.org/officeDocument/2006/relationships/hyperlink" Target="https://www.exlservice.com/motor-insurance-post-covid-19-world" TargetMode="External"/><Relationship Id="rId29" Type="http://schemas.openxmlformats.org/officeDocument/2006/relationships/hyperlink" Target="https://www.exlservice.com/a-databased-response-to-higher-fatality-rates-for-auto-insurers" TargetMode="External"/><Relationship Id="rId1" Type="http://schemas.openxmlformats.org/officeDocument/2006/relationships/hyperlink" Target="https://www.exlservice.com/five-levels-of-digital-disruption-in-insurance" TargetMode="External"/><Relationship Id="rId6" Type="http://schemas.openxmlformats.org/officeDocument/2006/relationships/hyperlink" Target="https://www.exlservice.com/reacting-to-realities-of-covid-19-and-adjusting-to-the-new-normal" TargetMode="External"/><Relationship Id="rId11" Type="http://schemas.openxmlformats.org/officeDocument/2006/relationships/hyperlink" Target="https://www.exlservice.com/a-new-era-of-pc-claims-management" TargetMode="External"/><Relationship Id="rId24" Type="http://schemas.openxmlformats.org/officeDocument/2006/relationships/hyperlink" Target="https://www.exlservice.com/leveraging-weather-data-for-fnol-call-volume-management-at-insurance-contact-centers" TargetMode="External"/><Relationship Id="rId32" Type="http://schemas.openxmlformats.org/officeDocument/2006/relationships/hyperlink" Target="https://www.exlservice.com/policy-processing-and-broker-service-offerings-covid-19-and-beyond" TargetMode="External"/><Relationship Id="rId37" Type="http://schemas.openxmlformats.org/officeDocument/2006/relationships/hyperlink" Target="https://info1.exlservice.com/hubfs/EXL-IG-Insurance-Transformation-Blueprint.pdf?hsLang=no" TargetMode="External"/><Relationship Id="rId5" Type="http://schemas.openxmlformats.org/officeDocument/2006/relationships/hyperlink" Target="https://www.exlservice.com/decouple-and-digitize-the-leave-claims-process-to-address-the-covid-19-surge" TargetMode="External"/><Relationship Id="rId15" Type="http://schemas.openxmlformats.org/officeDocument/2006/relationships/hyperlink" Target="https://www.exlservice.com/disrupt-or-die-the-emerging-role-of-ai-technologies-in-the-insurance-market" TargetMode="External"/><Relationship Id="rId23" Type="http://schemas.openxmlformats.org/officeDocument/2006/relationships/hyperlink" Target="https://www.exlservice.com/solving-the-subrogation-problem" TargetMode="External"/><Relationship Id="rId28" Type="http://schemas.openxmlformats.org/officeDocument/2006/relationships/hyperlink" Target="https://www.exlservice.com/improving-territory-mapping-for-pc-insurers-with-machine-learning" TargetMode="External"/><Relationship Id="rId36" Type="http://schemas.openxmlformats.org/officeDocument/2006/relationships/hyperlink" Target="https://www.exlservice.com/digital-intake-for-insurance" TargetMode="External"/><Relationship Id="rId10" Type="http://schemas.openxmlformats.org/officeDocument/2006/relationships/hyperlink" Target="https://www.exlservice.com/improving-legal-team-effectiveness-with-digitized-litigated-claims-information" TargetMode="External"/><Relationship Id="rId19" Type="http://schemas.openxmlformats.org/officeDocument/2006/relationships/hyperlink" Target="https://www.exlservice.com/resources/assets/library/documents/EXL-WP-Managed-Digital-Business-21feb-v2.pdf" TargetMode="External"/><Relationship Id="rId31" Type="http://schemas.openxmlformats.org/officeDocument/2006/relationships/hyperlink" Target="https://www.exlservice.com/our-service-and-support-operations-in-south-africa" TargetMode="External"/><Relationship Id="rId4" Type="http://schemas.openxmlformats.org/officeDocument/2006/relationships/hyperlink" Target="https://www.exlservice.com/business-impact-assessment-due-to-covid-19-remediation-actions-and-updates" TargetMode="External"/><Relationship Id="rId9" Type="http://schemas.openxmlformats.org/officeDocument/2006/relationships/hyperlink" Target="https://www.exlservice.com/accelerated-underwriting-people-process-platform-data-analytics-or-customer-experience" TargetMode="External"/><Relationship Id="rId14" Type="http://schemas.openxmlformats.org/officeDocument/2006/relationships/hyperlink" Target="https://www.exlservice.com/adaptive-framework-to-manage-risk-during-covid-19" TargetMode="External"/><Relationship Id="rId22" Type="http://schemas.openxmlformats.org/officeDocument/2006/relationships/hyperlink" Target="https://www.exlservice.com/strategic-review-to-drive-reduction-in-expense-ratio-for-commercial-insurers" TargetMode="External"/><Relationship Id="rId27" Type="http://schemas.openxmlformats.org/officeDocument/2006/relationships/hyperlink" Target="https://www.exlservice.com/new-generation-of-millennial-employees-and-customers" TargetMode="External"/><Relationship Id="rId30" Type="http://schemas.openxmlformats.org/officeDocument/2006/relationships/hyperlink" Target="https://www.exlservice.com/sales-and-support-services-for-insurance-organizations-in-philippines" TargetMode="External"/><Relationship Id="rId35" Type="http://schemas.openxmlformats.org/officeDocument/2006/relationships/hyperlink" Target="https://www.exlservice.com/global-privacy-risk-monitoring-framework" TargetMode="External"/><Relationship Id="rId8" Type="http://schemas.openxmlformats.org/officeDocument/2006/relationships/hyperlink" Target="https://www.exlservice.com/decouple-and-digitize-the-leave-claims-process-to-address-the-covid-19-surge" TargetMode="External"/><Relationship Id="rId3" Type="http://schemas.openxmlformats.org/officeDocument/2006/relationships/hyperlink" Target="https://www.exlservice.com/the-times-they-are-achanging"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5"/>
  <sheetViews>
    <sheetView topLeftCell="D1" workbookViewId="0">
      <selection activeCell="R2" sqref="R2"/>
    </sheetView>
  </sheetViews>
  <sheetFormatPr defaultColWidth="9.1796875" defaultRowHeight="10" x14ac:dyDescent="0.2"/>
  <cols>
    <col min="1" max="1" width="16.1796875" style="183" bestFit="1" customWidth="1"/>
    <col min="2" max="2" width="9.54296875" style="183" bestFit="1" customWidth="1"/>
    <col min="3" max="3" width="14" style="183" bestFit="1" customWidth="1"/>
    <col min="4" max="4" width="9.54296875" style="183" bestFit="1" customWidth="1"/>
    <col min="5" max="5" width="19.54296875" style="183" bestFit="1" customWidth="1"/>
    <col min="6" max="6" width="22.1796875" style="183" bestFit="1" customWidth="1"/>
    <col min="7" max="7" width="14.453125" style="183" bestFit="1" customWidth="1"/>
    <col min="8" max="8" width="15.453125" style="183" bestFit="1" customWidth="1"/>
    <col min="9" max="9" width="19" style="183" bestFit="1" customWidth="1"/>
    <col min="10" max="10" width="22.54296875" style="183" bestFit="1" customWidth="1"/>
    <col min="11" max="11" width="8.7265625" style="183" bestFit="1" customWidth="1"/>
    <col min="12" max="12" width="9.26953125" style="183" bestFit="1" customWidth="1"/>
    <col min="13" max="13" width="8.54296875" style="185" bestFit="1" customWidth="1"/>
    <col min="14" max="14" width="18.7265625" style="183" bestFit="1" customWidth="1"/>
    <col min="15" max="15" width="20.453125" style="183" bestFit="1" customWidth="1"/>
    <col min="16" max="16" width="19.1796875" style="183" bestFit="1" customWidth="1"/>
    <col min="17" max="17" width="46.7265625" style="183" bestFit="1" customWidth="1"/>
    <col min="18" max="16384" width="9.1796875" style="183"/>
  </cols>
  <sheetData>
    <row r="1" spans="1:17" s="186" customFormat="1" ht="10.5" x14ac:dyDescent="0.25">
      <c r="A1" s="186" t="s">
        <v>1080</v>
      </c>
      <c r="B1" s="186" t="s">
        <v>1081</v>
      </c>
      <c r="C1" s="186" t="s">
        <v>1082</v>
      </c>
      <c r="D1" s="186" t="s">
        <v>1083</v>
      </c>
      <c r="E1" s="186" t="s">
        <v>1084</v>
      </c>
      <c r="F1" s="186" t="s">
        <v>1085</v>
      </c>
      <c r="G1" s="186" t="s">
        <v>1086</v>
      </c>
      <c r="H1" s="186" t="s">
        <v>1087</v>
      </c>
      <c r="I1" s="186" t="s">
        <v>1088</v>
      </c>
      <c r="J1" s="186" t="s">
        <v>1089</v>
      </c>
      <c r="K1" s="186" t="s">
        <v>1090</v>
      </c>
      <c r="L1" s="186" t="s">
        <v>1091</v>
      </c>
      <c r="M1" s="187" t="s">
        <v>1092</v>
      </c>
      <c r="N1" s="186" t="s">
        <v>1093</v>
      </c>
      <c r="O1" s="186" t="s">
        <v>1094</v>
      </c>
      <c r="P1" s="186" t="s">
        <v>1095</v>
      </c>
      <c r="Q1" s="186" t="s">
        <v>1096</v>
      </c>
    </row>
    <row r="2" spans="1:17" x14ac:dyDescent="0.2">
      <c r="A2" s="183" t="s">
        <v>1153</v>
      </c>
      <c r="B2" s="183" t="s">
        <v>360</v>
      </c>
      <c r="C2" s="183" t="s">
        <v>1154</v>
      </c>
      <c r="D2" s="183" t="s">
        <v>1155</v>
      </c>
      <c r="E2" s="183" t="s">
        <v>1156</v>
      </c>
      <c r="F2" s="183" t="s">
        <v>1157</v>
      </c>
      <c r="G2" s="183" t="s">
        <v>1158</v>
      </c>
      <c r="H2" s="183" t="s">
        <v>1159</v>
      </c>
      <c r="I2" s="183" t="s">
        <v>1160</v>
      </c>
      <c r="J2" s="183" t="s">
        <v>1161</v>
      </c>
      <c r="L2" s="183" t="s">
        <v>1162</v>
      </c>
      <c r="M2" s="185">
        <v>2.9000000000000001E-2</v>
      </c>
      <c r="N2" s="183">
        <v>1.0708</v>
      </c>
      <c r="O2" s="183" t="s">
        <v>648</v>
      </c>
      <c r="P2" s="183" t="s">
        <v>1163</v>
      </c>
      <c r="Q2" s="183" t="s">
        <v>1164</v>
      </c>
    </row>
    <row r="3" spans="1:17" x14ac:dyDescent="0.2">
      <c r="A3" s="183" t="s">
        <v>1165</v>
      </c>
      <c r="B3" s="183" t="s">
        <v>360</v>
      </c>
      <c r="C3" s="183" t="s">
        <v>1154</v>
      </c>
      <c r="D3" s="183" t="s">
        <v>1155</v>
      </c>
      <c r="E3" s="183" t="s">
        <v>1166</v>
      </c>
      <c r="F3" s="183" t="s">
        <v>1167</v>
      </c>
      <c r="G3" s="183" t="s">
        <v>1168</v>
      </c>
      <c r="H3" s="183" t="s">
        <v>1169</v>
      </c>
      <c r="I3" s="183" t="s">
        <v>1170</v>
      </c>
      <c r="J3" s="183" t="s">
        <v>1171</v>
      </c>
      <c r="L3" s="183" t="s">
        <v>1172</v>
      </c>
      <c r="M3" s="185">
        <v>2.5000000000000001E-2</v>
      </c>
      <c r="N3" s="183">
        <v>0.94</v>
      </c>
      <c r="O3" s="183" t="s">
        <v>648</v>
      </c>
      <c r="P3" s="183" t="s">
        <v>1173</v>
      </c>
      <c r="Q3" s="183" t="s">
        <v>1174</v>
      </c>
    </row>
    <row r="4" spans="1:17" x14ac:dyDescent="0.2">
      <c r="A4" s="183" t="s">
        <v>1175</v>
      </c>
      <c r="B4" s="183" t="s">
        <v>360</v>
      </c>
      <c r="C4" s="183" t="s">
        <v>1154</v>
      </c>
      <c r="D4" s="183" t="s">
        <v>1176</v>
      </c>
      <c r="E4" s="183" t="s">
        <v>1177</v>
      </c>
      <c r="F4" s="183" t="s">
        <v>1178</v>
      </c>
      <c r="G4" s="183" t="s">
        <v>1179</v>
      </c>
      <c r="H4" s="183" t="s">
        <v>1180</v>
      </c>
      <c r="I4" s="183" t="s">
        <v>1181</v>
      </c>
      <c r="J4" s="183" t="s">
        <v>1182</v>
      </c>
      <c r="K4" s="183" t="s">
        <v>1183</v>
      </c>
      <c r="L4" s="183" t="s">
        <v>1184</v>
      </c>
      <c r="M4" s="185">
        <v>0.03</v>
      </c>
      <c r="N4" s="183" t="s">
        <v>196</v>
      </c>
      <c r="O4" s="183" t="s">
        <v>648</v>
      </c>
      <c r="P4" s="183" t="s">
        <v>277</v>
      </c>
      <c r="Q4" s="183" t="s">
        <v>1185</v>
      </c>
    </row>
    <row r="5" spans="1:17" x14ac:dyDescent="0.2">
      <c r="A5" s="183" t="s">
        <v>1186</v>
      </c>
      <c r="B5" s="183" t="s">
        <v>360</v>
      </c>
      <c r="C5" s="183" t="s">
        <v>1154</v>
      </c>
      <c r="D5" s="183" t="s">
        <v>1176</v>
      </c>
      <c r="E5" s="183" t="s">
        <v>1187</v>
      </c>
      <c r="F5" s="183" t="s">
        <v>1188</v>
      </c>
      <c r="G5" s="183" t="s">
        <v>1189</v>
      </c>
      <c r="H5" s="183" t="s">
        <v>1190</v>
      </c>
      <c r="I5" s="183" t="s">
        <v>1191</v>
      </c>
      <c r="J5" s="183" t="s">
        <v>1192</v>
      </c>
      <c r="K5" s="183" t="s">
        <v>1193</v>
      </c>
      <c r="L5" s="183" t="s">
        <v>1126</v>
      </c>
      <c r="M5" s="185">
        <v>0.04</v>
      </c>
      <c r="N5" s="183">
        <v>88.7</v>
      </c>
      <c r="O5" s="183" t="s">
        <v>648</v>
      </c>
      <c r="P5" s="183" t="s">
        <v>294</v>
      </c>
      <c r="Q5" s="183">
        <v>2023</v>
      </c>
    </row>
    <row r="6" spans="1:17" x14ac:dyDescent="0.2">
      <c r="A6" s="183" t="s">
        <v>1194</v>
      </c>
      <c r="B6" s="183" t="s">
        <v>360</v>
      </c>
      <c r="C6" s="183" t="s">
        <v>1154</v>
      </c>
      <c r="D6" s="183" t="s">
        <v>1176</v>
      </c>
      <c r="E6" s="183" t="s">
        <v>1195</v>
      </c>
      <c r="F6" s="183" t="s">
        <v>1196</v>
      </c>
      <c r="G6" s="183" t="s">
        <v>1197</v>
      </c>
      <c r="H6" s="183" t="s">
        <v>1198</v>
      </c>
      <c r="I6" s="183" t="s">
        <v>1199</v>
      </c>
      <c r="J6" s="183" t="s">
        <v>1200</v>
      </c>
      <c r="K6" s="183" t="s">
        <v>1201</v>
      </c>
      <c r="L6" s="183">
        <v>6.9</v>
      </c>
      <c r="M6" s="185">
        <v>0.01</v>
      </c>
      <c r="N6" s="183">
        <v>107.3</v>
      </c>
      <c r="O6" s="183" t="s">
        <v>648</v>
      </c>
      <c r="P6" s="183" t="s">
        <v>1202</v>
      </c>
      <c r="Q6" s="183">
        <v>2022</v>
      </c>
    </row>
    <row r="7" spans="1:17" hidden="1" x14ac:dyDescent="0.2">
      <c r="A7" s="183" t="s">
        <v>1130</v>
      </c>
      <c r="B7" s="183" t="s">
        <v>477</v>
      </c>
      <c r="C7" s="183" t="s">
        <v>1099</v>
      </c>
      <c r="D7" s="183" t="s">
        <v>1100</v>
      </c>
      <c r="E7" s="183" t="s">
        <v>1131</v>
      </c>
      <c r="F7" s="183" t="s">
        <v>1132</v>
      </c>
      <c r="G7" s="183" t="s">
        <v>1133</v>
      </c>
      <c r="J7" s="183" t="s">
        <v>1134</v>
      </c>
      <c r="L7" s="183" t="s">
        <v>1135</v>
      </c>
      <c r="M7" s="185">
        <v>1.0999999999999999E-2</v>
      </c>
      <c r="N7" s="183">
        <v>1.23</v>
      </c>
      <c r="O7" s="183" t="s">
        <v>648</v>
      </c>
      <c r="P7" s="183" t="s">
        <v>276</v>
      </c>
      <c r="Q7" s="188">
        <v>44470</v>
      </c>
    </row>
    <row r="8" spans="1:17" hidden="1" x14ac:dyDescent="0.2">
      <c r="A8" s="183" t="s">
        <v>1136</v>
      </c>
      <c r="B8" s="183" t="s">
        <v>477</v>
      </c>
      <c r="C8" s="183" t="s">
        <v>1099</v>
      </c>
      <c r="D8" s="183" t="s">
        <v>1100</v>
      </c>
      <c r="E8" s="183" t="s">
        <v>1137</v>
      </c>
      <c r="F8" s="183" t="s">
        <v>1138</v>
      </c>
      <c r="G8" s="183" t="s">
        <v>1139</v>
      </c>
      <c r="I8" s="183" t="s">
        <v>1140</v>
      </c>
      <c r="J8" s="183" t="s">
        <v>1141</v>
      </c>
      <c r="L8" s="183" t="s">
        <v>1142</v>
      </c>
      <c r="M8" s="185">
        <v>1.4999999999999999E-2</v>
      </c>
      <c r="N8" s="183">
        <v>0.96</v>
      </c>
      <c r="O8" s="183" t="s">
        <v>648</v>
      </c>
      <c r="P8" s="183" t="s">
        <v>1143</v>
      </c>
      <c r="Q8" s="188">
        <v>44191</v>
      </c>
    </row>
    <row r="9" spans="1:17" x14ac:dyDescent="0.2">
      <c r="A9" s="183" t="s">
        <v>1108</v>
      </c>
      <c r="B9" s="183" t="s">
        <v>360</v>
      </c>
      <c r="C9" s="183" t="s">
        <v>1099</v>
      </c>
      <c r="D9" s="183" t="s">
        <v>1109</v>
      </c>
      <c r="E9" s="183" t="s">
        <v>1110</v>
      </c>
      <c r="F9" s="183" t="s">
        <v>1111</v>
      </c>
      <c r="G9" s="183" t="s">
        <v>1112</v>
      </c>
      <c r="H9" s="183" t="s">
        <v>1113</v>
      </c>
      <c r="I9" s="183" t="s">
        <v>1114</v>
      </c>
      <c r="J9" s="183" t="s">
        <v>1115</v>
      </c>
      <c r="L9" s="183" t="s">
        <v>1116</v>
      </c>
      <c r="M9" s="185">
        <v>5.7000000000000002E-2</v>
      </c>
      <c r="N9" s="183">
        <v>85</v>
      </c>
      <c r="O9" s="183" t="s">
        <v>648</v>
      </c>
      <c r="P9" s="183" t="s">
        <v>1117</v>
      </c>
      <c r="Q9" s="183" t="s">
        <v>1118</v>
      </c>
    </row>
    <row r="10" spans="1:17" x14ac:dyDescent="0.2">
      <c r="A10" s="183" t="s">
        <v>1119</v>
      </c>
      <c r="B10" s="183" t="s">
        <v>360</v>
      </c>
      <c r="C10" s="183" t="s">
        <v>274</v>
      </c>
      <c r="D10" s="183" t="s">
        <v>1109</v>
      </c>
      <c r="E10" s="183" t="s">
        <v>1120</v>
      </c>
      <c r="F10" s="183" t="s">
        <v>1121</v>
      </c>
      <c r="G10" s="183" t="s">
        <v>1122</v>
      </c>
      <c r="H10" s="183" t="s">
        <v>1123</v>
      </c>
      <c r="I10" s="183" t="s">
        <v>1124</v>
      </c>
      <c r="J10" s="183" t="s">
        <v>1125</v>
      </c>
      <c r="L10" s="183" t="s">
        <v>1126</v>
      </c>
      <c r="M10" s="185">
        <v>0.3</v>
      </c>
      <c r="N10" s="183">
        <v>93</v>
      </c>
      <c r="O10" s="183" t="s">
        <v>648</v>
      </c>
      <c r="P10" s="183" t="s">
        <v>1128</v>
      </c>
      <c r="Q10" s="183" t="s">
        <v>1129</v>
      </c>
    </row>
    <row r="11" spans="1:17" x14ac:dyDescent="0.2">
      <c r="A11" s="183" t="s">
        <v>1215</v>
      </c>
      <c r="B11" s="183" t="s">
        <v>360</v>
      </c>
      <c r="C11" s="183" t="s">
        <v>1154</v>
      </c>
      <c r="D11" s="183" t="s">
        <v>1176</v>
      </c>
      <c r="E11" s="183" t="s">
        <v>1216</v>
      </c>
      <c r="F11" s="183" t="s">
        <v>1217</v>
      </c>
      <c r="G11" s="183" t="s">
        <v>1218</v>
      </c>
      <c r="H11" s="183" t="s">
        <v>1219</v>
      </c>
      <c r="I11" s="183" t="s">
        <v>1220</v>
      </c>
      <c r="J11" s="183" t="s">
        <v>1220</v>
      </c>
      <c r="K11" s="183" t="s">
        <v>1221</v>
      </c>
      <c r="L11" s="183" t="s">
        <v>1222</v>
      </c>
      <c r="M11" s="185">
        <v>0.05</v>
      </c>
      <c r="N11" s="183">
        <v>96.5</v>
      </c>
      <c r="O11" s="183" t="s">
        <v>648</v>
      </c>
      <c r="P11" s="183" t="s">
        <v>1223</v>
      </c>
      <c r="Q11" s="183">
        <v>2021</v>
      </c>
    </row>
    <row r="12" spans="1:17" x14ac:dyDescent="0.2">
      <c r="A12" s="183" t="s">
        <v>1224</v>
      </c>
      <c r="B12" s="183" t="s">
        <v>360</v>
      </c>
      <c r="C12" s="183" t="s">
        <v>1154</v>
      </c>
      <c r="D12" s="183" t="s">
        <v>1176</v>
      </c>
      <c r="E12" s="183" t="s">
        <v>1225</v>
      </c>
      <c r="F12" s="183" t="s">
        <v>1226</v>
      </c>
      <c r="I12" s="183" t="s">
        <v>1227</v>
      </c>
      <c r="J12" s="183" t="s">
        <v>1228</v>
      </c>
      <c r="L12" s="183" t="s">
        <v>1229</v>
      </c>
      <c r="M12" s="185">
        <v>0.02</v>
      </c>
      <c r="N12" s="183">
        <v>93.7</v>
      </c>
    </row>
    <row r="13" spans="1:17" x14ac:dyDescent="0.2">
      <c r="A13" s="183" t="s">
        <v>1237</v>
      </c>
      <c r="B13" s="183" t="s">
        <v>360</v>
      </c>
      <c r="C13" s="183" t="s">
        <v>1154</v>
      </c>
      <c r="D13" s="183" t="s">
        <v>1155</v>
      </c>
      <c r="E13" s="183" t="s">
        <v>1238</v>
      </c>
      <c r="F13" s="183" t="s">
        <v>1239</v>
      </c>
      <c r="G13" s="183" t="s">
        <v>1240</v>
      </c>
      <c r="H13" s="183" t="s">
        <v>1241</v>
      </c>
      <c r="I13" s="183" t="s">
        <v>1242</v>
      </c>
      <c r="J13" s="183" t="s">
        <v>1243</v>
      </c>
      <c r="L13" s="183" t="s">
        <v>1244</v>
      </c>
      <c r="M13" s="185">
        <v>0.02</v>
      </c>
      <c r="N13" s="183">
        <v>1.01</v>
      </c>
      <c r="O13" s="183" t="s">
        <v>648</v>
      </c>
      <c r="P13" s="183" t="s">
        <v>1245</v>
      </c>
      <c r="Q13" s="183" t="s">
        <v>1246</v>
      </c>
    </row>
    <row r="14" spans="1:17" x14ac:dyDescent="0.2">
      <c r="A14" s="183" t="s">
        <v>1247</v>
      </c>
      <c r="B14" s="183" t="s">
        <v>360</v>
      </c>
      <c r="C14" s="183" t="s">
        <v>1154</v>
      </c>
      <c r="D14" s="183" t="s">
        <v>1155</v>
      </c>
      <c r="E14" s="183" t="s">
        <v>1248</v>
      </c>
      <c r="F14" s="183" t="s">
        <v>1249</v>
      </c>
      <c r="G14" s="183" t="s">
        <v>1250</v>
      </c>
      <c r="H14" s="183" t="s">
        <v>1251</v>
      </c>
      <c r="I14" s="183" t="s">
        <v>1252</v>
      </c>
      <c r="J14" s="183" t="s">
        <v>1253</v>
      </c>
      <c r="L14" s="183" t="s">
        <v>1254</v>
      </c>
      <c r="M14" s="185">
        <v>0</v>
      </c>
      <c r="N14" s="183">
        <v>0.98699999999999999</v>
      </c>
      <c r="O14" s="183" t="s">
        <v>925</v>
      </c>
      <c r="P14" s="183" t="s">
        <v>1255</v>
      </c>
      <c r="Q14" s="183" t="s">
        <v>664</v>
      </c>
    </row>
    <row r="15" spans="1:17" x14ac:dyDescent="0.2">
      <c r="A15" s="183" t="s">
        <v>1256</v>
      </c>
      <c r="B15" s="183" t="s">
        <v>360</v>
      </c>
      <c r="C15" s="183" t="s">
        <v>1154</v>
      </c>
      <c r="D15" s="183" t="s">
        <v>1155</v>
      </c>
      <c r="E15" s="183" t="s">
        <v>1257</v>
      </c>
      <c r="F15" s="183" t="s">
        <v>1258</v>
      </c>
      <c r="G15" s="183" t="s">
        <v>1259</v>
      </c>
      <c r="H15" s="183" t="s">
        <v>1260</v>
      </c>
      <c r="I15" s="183" t="s">
        <v>1261</v>
      </c>
      <c r="J15" s="183" t="s">
        <v>1262</v>
      </c>
      <c r="L15" s="183" t="s">
        <v>1263</v>
      </c>
      <c r="M15" s="185">
        <v>3.1E-2</v>
      </c>
      <c r="N15" s="183">
        <v>0.97599999999999998</v>
      </c>
      <c r="O15" s="183" t="s">
        <v>648</v>
      </c>
      <c r="P15" s="183" t="s">
        <v>276</v>
      </c>
      <c r="Q15" s="183" t="s">
        <v>664</v>
      </c>
    </row>
  </sheetData>
  <autoFilter ref="A1:Q15" xr:uid="{00000000-0009-0000-0000-000000000000}">
    <filterColumn colId="1">
      <filters>
        <filter val="US"/>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4"/>
  <sheetViews>
    <sheetView showGridLines="0" showRowColHeaders="0" workbookViewId="0"/>
  </sheetViews>
  <sheetFormatPr defaultColWidth="0" defaultRowHeight="14" zeroHeight="1" x14ac:dyDescent="0.3"/>
  <cols>
    <col min="1" max="14" width="9.1796875" style="219" customWidth="1"/>
    <col min="15" max="16384" width="9.1796875" style="219" hidden="1"/>
  </cols>
  <sheetData>
    <row r="1" spans="2:13" x14ac:dyDescent="0.3">
      <c r="B1" s="498" t="s">
        <v>1850</v>
      </c>
      <c r="C1" s="498"/>
      <c r="D1" s="498"/>
      <c r="E1" s="498"/>
      <c r="F1" s="498"/>
      <c r="G1" s="498"/>
      <c r="H1" s="498"/>
      <c r="I1" s="498"/>
      <c r="J1" s="498"/>
      <c r="K1" s="498"/>
      <c r="L1" s="498"/>
      <c r="M1" s="498"/>
    </row>
    <row r="2" spans="2:13" x14ac:dyDescent="0.3">
      <c r="B2" s="498"/>
      <c r="C2" s="498"/>
      <c r="D2" s="498"/>
      <c r="E2" s="498"/>
      <c r="F2" s="498"/>
      <c r="G2" s="498"/>
      <c r="H2" s="498"/>
      <c r="I2" s="498"/>
      <c r="J2" s="498"/>
      <c r="K2" s="498"/>
      <c r="L2" s="498"/>
      <c r="M2" s="498"/>
    </row>
    <row r="3" spans="2:13" x14ac:dyDescent="0.3">
      <c r="B3" s="498"/>
      <c r="C3" s="498"/>
      <c r="D3" s="498"/>
      <c r="E3" s="498"/>
      <c r="F3" s="498"/>
      <c r="G3" s="498"/>
      <c r="H3" s="498"/>
      <c r="I3" s="498"/>
      <c r="J3" s="498"/>
      <c r="K3" s="498"/>
      <c r="L3" s="498"/>
      <c r="M3" s="498"/>
    </row>
    <row r="4" spans="2:13" x14ac:dyDescent="0.3"/>
    <row r="5" spans="2:13" x14ac:dyDescent="0.3"/>
    <row r="6" spans="2:13" x14ac:dyDescent="0.3"/>
    <row r="7" spans="2:13" x14ac:dyDescent="0.3"/>
    <row r="8" spans="2:13" x14ac:dyDescent="0.3"/>
    <row r="9" spans="2:13" x14ac:dyDescent="0.3"/>
    <row r="10" spans="2:13" x14ac:dyDescent="0.3"/>
    <row r="11" spans="2:13" x14ac:dyDescent="0.3"/>
    <row r="12" spans="2:13" x14ac:dyDescent="0.3"/>
    <row r="13" spans="2:13" x14ac:dyDescent="0.3"/>
    <row r="14" spans="2:13" x14ac:dyDescent="0.3"/>
    <row r="15" spans="2:13" x14ac:dyDescent="0.3"/>
    <row r="16" spans="2:13" x14ac:dyDescent="0.3"/>
    <row r="17" spans="2:14" x14ac:dyDescent="0.3"/>
    <row r="18" spans="2:14" x14ac:dyDescent="0.3"/>
    <row r="19" spans="2:14" x14ac:dyDescent="0.3"/>
    <row r="20" spans="2:14" x14ac:dyDescent="0.3"/>
    <row r="21" spans="2:14" x14ac:dyDescent="0.3"/>
    <row r="22" spans="2:14" x14ac:dyDescent="0.3"/>
    <row r="23" spans="2:14" x14ac:dyDescent="0.3"/>
    <row r="24" spans="2:14" x14ac:dyDescent="0.3">
      <c r="B24" s="223"/>
      <c r="C24" s="223"/>
      <c r="D24" s="223"/>
      <c r="E24" s="223"/>
      <c r="F24" s="223"/>
      <c r="G24" s="223"/>
      <c r="H24" s="223"/>
      <c r="I24" s="223"/>
      <c r="J24" s="223"/>
      <c r="K24" s="321" t="s">
        <v>2155</v>
      </c>
      <c r="L24" s="499" t="s">
        <v>1809</v>
      </c>
      <c r="M24" s="499"/>
      <c r="N24" s="322">
        <v>44046</v>
      </c>
    </row>
  </sheetData>
  <mergeCells count="2">
    <mergeCell ref="B1:M3"/>
    <mergeCell ref="L24:M2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U97"/>
  <sheetViews>
    <sheetView showGridLines="0" showRowColHeaders="0" zoomScale="80" zoomScaleNormal="80" workbookViewId="0">
      <pane xSplit="2" ySplit="6" topLeftCell="C7" activePane="bottomRight" state="frozen"/>
      <selection pane="topRight" activeCell="B1" sqref="B1"/>
      <selection pane="bottomLeft" activeCell="A6" sqref="A6"/>
      <selection pane="bottomRight" activeCell="C14" sqref="C14"/>
    </sheetView>
  </sheetViews>
  <sheetFormatPr defaultColWidth="0" defaultRowHeight="14.5" zeroHeight="1" x14ac:dyDescent="0.35"/>
  <cols>
    <col min="1" max="1" width="9.1796875" customWidth="1"/>
    <col min="2" max="2" width="7" bestFit="1" customWidth="1"/>
    <col min="3" max="3" width="176.81640625" style="426" customWidth="1"/>
    <col min="4" max="4" width="9.1796875" customWidth="1"/>
    <col min="5" max="21" width="0" hidden="1" customWidth="1"/>
    <col min="22" max="16384" width="9.1796875" hidden="1"/>
  </cols>
  <sheetData>
    <row r="1" spans="2:3" x14ac:dyDescent="0.35"/>
    <row r="2" spans="2:3" x14ac:dyDescent="0.35">
      <c r="B2" s="228" t="s">
        <v>1709</v>
      </c>
    </row>
    <row r="3" spans="2:3" ht="15" thickBot="1" x14ac:dyDescent="0.4"/>
    <row r="4" spans="2:3" ht="25" x14ac:dyDescent="0.35">
      <c r="B4" s="500" t="s">
        <v>1986</v>
      </c>
      <c r="C4" s="501"/>
    </row>
    <row r="5" spans="2:3" x14ac:dyDescent="0.35">
      <c r="B5" s="443"/>
      <c r="C5" s="444"/>
    </row>
    <row r="6" spans="2:3" ht="15" customHeight="1" thickBot="1" x14ac:dyDescent="0.4">
      <c r="B6" s="502" t="s">
        <v>1987</v>
      </c>
      <c r="C6" s="503"/>
    </row>
    <row r="7" spans="2:3" ht="15" thickBot="1" x14ac:dyDescent="0.4"/>
    <row r="8" spans="2:3" x14ac:dyDescent="0.35">
      <c r="B8" s="427" t="s">
        <v>1988</v>
      </c>
      <c r="C8" s="428" t="s">
        <v>1989</v>
      </c>
    </row>
    <row r="9" spans="2:3" ht="15.5" x14ac:dyDescent="0.35">
      <c r="B9" s="429"/>
      <c r="C9" s="430" t="s">
        <v>1990</v>
      </c>
    </row>
    <row r="10" spans="2:3" ht="15.5" x14ac:dyDescent="0.35">
      <c r="B10" s="429"/>
      <c r="C10" s="430" t="s">
        <v>1991</v>
      </c>
    </row>
    <row r="11" spans="2:3" ht="15.5" x14ac:dyDescent="0.35">
      <c r="B11" s="429"/>
      <c r="C11" s="430" t="s">
        <v>1992</v>
      </c>
    </row>
    <row r="12" spans="2:3" x14ac:dyDescent="0.35">
      <c r="B12" s="429"/>
      <c r="C12" s="431"/>
    </row>
    <row r="13" spans="2:3" x14ac:dyDescent="0.35">
      <c r="B13" s="429"/>
      <c r="C13" s="432" t="s">
        <v>1993</v>
      </c>
    </row>
    <row r="14" spans="2:3" x14ac:dyDescent="0.35">
      <c r="B14" s="429"/>
      <c r="C14" s="431"/>
    </row>
    <row r="15" spans="2:3" x14ac:dyDescent="0.35">
      <c r="B15" s="433" t="s">
        <v>1994</v>
      </c>
      <c r="C15" s="434" t="s">
        <v>1995</v>
      </c>
    </row>
    <row r="16" spans="2:3" ht="15.5" x14ac:dyDescent="0.35">
      <c r="B16" s="429"/>
      <c r="C16" s="435" t="s">
        <v>2018</v>
      </c>
    </row>
    <row r="17" spans="2:3" ht="15.5" x14ac:dyDescent="0.35">
      <c r="B17" s="429"/>
      <c r="C17" s="435" t="s">
        <v>2019</v>
      </c>
    </row>
    <row r="18" spans="2:3" ht="15.5" x14ac:dyDescent="0.35">
      <c r="B18" s="429"/>
      <c r="C18" s="435" t="s">
        <v>2020</v>
      </c>
    </row>
    <row r="19" spans="2:3" ht="15.5" x14ac:dyDescent="0.35">
      <c r="B19" s="429"/>
      <c r="C19" s="435" t="s">
        <v>2021</v>
      </c>
    </row>
    <row r="20" spans="2:3" ht="15.5" x14ac:dyDescent="0.35">
      <c r="B20" s="429"/>
      <c r="C20" s="435" t="s">
        <v>2022</v>
      </c>
    </row>
    <row r="21" spans="2:3" ht="15.5" x14ac:dyDescent="0.35">
      <c r="B21" s="429"/>
      <c r="C21" s="435" t="s">
        <v>2023</v>
      </c>
    </row>
    <row r="22" spans="2:3" x14ac:dyDescent="0.35">
      <c r="B22" s="429"/>
      <c r="C22" s="436"/>
    </row>
    <row r="23" spans="2:3" x14ac:dyDescent="0.35">
      <c r="B23" s="433" t="s">
        <v>2009</v>
      </c>
      <c r="C23" s="434" t="s">
        <v>2024</v>
      </c>
    </row>
    <row r="24" spans="2:3" ht="15" customHeight="1" x14ac:dyDescent="0.35">
      <c r="B24" s="429"/>
      <c r="C24" s="437" t="s">
        <v>2025</v>
      </c>
    </row>
    <row r="25" spans="2:3" x14ac:dyDescent="0.35">
      <c r="B25" s="429"/>
      <c r="C25" s="437"/>
    </row>
    <row r="26" spans="2:3" x14ac:dyDescent="0.35">
      <c r="B26" s="429"/>
      <c r="C26" s="436" t="s">
        <v>2026</v>
      </c>
    </row>
    <row r="27" spans="2:3" x14ac:dyDescent="0.35">
      <c r="B27" s="429"/>
      <c r="C27" s="436" t="s">
        <v>2027</v>
      </c>
    </row>
    <row r="28" spans="2:3" x14ac:dyDescent="0.35">
      <c r="B28" s="429"/>
      <c r="C28" s="436" t="s">
        <v>2028</v>
      </c>
    </row>
    <row r="29" spans="2:3" ht="28.5" x14ac:dyDescent="0.35">
      <c r="B29" s="429"/>
      <c r="C29" s="436" t="s">
        <v>2029</v>
      </c>
    </row>
    <row r="30" spans="2:3" x14ac:dyDescent="0.35">
      <c r="B30" s="429"/>
      <c r="C30" s="436"/>
    </row>
    <row r="31" spans="2:3" ht="28.5" x14ac:dyDescent="0.35">
      <c r="B31" s="429"/>
      <c r="C31" s="436" t="s">
        <v>2030</v>
      </c>
    </row>
    <row r="32" spans="2:3" x14ac:dyDescent="0.35">
      <c r="B32" s="429"/>
      <c r="C32" s="436" t="s">
        <v>2031</v>
      </c>
    </row>
    <row r="33" spans="2:3" x14ac:dyDescent="0.35">
      <c r="B33" s="429"/>
      <c r="C33" s="436" t="s">
        <v>2032</v>
      </c>
    </row>
    <row r="34" spans="2:3" x14ac:dyDescent="0.35">
      <c r="B34" s="429"/>
      <c r="C34" s="436" t="s">
        <v>2033</v>
      </c>
    </row>
    <row r="35" spans="2:3" x14ac:dyDescent="0.35">
      <c r="B35" s="429"/>
      <c r="C35" s="436" t="s">
        <v>2034</v>
      </c>
    </row>
    <row r="36" spans="2:3" x14ac:dyDescent="0.35">
      <c r="B36" s="429"/>
      <c r="C36" s="436" t="s">
        <v>2035</v>
      </c>
    </row>
    <row r="37" spans="2:3" x14ac:dyDescent="0.35">
      <c r="B37" s="429"/>
      <c r="C37" s="436" t="s">
        <v>2036</v>
      </c>
    </row>
    <row r="38" spans="2:3" x14ac:dyDescent="0.35">
      <c r="B38" s="429"/>
      <c r="C38" s="436" t="s">
        <v>2037</v>
      </c>
    </row>
    <row r="39" spans="2:3" x14ac:dyDescent="0.35">
      <c r="B39" s="429"/>
      <c r="C39" s="436"/>
    </row>
    <row r="40" spans="2:3" x14ac:dyDescent="0.35">
      <c r="B40" s="433" t="s">
        <v>2038</v>
      </c>
      <c r="C40" s="434" t="s">
        <v>2006</v>
      </c>
    </row>
    <row r="41" spans="2:3" ht="15.5" x14ac:dyDescent="0.35">
      <c r="B41" s="429"/>
      <c r="C41" s="438"/>
    </row>
    <row r="42" spans="2:3" x14ac:dyDescent="0.35">
      <c r="B42" s="429"/>
      <c r="C42" s="439" t="s">
        <v>2039</v>
      </c>
    </row>
    <row r="43" spans="2:3" x14ac:dyDescent="0.35">
      <c r="B43" s="429"/>
      <c r="C43" s="439" t="s">
        <v>2007</v>
      </c>
    </row>
    <row r="44" spans="2:3" x14ac:dyDescent="0.35">
      <c r="B44" s="429"/>
      <c r="C44" s="439" t="s">
        <v>2040</v>
      </c>
    </row>
    <row r="45" spans="2:3" x14ac:dyDescent="0.35">
      <c r="B45" s="429"/>
      <c r="C45" s="440" t="s">
        <v>2041</v>
      </c>
    </row>
    <row r="46" spans="2:3" x14ac:dyDescent="0.35">
      <c r="B46" s="429"/>
      <c r="C46" s="440" t="s">
        <v>2042</v>
      </c>
    </row>
    <row r="47" spans="2:3" x14ac:dyDescent="0.35">
      <c r="B47" s="429"/>
      <c r="C47" s="436"/>
    </row>
    <row r="48" spans="2:3" ht="15" customHeight="1" x14ac:dyDescent="0.35">
      <c r="B48" s="433" t="s">
        <v>2043</v>
      </c>
      <c r="C48" s="434" t="s">
        <v>1996</v>
      </c>
    </row>
    <row r="49" spans="2:3" x14ac:dyDescent="0.35">
      <c r="B49" s="429"/>
      <c r="C49" s="436"/>
    </row>
    <row r="50" spans="2:3" ht="15" customHeight="1" x14ac:dyDescent="0.35">
      <c r="B50" s="429">
        <v>1</v>
      </c>
      <c r="C50" s="430" t="s">
        <v>1997</v>
      </c>
    </row>
    <row r="51" spans="2:3" ht="15.5" x14ac:dyDescent="0.35">
      <c r="B51" s="429">
        <v>2</v>
      </c>
      <c r="C51" s="430" t="s">
        <v>1998</v>
      </c>
    </row>
    <row r="52" spans="2:3" ht="15.5" x14ac:dyDescent="0.35">
      <c r="B52" s="429">
        <v>3</v>
      </c>
      <c r="C52" s="430" t="s">
        <v>1999</v>
      </c>
    </row>
    <row r="53" spans="2:3" ht="15.5" x14ac:dyDescent="0.35">
      <c r="B53" s="429">
        <v>4</v>
      </c>
      <c r="C53" s="430" t="s">
        <v>2000</v>
      </c>
    </row>
    <row r="54" spans="2:3" ht="15.5" x14ac:dyDescent="0.35">
      <c r="B54" s="429">
        <v>5</v>
      </c>
      <c r="C54" s="430" t="s">
        <v>346</v>
      </c>
    </row>
    <row r="55" spans="2:3" ht="15.5" x14ac:dyDescent="0.35">
      <c r="B55" s="429">
        <v>6</v>
      </c>
      <c r="C55" s="430" t="s">
        <v>2001</v>
      </c>
    </row>
    <row r="56" spans="2:3" ht="15.5" x14ac:dyDescent="0.35">
      <c r="B56" s="429">
        <v>7</v>
      </c>
      <c r="C56" s="430" t="s">
        <v>2002</v>
      </c>
    </row>
    <row r="57" spans="2:3" ht="15.5" x14ac:dyDescent="0.35">
      <c r="B57" s="429">
        <v>8</v>
      </c>
      <c r="C57" s="430" t="s">
        <v>2003</v>
      </c>
    </row>
    <row r="58" spans="2:3" ht="15.5" x14ac:dyDescent="0.35">
      <c r="B58" s="429">
        <v>9</v>
      </c>
      <c r="C58" s="430" t="s">
        <v>2004</v>
      </c>
    </row>
    <row r="59" spans="2:3" ht="15.5" x14ac:dyDescent="0.35">
      <c r="B59" s="429">
        <v>10</v>
      </c>
      <c r="C59" s="430" t="s">
        <v>2005</v>
      </c>
    </row>
    <row r="60" spans="2:3" x14ac:dyDescent="0.35">
      <c r="B60" s="429"/>
      <c r="C60" s="436"/>
    </row>
    <row r="61" spans="2:3" x14ac:dyDescent="0.35">
      <c r="B61" s="429"/>
      <c r="C61" s="506" t="s">
        <v>2044</v>
      </c>
    </row>
    <row r="62" spans="2:3" x14ac:dyDescent="0.35">
      <c r="B62" s="429"/>
      <c r="C62" s="506"/>
    </row>
    <row r="63" spans="2:3" x14ac:dyDescent="0.35">
      <c r="B63" s="429"/>
      <c r="C63" s="506"/>
    </row>
    <row r="64" spans="2:3" x14ac:dyDescent="0.35">
      <c r="B64" s="429"/>
      <c r="C64" s="506"/>
    </row>
    <row r="65" spans="2:3" x14ac:dyDescent="0.35">
      <c r="B65" s="429"/>
      <c r="C65" s="436"/>
    </row>
    <row r="66" spans="2:3" x14ac:dyDescent="0.35">
      <c r="B66" s="433" t="s">
        <v>2008</v>
      </c>
      <c r="C66" s="434" t="s">
        <v>2045</v>
      </c>
    </row>
    <row r="67" spans="2:3" x14ac:dyDescent="0.35">
      <c r="B67" s="429"/>
      <c r="C67" s="436"/>
    </row>
    <row r="68" spans="2:3" ht="28.5" x14ac:dyDescent="0.35">
      <c r="B68" s="442">
        <v>1</v>
      </c>
      <c r="C68" s="436" t="s">
        <v>2046</v>
      </c>
    </row>
    <row r="69" spans="2:3" ht="28.5" x14ac:dyDescent="0.35">
      <c r="B69" s="442">
        <v>2</v>
      </c>
      <c r="C69" s="441" t="s">
        <v>2047</v>
      </c>
    </row>
    <row r="70" spans="2:3" x14ac:dyDescent="0.35">
      <c r="B70" s="504">
        <v>3</v>
      </c>
      <c r="C70" s="507" t="s">
        <v>2048</v>
      </c>
    </row>
    <row r="71" spans="2:3" x14ac:dyDescent="0.35">
      <c r="B71" s="504"/>
      <c r="C71" s="507"/>
    </row>
    <row r="72" spans="2:3" x14ac:dyDescent="0.35">
      <c r="B72" s="504">
        <v>4</v>
      </c>
      <c r="C72" s="505" t="s">
        <v>2049</v>
      </c>
    </row>
    <row r="73" spans="2:3" x14ac:dyDescent="0.35">
      <c r="B73" s="504"/>
      <c r="C73" s="505"/>
    </row>
    <row r="74" spans="2:3" x14ac:dyDescent="0.35">
      <c r="B74" s="429"/>
      <c r="C74" s="436"/>
    </row>
    <row r="75" spans="2:3" ht="15" thickBot="1" x14ac:dyDescent="0.4">
      <c r="B75" s="445"/>
      <c r="C75" s="446"/>
    </row>
    <row r="76" spans="2:3" x14ac:dyDescent="0.35"/>
    <row r="78" spans="2:3" x14ac:dyDescent="0.35"/>
    <row r="79" spans="2:3" x14ac:dyDescent="0.35"/>
    <row r="80" spans="2:3"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sheetData>
  <mergeCells count="7">
    <mergeCell ref="B4:C4"/>
    <mergeCell ref="B6:C6"/>
    <mergeCell ref="B72:B73"/>
    <mergeCell ref="C72:C73"/>
    <mergeCell ref="C61:C64"/>
    <mergeCell ref="B70:B71"/>
    <mergeCell ref="C70:C71"/>
  </mergeCells>
  <hyperlinks>
    <hyperlink ref="B2" location="Home!A1" display="Home"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AQ231"/>
  <sheetViews>
    <sheetView showGridLines="0" zoomScaleNormal="100" workbookViewId="0">
      <pane xSplit="2" ySplit="6" topLeftCell="C7" activePane="bottomRight" state="frozen"/>
      <selection activeCell="AO10" sqref="AO10"/>
      <selection pane="topRight" activeCell="AO10" sqref="AO10"/>
      <selection pane="bottomLeft" activeCell="AO10" sqref="AO10"/>
      <selection pane="bottomRight" activeCell="O18" sqref="O18"/>
    </sheetView>
  </sheetViews>
  <sheetFormatPr defaultColWidth="40.81640625" defaultRowHeight="10" x14ac:dyDescent="0.2"/>
  <cols>
    <col min="1" max="1" width="12.81640625" style="183" bestFit="1" customWidth="1"/>
    <col min="2" max="2" width="36.453125" style="183" bestFit="1" customWidth="1"/>
    <col min="3" max="3" width="3.54296875" style="183" bestFit="1" customWidth="1"/>
    <col min="4" max="4" width="6.453125" style="183" bestFit="1" customWidth="1"/>
    <col min="5" max="5" width="13.54296875" style="190" bestFit="1" customWidth="1"/>
    <col min="6" max="6" width="13" style="185" customWidth="1"/>
    <col min="7" max="8" width="13" style="183" customWidth="1"/>
    <col min="9" max="9" width="13.81640625" style="183" customWidth="1"/>
    <col min="10" max="10" width="18.54296875" style="183" customWidth="1"/>
    <col min="11" max="11" width="19.453125" style="183" customWidth="1"/>
    <col min="12" max="12" width="13.453125" style="183" bestFit="1" customWidth="1"/>
    <col min="13" max="13" width="19.54296875" style="183" customWidth="1"/>
    <col min="14" max="14" width="22.1796875" style="183" customWidth="1"/>
    <col min="15" max="15" width="14.453125" style="183" customWidth="1"/>
    <col min="16" max="16" width="15.453125" style="183" customWidth="1"/>
    <col min="17" max="17" width="12.54296875" style="183" customWidth="1"/>
    <col min="18" max="18" width="22.54296875" style="183" customWidth="1"/>
    <col min="19" max="19" width="14.81640625" style="183" bestFit="1" customWidth="1"/>
    <col min="20" max="20" width="13.54296875" style="189" customWidth="1"/>
    <col min="21" max="21" width="15" style="183" customWidth="1"/>
    <col min="22" max="22" width="46.7265625" style="183" customWidth="1"/>
    <col min="23" max="27" width="17.81640625" style="183" customWidth="1"/>
    <col min="28" max="32" width="11.7265625" style="183" customWidth="1"/>
    <col min="33" max="33" width="9.81640625" style="183" bestFit="1" customWidth="1"/>
    <col min="34" max="34" width="12.54296875" style="183" bestFit="1" customWidth="1"/>
    <col min="35" max="35" width="8.81640625" style="189" bestFit="1" customWidth="1"/>
    <col min="36" max="36" width="14" style="183" bestFit="1" customWidth="1"/>
    <col min="37" max="37" width="17.7265625" style="183" bestFit="1" customWidth="1"/>
    <col min="38" max="38" width="17.81640625" style="189" bestFit="1" customWidth="1"/>
    <col min="39" max="39" width="24.7265625" style="183" bestFit="1" customWidth="1"/>
    <col min="40" max="40" width="22.26953125" style="183" bestFit="1" customWidth="1"/>
    <col min="41" max="41" width="17" style="183" bestFit="1" customWidth="1"/>
    <col min="42" max="42" width="17" style="189" bestFit="1" customWidth="1"/>
    <col min="43" max="43" width="17.26953125" style="224" bestFit="1" customWidth="1"/>
    <col min="44" max="16384" width="40.81640625" style="183"/>
  </cols>
  <sheetData>
    <row r="1" spans="1:43" x14ac:dyDescent="0.2">
      <c r="A1" s="511" t="s">
        <v>2152</v>
      </c>
      <c r="B1" s="511"/>
      <c r="C1" s="511"/>
      <c r="D1" s="511"/>
      <c r="E1" s="511"/>
      <c r="F1" s="511"/>
      <c r="G1" s="511"/>
      <c r="H1" s="511"/>
      <c r="I1" s="511"/>
      <c r="J1" s="511"/>
      <c r="K1" s="511"/>
      <c r="L1" s="511"/>
      <c r="M1" s="511"/>
      <c r="N1" s="511"/>
      <c r="O1" s="511"/>
      <c r="P1" s="511"/>
      <c r="Q1" s="511"/>
      <c r="AO1" s="189"/>
      <c r="AQ1" s="183"/>
    </row>
    <row r="2" spans="1:43" x14ac:dyDescent="0.2">
      <c r="A2" s="511"/>
      <c r="B2" s="511"/>
      <c r="C2" s="511"/>
      <c r="D2" s="511"/>
      <c r="E2" s="511"/>
      <c r="F2" s="511"/>
      <c r="G2" s="511"/>
      <c r="H2" s="511"/>
      <c r="I2" s="511"/>
      <c r="J2" s="511"/>
      <c r="K2" s="511"/>
      <c r="L2" s="511"/>
      <c r="M2" s="511"/>
      <c r="N2" s="511"/>
      <c r="O2" s="511"/>
      <c r="P2" s="511"/>
      <c r="Q2" s="511"/>
      <c r="AO2" s="189"/>
      <c r="AQ2" s="183"/>
    </row>
    <row r="3" spans="1:43" x14ac:dyDescent="0.2">
      <c r="A3" s="512" t="s">
        <v>2156</v>
      </c>
      <c r="B3" s="512"/>
      <c r="C3" s="512"/>
      <c r="D3" s="512"/>
      <c r="E3" s="512"/>
      <c r="F3" s="512"/>
      <c r="G3" s="512"/>
      <c r="H3" s="512"/>
      <c r="I3" s="512"/>
      <c r="J3" s="512"/>
      <c r="K3" s="512"/>
      <c r="L3" s="512"/>
      <c r="M3" s="512"/>
      <c r="N3" s="512"/>
      <c r="O3" s="512"/>
      <c r="P3" s="512"/>
      <c r="Q3" s="512"/>
      <c r="AO3" s="189"/>
      <c r="AQ3" s="183"/>
    </row>
    <row r="4" spans="1:43" x14ac:dyDescent="0.2">
      <c r="A4" s="512"/>
      <c r="B4" s="512"/>
      <c r="C4" s="512"/>
      <c r="D4" s="512"/>
      <c r="E4" s="512"/>
      <c r="F4" s="512"/>
      <c r="G4" s="512"/>
      <c r="H4" s="512"/>
      <c r="I4" s="512"/>
      <c r="J4" s="512"/>
      <c r="K4" s="512"/>
      <c r="L4" s="512"/>
      <c r="M4" s="512"/>
      <c r="N4" s="512"/>
      <c r="O4" s="512"/>
      <c r="P4" s="512"/>
      <c r="Q4" s="512"/>
      <c r="AO4" s="189"/>
      <c r="AQ4" s="183"/>
    </row>
    <row r="5" spans="1:43" ht="14.5" x14ac:dyDescent="0.35">
      <c r="A5" s="228" t="s">
        <v>1709</v>
      </c>
      <c r="B5" s="191" t="s">
        <v>1398</v>
      </c>
      <c r="C5" s="508" t="s">
        <v>1399</v>
      </c>
      <c r="D5" s="508"/>
      <c r="E5" s="508"/>
      <c r="F5" s="508"/>
      <c r="G5" s="508"/>
      <c r="H5" s="508"/>
      <c r="I5" s="508"/>
      <c r="J5" s="508" t="s">
        <v>1708</v>
      </c>
      <c r="K5" s="508"/>
      <c r="L5" s="508"/>
      <c r="M5" s="508"/>
      <c r="N5" s="508"/>
      <c r="O5" s="508"/>
      <c r="AI5" s="509" t="s">
        <v>1714</v>
      </c>
      <c r="AJ5" s="509"/>
      <c r="AK5" s="510" t="s">
        <v>1715</v>
      </c>
      <c r="AL5" s="510"/>
      <c r="AM5" s="510"/>
      <c r="AN5" s="510"/>
      <c r="AO5" s="510"/>
      <c r="AP5" s="510"/>
      <c r="AQ5" s="510"/>
    </row>
    <row r="6" spans="1:43" s="186" customFormat="1" ht="11.25" customHeight="1" x14ac:dyDescent="0.25">
      <c r="A6" s="330" t="s">
        <v>1814</v>
      </c>
      <c r="B6" s="192" t="s">
        <v>1337</v>
      </c>
      <c r="C6" s="192" t="s">
        <v>1418</v>
      </c>
      <c r="D6" s="192" t="s">
        <v>955</v>
      </c>
      <c r="E6" s="193" t="s">
        <v>1371</v>
      </c>
      <c r="F6" s="194" t="s">
        <v>1338</v>
      </c>
      <c r="G6" s="192" t="s">
        <v>1335</v>
      </c>
      <c r="H6" s="192" t="s">
        <v>1336</v>
      </c>
      <c r="I6" s="192" t="s">
        <v>1081</v>
      </c>
      <c r="J6" s="330" t="s">
        <v>1402</v>
      </c>
      <c r="K6" s="330" t="s">
        <v>1400</v>
      </c>
      <c r="L6" s="330" t="s">
        <v>1815</v>
      </c>
      <c r="M6" s="330" t="s">
        <v>1084</v>
      </c>
      <c r="N6" s="330" t="s">
        <v>1085</v>
      </c>
      <c r="O6" s="330" t="s">
        <v>1086</v>
      </c>
      <c r="P6" s="330" t="s">
        <v>1087</v>
      </c>
      <c r="Q6" s="330" t="s">
        <v>1088</v>
      </c>
      <c r="R6" s="330" t="s">
        <v>1089</v>
      </c>
      <c r="S6" s="330" t="s">
        <v>1090</v>
      </c>
      <c r="T6" s="330" t="s">
        <v>1403</v>
      </c>
      <c r="U6" s="330" t="s">
        <v>1404</v>
      </c>
      <c r="V6" s="330" t="s">
        <v>1096</v>
      </c>
      <c r="W6" s="330" t="s">
        <v>1407</v>
      </c>
      <c r="X6" s="330" t="s">
        <v>1408</v>
      </c>
      <c r="Y6" s="330" t="s">
        <v>1409</v>
      </c>
      <c r="Z6" s="330" t="s">
        <v>1410</v>
      </c>
      <c r="AA6" s="330" t="s">
        <v>1411</v>
      </c>
      <c r="AB6" s="330" t="s">
        <v>1412</v>
      </c>
      <c r="AC6" s="330" t="s">
        <v>1413</v>
      </c>
      <c r="AD6" s="330" t="s">
        <v>1414</v>
      </c>
      <c r="AE6" s="330" t="s">
        <v>1415</v>
      </c>
      <c r="AF6" s="330" t="s">
        <v>1416</v>
      </c>
      <c r="AG6" s="192" t="s">
        <v>1486</v>
      </c>
      <c r="AH6" s="192" t="s">
        <v>1487</v>
      </c>
      <c r="AI6" s="192" t="s">
        <v>1503</v>
      </c>
      <c r="AJ6" s="192" t="s">
        <v>1504</v>
      </c>
      <c r="AK6" s="330" t="s">
        <v>1505</v>
      </c>
      <c r="AL6" s="330" t="s">
        <v>1506</v>
      </c>
      <c r="AM6" s="330" t="s">
        <v>1507</v>
      </c>
      <c r="AN6" s="331" t="s">
        <v>1716</v>
      </c>
      <c r="AO6" s="331" t="s">
        <v>1816</v>
      </c>
      <c r="AP6" s="331" t="s">
        <v>1817</v>
      </c>
      <c r="AQ6" s="231" t="s">
        <v>1712</v>
      </c>
    </row>
    <row r="7" spans="1:43" x14ac:dyDescent="0.2">
      <c r="A7" s="195" t="s">
        <v>1155</v>
      </c>
      <c r="B7" s="195" t="s">
        <v>1264</v>
      </c>
      <c r="C7" s="195">
        <v>1</v>
      </c>
      <c r="D7" s="195" t="s">
        <v>1606</v>
      </c>
      <c r="E7" s="196">
        <v>65100455000</v>
      </c>
      <c r="F7" s="197">
        <f>-0.6/100</f>
        <v>-6.0000000000000001E-3</v>
      </c>
      <c r="G7" s="198">
        <v>1</v>
      </c>
      <c r="H7" s="198">
        <v>1</v>
      </c>
      <c r="I7" s="199" t="s">
        <v>360</v>
      </c>
      <c r="J7" s="199">
        <v>98.7</v>
      </c>
      <c r="K7" s="195" t="s">
        <v>1154</v>
      </c>
      <c r="L7" s="195" t="s">
        <v>1155</v>
      </c>
      <c r="M7" s="200" t="s">
        <v>1248</v>
      </c>
      <c r="N7" s="195" t="s">
        <v>1249</v>
      </c>
      <c r="O7" s="195" t="s">
        <v>1250</v>
      </c>
      <c r="P7" s="195" t="s">
        <v>1251</v>
      </c>
      <c r="Q7" s="195" t="s">
        <v>1252</v>
      </c>
      <c r="R7" s="195" t="s">
        <v>1253</v>
      </c>
      <c r="S7" s="195"/>
      <c r="T7" s="199" t="s">
        <v>648</v>
      </c>
      <c r="U7" s="195" t="s">
        <v>1255</v>
      </c>
      <c r="V7" s="195"/>
      <c r="W7" s="195" t="s">
        <v>1490</v>
      </c>
      <c r="X7" s="195"/>
      <c r="Y7" s="195"/>
      <c r="Z7" s="195"/>
      <c r="AA7" s="195"/>
      <c r="AB7" s="195"/>
      <c r="AC7" s="195"/>
      <c r="AD7" s="195"/>
      <c r="AE7" s="195"/>
      <c r="AF7" s="195"/>
      <c r="AG7" s="195" t="str">
        <f>IF(E7="","",IF(E7&gt;='Reference Tab - Do not Delete'!$E$35,'Reference Tab - Do not Delete'!$D$35,IF(AND(E7&gt;='Reference Tab - Do not Delete'!$E$36,E7&lt;'Reference Tab - Do not Delete'!$E$35),'Reference Tab - Do not Delete'!$D$36,IF(AND(E7&gt;='Reference Tab - Do not Delete'!$E$37,E7&lt;'Reference Tab - Do not Delete'!$E$36),'Reference Tab - Do not Delete'!$D$37,IF(AND(E7&gt;='Reference Tab - Do not Delete'!$E$38,E7&lt;'Reference Tab - Do not Delete'!$E$37),'Reference Tab - Do not Delete'!$D$38,'Reference Tab - Do not Delete'!$D$39)))))</f>
        <v>Above $50B</v>
      </c>
      <c r="AH7" s="199" t="str">
        <f>IF(H7="","DNA",IF(H7&lt;=10,"Top 10",IF(AND(H7&lt;=25,H7&gt;10),"11 - 25",IF(AND(H7&lt;=50,H7&gt;25),"26 - 50","Above 50"))))</f>
        <v>Top 10</v>
      </c>
      <c r="AI7" s="199" t="str">
        <f>IF(AJ7&gt;0,"Yes","")</f>
        <v/>
      </c>
      <c r="AJ7" s="196">
        <v>0</v>
      </c>
      <c r="AK7" s="195"/>
      <c r="AL7" s="199"/>
      <c r="AM7" s="195"/>
      <c r="AN7" s="195"/>
      <c r="AO7" s="195"/>
      <c r="AP7" s="199"/>
      <c r="AQ7" s="232"/>
    </row>
    <row r="8" spans="1:43" x14ac:dyDescent="0.2">
      <c r="A8" s="201"/>
      <c r="B8" s="201" t="s">
        <v>1265</v>
      </c>
      <c r="C8" s="201">
        <v>2</v>
      </c>
      <c r="D8" s="201" t="s">
        <v>1606</v>
      </c>
      <c r="E8" s="202">
        <v>53754763000</v>
      </c>
      <c r="F8" s="203">
        <v>7.9000000000000001E-2</v>
      </c>
      <c r="G8" s="204">
        <v>2</v>
      </c>
      <c r="H8" s="204">
        <v>2</v>
      </c>
      <c r="I8" s="205" t="s">
        <v>360</v>
      </c>
      <c r="J8" s="205"/>
      <c r="K8" s="201"/>
      <c r="L8" s="201"/>
      <c r="M8" s="206"/>
      <c r="N8" s="201"/>
      <c r="O8" s="201"/>
      <c r="P8" s="201"/>
      <c r="Q8" s="201"/>
      <c r="R8" s="201"/>
      <c r="S8" s="201"/>
      <c r="T8" s="205"/>
      <c r="U8" s="201"/>
      <c r="V8" s="201"/>
      <c r="W8" s="201" t="s">
        <v>1491</v>
      </c>
      <c r="X8" s="201"/>
      <c r="Y8" s="201"/>
      <c r="Z8" s="201"/>
      <c r="AA8" s="201"/>
      <c r="AB8" s="201"/>
      <c r="AC8" s="201"/>
      <c r="AD8" s="201"/>
      <c r="AE8" s="201"/>
      <c r="AF8" s="201"/>
      <c r="AG8" s="201" t="str">
        <f>IF(E8="","",IF(E8&gt;='Reference Tab - Do not Delete'!$E$35,'Reference Tab - Do not Delete'!$D$35,IF(AND(E8&gt;='Reference Tab - Do not Delete'!$E$36,E8&lt;'Reference Tab - Do not Delete'!$E$35),'Reference Tab - Do not Delete'!$D$36,IF(AND(E8&gt;='Reference Tab - Do not Delete'!$E$37,E8&lt;'Reference Tab - Do not Delete'!$E$36),'Reference Tab - Do not Delete'!$D$37,IF(AND(E8&gt;='Reference Tab - Do not Delete'!$E$38,E8&lt;'Reference Tab - Do not Delete'!$E$37),'Reference Tab - Do not Delete'!$D$38,'Reference Tab - Do not Delete'!$D$39)))))</f>
        <v>Above $50B</v>
      </c>
      <c r="AH8" s="205" t="str">
        <f t="shared" ref="AH8:AH71" si="0">IF(H8="","DNA",IF(H8&lt;=10,"Top 10",IF(AND(H8&lt;=25,H8&gt;10),"11 - 25",IF(AND(H8&lt;=50,H8&gt;25),"26 - 50","Above 50"))))</f>
        <v>Top 10</v>
      </c>
      <c r="AI8" s="205" t="str">
        <f t="shared" ref="AI8:AI71" si="1">IF(AJ8&gt;0,"Yes","")</f>
        <v/>
      </c>
      <c r="AJ8" s="202">
        <v>0</v>
      </c>
      <c r="AK8" s="201"/>
      <c r="AL8" s="205"/>
      <c r="AM8" s="201"/>
      <c r="AN8" s="201"/>
      <c r="AO8" s="201"/>
      <c r="AP8" s="205"/>
      <c r="AQ8" s="233"/>
    </row>
    <row r="9" spans="1:43" x14ac:dyDescent="0.2">
      <c r="A9" s="201"/>
      <c r="B9" s="201" t="s">
        <v>1266</v>
      </c>
      <c r="C9" s="201">
        <v>3</v>
      </c>
      <c r="D9" s="201" t="s">
        <v>1606</v>
      </c>
      <c r="E9" s="202">
        <v>37578689000</v>
      </c>
      <c r="F9" s="203">
        <v>0.152</v>
      </c>
      <c r="G9" s="204">
        <v>3</v>
      </c>
      <c r="H9" s="204">
        <v>3</v>
      </c>
      <c r="I9" s="205" t="s">
        <v>360</v>
      </c>
      <c r="J9" s="205"/>
      <c r="K9" s="206"/>
      <c r="L9" s="206"/>
      <c r="M9" s="201"/>
      <c r="N9" s="201"/>
      <c r="O9" s="201"/>
      <c r="P9" s="201"/>
      <c r="Q9" s="201"/>
      <c r="R9" s="201"/>
      <c r="S9" s="201"/>
      <c r="T9" s="205"/>
      <c r="U9" s="201"/>
      <c r="V9" s="201"/>
      <c r="W9" s="201" t="s">
        <v>1492</v>
      </c>
      <c r="X9" s="201"/>
      <c r="Y9" s="201"/>
      <c r="Z9" s="201"/>
      <c r="AA9" s="201"/>
      <c r="AB9" s="201"/>
      <c r="AC9" s="201"/>
      <c r="AD9" s="201"/>
      <c r="AE9" s="201"/>
      <c r="AF9" s="201"/>
      <c r="AG9" s="201" t="str">
        <f>IF(E9="","",IF(E9&gt;='Reference Tab - Do not Delete'!$E$35,'Reference Tab - Do not Delete'!$D$35,IF(AND(E9&gt;='Reference Tab - Do not Delete'!$E$36,E9&lt;'Reference Tab - Do not Delete'!$E$35),'Reference Tab - Do not Delete'!$D$36,IF(AND(E9&gt;='Reference Tab - Do not Delete'!$E$37,E9&lt;'Reference Tab - Do not Delete'!$E$36),'Reference Tab - Do not Delete'!$D$37,IF(AND(E9&gt;='Reference Tab - Do not Delete'!$E$38,E9&lt;'Reference Tab - Do not Delete'!$E$37),'Reference Tab - Do not Delete'!$D$38,'Reference Tab - Do not Delete'!$D$39)))))</f>
        <v>$50B - $B</v>
      </c>
      <c r="AH9" s="205" t="str">
        <f t="shared" si="0"/>
        <v>Top 10</v>
      </c>
      <c r="AI9" s="205" t="str">
        <f t="shared" si="1"/>
        <v>Yes</v>
      </c>
      <c r="AJ9" s="202">
        <v>2500</v>
      </c>
      <c r="AK9" s="201"/>
      <c r="AL9" s="205"/>
      <c r="AM9" s="201"/>
      <c r="AN9" s="201"/>
      <c r="AO9" s="201"/>
      <c r="AP9" s="205"/>
      <c r="AQ9" s="233"/>
    </row>
    <row r="10" spans="1:43" x14ac:dyDescent="0.2">
      <c r="A10" s="201" t="s">
        <v>1983</v>
      </c>
      <c r="B10" s="201" t="s">
        <v>1267</v>
      </c>
      <c r="C10" s="201">
        <v>4</v>
      </c>
      <c r="D10" s="201" t="s">
        <v>1606</v>
      </c>
      <c r="E10" s="202">
        <v>34038467000</v>
      </c>
      <c r="F10" s="203">
        <v>5.3999999999999999E-2</v>
      </c>
      <c r="G10" s="204">
        <v>4</v>
      </c>
      <c r="H10" s="204">
        <v>4</v>
      </c>
      <c r="I10" s="205" t="s">
        <v>360</v>
      </c>
      <c r="J10" s="205">
        <v>85</v>
      </c>
      <c r="K10" s="201" t="s">
        <v>1099</v>
      </c>
      <c r="L10" s="201" t="s">
        <v>1109</v>
      </c>
      <c r="M10" s="206" t="s">
        <v>1110</v>
      </c>
      <c r="N10" s="201" t="s">
        <v>1111</v>
      </c>
      <c r="O10" s="201" t="s">
        <v>1112</v>
      </c>
      <c r="P10" s="201" t="s">
        <v>1113</v>
      </c>
      <c r="Q10" s="201" t="s">
        <v>1114</v>
      </c>
      <c r="R10" s="201" t="s">
        <v>1115</v>
      </c>
      <c r="S10" s="201"/>
      <c r="T10" s="205" t="s">
        <v>648</v>
      </c>
      <c r="U10" s="201" t="s">
        <v>1117</v>
      </c>
      <c r="V10" s="201" t="s">
        <v>1406</v>
      </c>
      <c r="W10" s="201" t="s">
        <v>1491</v>
      </c>
      <c r="X10" s="201"/>
      <c r="Y10" s="201"/>
      <c r="Z10" s="201"/>
      <c r="AA10" s="201"/>
      <c r="AB10" s="201"/>
      <c r="AC10" s="201"/>
      <c r="AD10" s="201"/>
      <c r="AE10" s="201"/>
      <c r="AF10" s="201"/>
      <c r="AG10" s="201" t="str">
        <f>IF(E10="","",IF(E10&gt;='Reference Tab - Do not Delete'!$E$35,'Reference Tab - Do not Delete'!$D$35,IF(AND(E10&gt;='Reference Tab - Do not Delete'!$E$36,E10&lt;'Reference Tab - Do not Delete'!$E$35),'Reference Tab - Do not Delete'!$D$36,IF(AND(E10&gt;='Reference Tab - Do not Delete'!$E$37,E10&lt;'Reference Tab - Do not Delete'!$E$36),'Reference Tab - Do not Delete'!$D$37,IF(AND(E10&gt;='Reference Tab - Do not Delete'!$E$38,E10&lt;'Reference Tab - Do not Delete'!$E$37),'Reference Tab - Do not Delete'!$D$38,'Reference Tab - Do not Delete'!$D$39)))))</f>
        <v>$50B - $B</v>
      </c>
      <c r="AH10" s="205" t="str">
        <f t="shared" si="0"/>
        <v>Top 10</v>
      </c>
      <c r="AI10" s="205" t="str">
        <f t="shared" si="1"/>
        <v>Yes</v>
      </c>
      <c r="AJ10" s="202">
        <v>9190553.4000114948</v>
      </c>
      <c r="AK10" s="201" t="s">
        <v>13</v>
      </c>
      <c r="AL10" s="205" t="s">
        <v>648</v>
      </c>
      <c r="AM10" s="201"/>
      <c r="AN10" s="201"/>
      <c r="AO10" s="201"/>
      <c r="AP10" s="205"/>
      <c r="AQ10" s="233"/>
    </row>
    <row r="11" spans="1:43" x14ac:dyDescent="0.2">
      <c r="A11" s="201" t="s">
        <v>1981</v>
      </c>
      <c r="B11" s="201" t="s">
        <v>1268</v>
      </c>
      <c r="C11" s="201">
        <v>5</v>
      </c>
      <c r="D11" s="201" t="s">
        <v>1606</v>
      </c>
      <c r="E11" s="202">
        <v>32268379000</v>
      </c>
      <c r="F11" s="203">
        <v>1.4E-2</v>
      </c>
      <c r="G11" s="204">
        <v>5</v>
      </c>
      <c r="H11" s="204">
        <v>5</v>
      </c>
      <c r="I11" s="205" t="s">
        <v>360</v>
      </c>
      <c r="J11" s="205">
        <v>101.7</v>
      </c>
      <c r="K11" s="201" t="s">
        <v>1154</v>
      </c>
      <c r="L11" s="201" t="s">
        <v>1982</v>
      </c>
      <c r="M11" s="201" t="s">
        <v>2065</v>
      </c>
      <c r="N11" s="201" t="s">
        <v>2066</v>
      </c>
      <c r="O11" s="201"/>
      <c r="P11" s="201"/>
      <c r="Q11" s="201"/>
      <c r="R11" s="201" t="s">
        <v>2067</v>
      </c>
      <c r="S11" s="201"/>
      <c r="T11" s="205" t="s">
        <v>648</v>
      </c>
      <c r="U11" s="201" t="s">
        <v>1525</v>
      </c>
      <c r="V11" s="201"/>
      <c r="W11" s="201" t="s">
        <v>1490</v>
      </c>
      <c r="X11" s="201"/>
      <c r="Y11" s="201"/>
      <c r="Z11" s="201"/>
      <c r="AA11" s="201"/>
      <c r="AB11" s="201"/>
      <c r="AC11" s="201"/>
      <c r="AD11" s="201"/>
      <c r="AE11" s="201"/>
      <c r="AF11" s="201"/>
      <c r="AG11" s="201" t="str">
        <f>IF(E11="","",IF(E11&gt;='Reference Tab - Do not Delete'!$E$35,'Reference Tab - Do not Delete'!$D$35,IF(AND(E11&gt;='Reference Tab - Do not Delete'!$E$36,E11&lt;'Reference Tab - Do not Delete'!$E$35),'Reference Tab - Do not Delete'!$D$36,IF(AND(E11&gt;='Reference Tab - Do not Delete'!$E$37,E11&lt;'Reference Tab - Do not Delete'!$E$36),'Reference Tab - Do not Delete'!$D$37,IF(AND(E11&gt;='Reference Tab - Do not Delete'!$E$38,E11&lt;'Reference Tab - Do not Delete'!$E$37),'Reference Tab - Do not Delete'!$D$38,'Reference Tab - Do not Delete'!$D$39)))))</f>
        <v>$50B - $B</v>
      </c>
      <c r="AH11" s="205" t="str">
        <f t="shared" si="0"/>
        <v>Top 10</v>
      </c>
      <c r="AI11" s="205" t="str">
        <f t="shared" si="1"/>
        <v>Yes</v>
      </c>
      <c r="AJ11" s="202">
        <v>8246886.4777730014</v>
      </c>
      <c r="AK11" s="201" t="s">
        <v>13</v>
      </c>
      <c r="AL11" s="205" t="s">
        <v>648</v>
      </c>
      <c r="AM11" s="201"/>
      <c r="AN11" s="201"/>
      <c r="AO11" s="201"/>
      <c r="AP11" s="205"/>
      <c r="AQ11" s="233"/>
    </row>
    <row r="12" spans="1:43" x14ac:dyDescent="0.2">
      <c r="A12" s="201" t="s">
        <v>1176</v>
      </c>
      <c r="B12" s="201" t="s">
        <v>1269</v>
      </c>
      <c r="C12" s="201">
        <v>6</v>
      </c>
      <c r="D12" s="201" t="s">
        <v>1606</v>
      </c>
      <c r="E12" s="202">
        <v>27214083000</v>
      </c>
      <c r="F12" s="203">
        <v>5.5E-2</v>
      </c>
      <c r="G12" s="204">
        <v>6</v>
      </c>
      <c r="H12" s="204">
        <v>6</v>
      </c>
      <c r="I12" s="205" t="s">
        <v>360</v>
      </c>
      <c r="J12" s="205">
        <v>96.5</v>
      </c>
      <c r="K12" s="201" t="s">
        <v>1154</v>
      </c>
      <c r="L12" s="201" t="s">
        <v>1176</v>
      </c>
      <c r="M12" s="201" t="s">
        <v>1216</v>
      </c>
      <c r="N12" s="201" t="s">
        <v>1217</v>
      </c>
      <c r="O12" s="206" t="s">
        <v>1218</v>
      </c>
      <c r="P12" s="202" t="s">
        <v>1219</v>
      </c>
      <c r="Q12" s="201" t="s">
        <v>1220</v>
      </c>
      <c r="R12" s="201" t="s">
        <v>1220</v>
      </c>
      <c r="S12" s="201" t="s">
        <v>1221</v>
      </c>
      <c r="T12" s="205" t="s">
        <v>648</v>
      </c>
      <c r="U12" s="201" t="s">
        <v>1223</v>
      </c>
      <c r="V12" s="201">
        <v>2021</v>
      </c>
      <c r="W12" s="201" t="s">
        <v>1491</v>
      </c>
      <c r="X12" s="201"/>
      <c r="Y12" s="201"/>
      <c r="Z12" s="201"/>
      <c r="AA12" s="201"/>
      <c r="AB12" s="201"/>
      <c r="AC12" s="201"/>
      <c r="AD12" s="201"/>
      <c r="AE12" s="201"/>
      <c r="AF12" s="201"/>
      <c r="AG12" s="201" t="str">
        <f>IF(E12="","",IF(E12&gt;='Reference Tab - Do not Delete'!$E$35,'Reference Tab - Do not Delete'!$D$35,IF(AND(E12&gt;='Reference Tab - Do not Delete'!$E$36,E12&lt;'Reference Tab - Do not Delete'!$E$35),'Reference Tab - Do not Delete'!$D$36,IF(AND(E12&gt;='Reference Tab - Do not Delete'!$E$37,E12&lt;'Reference Tab - Do not Delete'!$E$36),'Reference Tab - Do not Delete'!$D$37,IF(AND(E12&gt;='Reference Tab - Do not Delete'!$E$38,E12&lt;'Reference Tab - Do not Delete'!$E$37),'Reference Tab - Do not Delete'!$D$38,'Reference Tab - Do not Delete'!$D$39)))))</f>
        <v>$50B - $B</v>
      </c>
      <c r="AH12" s="205" t="str">
        <f t="shared" si="0"/>
        <v>Top 10</v>
      </c>
      <c r="AI12" s="205" t="str">
        <f t="shared" si="1"/>
        <v/>
      </c>
      <c r="AJ12" s="202">
        <v>0</v>
      </c>
      <c r="AK12" s="201"/>
      <c r="AL12" s="205"/>
      <c r="AM12" s="201"/>
      <c r="AN12" s="201"/>
      <c r="AO12" s="201"/>
      <c r="AP12" s="205"/>
      <c r="AQ12" s="233"/>
    </row>
    <row r="13" spans="1:43" x14ac:dyDescent="0.2">
      <c r="A13" s="201" t="s">
        <v>1176</v>
      </c>
      <c r="B13" s="201" t="s">
        <v>1339</v>
      </c>
      <c r="C13" s="201">
        <v>7</v>
      </c>
      <c r="D13" s="201" t="s">
        <v>1606</v>
      </c>
      <c r="E13" s="207">
        <v>22981339000</v>
      </c>
      <c r="F13" s="203">
        <v>6.9000000000000006E-2</v>
      </c>
      <c r="G13" s="204">
        <v>7</v>
      </c>
      <c r="H13" s="204">
        <v>7</v>
      </c>
      <c r="I13" s="205" t="s">
        <v>360</v>
      </c>
      <c r="J13" s="205">
        <v>82.8</v>
      </c>
      <c r="K13" s="201" t="s">
        <v>1154</v>
      </c>
      <c r="L13" s="201" t="s">
        <v>1176</v>
      </c>
      <c r="M13" s="201" t="s">
        <v>2113</v>
      </c>
      <c r="N13" s="201" t="s">
        <v>2114</v>
      </c>
      <c r="O13" s="206" t="s">
        <v>2115</v>
      </c>
      <c r="P13" s="202" t="s">
        <v>2116</v>
      </c>
      <c r="Q13" s="201"/>
      <c r="R13" s="201" t="s">
        <v>2117</v>
      </c>
      <c r="S13" s="201"/>
      <c r="T13" s="205" t="s">
        <v>648</v>
      </c>
      <c r="U13" s="201" t="s">
        <v>277</v>
      </c>
      <c r="V13" s="201"/>
      <c r="W13" s="201" t="s">
        <v>1492</v>
      </c>
      <c r="X13" s="201"/>
      <c r="Y13" s="201"/>
      <c r="Z13" s="201"/>
      <c r="AA13" s="201"/>
      <c r="AB13" s="201"/>
      <c r="AC13" s="201"/>
      <c r="AD13" s="201"/>
      <c r="AE13" s="201"/>
      <c r="AF13" s="201"/>
      <c r="AG13" s="201" t="str">
        <f>IF(E13="","",IF(E13&gt;='Reference Tab - Do not Delete'!$E$35,'Reference Tab - Do not Delete'!$D$35,IF(AND(E13&gt;='Reference Tab - Do not Delete'!$E$36,E13&lt;'Reference Tab - Do not Delete'!$E$35),'Reference Tab - Do not Delete'!$D$36,IF(AND(E13&gt;='Reference Tab - Do not Delete'!$E$37,E13&lt;'Reference Tab - Do not Delete'!$E$36),'Reference Tab - Do not Delete'!$D$37,IF(AND(E13&gt;='Reference Tab - Do not Delete'!$E$38,E13&lt;'Reference Tab - Do not Delete'!$E$37),'Reference Tab - Do not Delete'!$D$38,'Reference Tab - Do not Delete'!$D$39)))))</f>
        <v>$50B - $B</v>
      </c>
      <c r="AH13" s="205" t="str">
        <f t="shared" si="0"/>
        <v>Top 10</v>
      </c>
      <c r="AI13" s="205" t="str">
        <f t="shared" si="1"/>
        <v>Yes</v>
      </c>
      <c r="AJ13" s="202">
        <v>3515776.7062335308</v>
      </c>
      <c r="AK13" s="201"/>
      <c r="AL13" s="205"/>
      <c r="AM13" s="201"/>
      <c r="AN13" s="201"/>
      <c r="AO13" s="201"/>
      <c r="AP13" s="205"/>
      <c r="AQ13" s="233"/>
    </row>
    <row r="14" spans="1:43" x14ac:dyDescent="0.2">
      <c r="A14" s="201"/>
      <c r="B14" s="201" t="s">
        <v>1345</v>
      </c>
      <c r="C14" s="201">
        <v>8</v>
      </c>
      <c r="D14" s="201" t="s">
        <v>1606</v>
      </c>
      <c r="E14" s="202">
        <v>18249079000</v>
      </c>
      <c r="F14" s="203">
        <v>-6.7000000000000004E-2</v>
      </c>
      <c r="G14" s="204">
        <v>8</v>
      </c>
      <c r="H14" s="204">
        <v>8</v>
      </c>
      <c r="I14" s="205" t="s">
        <v>360</v>
      </c>
      <c r="J14" s="205"/>
      <c r="K14" s="201"/>
      <c r="L14" s="201"/>
      <c r="M14" s="201"/>
      <c r="N14" s="201"/>
      <c r="O14" s="206"/>
      <c r="P14" s="202"/>
      <c r="Q14" s="201"/>
      <c r="R14" s="201"/>
      <c r="S14" s="201"/>
      <c r="T14" s="205"/>
      <c r="U14" s="201"/>
      <c r="V14" s="201"/>
      <c r="W14" s="201" t="s">
        <v>1491</v>
      </c>
      <c r="X14" s="201"/>
      <c r="Y14" s="201"/>
      <c r="Z14" s="201"/>
      <c r="AA14" s="201"/>
      <c r="AB14" s="201"/>
      <c r="AC14" s="201"/>
      <c r="AD14" s="201"/>
      <c r="AE14" s="201"/>
      <c r="AF14" s="201"/>
      <c r="AG14" s="201" t="str">
        <f>IF(E14="","",IF(E14&gt;='Reference Tab - Do not Delete'!$E$35,'Reference Tab - Do not Delete'!$D$35,IF(AND(E14&gt;='Reference Tab - Do not Delete'!$E$36,E14&lt;'Reference Tab - Do not Delete'!$E$35),'Reference Tab - Do not Delete'!$D$36,IF(AND(E14&gt;='Reference Tab - Do not Delete'!$E$37,E14&lt;'Reference Tab - Do not Delete'!$E$36),'Reference Tab - Do not Delete'!$D$37,IF(AND(E14&gt;='Reference Tab - Do not Delete'!$E$38,E14&lt;'Reference Tab - Do not Delete'!$E$37),'Reference Tab - Do not Delete'!$D$38,'Reference Tab - Do not Delete'!$D$39)))))</f>
        <v>$50B - $B</v>
      </c>
      <c r="AH14" s="205" t="str">
        <f t="shared" si="0"/>
        <v>Top 10</v>
      </c>
      <c r="AI14" s="205" t="str">
        <f t="shared" si="1"/>
        <v>Yes</v>
      </c>
      <c r="AJ14" s="202">
        <v>540548.98358378594</v>
      </c>
      <c r="AK14" s="201"/>
      <c r="AL14" s="205"/>
      <c r="AM14" s="201"/>
      <c r="AN14" s="201"/>
      <c r="AO14" s="201"/>
      <c r="AP14" s="205"/>
      <c r="AQ14" s="233"/>
    </row>
    <row r="15" spans="1:43" x14ac:dyDescent="0.2">
      <c r="A15" s="201" t="s">
        <v>1155</v>
      </c>
      <c r="B15" s="201" t="s">
        <v>1340</v>
      </c>
      <c r="C15" s="201">
        <v>9</v>
      </c>
      <c r="D15" s="201" t="s">
        <v>1606</v>
      </c>
      <c r="E15" s="202">
        <v>17992806000</v>
      </c>
      <c r="F15" s="203">
        <v>-8.0000000000000002E-3</v>
      </c>
      <c r="G15" s="204">
        <v>9</v>
      </c>
      <c r="H15" s="204">
        <v>9</v>
      </c>
      <c r="I15" s="205" t="s">
        <v>360</v>
      </c>
      <c r="J15" s="205">
        <v>94</v>
      </c>
      <c r="K15" s="201" t="s">
        <v>1154</v>
      </c>
      <c r="L15" s="201" t="s">
        <v>1155</v>
      </c>
      <c r="M15" s="201" t="s">
        <v>1166</v>
      </c>
      <c r="N15" s="201" t="s">
        <v>1167</v>
      </c>
      <c r="O15" s="206" t="s">
        <v>1168</v>
      </c>
      <c r="P15" s="202" t="s">
        <v>1169</v>
      </c>
      <c r="Q15" s="201" t="s">
        <v>1170</v>
      </c>
      <c r="R15" s="201" t="s">
        <v>1171</v>
      </c>
      <c r="S15" s="201"/>
      <c r="T15" s="205" t="s">
        <v>648</v>
      </c>
      <c r="U15" s="201" t="s">
        <v>1713</v>
      </c>
      <c r="V15" s="201" t="s">
        <v>1174</v>
      </c>
      <c r="W15" s="201" t="s">
        <v>1490</v>
      </c>
      <c r="X15" s="201"/>
      <c r="Y15" s="201"/>
      <c r="Z15" s="201"/>
      <c r="AA15" s="201"/>
      <c r="AB15" s="201"/>
      <c r="AC15" s="201"/>
      <c r="AD15" s="201"/>
      <c r="AE15" s="201"/>
      <c r="AF15" s="201"/>
      <c r="AG15" s="201" t="str">
        <f>IF(E15="","",IF(E15&gt;='Reference Tab - Do not Delete'!$E$35,'Reference Tab - Do not Delete'!$D$35,IF(AND(E15&gt;='Reference Tab - Do not Delete'!$E$36,E15&lt;'Reference Tab - Do not Delete'!$E$35),'Reference Tab - Do not Delete'!$D$36,IF(AND(E15&gt;='Reference Tab - Do not Delete'!$E$37,E15&lt;'Reference Tab - Do not Delete'!$E$36),'Reference Tab - Do not Delete'!$D$37,IF(AND(E15&gt;='Reference Tab - Do not Delete'!$E$38,E15&lt;'Reference Tab - Do not Delete'!$E$37),'Reference Tab - Do not Delete'!$D$38,'Reference Tab - Do not Delete'!$D$39)))))</f>
        <v>$50B - $B</v>
      </c>
      <c r="AH15" s="205" t="str">
        <f t="shared" si="0"/>
        <v>Top 10</v>
      </c>
      <c r="AI15" s="205" t="str">
        <f t="shared" si="1"/>
        <v/>
      </c>
      <c r="AJ15" s="202">
        <v>0</v>
      </c>
      <c r="AK15" s="201"/>
      <c r="AL15" s="205"/>
      <c r="AM15" s="201"/>
      <c r="AN15" s="201"/>
      <c r="AO15" s="201"/>
      <c r="AP15" s="205"/>
      <c r="AQ15" s="233"/>
    </row>
    <row r="16" spans="1:43" x14ac:dyDescent="0.2">
      <c r="A16" s="201"/>
      <c r="B16" s="201" t="s">
        <v>1346</v>
      </c>
      <c r="C16" s="201">
        <v>10</v>
      </c>
      <c r="D16" s="201" t="s">
        <v>1606</v>
      </c>
      <c r="E16" s="202">
        <v>14825888000</v>
      </c>
      <c r="F16" s="203">
        <v>1.4999999999999999E-2</v>
      </c>
      <c r="G16" s="204">
        <v>10</v>
      </c>
      <c r="H16" s="204">
        <v>10</v>
      </c>
      <c r="I16" s="205" t="s">
        <v>360</v>
      </c>
      <c r="J16" s="205"/>
      <c r="K16" s="201"/>
      <c r="L16" s="201"/>
      <c r="M16" s="201"/>
      <c r="N16" s="201"/>
      <c r="O16" s="206"/>
      <c r="P16" s="202"/>
      <c r="Q16" s="201"/>
      <c r="R16" s="201"/>
      <c r="S16" s="201"/>
      <c r="T16" s="205" t="s">
        <v>648</v>
      </c>
      <c r="U16" s="201" t="s">
        <v>1525</v>
      </c>
      <c r="V16" s="201"/>
      <c r="W16" s="201" t="s">
        <v>1491</v>
      </c>
      <c r="X16" s="201"/>
      <c r="Y16" s="201"/>
      <c r="Z16" s="201"/>
      <c r="AA16" s="201"/>
      <c r="AB16" s="201"/>
      <c r="AC16" s="201"/>
      <c r="AD16" s="201"/>
      <c r="AE16" s="201"/>
      <c r="AF16" s="201"/>
      <c r="AG16" s="201" t="str">
        <f>IF(E16="","",IF(E16&gt;='Reference Tab - Do not Delete'!$E$35,'Reference Tab - Do not Delete'!$D$35,IF(AND(E16&gt;='Reference Tab - Do not Delete'!$E$36,E16&lt;'Reference Tab - Do not Delete'!$E$35),'Reference Tab - Do not Delete'!$D$36,IF(AND(E16&gt;='Reference Tab - Do not Delete'!$E$37,E16&lt;'Reference Tab - Do not Delete'!$E$36),'Reference Tab - Do not Delete'!$D$37,IF(AND(E16&gt;='Reference Tab - Do not Delete'!$E$38,E16&lt;'Reference Tab - Do not Delete'!$E$37),'Reference Tab - Do not Delete'!$D$38,'Reference Tab - Do not Delete'!$D$39)))))</f>
        <v>$50B - $B</v>
      </c>
      <c r="AH16" s="205" t="str">
        <f t="shared" si="0"/>
        <v>Top 10</v>
      </c>
      <c r="AI16" s="205" t="str">
        <f t="shared" si="1"/>
        <v/>
      </c>
      <c r="AJ16" s="202">
        <v>0</v>
      </c>
      <c r="AK16" s="201"/>
      <c r="AL16" s="205"/>
      <c r="AM16" s="201"/>
      <c r="AN16" s="201"/>
      <c r="AO16" s="201"/>
      <c r="AP16" s="205"/>
      <c r="AQ16" s="233"/>
    </row>
    <row r="17" spans="1:43" x14ac:dyDescent="0.2">
      <c r="A17" s="201" t="s">
        <v>1176</v>
      </c>
      <c r="B17" s="201" t="s">
        <v>1347</v>
      </c>
      <c r="C17" s="201">
        <v>11</v>
      </c>
      <c r="D17" s="201" t="s">
        <v>1606</v>
      </c>
      <c r="E17" s="202">
        <v>14483557000</v>
      </c>
      <c r="F17" s="203">
        <v>3.3000000000000002E-2</v>
      </c>
      <c r="G17" s="204">
        <v>11</v>
      </c>
      <c r="H17" s="204">
        <v>11</v>
      </c>
      <c r="I17" s="205" t="s">
        <v>360</v>
      </c>
      <c r="J17" s="205"/>
      <c r="K17" s="201" t="s">
        <v>1154</v>
      </c>
      <c r="L17" s="201" t="s">
        <v>1176</v>
      </c>
      <c r="M17" s="201" t="s">
        <v>1231</v>
      </c>
      <c r="N17" s="201" t="s">
        <v>1232</v>
      </c>
      <c r="O17" s="206"/>
      <c r="P17" s="202" t="s">
        <v>1233</v>
      </c>
      <c r="Q17" s="201"/>
      <c r="R17" s="201" t="s">
        <v>1234</v>
      </c>
      <c r="S17" s="201"/>
      <c r="T17" s="205" t="s">
        <v>648</v>
      </c>
      <c r="U17" s="201"/>
      <c r="V17" s="201"/>
      <c r="W17" s="201" t="s">
        <v>1492</v>
      </c>
      <c r="X17" s="201"/>
      <c r="Y17" s="201"/>
      <c r="Z17" s="201"/>
      <c r="AA17" s="201"/>
      <c r="AB17" s="201"/>
      <c r="AC17" s="201"/>
      <c r="AD17" s="201"/>
      <c r="AE17" s="201"/>
      <c r="AF17" s="201"/>
      <c r="AG17" s="201" t="str">
        <f>IF(E17="","",IF(E17&gt;='Reference Tab - Do not Delete'!$E$35,'Reference Tab - Do not Delete'!$D$35,IF(AND(E17&gt;='Reference Tab - Do not Delete'!$E$36,E17&lt;'Reference Tab - Do not Delete'!$E$35),'Reference Tab - Do not Delete'!$D$36,IF(AND(E17&gt;='Reference Tab - Do not Delete'!$E$37,E17&lt;'Reference Tab - Do not Delete'!$E$36),'Reference Tab - Do not Delete'!$D$37,IF(AND(E17&gt;='Reference Tab - Do not Delete'!$E$38,E17&lt;'Reference Tab - Do not Delete'!$E$37),'Reference Tab - Do not Delete'!$D$38,'Reference Tab - Do not Delete'!$D$39)))))</f>
        <v>$50B - $B</v>
      </c>
      <c r="AH17" s="205" t="str">
        <f t="shared" si="0"/>
        <v>11 - 25</v>
      </c>
      <c r="AI17" s="205" t="str">
        <f t="shared" si="1"/>
        <v>Yes</v>
      </c>
      <c r="AJ17" s="202">
        <v>3745787.7509744</v>
      </c>
      <c r="AK17" s="201"/>
      <c r="AL17" s="205"/>
      <c r="AM17" s="201"/>
      <c r="AN17" s="201"/>
      <c r="AO17" s="201"/>
      <c r="AP17" s="205"/>
      <c r="AQ17" s="233"/>
    </row>
    <row r="18" spans="1:43" x14ac:dyDescent="0.2">
      <c r="A18" s="201" t="s">
        <v>1980</v>
      </c>
      <c r="B18" s="201" t="s">
        <v>1341</v>
      </c>
      <c r="C18" s="201">
        <v>12</v>
      </c>
      <c r="D18" s="201" t="s">
        <v>1606</v>
      </c>
      <c r="E18" s="202">
        <v>11871251000</v>
      </c>
      <c r="F18" s="203">
        <v>3.2000000000000001E-2</v>
      </c>
      <c r="G18" s="204">
        <v>12</v>
      </c>
      <c r="H18" s="204">
        <v>12</v>
      </c>
      <c r="I18" s="205" t="s">
        <v>360</v>
      </c>
      <c r="J18" s="205">
        <v>94</v>
      </c>
      <c r="K18" s="201" t="s">
        <v>1099</v>
      </c>
      <c r="L18" s="201" t="s">
        <v>1982</v>
      </c>
      <c r="M18" s="201" t="s">
        <v>2081</v>
      </c>
      <c r="N18" s="201" t="s">
        <v>2082</v>
      </c>
      <c r="O18" s="206" t="s">
        <v>2083</v>
      </c>
      <c r="P18" s="202" t="s">
        <v>2084</v>
      </c>
      <c r="Q18" s="201" t="s">
        <v>2085</v>
      </c>
      <c r="R18" s="201" t="s">
        <v>2085</v>
      </c>
      <c r="S18" s="201" t="s">
        <v>2086</v>
      </c>
      <c r="T18" s="205" t="s">
        <v>648</v>
      </c>
      <c r="U18" s="201" t="s">
        <v>1525</v>
      </c>
      <c r="V18" s="208">
        <v>45627</v>
      </c>
      <c r="W18" s="201" t="s">
        <v>1491</v>
      </c>
      <c r="X18" s="201"/>
      <c r="Y18" s="201"/>
      <c r="Z18" s="201"/>
      <c r="AA18" s="201"/>
      <c r="AB18" s="201"/>
      <c r="AC18" s="201"/>
      <c r="AD18" s="201"/>
      <c r="AE18" s="201"/>
      <c r="AF18" s="201"/>
      <c r="AG18" s="201" t="str">
        <f>IF(E18="","",IF(E18&gt;='Reference Tab - Do not Delete'!$E$35,'Reference Tab - Do not Delete'!$D$35,IF(AND(E18&gt;='Reference Tab - Do not Delete'!$E$36,E18&lt;'Reference Tab - Do not Delete'!$E$35),'Reference Tab - Do not Delete'!$D$36,IF(AND(E18&gt;='Reference Tab - Do not Delete'!$E$37,E18&lt;'Reference Tab - Do not Delete'!$E$36),'Reference Tab - Do not Delete'!$D$37,IF(AND(E18&gt;='Reference Tab - Do not Delete'!$E$38,E18&lt;'Reference Tab - Do not Delete'!$E$37),'Reference Tab - Do not Delete'!$D$38,'Reference Tab - Do not Delete'!$D$39)))))</f>
        <v>$50B - $B</v>
      </c>
      <c r="AH18" s="205" t="str">
        <f t="shared" si="0"/>
        <v>11 - 25</v>
      </c>
      <c r="AI18" s="205" t="str">
        <f t="shared" si="1"/>
        <v>Yes</v>
      </c>
      <c r="AJ18" s="202">
        <v>18364858.940824166</v>
      </c>
      <c r="AK18" s="201" t="s">
        <v>13</v>
      </c>
      <c r="AL18" s="205" t="s">
        <v>648</v>
      </c>
      <c r="AM18" s="201"/>
      <c r="AN18" s="201"/>
      <c r="AO18" s="201"/>
      <c r="AP18" s="205"/>
      <c r="AQ18" s="233"/>
    </row>
    <row r="19" spans="1:43" ht="11.25" customHeight="1" x14ac:dyDescent="0.2">
      <c r="A19" s="201" t="s">
        <v>1176</v>
      </c>
      <c r="B19" s="201" t="s">
        <v>1348</v>
      </c>
      <c r="C19" s="201">
        <v>13</v>
      </c>
      <c r="D19" s="201" t="s">
        <v>1606</v>
      </c>
      <c r="E19" s="202">
        <v>11841650000</v>
      </c>
      <c r="F19" s="203">
        <v>4.2999999999999997E-2</v>
      </c>
      <c r="G19" s="204">
        <v>13</v>
      </c>
      <c r="H19" s="204">
        <v>13</v>
      </c>
      <c r="I19" s="205" t="s">
        <v>360</v>
      </c>
      <c r="J19" s="205">
        <v>105.7</v>
      </c>
      <c r="K19" s="201" t="s">
        <v>1154</v>
      </c>
      <c r="L19" s="201" t="s">
        <v>1176</v>
      </c>
      <c r="M19" s="201" t="s">
        <v>2119</v>
      </c>
      <c r="N19" s="201" t="s">
        <v>2120</v>
      </c>
      <c r="O19" s="206" t="s">
        <v>2121</v>
      </c>
      <c r="P19" s="202" t="s">
        <v>2122</v>
      </c>
      <c r="Q19" s="201" t="s">
        <v>2098</v>
      </c>
      <c r="R19" s="201" t="s">
        <v>2123</v>
      </c>
      <c r="S19" s="201"/>
      <c r="T19" s="205" t="s">
        <v>648</v>
      </c>
      <c r="U19" s="201"/>
      <c r="V19" s="201"/>
      <c r="W19" s="201" t="s">
        <v>1492</v>
      </c>
      <c r="X19" s="201"/>
      <c r="Y19" s="201"/>
      <c r="Z19" s="201"/>
      <c r="AA19" s="201"/>
      <c r="AB19" s="201"/>
      <c r="AC19" s="201"/>
      <c r="AD19" s="201"/>
      <c r="AE19" s="201"/>
      <c r="AF19" s="201"/>
      <c r="AG19" s="201" t="str">
        <f>IF(E19="","",IF(E19&gt;='Reference Tab - Do not Delete'!$E$35,'Reference Tab - Do not Delete'!$D$35,IF(AND(E19&gt;='Reference Tab - Do not Delete'!$E$36,E19&lt;'Reference Tab - Do not Delete'!$E$35),'Reference Tab - Do not Delete'!$D$36,IF(AND(E19&gt;='Reference Tab - Do not Delete'!$E$37,E19&lt;'Reference Tab - Do not Delete'!$E$36),'Reference Tab - Do not Delete'!$D$37,IF(AND(E19&gt;='Reference Tab - Do not Delete'!$E$38,E19&lt;'Reference Tab - Do not Delete'!$E$37),'Reference Tab - Do not Delete'!$D$38,'Reference Tab - Do not Delete'!$D$39)))))</f>
        <v>$50B - $B</v>
      </c>
      <c r="AH19" s="205" t="str">
        <f t="shared" si="0"/>
        <v>11 - 25</v>
      </c>
      <c r="AI19" s="205" t="str">
        <f t="shared" si="1"/>
        <v>Yes</v>
      </c>
      <c r="AJ19" s="202">
        <v>7000</v>
      </c>
      <c r="AK19" s="201"/>
      <c r="AL19" s="205"/>
      <c r="AM19" s="201"/>
      <c r="AN19" s="201"/>
      <c r="AO19" s="201"/>
      <c r="AP19" s="205"/>
      <c r="AQ19" s="233"/>
    </row>
    <row r="20" spans="1:43" x14ac:dyDescent="0.2">
      <c r="A20" s="201"/>
      <c r="B20" s="201" t="s">
        <v>1342</v>
      </c>
      <c r="C20" s="201">
        <v>14</v>
      </c>
      <c r="D20" s="201" t="s">
        <v>1606</v>
      </c>
      <c r="E20" s="202">
        <v>8585830000</v>
      </c>
      <c r="F20" s="203">
        <v>7.3999999999999996E-2</v>
      </c>
      <c r="G20" s="204">
        <v>14</v>
      </c>
      <c r="H20" s="204">
        <v>14</v>
      </c>
      <c r="I20" s="205" t="s">
        <v>360</v>
      </c>
      <c r="J20" s="205"/>
      <c r="K20" s="201"/>
      <c r="L20" s="201"/>
      <c r="M20" s="201"/>
      <c r="N20" s="201"/>
      <c r="O20" s="206"/>
      <c r="P20" s="202"/>
      <c r="Q20" s="201"/>
      <c r="R20" s="201"/>
      <c r="S20" s="201"/>
      <c r="T20" s="205"/>
      <c r="U20" s="201"/>
      <c r="V20" s="201"/>
      <c r="W20" s="201"/>
      <c r="X20" s="201"/>
      <c r="Y20" s="201"/>
      <c r="Z20" s="201"/>
      <c r="AA20" s="201"/>
      <c r="AB20" s="201"/>
      <c r="AC20" s="201"/>
      <c r="AD20" s="201"/>
      <c r="AE20" s="201"/>
      <c r="AF20" s="201"/>
      <c r="AG20" s="201" t="str">
        <f>IF(E20="","",IF(E20&gt;='Reference Tab - Do not Delete'!$E$35,'Reference Tab - Do not Delete'!$D$35,IF(AND(E20&gt;='Reference Tab - Do not Delete'!$E$36,E20&lt;'Reference Tab - Do not Delete'!$E$35),'Reference Tab - Do not Delete'!$D$36,IF(AND(E20&gt;='Reference Tab - Do not Delete'!$E$37,E20&lt;'Reference Tab - Do not Delete'!$E$36),'Reference Tab - Do not Delete'!$D$37,IF(AND(E20&gt;='Reference Tab - Do not Delete'!$E$38,E20&lt;'Reference Tab - Do not Delete'!$E$37),'Reference Tab - Do not Delete'!$D$38,'Reference Tab - Do not Delete'!$D$39)))))</f>
        <v>$50B - $B</v>
      </c>
      <c r="AH20" s="205" t="str">
        <f t="shared" si="0"/>
        <v>11 - 25</v>
      </c>
      <c r="AI20" s="205" t="str">
        <f t="shared" si="1"/>
        <v>Yes</v>
      </c>
      <c r="AJ20" s="202">
        <v>1000</v>
      </c>
      <c r="AK20" s="201"/>
      <c r="AL20" s="205"/>
      <c r="AM20" s="201"/>
      <c r="AN20" s="201"/>
      <c r="AO20" s="201"/>
      <c r="AP20" s="205"/>
      <c r="AQ20" s="233"/>
    </row>
    <row r="21" spans="1:43" x14ac:dyDescent="0.2">
      <c r="A21" s="201"/>
      <c r="B21" s="201" t="s">
        <v>1349</v>
      </c>
      <c r="C21" s="201">
        <v>15</v>
      </c>
      <c r="D21" s="201" t="s">
        <v>1606</v>
      </c>
      <c r="E21" s="202">
        <v>7632626000</v>
      </c>
      <c r="F21" s="203">
        <v>9.8000000000000004E-2</v>
      </c>
      <c r="G21" s="204">
        <v>15</v>
      </c>
      <c r="H21" s="204">
        <v>17</v>
      </c>
      <c r="I21" s="205" t="s">
        <v>360</v>
      </c>
      <c r="J21" s="205"/>
      <c r="K21" s="201"/>
      <c r="L21" s="201"/>
      <c r="M21" s="201"/>
      <c r="N21" s="201"/>
      <c r="O21" s="206"/>
      <c r="P21" s="202"/>
      <c r="Q21" s="201"/>
      <c r="R21" s="201"/>
      <c r="S21" s="201"/>
      <c r="T21" s="205"/>
      <c r="U21" s="201"/>
      <c r="V21" s="201"/>
      <c r="W21" s="201" t="s">
        <v>1490</v>
      </c>
      <c r="X21" s="201"/>
      <c r="Y21" s="201"/>
      <c r="Z21" s="201"/>
      <c r="AA21" s="201"/>
      <c r="AB21" s="201"/>
      <c r="AC21" s="201"/>
      <c r="AD21" s="201"/>
      <c r="AE21" s="201"/>
      <c r="AF21" s="201"/>
      <c r="AG21" s="201" t="str">
        <f>IF(E21="","",IF(E21&gt;='Reference Tab - Do not Delete'!$E$35,'Reference Tab - Do not Delete'!$D$35,IF(AND(E21&gt;='Reference Tab - Do not Delete'!$E$36,E21&lt;'Reference Tab - Do not Delete'!$E$35),'Reference Tab - Do not Delete'!$D$36,IF(AND(E21&gt;='Reference Tab - Do not Delete'!$E$37,E21&lt;'Reference Tab - Do not Delete'!$E$36),'Reference Tab - Do not Delete'!$D$37,IF(AND(E21&gt;='Reference Tab - Do not Delete'!$E$38,E21&lt;'Reference Tab - Do not Delete'!$E$37),'Reference Tab - Do not Delete'!$D$38,'Reference Tab - Do not Delete'!$D$39)))))</f>
        <v>$50B - $B</v>
      </c>
      <c r="AH21" s="205" t="str">
        <f t="shared" si="0"/>
        <v>11 - 25</v>
      </c>
      <c r="AI21" s="205" t="str">
        <f t="shared" si="1"/>
        <v/>
      </c>
      <c r="AJ21" s="202">
        <v>0</v>
      </c>
      <c r="AK21" s="201"/>
      <c r="AL21" s="205"/>
      <c r="AM21" s="201"/>
      <c r="AN21" s="201"/>
      <c r="AO21" s="201"/>
      <c r="AP21" s="205"/>
      <c r="AQ21" s="233"/>
    </row>
    <row r="22" spans="1:43" x14ac:dyDescent="0.2">
      <c r="A22" s="201"/>
      <c r="B22" s="201" t="s">
        <v>1350</v>
      </c>
      <c r="C22" s="201">
        <v>16</v>
      </c>
      <c r="D22" s="201" t="s">
        <v>1606</v>
      </c>
      <c r="E22" s="202">
        <v>7478390000</v>
      </c>
      <c r="F22" s="203">
        <v>5.5E-2</v>
      </c>
      <c r="G22" s="204">
        <v>16</v>
      </c>
      <c r="H22" s="204">
        <v>16</v>
      </c>
      <c r="I22" s="205" t="s">
        <v>360</v>
      </c>
      <c r="J22" s="205"/>
      <c r="K22" s="201"/>
      <c r="L22" s="201"/>
      <c r="M22" s="201"/>
      <c r="N22" s="201"/>
      <c r="O22" s="206"/>
      <c r="P22" s="202"/>
      <c r="Q22" s="201"/>
      <c r="R22" s="201"/>
      <c r="S22" s="201"/>
      <c r="T22" s="205"/>
      <c r="U22" s="201"/>
      <c r="V22" s="201"/>
      <c r="W22" s="201" t="s">
        <v>1491</v>
      </c>
      <c r="X22" s="201"/>
      <c r="Y22" s="201"/>
      <c r="Z22" s="201"/>
      <c r="AA22" s="201"/>
      <c r="AB22" s="201"/>
      <c r="AC22" s="201"/>
      <c r="AD22" s="201"/>
      <c r="AE22" s="201"/>
      <c r="AF22" s="201"/>
      <c r="AG22" s="201" t="str">
        <f>IF(E22="","",IF(E22&gt;='Reference Tab - Do not Delete'!$E$35,'Reference Tab - Do not Delete'!$D$35,IF(AND(E22&gt;='Reference Tab - Do not Delete'!$E$36,E22&lt;'Reference Tab - Do not Delete'!$E$35),'Reference Tab - Do not Delete'!$D$36,IF(AND(E22&gt;='Reference Tab - Do not Delete'!$E$37,E22&lt;'Reference Tab - Do not Delete'!$E$36),'Reference Tab - Do not Delete'!$D$37,IF(AND(E22&gt;='Reference Tab - Do not Delete'!$E$38,E22&lt;'Reference Tab - Do not Delete'!$E$37),'Reference Tab - Do not Delete'!$D$38,'Reference Tab - Do not Delete'!$D$39)))))</f>
        <v>$50B - $B</v>
      </c>
      <c r="AH22" s="205" t="str">
        <f t="shared" si="0"/>
        <v>11 - 25</v>
      </c>
      <c r="AI22" s="205" t="str">
        <f t="shared" si="1"/>
        <v/>
      </c>
      <c r="AJ22" s="202">
        <v>0</v>
      </c>
      <c r="AK22" s="201"/>
      <c r="AL22" s="205"/>
      <c r="AM22" s="201"/>
      <c r="AN22" s="201"/>
      <c r="AO22" s="201"/>
      <c r="AP22" s="205"/>
      <c r="AQ22" s="233"/>
    </row>
    <row r="23" spans="1:43" x14ac:dyDescent="0.2">
      <c r="A23" s="201"/>
      <c r="B23" s="201" t="s">
        <v>1334</v>
      </c>
      <c r="C23" s="201">
        <v>17</v>
      </c>
      <c r="D23" s="201" t="s">
        <v>1606</v>
      </c>
      <c r="E23" s="202">
        <v>7083699000</v>
      </c>
      <c r="F23" s="203">
        <v>5.1999999999999998E-2</v>
      </c>
      <c r="G23" s="204">
        <v>17</v>
      </c>
      <c r="H23" s="204">
        <v>19</v>
      </c>
      <c r="I23" s="205" t="s">
        <v>360</v>
      </c>
      <c r="J23" s="205"/>
      <c r="K23" s="201"/>
      <c r="L23" s="201"/>
      <c r="M23" s="201"/>
      <c r="N23" s="201"/>
      <c r="O23" s="206"/>
      <c r="P23" s="202"/>
      <c r="Q23" s="201"/>
      <c r="R23" s="201"/>
      <c r="S23" s="201"/>
      <c r="T23" s="205"/>
      <c r="U23" s="201"/>
      <c r="V23" s="201"/>
      <c r="W23" s="201" t="s">
        <v>1492</v>
      </c>
      <c r="X23" s="201"/>
      <c r="Y23" s="201"/>
      <c r="Z23" s="201"/>
      <c r="AA23" s="201"/>
      <c r="AB23" s="201"/>
      <c r="AC23" s="201"/>
      <c r="AD23" s="201"/>
      <c r="AE23" s="201"/>
      <c r="AF23" s="201"/>
      <c r="AG23" s="201" t="str">
        <f>IF(E23="","",IF(E23&gt;='Reference Tab - Do not Delete'!$E$35,'Reference Tab - Do not Delete'!$D$35,IF(AND(E23&gt;='Reference Tab - Do not Delete'!$E$36,E23&lt;'Reference Tab - Do not Delete'!$E$35),'Reference Tab - Do not Delete'!$D$36,IF(AND(E23&gt;='Reference Tab - Do not Delete'!$E$37,E23&lt;'Reference Tab - Do not Delete'!$E$36),'Reference Tab - Do not Delete'!$D$37,IF(AND(E23&gt;='Reference Tab - Do not Delete'!$E$38,E23&lt;'Reference Tab - Do not Delete'!$E$37),'Reference Tab - Do not Delete'!$D$38,'Reference Tab - Do not Delete'!$D$39)))))</f>
        <v>$50B - $B</v>
      </c>
      <c r="AH23" s="205" t="str">
        <f t="shared" si="0"/>
        <v>11 - 25</v>
      </c>
      <c r="AI23" s="205" t="str">
        <f t="shared" si="1"/>
        <v>Yes</v>
      </c>
      <c r="AJ23" s="202">
        <v>300</v>
      </c>
      <c r="AK23" s="201"/>
      <c r="AL23" s="205"/>
      <c r="AM23" s="201"/>
      <c r="AN23" s="201"/>
      <c r="AO23" s="201"/>
      <c r="AP23" s="205"/>
      <c r="AQ23" s="233"/>
    </row>
    <row r="24" spans="1:43" x14ac:dyDescent="0.2">
      <c r="A24" s="201" t="s">
        <v>1980</v>
      </c>
      <c r="B24" s="201" t="s">
        <v>1351</v>
      </c>
      <c r="C24" s="201">
        <v>18</v>
      </c>
      <c r="D24" s="201" t="s">
        <v>1606</v>
      </c>
      <c r="E24" s="202">
        <v>6953530000</v>
      </c>
      <c r="F24" s="203">
        <v>5.8999999999999997E-2</v>
      </c>
      <c r="G24" s="204">
        <v>18</v>
      </c>
      <c r="H24" s="204">
        <v>20</v>
      </c>
      <c r="I24" s="205" t="s">
        <v>360</v>
      </c>
      <c r="J24" s="205">
        <v>94.8</v>
      </c>
      <c r="K24" s="201" t="s">
        <v>1099</v>
      </c>
      <c r="L24" s="201" t="s">
        <v>1983</v>
      </c>
      <c r="M24" s="201" t="s">
        <v>2058</v>
      </c>
      <c r="N24" s="201" t="s">
        <v>2059</v>
      </c>
      <c r="O24" s="206"/>
      <c r="P24" s="202" t="s">
        <v>2060</v>
      </c>
      <c r="Q24" s="201" t="s">
        <v>2061</v>
      </c>
      <c r="R24" s="201" t="s">
        <v>2062</v>
      </c>
      <c r="S24" s="201" t="s">
        <v>2063</v>
      </c>
      <c r="T24" s="205" t="s">
        <v>648</v>
      </c>
      <c r="U24" s="201"/>
      <c r="V24" s="208">
        <v>44562</v>
      </c>
      <c r="W24" s="201"/>
      <c r="X24" s="201"/>
      <c r="Y24" s="201"/>
      <c r="Z24" s="201"/>
      <c r="AA24" s="201"/>
      <c r="AB24" s="201"/>
      <c r="AC24" s="201"/>
      <c r="AD24" s="201"/>
      <c r="AE24" s="201"/>
      <c r="AF24" s="201"/>
      <c r="AG24" s="201" t="str">
        <f>IF(E24="","",IF(E24&gt;='Reference Tab - Do not Delete'!$E$35,'Reference Tab - Do not Delete'!$D$35,IF(AND(E24&gt;='Reference Tab - Do not Delete'!$E$36,E24&lt;'Reference Tab - Do not Delete'!$E$35),'Reference Tab - Do not Delete'!$D$36,IF(AND(E24&gt;='Reference Tab - Do not Delete'!$E$37,E24&lt;'Reference Tab - Do not Delete'!$E$36),'Reference Tab - Do not Delete'!$D$37,IF(AND(E24&gt;='Reference Tab - Do not Delete'!$E$38,E24&lt;'Reference Tab - Do not Delete'!$E$37),'Reference Tab - Do not Delete'!$D$38,'Reference Tab - Do not Delete'!$D$39)))))</f>
        <v>$50B - $B</v>
      </c>
      <c r="AH24" s="205" t="str">
        <f t="shared" si="0"/>
        <v>11 - 25</v>
      </c>
      <c r="AI24" s="205" t="str">
        <f t="shared" si="1"/>
        <v>Yes</v>
      </c>
      <c r="AJ24" s="202">
        <v>11816240.042241234</v>
      </c>
      <c r="AK24" s="201" t="s">
        <v>13</v>
      </c>
      <c r="AL24" s="205" t="s">
        <v>648</v>
      </c>
      <c r="AM24" s="201"/>
      <c r="AN24" s="201"/>
      <c r="AO24" s="201"/>
      <c r="AP24" s="205"/>
      <c r="AQ24" s="233"/>
    </row>
    <row r="25" spans="1:43" x14ac:dyDescent="0.2">
      <c r="A25" s="201" t="s">
        <v>1155</v>
      </c>
      <c r="B25" s="201" t="s">
        <v>1343</v>
      </c>
      <c r="C25" s="201">
        <v>19</v>
      </c>
      <c r="D25" s="201" t="s">
        <v>1606</v>
      </c>
      <c r="E25" s="202">
        <v>6639450000</v>
      </c>
      <c r="F25" s="203">
        <v>-2.5000000000000001E-2</v>
      </c>
      <c r="G25" s="204">
        <v>19</v>
      </c>
      <c r="H25" s="204">
        <v>18</v>
      </c>
      <c r="I25" s="205" t="s">
        <v>360</v>
      </c>
      <c r="J25" s="205">
        <v>101</v>
      </c>
      <c r="K25" s="201" t="s">
        <v>1154</v>
      </c>
      <c r="L25" s="201" t="s">
        <v>1155</v>
      </c>
      <c r="M25" s="201" t="s">
        <v>1238</v>
      </c>
      <c r="N25" s="201" t="s">
        <v>1239</v>
      </c>
      <c r="O25" s="206" t="s">
        <v>1240</v>
      </c>
      <c r="P25" s="202" t="s">
        <v>1241</v>
      </c>
      <c r="Q25" s="201" t="s">
        <v>1242</v>
      </c>
      <c r="R25" s="201" t="s">
        <v>1243</v>
      </c>
      <c r="S25" s="201"/>
      <c r="T25" s="205" t="s">
        <v>648</v>
      </c>
      <c r="U25" s="201" t="s">
        <v>1245</v>
      </c>
      <c r="V25" s="201" t="s">
        <v>1246</v>
      </c>
      <c r="W25" s="201" t="s">
        <v>1490</v>
      </c>
      <c r="X25" s="201"/>
      <c r="Y25" s="201"/>
      <c r="Z25" s="201"/>
      <c r="AA25" s="201"/>
      <c r="AB25" s="201"/>
      <c r="AC25" s="201"/>
      <c r="AD25" s="201"/>
      <c r="AE25" s="201"/>
      <c r="AF25" s="201"/>
      <c r="AG25" s="201" t="str">
        <f>IF(E25="","",IF(E25&gt;='Reference Tab - Do not Delete'!$E$35,'Reference Tab - Do not Delete'!$D$35,IF(AND(E25&gt;='Reference Tab - Do not Delete'!$E$36,E25&lt;'Reference Tab - Do not Delete'!$E$35),'Reference Tab - Do not Delete'!$D$36,IF(AND(E25&gt;='Reference Tab - Do not Delete'!$E$37,E25&lt;'Reference Tab - Do not Delete'!$E$36),'Reference Tab - Do not Delete'!$D$37,IF(AND(E25&gt;='Reference Tab - Do not Delete'!$E$38,E25&lt;'Reference Tab - Do not Delete'!$E$37),'Reference Tab - Do not Delete'!$D$38,'Reference Tab - Do not Delete'!$D$39)))))</f>
        <v>$50B - $B</v>
      </c>
      <c r="AH25" s="205" t="str">
        <f t="shared" si="0"/>
        <v>11 - 25</v>
      </c>
      <c r="AI25" s="205" t="str">
        <f t="shared" si="1"/>
        <v/>
      </c>
      <c r="AJ25" s="202">
        <v>0</v>
      </c>
      <c r="AK25" s="201"/>
      <c r="AL25" s="205"/>
      <c r="AM25" s="201"/>
      <c r="AN25" s="201"/>
      <c r="AO25" s="201"/>
      <c r="AP25" s="205"/>
      <c r="AQ25" s="233"/>
    </row>
    <row r="26" spans="1:43" x14ac:dyDescent="0.2">
      <c r="A26" s="201"/>
      <c r="B26" s="201" t="s">
        <v>1352</v>
      </c>
      <c r="C26" s="201">
        <v>20</v>
      </c>
      <c r="D26" s="201" t="s">
        <v>1606</v>
      </c>
      <c r="E26" s="202">
        <v>6131338000</v>
      </c>
      <c r="F26" s="203">
        <v>7.0999999999999994E-2</v>
      </c>
      <c r="G26" s="204">
        <v>20</v>
      </c>
      <c r="H26" s="204">
        <v>21</v>
      </c>
      <c r="I26" s="205" t="s">
        <v>360</v>
      </c>
      <c r="J26" s="205"/>
      <c r="K26" s="201"/>
      <c r="L26" s="201"/>
      <c r="M26" s="201"/>
      <c r="N26" s="201"/>
      <c r="O26" s="206"/>
      <c r="P26" s="202"/>
      <c r="Q26" s="201"/>
      <c r="R26" s="201"/>
      <c r="S26" s="201"/>
      <c r="T26" s="205"/>
      <c r="U26" s="201"/>
      <c r="V26" s="201"/>
      <c r="W26" s="201" t="s">
        <v>1491</v>
      </c>
      <c r="X26" s="201"/>
      <c r="Y26" s="201"/>
      <c r="Z26" s="201"/>
      <c r="AA26" s="201"/>
      <c r="AB26" s="201"/>
      <c r="AC26" s="201"/>
      <c r="AD26" s="201"/>
      <c r="AE26" s="201"/>
      <c r="AF26" s="201"/>
      <c r="AG26" s="201" t="str">
        <f>IF(E26="","",IF(E26&gt;='Reference Tab - Do not Delete'!$E$35,'Reference Tab - Do not Delete'!$D$35,IF(AND(E26&gt;='Reference Tab - Do not Delete'!$E$36,E26&lt;'Reference Tab - Do not Delete'!$E$35),'Reference Tab - Do not Delete'!$D$36,IF(AND(E26&gt;='Reference Tab - Do not Delete'!$E$37,E26&lt;'Reference Tab - Do not Delete'!$E$36),'Reference Tab - Do not Delete'!$D$37,IF(AND(E26&gt;='Reference Tab - Do not Delete'!$E$38,E26&lt;'Reference Tab - Do not Delete'!$E$37),'Reference Tab - Do not Delete'!$D$38,'Reference Tab - Do not Delete'!$D$39)))))</f>
        <v>$50B - $B</v>
      </c>
      <c r="AH26" s="205" t="str">
        <f t="shared" si="0"/>
        <v>11 - 25</v>
      </c>
      <c r="AI26" s="205" t="str">
        <f t="shared" si="1"/>
        <v/>
      </c>
      <c r="AJ26" s="202">
        <v>0</v>
      </c>
      <c r="AK26" s="201"/>
      <c r="AL26" s="205"/>
      <c r="AM26" s="201"/>
      <c r="AN26" s="201"/>
      <c r="AO26" s="201"/>
      <c r="AP26" s="205"/>
      <c r="AQ26" s="233"/>
    </row>
    <row r="27" spans="1:43" x14ac:dyDescent="0.2">
      <c r="A27" s="201" t="s">
        <v>1176</v>
      </c>
      <c r="B27" s="201" t="s">
        <v>1353</v>
      </c>
      <c r="C27" s="201">
        <v>21</v>
      </c>
      <c r="D27" s="201" t="s">
        <v>1606</v>
      </c>
      <c r="E27" s="202">
        <v>5797634000</v>
      </c>
      <c r="F27" s="203">
        <v>0.14799999999999999</v>
      </c>
      <c r="G27" s="204">
        <v>21</v>
      </c>
      <c r="H27" s="204">
        <v>22</v>
      </c>
      <c r="I27" s="205" t="s">
        <v>360</v>
      </c>
      <c r="J27" s="205">
        <v>88.7</v>
      </c>
      <c r="K27" s="201" t="s">
        <v>1154</v>
      </c>
      <c r="L27" s="201" t="s">
        <v>1176</v>
      </c>
      <c r="M27" s="201" t="s">
        <v>1187</v>
      </c>
      <c r="N27" s="201" t="s">
        <v>1188</v>
      </c>
      <c r="O27" s="206" t="s">
        <v>1189</v>
      </c>
      <c r="P27" s="202" t="s">
        <v>1190</v>
      </c>
      <c r="Q27" s="201" t="s">
        <v>1191</v>
      </c>
      <c r="R27" s="201" t="s">
        <v>1192</v>
      </c>
      <c r="S27" s="201" t="s">
        <v>1193</v>
      </c>
      <c r="T27" s="205" t="s">
        <v>648</v>
      </c>
      <c r="U27" s="201" t="s">
        <v>294</v>
      </c>
      <c r="V27" s="201">
        <v>2023</v>
      </c>
      <c r="W27" s="201"/>
      <c r="X27" s="201"/>
      <c r="Y27" s="201"/>
      <c r="Z27" s="201"/>
      <c r="AA27" s="201"/>
      <c r="AB27" s="201"/>
      <c r="AC27" s="201"/>
      <c r="AD27" s="201"/>
      <c r="AE27" s="201"/>
      <c r="AF27" s="201"/>
      <c r="AG27" s="201" t="str">
        <f>IF(E27="","",IF(E27&gt;='Reference Tab - Do not Delete'!$E$35,'Reference Tab - Do not Delete'!$D$35,IF(AND(E27&gt;='Reference Tab - Do not Delete'!$E$36,E27&lt;'Reference Tab - Do not Delete'!$E$35),'Reference Tab - Do not Delete'!$D$36,IF(AND(E27&gt;='Reference Tab - Do not Delete'!$E$37,E27&lt;'Reference Tab - Do not Delete'!$E$36),'Reference Tab - Do not Delete'!$D$37,IF(AND(E27&gt;='Reference Tab - Do not Delete'!$E$38,E27&lt;'Reference Tab - Do not Delete'!$E$37),'Reference Tab - Do not Delete'!$D$38,'Reference Tab - Do not Delete'!$D$39)))))</f>
        <v>$50B - $B</v>
      </c>
      <c r="AH27" s="205" t="str">
        <f t="shared" si="0"/>
        <v>11 - 25</v>
      </c>
      <c r="AI27" s="205" t="str">
        <f t="shared" si="1"/>
        <v>Yes</v>
      </c>
      <c r="AJ27" s="202">
        <v>1214372.8670808456</v>
      </c>
      <c r="AK27" s="201"/>
      <c r="AL27" s="205"/>
      <c r="AM27" s="201"/>
      <c r="AN27" s="201"/>
      <c r="AO27" s="201"/>
      <c r="AP27" s="205"/>
      <c r="AQ27" s="233"/>
    </row>
    <row r="28" spans="1:43" x14ac:dyDescent="0.2">
      <c r="A28" s="201"/>
      <c r="B28" s="201" t="s">
        <v>1354</v>
      </c>
      <c r="C28" s="201">
        <v>22</v>
      </c>
      <c r="D28" s="201" t="s">
        <v>1606</v>
      </c>
      <c r="E28" s="202">
        <v>5379896000</v>
      </c>
      <c r="F28" s="203">
        <v>6.9000000000000006E-2</v>
      </c>
      <c r="G28" s="204">
        <v>22</v>
      </c>
      <c r="H28" s="204">
        <v>23</v>
      </c>
      <c r="I28" s="205" t="s">
        <v>360</v>
      </c>
      <c r="J28" s="205"/>
      <c r="K28" s="201"/>
      <c r="L28" s="201"/>
      <c r="M28" s="201"/>
      <c r="N28" s="201"/>
      <c r="O28" s="206"/>
      <c r="P28" s="202"/>
      <c r="Q28" s="201"/>
      <c r="R28" s="201"/>
      <c r="S28" s="201"/>
      <c r="T28" s="205"/>
      <c r="U28" s="201"/>
      <c r="V28" s="201"/>
      <c r="W28" s="201"/>
      <c r="X28" s="201"/>
      <c r="Y28" s="201"/>
      <c r="Z28" s="201"/>
      <c r="AA28" s="201"/>
      <c r="AB28" s="201"/>
      <c r="AC28" s="201"/>
      <c r="AD28" s="201"/>
      <c r="AE28" s="201"/>
      <c r="AF28" s="201"/>
      <c r="AG28" s="201" t="str">
        <f>IF(E28="","",IF(E28&gt;='Reference Tab - Do not Delete'!$E$35,'Reference Tab - Do not Delete'!$D$35,IF(AND(E28&gt;='Reference Tab - Do not Delete'!$E$36,E28&lt;'Reference Tab - Do not Delete'!$E$35),'Reference Tab - Do not Delete'!$D$36,IF(AND(E28&gt;='Reference Tab - Do not Delete'!$E$37,E28&lt;'Reference Tab - Do not Delete'!$E$36),'Reference Tab - Do not Delete'!$D$37,IF(AND(E28&gt;='Reference Tab - Do not Delete'!$E$38,E28&lt;'Reference Tab - Do not Delete'!$E$37),'Reference Tab - Do not Delete'!$D$38,'Reference Tab - Do not Delete'!$D$39)))))</f>
        <v>$50B - $B</v>
      </c>
      <c r="AH28" s="205" t="str">
        <f t="shared" si="0"/>
        <v>11 - 25</v>
      </c>
      <c r="AI28" s="205" t="str">
        <f t="shared" si="1"/>
        <v/>
      </c>
      <c r="AJ28" s="202">
        <v>0</v>
      </c>
      <c r="AK28" s="201"/>
      <c r="AL28" s="205"/>
      <c r="AM28" s="201"/>
      <c r="AN28" s="201"/>
      <c r="AO28" s="201"/>
      <c r="AP28" s="205"/>
      <c r="AQ28" s="233"/>
    </row>
    <row r="29" spans="1:43" x14ac:dyDescent="0.2">
      <c r="A29" s="201"/>
      <c r="B29" s="201" t="s">
        <v>1344</v>
      </c>
      <c r="C29" s="201">
        <v>23</v>
      </c>
      <c r="D29" s="201" t="s">
        <v>1606</v>
      </c>
      <c r="E29" s="202">
        <v>5344634000</v>
      </c>
      <c r="F29" s="203">
        <v>0.14499999999999999</v>
      </c>
      <c r="G29" s="204">
        <v>23</v>
      </c>
      <c r="H29" s="204">
        <v>24</v>
      </c>
      <c r="I29" s="205" t="s">
        <v>360</v>
      </c>
      <c r="J29" s="205"/>
      <c r="K29" s="201"/>
      <c r="L29" s="201"/>
      <c r="M29" s="201"/>
      <c r="N29" s="201"/>
      <c r="O29" s="206"/>
      <c r="P29" s="202"/>
      <c r="Q29" s="201"/>
      <c r="R29" s="201"/>
      <c r="S29" s="201"/>
      <c r="T29" s="205"/>
      <c r="U29" s="201"/>
      <c r="V29" s="201"/>
      <c r="W29" s="201" t="s">
        <v>1490</v>
      </c>
      <c r="X29" s="201"/>
      <c r="Y29" s="201"/>
      <c r="Z29" s="201"/>
      <c r="AA29" s="201"/>
      <c r="AB29" s="201"/>
      <c r="AC29" s="201"/>
      <c r="AD29" s="201"/>
      <c r="AE29" s="201"/>
      <c r="AF29" s="201"/>
      <c r="AG29" s="201" t="str">
        <f>IF(E29="","",IF(E29&gt;='Reference Tab - Do not Delete'!$E$35,'Reference Tab - Do not Delete'!$D$35,IF(AND(E29&gt;='Reference Tab - Do not Delete'!$E$36,E29&lt;'Reference Tab - Do not Delete'!$E$35),'Reference Tab - Do not Delete'!$D$36,IF(AND(E29&gt;='Reference Tab - Do not Delete'!$E$37,E29&lt;'Reference Tab - Do not Delete'!$E$36),'Reference Tab - Do not Delete'!$D$37,IF(AND(E29&gt;='Reference Tab - Do not Delete'!$E$38,E29&lt;'Reference Tab - Do not Delete'!$E$37),'Reference Tab - Do not Delete'!$D$38,'Reference Tab - Do not Delete'!$D$39)))))</f>
        <v>$50B - $B</v>
      </c>
      <c r="AH29" s="205" t="str">
        <f t="shared" si="0"/>
        <v>11 - 25</v>
      </c>
      <c r="AI29" s="205" t="str">
        <f t="shared" si="1"/>
        <v/>
      </c>
      <c r="AJ29" s="202">
        <v>0</v>
      </c>
      <c r="AK29" s="201"/>
      <c r="AL29" s="205"/>
      <c r="AM29" s="201"/>
      <c r="AN29" s="201"/>
      <c r="AO29" s="201"/>
      <c r="AP29" s="205"/>
      <c r="AQ29" s="233"/>
    </row>
    <row r="30" spans="1:43" x14ac:dyDescent="0.2">
      <c r="A30" s="201" t="s">
        <v>1176</v>
      </c>
      <c r="B30" s="201" t="s">
        <v>1355</v>
      </c>
      <c r="C30" s="201">
        <v>24</v>
      </c>
      <c r="D30" s="201" t="s">
        <v>1606</v>
      </c>
      <c r="E30" s="202">
        <v>4689656000</v>
      </c>
      <c r="F30" s="203">
        <v>7.9000000000000001E-2</v>
      </c>
      <c r="G30" s="204">
        <v>24</v>
      </c>
      <c r="H30" s="204">
        <v>26</v>
      </c>
      <c r="I30" s="205" t="s">
        <v>360</v>
      </c>
      <c r="J30" s="205">
        <v>93.7</v>
      </c>
      <c r="K30" s="201" t="s">
        <v>1154</v>
      </c>
      <c r="L30" s="201" t="s">
        <v>1176</v>
      </c>
      <c r="M30" s="201" t="s">
        <v>1225</v>
      </c>
      <c r="N30" s="201" t="s">
        <v>1226</v>
      </c>
      <c r="O30" s="206"/>
      <c r="P30" s="202"/>
      <c r="Q30" s="201" t="s">
        <v>1227</v>
      </c>
      <c r="R30" s="201" t="s">
        <v>1228</v>
      </c>
      <c r="S30" s="201"/>
      <c r="T30" s="205" t="s">
        <v>648</v>
      </c>
      <c r="U30" s="201"/>
      <c r="V30" s="201"/>
      <c r="W30" s="201" t="s">
        <v>1492</v>
      </c>
      <c r="X30" s="201"/>
      <c r="Y30" s="201"/>
      <c r="Z30" s="201"/>
      <c r="AA30" s="201"/>
      <c r="AB30" s="201"/>
      <c r="AC30" s="201"/>
      <c r="AD30" s="201"/>
      <c r="AE30" s="201"/>
      <c r="AF30" s="201"/>
      <c r="AG30" s="201" t="str">
        <f>IF(E30="","",IF(E30&gt;='Reference Tab - Do not Delete'!$E$35,'Reference Tab - Do not Delete'!$D$35,IF(AND(E30&gt;='Reference Tab - Do not Delete'!$E$36,E30&lt;'Reference Tab - Do not Delete'!$E$35),'Reference Tab - Do not Delete'!$D$36,IF(AND(E30&gt;='Reference Tab - Do not Delete'!$E$37,E30&lt;'Reference Tab - Do not Delete'!$E$36),'Reference Tab - Do not Delete'!$D$37,IF(AND(E30&gt;='Reference Tab - Do not Delete'!$E$38,E30&lt;'Reference Tab - Do not Delete'!$E$37),'Reference Tab - Do not Delete'!$D$38,'Reference Tab - Do not Delete'!$D$39)))))</f>
        <v>$50B - $B</v>
      </c>
      <c r="AH30" s="205" t="str">
        <f t="shared" si="0"/>
        <v>26 - 50</v>
      </c>
      <c r="AI30" s="205" t="str">
        <f t="shared" si="1"/>
        <v/>
      </c>
      <c r="AJ30" s="202">
        <v>0</v>
      </c>
      <c r="AK30" s="201"/>
      <c r="AL30" s="205"/>
      <c r="AM30" s="201"/>
      <c r="AN30" s="201"/>
      <c r="AO30" s="201"/>
      <c r="AP30" s="205"/>
      <c r="AQ30" s="233"/>
    </row>
    <row r="31" spans="1:43" x14ac:dyDescent="0.2">
      <c r="A31" s="201" t="s">
        <v>1980</v>
      </c>
      <c r="B31" s="201" t="s">
        <v>1356</v>
      </c>
      <c r="C31" s="201">
        <v>25</v>
      </c>
      <c r="D31" s="201" t="s">
        <v>1606</v>
      </c>
      <c r="E31" s="202">
        <v>4580867000</v>
      </c>
      <c r="F31" s="203">
        <v>4.2000000000000003E-2</v>
      </c>
      <c r="G31" s="205">
        <v>25</v>
      </c>
      <c r="H31" s="205">
        <v>25</v>
      </c>
      <c r="I31" s="205" t="s">
        <v>360</v>
      </c>
      <c r="J31" s="205">
        <v>95.6</v>
      </c>
      <c r="K31" s="201" t="s">
        <v>1099</v>
      </c>
      <c r="L31" s="201" t="s">
        <v>2088</v>
      </c>
      <c r="M31" s="201" t="s">
        <v>2089</v>
      </c>
      <c r="N31" s="201" t="s">
        <v>2090</v>
      </c>
      <c r="O31" s="201" t="s">
        <v>2091</v>
      </c>
      <c r="P31" s="201" t="s">
        <v>2092</v>
      </c>
      <c r="Q31" s="201" t="s">
        <v>2093</v>
      </c>
      <c r="R31" s="201" t="s">
        <v>2094</v>
      </c>
      <c r="S31" s="201" t="s">
        <v>2095</v>
      </c>
      <c r="T31" s="205" t="s">
        <v>648</v>
      </c>
      <c r="U31" s="201" t="s">
        <v>2097</v>
      </c>
      <c r="V31" s="208">
        <v>44531</v>
      </c>
      <c r="W31" s="201"/>
      <c r="X31" s="201"/>
      <c r="Y31" s="201"/>
      <c r="Z31" s="201"/>
      <c r="AA31" s="201"/>
      <c r="AB31" s="201"/>
      <c r="AC31" s="201"/>
      <c r="AD31" s="201"/>
      <c r="AE31" s="201"/>
      <c r="AF31" s="201"/>
      <c r="AG31" s="201" t="str">
        <f>IF(E31="","",IF(E31&gt;='Reference Tab - Do not Delete'!$E$35,'Reference Tab - Do not Delete'!$D$35,IF(AND(E31&gt;='Reference Tab - Do not Delete'!$E$36,E31&lt;'Reference Tab - Do not Delete'!$E$35),'Reference Tab - Do not Delete'!$D$36,IF(AND(E31&gt;='Reference Tab - Do not Delete'!$E$37,E31&lt;'Reference Tab - Do not Delete'!$E$36),'Reference Tab - Do not Delete'!$D$37,IF(AND(E31&gt;='Reference Tab - Do not Delete'!$E$38,E31&lt;'Reference Tab - Do not Delete'!$E$37),'Reference Tab - Do not Delete'!$D$38,'Reference Tab - Do not Delete'!$D$39)))))</f>
        <v>$50B - $B</v>
      </c>
      <c r="AH31" s="205" t="str">
        <f t="shared" si="0"/>
        <v>11 - 25</v>
      </c>
      <c r="AI31" s="205" t="str">
        <f t="shared" si="1"/>
        <v>Yes</v>
      </c>
      <c r="AJ31" s="202">
        <v>12214610.243560394</v>
      </c>
      <c r="AK31" s="201" t="s">
        <v>13</v>
      </c>
      <c r="AL31" s="205" t="s">
        <v>648</v>
      </c>
      <c r="AM31" s="201"/>
      <c r="AN31" s="201"/>
      <c r="AO31" s="201"/>
      <c r="AP31" s="205"/>
      <c r="AQ31" s="233"/>
    </row>
    <row r="32" spans="1:43" x14ac:dyDescent="0.2">
      <c r="A32" s="201"/>
      <c r="B32" s="201" t="s">
        <v>1270</v>
      </c>
      <c r="C32" s="201">
        <v>26</v>
      </c>
      <c r="D32" s="201" t="s">
        <v>1606</v>
      </c>
      <c r="E32" s="202">
        <v>4546591000</v>
      </c>
      <c r="F32" s="203">
        <v>5.2999999999999999E-2</v>
      </c>
      <c r="G32" s="205">
        <v>26</v>
      </c>
      <c r="H32" s="205">
        <v>27</v>
      </c>
      <c r="I32" s="205" t="s">
        <v>360</v>
      </c>
      <c r="J32" s="205"/>
      <c r="K32" s="201"/>
      <c r="L32" s="201"/>
      <c r="M32" s="201"/>
      <c r="N32" s="201"/>
      <c r="O32" s="201"/>
      <c r="P32" s="201"/>
      <c r="Q32" s="201"/>
      <c r="R32" s="201"/>
      <c r="S32" s="201"/>
      <c r="T32" s="205"/>
      <c r="U32" s="201"/>
      <c r="V32" s="201"/>
      <c r="W32" s="201"/>
      <c r="X32" s="201"/>
      <c r="Y32" s="201"/>
      <c r="Z32" s="201"/>
      <c r="AA32" s="201"/>
      <c r="AB32" s="201"/>
      <c r="AC32" s="201"/>
      <c r="AD32" s="201"/>
      <c r="AE32" s="201"/>
      <c r="AF32" s="201"/>
      <c r="AG32" s="201" t="str">
        <f>IF(E32="","",IF(E32&gt;='Reference Tab - Do not Delete'!$E$35,'Reference Tab - Do not Delete'!$D$35,IF(AND(E32&gt;='Reference Tab - Do not Delete'!$E$36,E32&lt;'Reference Tab - Do not Delete'!$E$35),'Reference Tab - Do not Delete'!$D$36,IF(AND(E32&gt;='Reference Tab - Do not Delete'!$E$37,E32&lt;'Reference Tab - Do not Delete'!$E$36),'Reference Tab - Do not Delete'!$D$37,IF(AND(E32&gt;='Reference Tab - Do not Delete'!$E$38,E32&lt;'Reference Tab - Do not Delete'!$E$37),'Reference Tab - Do not Delete'!$D$38,'Reference Tab - Do not Delete'!$D$39)))))</f>
        <v>$50B - $B</v>
      </c>
      <c r="AH32" s="205" t="str">
        <f t="shared" si="0"/>
        <v>26 - 50</v>
      </c>
      <c r="AI32" s="205" t="str">
        <f t="shared" si="1"/>
        <v/>
      </c>
      <c r="AJ32" s="202">
        <v>0</v>
      </c>
      <c r="AK32" s="201"/>
      <c r="AL32" s="205"/>
      <c r="AM32" s="201"/>
      <c r="AN32" s="201"/>
      <c r="AO32" s="201"/>
      <c r="AP32" s="205"/>
      <c r="AQ32" s="233"/>
    </row>
    <row r="33" spans="1:43" x14ac:dyDescent="0.2">
      <c r="A33" s="201"/>
      <c r="B33" s="201" t="s">
        <v>1357</v>
      </c>
      <c r="C33" s="201">
        <v>27</v>
      </c>
      <c r="D33" s="201" t="s">
        <v>1606</v>
      </c>
      <c r="E33" s="202">
        <v>4091021000</v>
      </c>
      <c r="F33" s="203">
        <v>0.53600000000000003</v>
      </c>
      <c r="G33" s="205">
        <v>27</v>
      </c>
      <c r="H33" s="205">
        <v>40</v>
      </c>
      <c r="I33" s="205" t="s">
        <v>360</v>
      </c>
      <c r="J33" s="205"/>
      <c r="K33" s="201"/>
      <c r="L33" s="201"/>
      <c r="M33" s="201"/>
      <c r="N33" s="201"/>
      <c r="O33" s="201"/>
      <c r="P33" s="201"/>
      <c r="Q33" s="201"/>
      <c r="R33" s="201"/>
      <c r="S33" s="201"/>
      <c r="T33" s="205"/>
      <c r="U33" s="201"/>
      <c r="V33" s="201"/>
      <c r="W33" s="201" t="s">
        <v>1490</v>
      </c>
      <c r="X33" s="201"/>
      <c r="Y33" s="201"/>
      <c r="Z33" s="201"/>
      <c r="AA33" s="201"/>
      <c r="AB33" s="201"/>
      <c r="AC33" s="201"/>
      <c r="AD33" s="201"/>
      <c r="AE33" s="201"/>
      <c r="AF33" s="201"/>
      <c r="AG33" s="201" t="str">
        <f>IF(E33="","",IF(E33&gt;='Reference Tab - Do not Delete'!$E$35,'Reference Tab - Do not Delete'!$D$35,IF(AND(E33&gt;='Reference Tab - Do not Delete'!$E$36,E33&lt;'Reference Tab - Do not Delete'!$E$35),'Reference Tab - Do not Delete'!$D$36,IF(AND(E33&gt;='Reference Tab - Do not Delete'!$E$37,E33&lt;'Reference Tab - Do not Delete'!$E$36),'Reference Tab - Do not Delete'!$D$37,IF(AND(E33&gt;='Reference Tab - Do not Delete'!$E$38,E33&lt;'Reference Tab - Do not Delete'!$E$37),'Reference Tab - Do not Delete'!$D$38,'Reference Tab - Do not Delete'!$D$39)))))</f>
        <v>$50B - $B</v>
      </c>
      <c r="AH33" s="205" t="str">
        <f t="shared" si="0"/>
        <v>26 - 50</v>
      </c>
      <c r="AI33" s="205" t="str">
        <f t="shared" si="1"/>
        <v/>
      </c>
      <c r="AJ33" s="202">
        <v>0</v>
      </c>
      <c r="AK33" s="201"/>
      <c r="AL33" s="205"/>
      <c r="AM33" s="201"/>
      <c r="AN33" s="201"/>
      <c r="AO33" s="201"/>
      <c r="AP33" s="205"/>
      <c r="AQ33" s="233"/>
    </row>
    <row r="34" spans="1:43" x14ac:dyDescent="0.2">
      <c r="A34" s="201" t="s">
        <v>1983</v>
      </c>
      <c r="B34" s="201" t="s">
        <v>1272</v>
      </c>
      <c r="C34" s="201">
        <v>28</v>
      </c>
      <c r="D34" s="201" t="s">
        <v>1606</v>
      </c>
      <c r="E34" s="202">
        <v>4042228000</v>
      </c>
      <c r="F34" s="203">
        <v>8.5000000000000006E-2</v>
      </c>
      <c r="G34" s="205">
        <v>28</v>
      </c>
      <c r="H34" s="205">
        <v>30</v>
      </c>
      <c r="I34" s="205" t="s">
        <v>360</v>
      </c>
      <c r="J34" s="205">
        <v>93</v>
      </c>
      <c r="K34" s="201" t="s">
        <v>1154</v>
      </c>
      <c r="L34" s="201" t="s">
        <v>1109</v>
      </c>
      <c r="M34" s="201" t="s">
        <v>1120</v>
      </c>
      <c r="N34" s="201" t="s">
        <v>1121</v>
      </c>
      <c r="O34" s="201" t="s">
        <v>1122</v>
      </c>
      <c r="P34" s="201" t="s">
        <v>1123</v>
      </c>
      <c r="Q34" s="201" t="s">
        <v>1124</v>
      </c>
      <c r="R34" s="201" t="s">
        <v>1125</v>
      </c>
      <c r="S34" s="201"/>
      <c r="T34" s="205" t="s">
        <v>648</v>
      </c>
      <c r="U34" s="201" t="s">
        <v>1128</v>
      </c>
      <c r="V34" s="208">
        <v>44197</v>
      </c>
      <c r="W34" s="201" t="s">
        <v>1491</v>
      </c>
      <c r="X34" s="201"/>
      <c r="Y34" s="201"/>
      <c r="Z34" s="201"/>
      <c r="AA34" s="201"/>
      <c r="AB34" s="201"/>
      <c r="AC34" s="201"/>
      <c r="AD34" s="201"/>
      <c r="AE34" s="201"/>
      <c r="AF34" s="201"/>
      <c r="AG34" s="201" t="str">
        <f>IF(E34="","",IF(E34&gt;='Reference Tab - Do not Delete'!$E$35,'Reference Tab - Do not Delete'!$D$35,IF(AND(E34&gt;='Reference Tab - Do not Delete'!$E$36,E34&lt;'Reference Tab - Do not Delete'!$E$35),'Reference Tab - Do not Delete'!$D$36,IF(AND(E34&gt;='Reference Tab - Do not Delete'!$E$37,E34&lt;'Reference Tab - Do not Delete'!$E$36),'Reference Tab - Do not Delete'!$D$37,IF(AND(E34&gt;='Reference Tab - Do not Delete'!$E$38,E34&lt;'Reference Tab - Do not Delete'!$E$37),'Reference Tab - Do not Delete'!$D$38,'Reference Tab - Do not Delete'!$D$39)))))</f>
        <v>$50B - $B</v>
      </c>
      <c r="AH34" s="205" t="str">
        <f t="shared" si="0"/>
        <v>26 - 50</v>
      </c>
      <c r="AI34" s="205" t="str">
        <f t="shared" si="1"/>
        <v>Yes</v>
      </c>
      <c r="AJ34" s="202">
        <v>2825296.4117278834</v>
      </c>
      <c r="AK34" s="201" t="s">
        <v>13</v>
      </c>
      <c r="AL34" s="205" t="s">
        <v>648</v>
      </c>
      <c r="AM34" s="201"/>
      <c r="AN34" s="201"/>
      <c r="AO34" s="201"/>
      <c r="AP34" s="205"/>
      <c r="AQ34" s="233"/>
    </row>
    <row r="35" spans="1:43" x14ac:dyDescent="0.2">
      <c r="A35" s="201"/>
      <c r="B35" s="201" t="s">
        <v>1271</v>
      </c>
      <c r="C35" s="201">
        <v>29</v>
      </c>
      <c r="D35" s="201" t="s">
        <v>1606</v>
      </c>
      <c r="E35" s="202">
        <v>4031220000</v>
      </c>
      <c r="F35" s="203">
        <v>1.4999999999999999E-2</v>
      </c>
      <c r="G35" s="205">
        <v>29</v>
      </c>
      <c r="H35" s="205">
        <v>28</v>
      </c>
      <c r="I35" s="205" t="s">
        <v>360</v>
      </c>
      <c r="J35" s="205"/>
      <c r="K35" s="201"/>
      <c r="L35" s="201"/>
      <c r="M35" s="201"/>
      <c r="N35" s="201"/>
      <c r="O35" s="201"/>
      <c r="P35" s="201"/>
      <c r="Q35" s="201"/>
      <c r="R35" s="201"/>
      <c r="S35" s="201"/>
      <c r="T35" s="205"/>
      <c r="U35" s="201"/>
      <c r="V35" s="201"/>
      <c r="W35" s="201"/>
      <c r="X35" s="201"/>
      <c r="Y35" s="201"/>
      <c r="Z35" s="201"/>
      <c r="AA35" s="201"/>
      <c r="AB35" s="201"/>
      <c r="AC35" s="201"/>
      <c r="AD35" s="201"/>
      <c r="AE35" s="201"/>
      <c r="AF35" s="201"/>
      <c r="AG35" s="201" t="str">
        <f>IF(E35="","",IF(E35&gt;='Reference Tab - Do not Delete'!$E$35,'Reference Tab - Do not Delete'!$D$35,IF(AND(E35&gt;='Reference Tab - Do not Delete'!$E$36,E35&lt;'Reference Tab - Do not Delete'!$E$35),'Reference Tab - Do not Delete'!$D$36,IF(AND(E35&gt;='Reference Tab - Do not Delete'!$E$37,E35&lt;'Reference Tab - Do not Delete'!$E$36),'Reference Tab - Do not Delete'!$D$37,IF(AND(E35&gt;='Reference Tab - Do not Delete'!$E$38,E35&lt;'Reference Tab - Do not Delete'!$E$37),'Reference Tab - Do not Delete'!$D$38,'Reference Tab - Do not Delete'!$D$39)))))</f>
        <v>$50B - $B</v>
      </c>
      <c r="AH35" s="205" t="str">
        <f t="shared" si="0"/>
        <v>26 - 50</v>
      </c>
      <c r="AI35" s="205" t="str">
        <f t="shared" si="1"/>
        <v/>
      </c>
      <c r="AJ35" s="202">
        <v>0</v>
      </c>
      <c r="AK35" s="201"/>
      <c r="AL35" s="205"/>
      <c r="AM35" s="201"/>
      <c r="AN35" s="201"/>
      <c r="AO35" s="201"/>
      <c r="AP35" s="205"/>
      <c r="AQ35" s="233"/>
    </row>
    <row r="36" spans="1:43" x14ac:dyDescent="0.2">
      <c r="A36" s="201"/>
      <c r="B36" s="201" t="s">
        <v>1274</v>
      </c>
      <c r="C36" s="201">
        <v>30</v>
      </c>
      <c r="D36" s="201" t="s">
        <v>1606</v>
      </c>
      <c r="E36" s="202">
        <v>4007616000</v>
      </c>
      <c r="F36" s="203">
        <v>0.10400000000000001</v>
      </c>
      <c r="G36" s="205">
        <v>30</v>
      </c>
      <c r="H36" s="205">
        <v>32</v>
      </c>
      <c r="I36" s="205" t="s">
        <v>360</v>
      </c>
      <c r="J36" s="205"/>
      <c r="K36" s="201"/>
      <c r="L36" s="201"/>
      <c r="M36" s="201"/>
      <c r="N36" s="201"/>
      <c r="O36" s="201"/>
      <c r="P36" s="201"/>
      <c r="Q36" s="201"/>
      <c r="R36" s="201"/>
      <c r="S36" s="201"/>
      <c r="T36" s="205"/>
      <c r="U36" s="201"/>
      <c r="V36" s="201"/>
      <c r="W36" s="201"/>
      <c r="X36" s="201"/>
      <c r="Y36" s="201"/>
      <c r="Z36" s="201"/>
      <c r="AA36" s="201"/>
      <c r="AB36" s="201"/>
      <c r="AC36" s="201"/>
      <c r="AD36" s="201"/>
      <c r="AE36" s="201"/>
      <c r="AF36" s="201"/>
      <c r="AG36" s="201" t="str">
        <f>IF(E36="","",IF(E36&gt;='Reference Tab - Do not Delete'!$E$35,'Reference Tab - Do not Delete'!$D$35,IF(AND(E36&gt;='Reference Tab - Do not Delete'!$E$36,E36&lt;'Reference Tab - Do not Delete'!$E$35),'Reference Tab - Do not Delete'!$D$36,IF(AND(E36&gt;='Reference Tab - Do not Delete'!$E$37,E36&lt;'Reference Tab - Do not Delete'!$E$36),'Reference Tab - Do not Delete'!$D$37,IF(AND(E36&gt;='Reference Tab - Do not Delete'!$E$38,E36&lt;'Reference Tab - Do not Delete'!$E$37),'Reference Tab - Do not Delete'!$D$38,'Reference Tab - Do not Delete'!$D$39)))))</f>
        <v>$50B - $B</v>
      </c>
      <c r="AH36" s="205" t="str">
        <f t="shared" si="0"/>
        <v>26 - 50</v>
      </c>
      <c r="AI36" s="205" t="str">
        <f t="shared" si="1"/>
        <v/>
      </c>
      <c r="AJ36" s="202">
        <v>0</v>
      </c>
      <c r="AK36" s="201"/>
      <c r="AL36" s="205"/>
      <c r="AM36" s="201"/>
      <c r="AN36" s="201"/>
      <c r="AO36" s="201"/>
      <c r="AP36" s="205"/>
      <c r="AQ36" s="233"/>
    </row>
    <row r="37" spans="1:43" x14ac:dyDescent="0.2">
      <c r="A37" s="201"/>
      <c r="B37" s="201" t="s">
        <v>1277</v>
      </c>
      <c r="C37" s="201">
        <v>31</v>
      </c>
      <c r="D37" s="201" t="s">
        <v>1606</v>
      </c>
      <c r="E37" s="202">
        <v>3809277000</v>
      </c>
      <c r="F37" s="203">
        <v>0.21600000000000003</v>
      </c>
      <c r="G37" s="205">
        <v>31</v>
      </c>
      <c r="H37" s="205">
        <v>36</v>
      </c>
      <c r="I37" s="205" t="s">
        <v>360</v>
      </c>
      <c r="J37" s="205"/>
      <c r="K37" s="201"/>
      <c r="L37" s="201"/>
      <c r="M37" s="201"/>
      <c r="N37" s="201"/>
      <c r="O37" s="201"/>
      <c r="P37" s="201"/>
      <c r="Q37" s="201"/>
      <c r="R37" s="201"/>
      <c r="S37" s="201"/>
      <c r="T37" s="205"/>
      <c r="U37" s="201"/>
      <c r="V37" s="201"/>
      <c r="W37" s="201"/>
      <c r="X37" s="201"/>
      <c r="Y37" s="201"/>
      <c r="Z37" s="201"/>
      <c r="AA37" s="201"/>
      <c r="AB37" s="201"/>
      <c r="AC37" s="201"/>
      <c r="AD37" s="201"/>
      <c r="AE37" s="201"/>
      <c r="AF37" s="201"/>
      <c r="AG37" s="201" t="str">
        <f>IF(E37="","",IF(E37&gt;='Reference Tab - Do not Delete'!$E$35,'Reference Tab - Do not Delete'!$D$35,IF(AND(E37&gt;='Reference Tab - Do not Delete'!$E$36,E37&lt;'Reference Tab - Do not Delete'!$E$35),'Reference Tab - Do not Delete'!$D$36,IF(AND(E37&gt;='Reference Tab - Do not Delete'!$E$37,E37&lt;'Reference Tab - Do not Delete'!$E$36),'Reference Tab - Do not Delete'!$D$37,IF(AND(E37&gt;='Reference Tab - Do not Delete'!$E$38,E37&lt;'Reference Tab - Do not Delete'!$E$37),'Reference Tab - Do not Delete'!$D$38,'Reference Tab - Do not Delete'!$D$39)))))</f>
        <v>$50B - $B</v>
      </c>
      <c r="AH37" s="205" t="str">
        <f t="shared" si="0"/>
        <v>26 - 50</v>
      </c>
      <c r="AI37" s="205" t="str">
        <f t="shared" si="1"/>
        <v/>
      </c>
      <c r="AJ37" s="202">
        <v>0</v>
      </c>
      <c r="AK37" s="201"/>
      <c r="AL37" s="205"/>
      <c r="AM37" s="201"/>
      <c r="AN37" s="201"/>
      <c r="AO37" s="201"/>
      <c r="AP37" s="205"/>
      <c r="AQ37" s="233"/>
    </row>
    <row r="38" spans="1:43" x14ac:dyDescent="0.2">
      <c r="A38" s="201"/>
      <c r="B38" s="201" t="s">
        <v>1273</v>
      </c>
      <c r="C38" s="201">
        <v>32</v>
      </c>
      <c r="D38" s="201" t="s">
        <v>1606</v>
      </c>
      <c r="E38" s="202">
        <v>3797476000</v>
      </c>
      <c r="F38" s="203">
        <v>0.02</v>
      </c>
      <c r="G38" s="205">
        <v>32</v>
      </c>
      <c r="H38" s="205">
        <v>31</v>
      </c>
      <c r="I38" s="205" t="s">
        <v>360</v>
      </c>
      <c r="J38" s="205"/>
      <c r="K38" s="201"/>
      <c r="L38" s="201"/>
      <c r="M38" s="201"/>
      <c r="N38" s="201"/>
      <c r="O38" s="201"/>
      <c r="P38" s="201"/>
      <c r="Q38" s="201"/>
      <c r="R38" s="201"/>
      <c r="S38" s="201"/>
      <c r="T38" s="205"/>
      <c r="U38" s="201"/>
      <c r="V38" s="201"/>
      <c r="W38" s="201" t="s">
        <v>1490</v>
      </c>
      <c r="X38" s="201"/>
      <c r="Y38" s="201"/>
      <c r="Z38" s="201"/>
      <c r="AA38" s="201"/>
      <c r="AB38" s="201"/>
      <c r="AC38" s="201"/>
      <c r="AD38" s="201"/>
      <c r="AE38" s="201"/>
      <c r="AF38" s="201"/>
      <c r="AG38" s="201" t="str">
        <f>IF(E38="","",IF(E38&gt;='Reference Tab - Do not Delete'!$E$35,'Reference Tab - Do not Delete'!$D$35,IF(AND(E38&gt;='Reference Tab - Do not Delete'!$E$36,E38&lt;'Reference Tab - Do not Delete'!$E$35),'Reference Tab - Do not Delete'!$D$36,IF(AND(E38&gt;='Reference Tab - Do not Delete'!$E$37,E38&lt;'Reference Tab - Do not Delete'!$E$36),'Reference Tab - Do not Delete'!$D$37,IF(AND(E38&gt;='Reference Tab - Do not Delete'!$E$38,E38&lt;'Reference Tab - Do not Delete'!$E$37),'Reference Tab - Do not Delete'!$D$38,'Reference Tab - Do not Delete'!$D$39)))))</f>
        <v>$50B - $B</v>
      </c>
      <c r="AH38" s="205" t="str">
        <f t="shared" si="0"/>
        <v>26 - 50</v>
      </c>
      <c r="AI38" s="205" t="str">
        <f t="shared" si="1"/>
        <v>Yes</v>
      </c>
      <c r="AJ38" s="202">
        <v>2433250</v>
      </c>
      <c r="AK38" s="201"/>
      <c r="AL38" s="205"/>
      <c r="AM38" s="201"/>
      <c r="AN38" s="201"/>
      <c r="AO38" s="201"/>
      <c r="AP38" s="205"/>
      <c r="AQ38" s="233"/>
    </row>
    <row r="39" spans="1:43" x14ac:dyDescent="0.2">
      <c r="A39" s="201"/>
      <c r="B39" s="201" t="s">
        <v>1276</v>
      </c>
      <c r="C39" s="201">
        <v>33</v>
      </c>
      <c r="D39" s="201" t="s">
        <v>1606</v>
      </c>
      <c r="E39" s="202">
        <v>3690508000</v>
      </c>
      <c r="F39" s="203">
        <v>6.7000000000000004E-2</v>
      </c>
      <c r="G39" s="205">
        <v>33</v>
      </c>
      <c r="H39" s="205">
        <v>34</v>
      </c>
      <c r="I39" s="205" t="s">
        <v>360</v>
      </c>
      <c r="J39" s="205"/>
      <c r="K39" s="201"/>
      <c r="L39" s="201"/>
      <c r="M39" s="201"/>
      <c r="N39" s="201"/>
      <c r="O39" s="201"/>
      <c r="P39" s="201"/>
      <c r="Q39" s="201"/>
      <c r="R39" s="201"/>
      <c r="S39" s="201"/>
      <c r="T39" s="205"/>
      <c r="U39" s="201"/>
      <c r="V39" s="201"/>
      <c r="W39" s="201" t="s">
        <v>1492</v>
      </c>
      <c r="X39" s="201"/>
      <c r="Y39" s="201"/>
      <c r="Z39" s="201"/>
      <c r="AA39" s="201"/>
      <c r="AB39" s="201"/>
      <c r="AC39" s="201"/>
      <c r="AD39" s="201"/>
      <c r="AE39" s="201"/>
      <c r="AF39" s="201"/>
      <c r="AG39" s="201" t="str">
        <f>IF(E39="","",IF(E39&gt;='Reference Tab - Do not Delete'!$E$35,'Reference Tab - Do not Delete'!$D$35,IF(AND(E39&gt;='Reference Tab - Do not Delete'!$E$36,E39&lt;'Reference Tab - Do not Delete'!$E$35),'Reference Tab - Do not Delete'!$D$36,IF(AND(E39&gt;='Reference Tab - Do not Delete'!$E$37,E39&lt;'Reference Tab - Do not Delete'!$E$36),'Reference Tab - Do not Delete'!$D$37,IF(AND(E39&gt;='Reference Tab - Do not Delete'!$E$38,E39&lt;'Reference Tab - Do not Delete'!$E$37),'Reference Tab - Do not Delete'!$D$38,'Reference Tab - Do not Delete'!$D$39)))))</f>
        <v>$50B - $B</v>
      </c>
      <c r="AH39" s="205" t="str">
        <f t="shared" si="0"/>
        <v>26 - 50</v>
      </c>
      <c r="AI39" s="205" t="str">
        <f t="shared" si="1"/>
        <v/>
      </c>
      <c r="AJ39" s="202">
        <v>0</v>
      </c>
      <c r="AK39" s="201"/>
      <c r="AL39" s="205"/>
      <c r="AM39" s="201"/>
      <c r="AN39" s="201"/>
      <c r="AO39" s="201"/>
      <c r="AP39" s="205"/>
      <c r="AQ39" s="233"/>
    </row>
    <row r="40" spans="1:43" x14ac:dyDescent="0.2">
      <c r="A40" s="201" t="s">
        <v>1983</v>
      </c>
      <c r="B40" s="201" t="s">
        <v>1359</v>
      </c>
      <c r="C40" s="201">
        <v>34</v>
      </c>
      <c r="D40" s="201" t="s">
        <v>1606</v>
      </c>
      <c r="E40" s="202">
        <v>3657532000</v>
      </c>
      <c r="F40" s="203">
        <v>-6.7000000000000004E-2</v>
      </c>
      <c r="G40" s="205">
        <v>34</v>
      </c>
      <c r="H40" s="205">
        <v>29</v>
      </c>
      <c r="I40" s="205" t="s">
        <v>360</v>
      </c>
      <c r="J40" s="205">
        <v>96.4</v>
      </c>
      <c r="K40" s="201" t="s">
        <v>1099</v>
      </c>
      <c r="L40" s="201" t="s">
        <v>2070</v>
      </c>
      <c r="M40" s="201" t="s">
        <v>2071</v>
      </c>
      <c r="N40" s="201" t="s">
        <v>2072</v>
      </c>
      <c r="O40" s="201" t="s">
        <v>2073</v>
      </c>
      <c r="P40" s="201" t="s">
        <v>2074</v>
      </c>
      <c r="Q40" s="201" t="s">
        <v>2075</v>
      </c>
      <c r="R40" s="201" t="s">
        <v>2076</v>
      </c>
      <c r="S40" s="201" t="s">
        <v>2077</v>
      </c>
      <c r="T40" s="205" t="s">
        <v>648</v>
      </c>
      <c r="U40" s="201" t="s">
        <v>2135</v>
      </c>
      <c r="V40" s="208">
        <v>44562</v>
      </c>
      <c r="W40" s="201"/>
      <c r="X40" s="201"/>
      <c r="Y40" s="201"/>
      <c r="Z40" s="201"/>
      <c r="AA40" s="201"/>
      <c r="AB40" s="201"/>
      <c r="AC40" s="201"/>
      <c r="AD40" s="201"/>
      <c r="AE40" s="201"/>
      <c r="AF40" s="201"/>
      <c r="AG40" s="201" t="str">
        <f>IF(E40="","",IF(E40&gt;='Reference Tab - Do not Delete'!$E$35,'Reference Tab - Do not Delete'!$D$35,IF(AND(E40&gt;='Reference Tab - Do not Delete'!$E$36,E40&lt;'Reference Tab - Do not Delete'!$E$35),'Reference Tab - Do not Delete'!$D$36,IF(AND(E40&gt;='Reference Tab - Do not Delete'!$E$37,E40&lt;'Reference Tab - Do not Delete'!$E$36),'Reference Tab - Do not Delete'!$D$37,IF(AND(E40&gt;='Reference Tab - Do not Delete'!$E$38,E40&lt;'Reference Tab - Do not Delete'!$E$37),'Reference Tab - Do not Delete'!$D$38,'Reference Tab - Do not Delete'!$D$39)))))</f>
        <v>$50B - $B</v>
      </c>
      <c r="AH40" s="205" t="str">
        <f t="shared" si="0"/>
        <v>26 - 50</v>
      </c>
      <c r="AI40" s="205" t="str">
        <f t="shared" si="1"/>
        <v>Yes</v>
      </c>
      <c r="AJ40" s="202">
        <v>16435351.146341374</v>
      </c>
      <c r="AK40" s="201" t="s">
        <v>13</v>
      </c>
      <c r="AL40" s="205" t="s">
        <v>648</v>
      </c>
      <c r="AM40" s="201"/>
      <c r="AN40" s="201"/>
      <c r="AO40" s="201"/>
      <c r="AP40" s="205"/>
      <c r="AQ40" s="233"/>
    </row>
    <row r="41" spans="1:43" x14ac:dyDescent="0.2">
      <c r="A41" s="201" t="s">
        <v>1983</v>
      </c>
      <c r="B41" s="201" t="s">
        <v>1358</v>
      </c>
      <c r="C41" s="201">
        <v>35</v>
      </c>
      <c r="D41" s="201" t="s">
        <v>1606</v>
      </c>
      <c r="E41" s="202">
        <v>3000087000</v>
      </c>
      <c r="F41" s="203">
        <v>-6.7000000000000004E-2</v>
      </c>
      <c r="G41" s="205">
        <v>35</v>
      </c>
      <c r="H41" s="205">
        <v>35</v>
      </c>
      <c r="I41" s="205" t="s">
        <v>360</v>
      </c>
      <c r="J41" s="205"/>
      <c r="K41" s="201" t="s">
        <v>1099</v>
      </c>
      <c r="L41" s="201" t="s">
        <v>2010</v>
      </c>
      <c r="M41" s="201"/>
      <c r="N41" s="201"/>
      <c r="O41" s="201"/>
      <c r="P41" s="201"/>
      <c r="Q41" s="201"/>
      <c r="R41" s="201"/>
      <c r="S41" s="201"/>
      <c r="T41" s="205"/>
      <c r="U41" s="201"/>
      <c r="V41" s="201"/>
      <c r="W41" s="201"/>
      <c r="X41" s="201"/>
      <c r="Y41" s="201"/>
      <c r="Z41" s="201"/>
      <c r="AA41" s="201"/>
      <c r="AB41" s="201"/>
      <c r="AC41" s="201"/>
      <c r="AD41" s="201"/>
      <c r="AE41" s="201"/>
      <c r="AF41" s="201"/>
      <c r="AG41" s="201" t="str">
        <f>IF(E41="","",IF(E41&gt;='Reference Tab - Do not Delete'!$E$35,'Reference Tab - Do not Delete'!$D$35,IF(AND(E41&gt;='Reference Tab - Do not Delete'!$E$36,E41&lt;'Reference Tab - Do not Delete'!$E$35),'Reference Tab - Do not Delete'!$D$36,IF(AND(E41&gt;='Reference Tab - Do not Delete'!$E$37,E41&lt;'Reference Tab - Do not Delete'!$E$36),'Reference Tab - Do not Delete'!$D$37,IF(AND(E41&gt;='Reference Tab - Do not Delete'!$E$38,E41&lt;'Reference Tab - Do not Delete'!$E$37),'Reference Tab - Do not Delete'!$D$38,'Reference Tab - Do not Delete'!$D$39)))))</f>
        <v>$50B - $B</v>
      </c>
      <c r="AH41" s="205" t="str">
        <f t="shared" si="0"/>
        <v>26 - 50</v>
      </c>
      <c r="AI41" s="205" t="str">
        <f t="shared" si="1"/>
        <v>Yes</v>
      </c>
      <c r="AJ41" s="202">
        <v>1064018.091648485</v>
      </c>
      <c r="AK41" s="201"/>
      <c r="AL41" s="205"/>
      <c r="AM41" s="201"/>
      <c r="AN41" s="201"/>
      <c r="AO41" s="201"/>
      <c r="AP41" s="205"/>
      <c r="AQ41" s="233"/>
    </row>
    <row r="42" spans="1:43" x14ac:dyDescent="0.2">
      <c r="A42" s="201"/>
      <c r="B42" s="201" t="s">
        <v>1360</v>
      </c>
      <c r="C42" s="201">
        <v>36</v>
      </c>
      <c r="D42" s="201" t="s">
        <v>1606</v>
      </c>
      <c r="E42" s="202">
        <v>2937088000</v>
      </c>
      <c r="F42" s="203">
        <v>4.8000000000000001E-2</v>
      </c>
      <c r="G42" s="205">
        <v>36</v>
      </c>
      <c r="H42" s="205">
        <v>38</v>
      </c>
      <c r="I42" s="205" t="s">
        <v>360</v>
      </c>
      <c r="J42" s="205"/>
      <c r="K42" s="201"/>
      <c r="L42" s="201"/>
      <c r="M42" s="201"/>
      <c r="N42" s="201"/>
      <c r="O42" s="201"/>
      <c r="P42" s="201"/>
      <c r="Q42" s="201"/>
      <c r="R42" s="201"/>
      <c r="S42" s="201"/>
      <c r="T42" s="205" t="s">
        <v>648</v>
      </c>
      <c r="U42" s="201"/>
      <c r="V42" s="201"/>
      <c r="W42" s="201"/>
      <c r="X42" s="201"/>
      <c r="Y42" s="201"/>
      <c r="Z42" s="201"/>
      <c r="AA42" s="201"/>
      <c r="AB42" s="201"/>
      <c r="AC42" s="201"/>
      <c r="AD42" s="201"/>
      <c r="AE42" s="201"/>
      <c r="AF42" s="201"/>
      <c r="AG42" s="201" t="str">
        <f>IF(E42="","",IF(E42&gt;='Reference Tab - Do not Delete'!$E$35,'Reference Tab - Do not Delete'!$D$35,IF(AND(E42&gt;='Reference Tab - Do not Delete'!$E$36,E42&lt;'Reference Tab - Do not Delete'!$E$35),'Reference Tab - Do not Delete'!$D$36,IF(AND(E42&gt;='Reference Tab - Do not Delete'!$E$37,E42&lt;'Reference Tab - Do not Delete'!$E$36),'Reference Tab - Do not Delete'!$D$37,IF(AND(E42&gt;='Reference Tab - Do not Delete'!$E$38,E42&lt;'Reference Tab - Do not Delete'!$E$37),'Reference Tab - Do not Delete'!$D$38,'Reference Tab - Do not Delete'!$D$39)))))</f>
        <v>$50B - $B</v>
      </c>
      <c r="AH42" s="205" t="str">
        <f t="shared" si="0"/>
        <v>26 - 50</v>
      </c>
      <c r="AI42" s="205" t="str">
        <f t="shared" si="1"/>
        <v>Yes</v>
      </c>
      <c r="AJ42" s="202">
        <v>585523.86999999988</v>
      </c>
      <c r="AK42" s="201"/>
      <c r="AL42" s="205"/>
      <c r="AM42" s="201"/>
      <c r="AN42" s="201"/>
      <c r="AO42" s="201"/>
      <c r="AP42" s="205"/>
      <c r="AQ42" s="233"/>
    </row>
    <row r="43" spans="1:43" x14ac:dyDescent="0.2">
      <c r="A43" s="201"/>
      <c r="B43" s="201" t="s">
        <v>1278</v>
      </c>
      <c r="C43" s="201">
        <v>37</v>
      </c>
      <c r="D43" s="201" t="s">
        <v>1606</v>
      </c>
      <c r="E43" s="202">
        <v>2908209000</v>
      </c>
      <c r="F43" s="203">
        <v>-2E-3</v>
      </c>
      <c r="G43" s="205">
        <v>37</v>
      </c>
      <c r="H43" s="205">
        <v>37</v>
      </c>
      <c r="I43" s="205" t="s">
        <v>360</v>
      </c>
      <c r="J43" s="205"/>
      <c r="K43" s="201"/>
      <c r="L43" s="201"/>
      <c r="M43" s="201"/>
      <c r="N43" s="201"/>
      <c r="O43" s="201"/>
      <c r="P43" s="201"/>
      <c r="Q43" s="201"/>
      <c r="R43" s="201"/>
      <c r="S43" s="201"/>
      <c r="T43" s="205"/>
      <c r="U43" s="201"/>
      <c r="V43" s="201"/>
      <c r="W43" s="201"/>
      <c r="X43" s="201"/>
      <c r="Y43" s="201"/>
      <c r="Z43" s="201"/>
      <c r="AA43" s="201"/>
      <c r="AB43" s="201"/>
      <c r="AC43" s="201"/>
      <c r="AD43" s="201"/>
      <c r="AE43" s="201"/>
      <c r="AF43" s="201"/>
      <c r="AG43" s="201" t="str">
        <f>IF(E43="","",IF(E43&gt;='Reference Tab - Do not Delete'!$E$35,'Reference Tab - Do not Delete'!$D$35,IF(AND(E43&gt;='Reference Tab - Do not Delete'!$E$36,E43&lt;'Reference Tab - Do not Delete'!$E$35),'Reference Tab - Do not Delete'!$D$36,IF(AND(E43&gt;='Reference Tab - Do not Delete'!$E$37,E43&lt;'Reference Tab - Do not Delete'!$E$36),'Reference Tab - Do not Delete'!$D$37,IF(AND(E43&gt;='Reference Tab - Do not Delete'!$E$38,E43&lt;'Reference Tab - Do not Delete'!$E$37),'Reference Tab - Do not Delete'!$D$38,'Reference Tab - Do not Delete'!$D$39)))))</f>
        <v>$50B - $B</v>
      </c>
      <c r="AH43" s="205" t="str">
        <f t="shared" si="0"/>
        <v>26 - 50</v>
      </c>
      <c r="AI43" s="205" t="str">
        <f t="shared" si="1"/>
        <v/>
      </c>
      <c r="AJ43" s="202">
        <v>0</v>
      </c>
      <c r="AK43" s="201"/>
      <c r="AL43" s="205"/>
      <c r="AM43" s="201"/>
      <c r="AN43" s="201"/>
      <c r="AO43" s="201"/>
      <c r="AP43" s="205"/>
      <c r="AQ43" s="233"/>
    </row>
    <row r="44" spans="1:43" x14ac:dyDescent="0.2">
      <c r="A44" s="201"/>
      <c r="B44" s="201" t="s">
        <v>1280</v>
      </c>
      <c r="C44" s="201">
        <v>38</v>
      </c>
      <c r="D44" s="201" t="s">
        <v>1606</v>
      </c>
      <c r="E44" s="202">
        <v>2679424000</v>
      </c>
      <c r="F44" s="203">
        <v>6.6000000000000003E-2</v>
      </c>
      <c r="G44" s="205">
        <v>38</v>
      </c>
      <c r="H44" s="205">
        <v>41</v>
      </c>
      <c r="I44" s="205" t="s">
        <v>360</v>
      </c>
      <c r="J44" s="205"/>
      <c r="K44" s="201"/>
      <c r="L44" s="201"/>
      <c r="M44" s="201"/>
      <c r="N44" s="201"/>
      <c r="O44" s="201"/>
      <c r="P44" s="201"/>
      <c r="Q44" s="201"/>
      <c r="R44" s="201"/>
      <c r="S44" s="201"/>
      <c r="T44" s="205"/>
      <c r="U44" s="201"/>
      <c r="V44" s="201"/>
      <c r="W44" s="201"/>
      <c r="X44" s="201"/>
      <c r="Y44" s="201"/>
      <c r="Z44" s="201"/>
      <c r="AA44" s="201"/>
      <c r="AB44" s="201"/>
      <c r="AC44" s="201"/>
      <c r="AD44" s="201"/>
      <c r="AE44" s="201"/>
      <c r="AF44" s="201"/>
      <c r="AG44" s="201" t="str">
        <f>IF(E44="","",IF(E44&gt;='Reference Tab - Do not Delete'!$E$35,'Reference Tab - Do not Delete'!$D$35,IF(AND(E44&gt;='Reference Tab - Do not Delete'!$E$36,E44&lt;'Reference Tab - Do not Delete'!$E$35),'Reference Tab - Do not Delete'!$D$36,IF(AND(E44&gt;='Reference Tab - Do not Delete'!$E$37,E44&lt;'Reference Tab - Do not Delete'!$E$36),'Reference Tab - Do not Delete'!$D$37,IF(AND(E44&gt;='Reference Tab - Do not Delete'!$E$38,E44&lt;'Reference Tab - Do not Delete'!$E$37),'Reference Tab - Do not Delete'!$D$38,'Reference Tab - Do not Delete'!$D$39)))))</f>
        <v>$50B - $B</v>
      </c>
      <c r="AH44" s="205" t="str">
        <f t="shared" si="0"/>
        <v>26 - 50</v>
      </c>
      <c r="AI44" s="205" t="str">
        <f t="shared" si="1"/>
        <v/>
      </c>
      <c r="AJ44" s="202">
        <v>0</v>
      </c>
      <c r="AK44" s="201"/>
      <c r="AL44" s="205"/>
      <c r="AM44" s="201"/>
      <c r="AN44" s="201"/>
      <c r="AO44" s="201"/>
      <c r="AP44" s="205"/>
      <c r="AQ44" s="233"/>
    </row>
    <row r="45" spans="1:43" x14ac:dyDescent="0.2">
      <c r="A45" s="201"/>
      <c r="B45" s="201" t="s">
        <v>1279</v>
      </c>
      <c r="C45" s="201">
        <v>39</v>
      </c>
      <c r="D45" s="201" t="s">
        <v>1606</v>
      </c>
      <c r="E45" s="202">
        <v>2670167000</v>
      </c>
      <c r="F45" s="203">
        <v>-0.01</v>
      </c>
      <c r="G45" s="205">
        <v>39</v>
      </c>
      <c r="H45" s="205">
        <v>39</v>
      </c>
      <c r="I45" s="205" t="s">
        <v>360</v>
      </c>
      <c r="J45" s="205"/>
      <c r="K45" s="201"/>
      <c r="L45" s="201"/>
      <c r="M45" s="201"/>
      <c r="N45" s="201"/>
      <c r="O45" s="201"/>
      <c r="P45" s="201"/>
      <c r="Q45" s="201"/>
      <c r="R45" s="201"/>
      <c r="S45" s="201"/>
      <c r="T45" s="205"/>
      <c r="U45" s="201"/>
      <c r="V45" s="201"/>
      <c r="W45" s="201"/>
      <c r="X45" s="201"/>
      <c r="Y45" s="201"/>
      <c r="Z45" s="201"/>
      <c r="AA45" s="201"/>
      <c r="AB45" s="201"/>
      <c r="AC45" s="201"/>
      <c r="AD45" s="201"/>
      <c r="AE45" s="201"/>
      <c r="AF45" s="201"/>
      <c r="AG45" s="201" t="str">
        <f>IF(E45="","",IF(E45&gt;='Reference Tab - Do not Delete'!$E$35,'Reference Tab - Do not Delete'!$D$35,IF(AND(E45&gt;='Reference Tab - Do not Delete'!$E$36,E45&lt;'Reference Tab - Do not Delete'!$E$35),'Reference Tab - Do not Delete'!$D$36,IF(AND(E45&gt;='Reference Tab - Do not Delete'!$E$37,E45&lt;'Reference Tab - Do not Delete'!$E$36),'Reference Tab - Do not Delete'!$D$37,IF(AND(E45&gt;='Reference Tab - Do not Delete'!$E$38,E45&lt;'Reference Tab - Do not Delete'!$E$37),'Reference Tab - Do not Delete'!$D$38,'Reference Tab - Do not Delete'!$D$39)))))</f>
        <v>$50B - $B</v>
      </c>
      <c r="AH45" s="205" t="str">
        <f t="shared" si="0"/>
        <v>26 - 50</v>
      </c>
      <c r="AI45" s="205" t="str">
        <f t="shared" si="1"/>
        <v/>
      </c>
      <c r="AJ45" s="202">
        <v>0</v>
      </c>
      <c r="AK45" s="201"/>
      <c r="AL45" s="205"/>
      <c r="AM45" s="201"/>
      <c r="AN45" s="201"/>
      <c r="AO45" s="201"/>
      <c r="AP45" s="205"/>
      <c r="AQ45" s="233"/>
    </row>
    <row r="46" spans="1:43" x14ac:dyDescent="0.2">
      <c r="A46" s="201"/>
      <c r="B46" s="201" t="s">
        <v>1283</v>
      </c>
      <c r="C46" s="201">
        <v>40</v>
      </c>
      <c r="D46" s="201" t="s">
        <v>1606</v>
      </c>
      <c r="E46" s="202">
        <v>2564827000</v>
      </c>
      <c r="F46" s="203">
        <v>6.9000000000000006E-2</v>
      </c>
      <c r="G46" s="205">
        <v>40</v>
      </c>
      <c r="H46" s="205">
        <v>44</v>
      </c>
      <c r="I46" s="205" t="s">
        <v>360</v>
      </c>
      <c r="J46" s="205"/>
      <c r="K46" s="201"/>
      <c r="L46" s="201"/>
      <c r="M46" s="201"/>
      <c r="N46" s="201"/>
      <c r="O46" s="201"/>
      <c r="P46" s="201"/>
      <c r="Q46" s="201"/>
      <c r="R46" s="201"/>
      <c r="S46" s="201"/>
      <c r="T46" s="205"/>
      <c r="U46" s="201"/>
      <c r="V46" s="201"/>
      <c r="W46" s="201"/>
      <c r="X46" s="201"/>
      <c r="Y46" s="201"/>
      <c r="Z46" s="201"/>
      <c r="AA46" s="201"/>
      <c r="AB46" s="201"/>
      <c r="AC46" s="201"/>
      <c r="AD46" s="201"/>
      <c r="AE46" s="201"/>
      <c r="AF46" s="201"/>
      <c r="AG46" s="201" t="str">
        <f>IF(E46="","",IF(E46&gt;='Reference Tab - Do not Delete'!$E$35,'Reference Tab - Do not Delete'!$D$35,IF(AND(E46&gt;='Reference Tab - Do not Delete'!$E$36,E46&lt;'Reference Tab - Do not Delete'!$E$35),'Reference Tab - Do not Delete'!$D$36,IF(AND(E46&gt;='Reference Tab - Do not Delete'!$E$37,E46&lt;'Reference Tab - Do not Delete'!$E$36),'Reference Tab - Do not Delete'!$D$37,IF(AND(E46&gt;='Reference Tab - Do not Delete'!$E$38,E46&lt;'Reference Tab - Do not Delete'!$E$37),'Reference Tab - Do not Delete'!$D$38,'Reference Tab - Do not Delete'!$D$39)))))</f>
        <v>$50B - $B</v>
      </c>
      <c r="AH46" s="205" t="str">
        <f t="shared" si="0"/>
        <v>26 - 50</v>
      </c>
      <c r="AI46" s="205" t="str">
        <f t="shared" si="1"/>
        <v/>
      </c>
      <c r="AJ46" s="202">
        <v>0</v>
      </c>
      <c r="AK46" s="201"/>
      <c r="AL46" s="205"/>
      <c r="AM46" s="201"/>
      <c r="AN46" s="201"/>
      <c r="AO46" s="201"/>
      <c r="AP46" s="205"/>
      <c r="AQ46" s="233"/>
    </row>
    <row r="47" spans="1:43" x14ac:dyDescent="0.2">
      <c r="A47" s="201"/>
      <c r="B47" s="201" t="s">
        <v>1290</v>
      </c>
      <c r="C47" s="201">
        <v>41</v>
      </c>
      <c r="D47" s="201" t="s">
        <v>1606</v>
      </c>
      <c r="E47" s="202">
        <v>2494927000</v>
      </c>
      <c r="F47" s="203">
        <v>0.113</v>
      </c>
      <c r="G47" s="205">
        <v>41</v>
      </c>
      <c r="H47" s="205">
        <v>50</v>
      </c>
      <c r="I47" s="205" t="s">
        <v>360</v>
      </c>
      <c r="J47" s="205"/>
      <c r="K47" s="201"/>
      <c r="L47" s="201"/>
      <c r="M47" s="201"/>
      <c r="N47" s="201"/>
      <c r="O47" s="201"/>
      <c r="P47" s="201"/>
      <c r="Q47" s="201"/>
      <c r="R47" s="201"/>
      <c r="S47" s="201"/>
      <c r="T47" s="205"/>
      <c r="U47" s="201"/>
      <c r="V47" s="201"/>
      <c r="W47" s="201"/>
      <c r="X47" s="201"/>
      <c r="Y47" s="201"/>
      <c r="Z47" s="201"/>
      <c r="AA47" s="201"/>
      <c r="AB47" s="201"/>
      <c r="AC47" s="201"/>
      <c r="AD47" s="201"/>
      <c r="AE47" s="201"/>
      <c r="AF47" s="201"/>
      <c r="AG47" s="201" t="str">
        <f>IF(E47="","",IF(E47&gt;='Reference Tab - Do not Delete'!$E$35,'Reference Tab - Do not Delete'!$D$35,IF(AND(E47&gt;='Reference Tab - Do not Delete'!$E$36,E47&lt;'Reference Tab - Do not Delete'!$E$35),'Reference Tab - Do not Delete'!$D$36,IF(AND(E47&gt;='Reference Tab - Do not Delete'!$E$37,E47&lt;'Reference Tab - Do not Delete'!$E$36),'Reference Tab - Do not Delete'!$D$37,IF(AND(E47&gt;='Reference Tab - Do not Delete'!$E$38,E47&lt;'Reference Tab - Do not Delete'!$E$37),'Reference Tab - Do not Delete'!$D$38,'Reference Tab - Do not Delete'!$D$39)))))</f>
        <v>$50B - $B</v>
      </c>
      <c r="AH47" s="205" t="str">
        <f t="shared" si="0"/>
        <v>26 - 50</v>
      </c>
      <c r="AI47" s="205" t="str">
        <f t="shared" si="1"/>
        <v>Yes</v>
      </c>
      <c r="AJ47" s="202">
        <v>7500</v>
      </c>
      <c r="AK47" s="201"/>
      <c r="AL47" s="205"/>
      <c r="AM47" s="201"/>
      <c r="AN47" s="201"/>
      <c r="AO47" s="201"/>
      <c r="AP47" s="205"/>
      <c r="AQ47" s="233"/>
    </row>
    <row r="48" spans="1:43" x14ac:dyDescent="0.2">
      <c r="A48" s="201"/>
      <c r="B48" s="201" t="s">
        <v>1282</v>
      </c>
      <c r="C48" s="201">
        <v>42</v>
      </c>
      <c r="D48" s="201" t="s">
        <v>1606</v>
      </c>
      <c r="E48" s="202">
        <v>2473773000</v>
      </c>
      <c r="F48" s="203">
        <v>0.03</v>
      </c>
      <c r="G48" s="205">
        <v>42</v>
      </c>
      <c r="H48" s="205">
        <v>43</v>
      </c>
      <c r="I48" s="205" t="s">
        <v>360</v>
      </c>
      <c r="J48" s="205"/>
      <c r="K48" s="201"/>
      <c r="L48" s="201"/>
      <c r="M48" s="201"/>
      <c r="N48" s="201"/>
      <c r="O48" s="201"/>
      <c r="P48" s="201"/>
      <c r="Q48" s="201"/>
      <c r="R48" s="201"/>
      <c r="S48" s="201"/>
      <c r="T48" s="205"/>
      <c r="U48" s="201"/>
      <c r="V48" s="201"/>
      <c r="W48" s="201"/>
      <c r="X48" s="201"/>
      <c r="Y48" s="201"/>
      <c r="Z48" s="201"/>
      <c r="AA48" s="201"/>
      <c r="AB48" s="201"/>
      <c r="AC48" s="201"/>
      <c r="AD48" s="201"/>
      <c r="AE48" s="201"/>
      <c r="AF48" s="201"/>
      <c r="AG48" s="201" t="str">
        <f>IF(E48="","",IF(E48&gt;='Reference Tab - Do not Delete'!$E$35,'Reference Tab - Do not Delete'!$D$35,IF(AND(E48&gt;='Reference Tab - Do not Delete'!$E$36,E48&lt;'Reference Tab - Do not Delete'!$E$35),'Reference Tab - Do not Delete'!$D$36,IF(AND(E48&gt;='Reference Tab - Do not Delete'!$E$37,E48&lt;'Reference Tab - Do not Delete'!$E$36),'Reference Tab - Do not Delete'!$D$37,IF(AND(E48&gt;='Reference Tab - Do not Delete'!$E$38,E48&lt;'Reference Tab - Do not Delete'!$E$37),'Reference Tab - Do not Delete'!$D$38,'Reference Tab - Do not Delete'!$D$39)))))</f>
        <v>$50B - $B</v>
      </c>
      <c r="AH48" s="205" t="str">
        <f t="shared" si="0"/>
        <v>26 - 50</v>
      </c>
      <c r="AI48" s="205" t="str">
        <f t="shared" si="1"/>
        <v/>
      </c>
      <c r="AJ48" s="202">
        <v>0</v>
      </c>
      <c r="AK48" s="201"/>
      <c r="AL48" s="205"/>
      <c r="AM48" s="201"/>
      <c r="AN48" s="201"/>
      <c r="AO48" s="201"/>
      <c r="AP48" s="205"/>
      <c r="AQ48" s="233"/>
    </row>
    <row r="49" spans="1:43" x14ac:dyDescent="0.2">
      <c r="A49" s="201"/>
      <c r="B49" s="201" t="s">
        <v>1275</v>
      </c>
      <c r="C49" s="201">
        <v>43</v>
      </c>
      <c r="D49" s="201" t="s">
        <v>1606</v>
      </c>
      <c r="E49" s="202">
        <v>2441804000</v>
      </c>
      <c r="F49" s="203">
        <v>-0.30299999999999999</v>
      </c>
      <c r="G49" s="205">
        <v>43</v>
      </c>
      <c r="H49" s="205">
        <v>33</v>
      </c>
      <c r="I49" s="205" t="s">
        <v>360</v>
      </c>
      <c r="J49" s="205"/>
      <c r="K49" s="201"/>
      <c r="L49" s="201"/>
      <c r="M49" s="201"/>
      <c r="N49" s="201"/>
      <c r="O49" s="201"/>
      <c r="P49" s="201"/>
      <c r="Q49" s="201"/>
      <c r="R49" s="201"/>
      <c r="S49" s="201"/>
      <c r="T49" s="205"/>
      <c r="U49" s="201"/>
      <c r="V49" s="201"/>
      <c r="W49" s="201"/>
      <c r="X49" s="201"/>
      <c r="Y49" s="201"/>
      <c r="Z49" s="201"/>
      <c r="AA49" s="201"/>
      <c r="AB49" s="201"/>
      <c r="AC49" s="201"/>
      <c r="AD49" s="201"/>
      <c r="AE49" s="201"/>
      <c r="AF49" s="201"/>
      <c r="AG49" s="201" t="str">
        <f>IF(E49="","",IF(E49&gt;='Reference Tab - Do not Delete'!$E$35,'Reference Tab - Do not Delete'!$D$35,IF(AND(E49&gt;='Reference Tab - Do not Delete'!$E$36,E49&lt;'Reference Tab - Do not Delete'!$E$35),'Reference Tab - Do not Delete'!$D$36,IF(AND(E49&gt;='Reference Tab - Do not Delete'!$E$37,E49&lt;'Reference Tab - Do not Delete'!$E$36),'Reference Tab - Do not Delete'!$D$37,IF(AND(E49&gt;='Reference Tab - Do not Delete'!$E$38,E49&lt;'Reference Tab - Do not Delete'!$E$37),'Reference Tab - Do not Delete'!$D$38,'Reference Tab - Do not Delete'!$D$39)))))</f>
        <v>$50B - $B</v>
      </c>
      <c r="AH49" s="205" t="str">
        <f t="shared" si="0"/>
        <v>26 - 50</v>
      </c>
      <c r="AI49" s="205" t="str">
        <f t="shared" si="1"/>
        <v/>
      </c>
      <c r="AJ49" s="202">
        <v>0</v>
      </c>
      <c r="AK49" s="201"/>
      <c r="AL49" s="205"/>
      <c r="AM49" s="201"/>
      <c r="AN49" s="201"/>
      <c r="AO49" s="201"/>
      <c r="AP49" s="205"/>
      <c r="AQ49" s="233"/>
    </row>
    <row r="50" spans="1:43" x14ac:dyDescent="0.2">
      <c r="A50" s="201"/>
      <c r="B50" s="201" t="s">
        <v>1286</v>
      </c>
      <c r="C50" s="201">
        <v>44</v>
      </c>
      <c r="D50" s="201" t="s">
        <v>1606</v>
      </c>
      <c r="E50" s="202">
        <v>2440418000</v>
      </c>
      <c r="F50" s="203">
        <v>6.7000000000000004E-2</v>
      </c>
      <c r="G50" s="205">
        <v>44</v>
      </c>
      <c r="H50" s="205">
        <v>47</v>
      </c>
      <c r="I50" s="205" t="s">
        <v>360</v>
      </c>
      <c r="J50" s="205"/>
      <c r="K50" s="201"/>
      <c r="L50" s="201"/>
      <c r="M50" s="201"/>
      <c r="N50" s="201"/>
      <c r="O50" s="201"/>
      <c r="P50" s="201"/>
      <c r="Q50" s="201"/>
      <c r="R50" s="201"/>
      <c r="S50" s="201"/>
      <c r="T50" s="205"/>
      <c r="U50" s="201"/>
      <c r="V50" s="201"/>
      <c r="W50" s="201"/>
      <c r="X50" s="201"/>
      <c r="Y50" s="201"/>
      <c r="Z50" s="201"/>
      <c r="AA50" s="201"/>
      <c r="AB50" s="201"/>
      <c r="AC50" s="201"/>
      <c r="AD50" s="201"/>
      <c r="AE50" s="201"/>
      <c r="AF50" s="201"/>
      <c r="AG50" s="201" t="str">
        <f>IF(E50="","",IF(E50&gt;='Reference Tab - Do not Delete'!$E$35,'Reference Tab - Do not Delete'!$D$35,IF(AND(E50&gt;='Reference Tab - Do not Delete'!$E$36,E50&lt;'Reference Tab - Do not Delete'!$E$35),'Reference Tab - Do not Delete'!$D$36,IF(AND(E50&gt;='Reference Tab - Do not Delete'!$E$37,E50&lt;'Reference Tab - Do not Delete'!$E$36),'Reference Tab - Do not Delete'!$D$37,IF(AND(E50&gt;='Reference Tab - Do not Delete'!$E$38,E50&lt;'Reference Tab - Do not Delete'!$E$37),'Reference Tab - Do not Delete'!$D$38,'Reference Tab - Do not Delete'!$D$39)))))</f>
        <v>$50B - $B</v>
      </c>
      <c r="AH50" s="205" t="str">
        <f t="shared" si="0"/>
        <v>26 - 50</v>
      </c>
      <c r="AI50" s="205" t="str">
        <f t="shared" si="1"/>
        <v/>
      </c>
      <c r="AJ50" s="202">
        <v>0</v>
      </c>
      <c r="AK50" s="201"/>
      <c r="AL50" s="205"/>
      <c r="AM50" s="201"/>
      <c r="AN50" s="201"/>
      <c r="AO50" s="201"/>
      <c r="AP50" s="205"/>
      <c r="AQ50" s="233"/>
    </row>
    <row r="51" spans="1:43" x14ac:dyDescent="0.2">
      <c r="A51" s="201"/>
      <c r="B51" s="201" t="s">
        <v>1284</v>
      </c>
      <c r="C51" s="201">
        <v>45</v>
      </c>
      <c r="D51" s="201" t="s">
        <v>1606</v>
      </c>
      <c r="E51" s="202">
        <v>2294966000</v>
      </c>
      <c r="F51" s="203">
        <v>-3.3000000000000002E-2</v>
      </c>
      <c r="G51" s="205">
        <v>45</v>
      </c>
      <c r="H51" s="205">
        <v>45</v>
      </c>
      <c r="I51" s="205" t="s">
        <v>360</v>
      </c>
      <c r="J51" s="205"/>
      <c r="K51" s="201"/>
      <c r="L51" s="201"/>
      <c r="M51" s="201"/>
      <c r="N51" s="201"/>
      <c r="O51" s="201"/>
      <c r="P51" s="201"/>
      <c r="Q51" s="201"/>
      <c r="R51" s="201"/>
      <c r="S51" s="201"/>
      <c r="T51" s="205"/>
      <c r="U51" s="201"/>
      <c r="V51" s="201"/>
      <c r="W51" s="201"/>
      <c r="X51" s="201"/>
      <c r="Y51" s="201"/>
      <c r="Z51" s="201"/>
      <c r="AA51" s="201"/>
      <c r="AB51" s="201"/>
      <c r="AC51" s="201"/>
      <c r="AD51" s="201"/>
      <c r="AE51" s="201"/>
      <c r="AF51" s="201"/>
      <c r="AG51" s="201" t="str">
        <f>IF(E51="","",IF(E51&gt;='Reference Tab - Do not Delete'!$E$35,'Reference Tab - Do not Delete'!$D$35,IF(AND(E51&gt;='Reference Tab - Do not Delete'!$E$36,E51&lt;'Reference Tab - Do not Delete'!$E$35),'Reference Tab - Do not Delete'!$D$36,IF(AND(E51&gt;='Reference Tab - Do not Delete'!$E$37,E51&lt;'Reference Tab - Do not Delete'!$E$36),'Reference Tab - Do not Delete'!$D$37,IF(AND(E51&gt;='Reference Tab - Do not Delete'!$E$38,E51&lt;'Reference Tab - Do not Delete'!$E$37),'Reference Tab - Do not Delete'!$D$38,'Reference Tab - Do not Delete'!$D$39)))))</f>
        <v>$50B - $B</v>
      </c>
      <c r="AH51" s="205" t="str">
        <f t="shared" si="0"/>
        <v>26 - 50</v>
      </c>
      <c r="AI51" s="205" t="str">
        <f t="shared" si="1"/>
        <v/>
      </c>
      <c r="AJ51" s="202">
        <v>0</v>
      </c>
      <c r="AK51" s="201"/>
      <c r="AL51" s="205"/>
      <c r="AM51" s="201"/>
      <c r="AN51" s="201"/>
      <c r="AO51" s="201"/>
      <c r="AP51" s="205"/>
      <c r="AQ51" s="233"/>
    </row>
    <row r="52" spans="1:43" x14ac:dyDescent="0.2">
      <c r="A52" s="201"/>
      <c r="B52" s="201" t="s">
        <v>1285</v>
      </c>
      <c r="C52" s="201">
        <v>46</v>
      </c>
      <c r="D52" s="201" t="s">
        <v>1606</v>
      </c>
      <c r="E52" s="202">
        <v>2264197000</v>
      </c>
      <c r="F52" s="203">
        <v>-1.9E-2</v>
      </c>
      <c r="G52" s="205">
        <v>46</v>
      </c>
      <c r="H52" s="205">
        <v>46</v>
      </c>
      <c r="I52" s="205" t="s">
        <v>360</v>
      </c>
      <c r="J52" s="205"/>
      <c r="K52" s="201"/>
      <c r="L52" s="201"/>
      <c r="M52" s="201"/>
      <c r="N52" s="201"/>
      <c r="O52" s="201"/>
      <c r="P52" s="201"/>
      <c r="Q52" s="201"/>
      <c r="R52" s="201"/>
      <c r="S52" s="201"/>
      <c r="T52" s="205"/>
      <c r="U52" s="201"/>
      <c r="V52" s="201"/>
      <c r="W52" s="201"/>
      <c r="X52" s="201"/>
      <c r="Y52" s="201"/>
      <c r="Z52" s="201"/>
      <c r="AA52" s="201"/>
      <c r="AB52" s="201"/>
      <c r="AC52" s="201"/>
      <c r="AD52" s="201"/>
      <c r="AE52" s="201"/>
      <c r="AF52" s="201"/>
      <c r="AG52" s="201" t="str">
        <f>IF(E52="","",IF(E52&gt;='Reference Tab - Do not Delete'!$E$35,'Reference Tab - Do not Delete'!$D$35,IF(AND(E52&gt;='Reference Tab - Do not Delete'!$E$36,E52&lt;'Reference Tab - Do not Delete'!$E$35),'Reference Tab - Do not Delete'!$D$36,IF(AND(E52&gt;='Reference Tab - Do not Delete'!$E$37,E52&lt;'Reference Tab - Do not Delete'!$E$36),'Reference Tab - Do not Delete'!$D$37,IF(AND(E52&gt;='Reference Tab - Do not Delete'!$E$38,E52&lt;'Reference Tab - Do not Delete'!$E$37),'Reference Tab - Do not Delete'!$D$38,'Reference Tab - Do not Delete'!$D$39)))))</f>
        <v>$50B - $B</v>
      </c>
      <c r="AH52" s="205" t="str">
        <f t="shared" si="0"/>
        <v>26 - 50</v>
      </c>
      <c r="AI52" s="205" t="str">
        <f t="shared" si="1"/>
        <v/>
      </c>
      <c r="AJ52" s="202">
        <v>0</v>
      </c>
      <c r="AK52" s="201"/>
      <c r="AL52" s="205"/>
      <c r="AM52" s="201"/>
      <c r="AN52" s="201"/>
      <c r="AO52" s="201"/>
      <c r="AP52" s="205"/>
      <c r="AQ52" s="233"/>
    </row>
    <row r="53" spans="1:43" x14ac:dyDescent="0.2">
      <c r="A53" s="201"/>
      <c r="B53" s="201" t="s">
        <v>1294</v>
      </c>
      <c r="C53" s="201">
        <v>47</v>
      </c>
      <c r="D53" s="201" t="s">
        <v>1606</v>
      </c>
      <c r="E53" s="202">
        <v>2142127000</v>
      </c>
      <c r="F53" s="203">
        <v>0.35600000000000004</v>
      </c>
      <c r="G53" s="205">
        <v>47</v>
      </c>
      <c r="H53" s="205">
        <v>57</v>
      </c>
      <c r="I53" s="205" t="s">
        <v>360</v>
      </c>
      <c r="J53" s="205"/>
      <c r="K53" s="201"/>
      <c r="L53" s="201"/>
      <c r="M53" s="201"/>
      <c r="N53" s="201"/>
      <c r="O53" s="201"/>
      <c r="P53" s="201"/>
      <c r="Q53" s="201"/>
      <c r="R53" s="201"/>
      <c r="S53" s="201"/>
      <c r="T53" s="205"/>
      <c r="U53" s="201"/>
      <c r="V53" s="201"/>
      <c r="W53" s="201"/>
      <c r="X53" s="201"/>
      <c r="Y53" s="201"/>
      <c r="Z53" s="201"/>
      <c r="AA53" s="201"/>
      <c r="AB53" s="201"/>
      <c r="AC53" s="201"/>
      <c r="AD53" s="201"/>
      <c r="AE53" s="201"/>
      <c r="AF53" s="201"/>
      <c r="AG53" s="201" t="str">
        <f>IF(E53="","",IF(E53&gt;='Reference Tab - Do not Delete'!$E$35,'Reference Tab - Do not Delete'!$D$35,IF(AND(E53&gt;='Reference Tab - Do not Delete'!$E$36,E53&lt;'Reference Tab - Do not Delete'!$E$35),'Reference Tab - Do not Delete'!$D$36,IF(AND(E53&gt;='Reference Tab - Do not Delete'!$E$37,E53&lt;'Reference Tab - Do not Delete'!$E$36),'Reference Tab - Do not Delete'!$D$37,IF(AND(E53&gt;='Reference Tab - Do not Delete'!$E$38,E53&lt;'Reference Tab - Do not Delete'!$E$37),'Reference Tab - Do not Delete'!$D$38,'Reference Tab - Do not Delete'!$D$39)))))</f>
        <v>$50B - $B</v>
      </c>
      <c r="AH53" s="205" t="str">
        <f t="shared" si="0"/>
        <v>Above 50</v>
      </c>
      <c r="AI53" s="205" t="str">
        <f t="shared" si="1"/>
        <v/>
      </c>
      <c r="AJ53" s="202">
        <v>0</v>
      </c>
      <c r="AK53" s="201"/>
      <c r="AL53" s="205"/>
      <c r="AM53" s="201"/>
      <c r="AN53" s="201"/>
      <c r="AO53" s="201"/>
      <c r="AP53" s="205"/>
      <c r="AQ53" s="233"/>
    </row>
    <row r="54" spans="1:43" x14ac:dyDescent="0.2">
      <c r="A54" s="201"/>
      <c r="B54" s="201" t="s">
        <v>1281</v>
      </c>
      <c r="C54" s="201">
        <v>48</v>
      </c>
      <c r="D54" s="201" t="s">
        <v>1606</v>
      </c>
      <c r="E54" s="202">
        <v>2083893000</v>
      </c>
      <c r="F54" s="203">
        <v>-0.16500000000000001</v>
      </c>
      <c r="G54" s="205">
        <v>46</v>
      </c>
      <c r="H54" s="205">
        <v>42</v>
      </c>
      <c r="I54" s="205" t="s">
        <v>360</v>
      </c>
      <c r="J54" s="205"/>
      <c r="K54" s="201"/>
      <c r="L54" s="201"/>
      <c r="M54" s="201"/>
      <c r="N54" s="201"/>
      <c r="O54" s="201"/>
      <c r="P54" s="201"/>
      <c r="Q54" s="201"/>
      <c r="R54" s="201"/>
      <c r="S54" s="201"/>
      <c r="T54" s="205"/>
      <c r="U54" s="201"/>
      <c r="V54" s="201"/>
      <c r="W54" s="201"/>
      <c r="X54" s="201"/>
      <c r="Y54" s="201"/>
      <c r="Z54" s="201"/>
      <c r="AA54" s="201"/>
      <c r="AB54" s="201"/>
      <c r="AC54" s="201"/>
      <c r="AD54" s="201"/>
      <c r="AE54" s="201"/>
      <c r="AF54" s="201"/>
      <c r="AG54" s="201" t="str">
        <f>IF(E54="","",IF(E54&gt;='Reference Tab - Do not Delete'!$E$35,'Reference Tab - Do not Delete'!$D$35,IF(AND(E54&gt;='Reference Tab - Do not Delete'!$E$36,E54&lt;'Reference Tab - Do not Delete'!$E$35),'Reference Tab - Do not Delete'!$D$36,IF(AND(E54&gt;='Reference Tab - Do not Delete'!$E$37,E54&lt;'Reference Tab - Do not Delete'!$E$36),'Reference Tab - Do not Delete'!$D$37,IF(AND(E54&gt;='Reference Tab - Do not Delete'!$E$38,E54&lt;'Reference Tab - Do not Delete'!$E$37),'Reference Tab - Do not Delete'!$D$38,'Reference Tab - Do not Delete'!$D$39)))))</f>
        <v>$50B - $B</v>
      </c>
      <c r="AH54" s="205" t="str">
        <f t="shared" si="0"/>
        <v>26 - 50</v>
      </c>
      <c r="AI54" s="205" t="str">
        <f t="shared" si="1"/>
        <v>Yes</v>
      </c>
      <c r="AJ54" s="202">
        <v>14000</v>
      </c>
      <c r="AK54" s="201"/>
      <c r="AL54" s="205"/>
      <c r="AM54" s="201"/>
      <c r="AN54" s="201"/>
      <c r="AO54" s="201"/>
      <c r="AP54" s="205"/>
      <c r="AQ54" s="233"/>
    </row>
    <row r="55" spans="1:43" x14ac:dyDescent="0.2">
      <c r="A55" s="201"/>
      <c r="B55" s="201" t="s">
        <v>1292</v>
      </c>
      <c r="C55" s="201">
        <v>49</v>
      </c>
      <c r="D55" s="201" t="s">
        <v>1606</v>
      </c>
      <c r="E55" s="202">
        <v>2027918000</v>
      </c>
      <c r="F55" s="203">
        <v>8.900000000000001E-2</v>
      </c>
      <c r="G55" s="205">
        <v>46</v>
      </c>
      <c r="H55" s="205">
        <v>54</v>
      </c>
      <c r="I55" s="205" t="s">
        <v>360</v>
      </c>
      <c r="J55" s="205"/>
      <c r="K55" s="201"/>
      <c r="L55" s="201"/>
      <c r="M55" s="201"/>
      <c r="N55" s="201"/>
      <c r="O55" s="201"/>
      <c r="P55" s="201"/>
      <c r="Q55" s="201"/>
      <c r="R55" s="201"/>
      <c r="S55" s="201"/>
      <c r="T55" s="205"/>
      <c r="U55" s="201"/>
      <c r="V55" s="201"/>
      <c r="W55" s="201"/>
      <c r="X55" s="201"/>
      <c r="Y55" s="201"/>
      <c r="Z55" s="201"/>
      <c r="AA55" s="201"/>
      <c r="AB55" s="201"/>
      <c r="AC55" s="201"/>
      <c r="AD55" s="201"/>
      <c r="AE55" s="201"/>
      <c r="AF55" s="201"/>
      <c r="AG55" s="201" t="str">
        <f>IF(E55="","",IF(E55&gt;='Reference Tab - Do not Delete'!$E$35,'Reference Tab - Do not Delete'!$D$35,IF(AND(E55&gt;='Reference Tab - Do not Delete'!$E$36,E55&lt;'Reference Tab - Do not Delete'!$E$35),'Reference Tab - Do not Delete'!$D$36,IF(AND(E55&gt;='Reference Tab - Do not Delete'!$E$37,E55&lt;'Reference Tab - Do not Delete'!$E$36),'Reference Tab - Do not Delete'!$D$37,IF(AND(E55&gt;='Reference Tab - Do not Delete'!$E$38,E55&lt;'Reference Tab - Do not Delete'!$E$37),'Reference Tab - Do not Delete'!$D$38,'Reference Tab - Do not Delete'!$D$39)))))</f>
        <v>$50B - $B</v>
      </c>
      <c r="AH55" s="205" t="str">
        <f t="shared" si="0"/>
        <v>Above 50</v>
      </c>
      <c r="AI55" s="205" t="str">
        <f t="shared" si="1"/>
        <v/>
      </c>
      <c r="AJ55" s="202">
        <v>0</v>
      </c>
      <c r="AK55" s="201"/>
      <c r="AL55" s="205"/>
      <c r="AM55" s="201"/>
      <c r="AN55" s="201"/>
      <c r="AO55" s="201"/>
      <c r="AP55" s="205"/>
      <c r="AQ55" s="233"/>
    </row>
    <row r="56" spans="1:43" x14ac:dyDescent="0.2">
      <c r="A56" s="201" t="s">
        <v>1155</v>
      </c>
      <c r="B56" s="201" t="s">
        <v>1361</v>
      </c>
      <c r="C56" s="201">
        <v>50</v>
      </c>
      <c r="D56" s="201" t="s">
        <v>1606</v>
      </c>
      <c r="E56" s="202">
        <v>2023929000</v>
      </c>
      <c r="F56" s="203">
        <v>-0.72199999999999998</v>
      </c>
      <c r="G56" s="205">
        <v>50</v>
      </c>
      <c r="H56" s="205">
        <v>15</v>
      </c>
      <c r="I56" s="205" t="s">
        <v>360</v>
      </c>
      <c r="J56" s="205">
        <v>107</v>
      </c>
      <c r="K56" s="201" t="s">
        <v>1154</v>
      </c>
      <c r="L56" s="201" t="s">
        <v>1155</v>
      </c>
      <c r="M56" s="201" t="s">
        <v>1156</v>
      </c>
      <c r="N56" s="201" t="s">
        <v>1157</v>
      </c>
      <c r="O56" s="201" t="s">
        <v>1158</v>
      </c>
      <c r="P56" s="201" t="s">
        <v>1159</v>
      </c>
      <c r="Q56" s="201" t="s">
        <v>1160</v>
      </c>
      <c r="R56" s="201" t="s">
        <v>1161</v>
      </c>
      <c r="S56" s="201"/>
      <c r="T56" s="205" t="s">
        <v>648</v>
      </c>
      <c r="U56" s="201" t="s">
        <v>1163</v>
      </c>
      <c r="V56" s="201" t="s">
        <v>1164</v>
      </c>
      <c r="W56" s="201"/>
      <c r="X56" s="201"/>
      <c r="Y56" s="201"/>
      <c r="Z56" s="201"/>
      <c r="AA56" s="201"/>
      <c r="AB56" s="201"/>
      <c r="AC56" s="201"/>
      <c r="AD56" s="201"/>
      <c r="AE56" s="201"/>
      <c r="AF56" s="201"/>
      <c r="AG56" s="201" t="str">
        <f>IF(E56="","",IF(E56&gt;='Reference Tab - Do not Delete'!$E$35,'Reference Tab - Do not Delete'!$D$35,IF(AND(E56&gt;='Reference Tab - Do not Delete'!$E$36,E56&lt;'Reference Tab - Do not Delete'!$E$35),'Reference Tab - Do not Delete'!$D$36,IF(AND(E56&gt;='Reference Tab - Do not Delete'!$E$37,E56&lt;'Reference Tab - Do not Delete'!$E$36),'Reference Tab - Do not Delete'!$D$37,IF(AND(E56&gt;='Reference Tab - Do not Delete'!$E$38,E56&lt;'Reference Tab - Do not Delete'!$E$37),'Reference Tab - Do not Delete'!$D$38,'Reference Tab - Do not Delete'!$D$39)))))</f>
        <v>$50B - $B</v>
      </c>
      <c r="AH56" s="205" t="str">
        <f t="shared" si="0"/>
        <v>11 - 25</v>
      </c>
      <c r="AI56" s="205" t="str">
        <f t="shared" si="1"/>
        <v>Yes</v>
      </c>
      <c r="AJ56" s="202">
        <v>600.00000000000011</v>
      </c>
      <c r="AK56" s="201"/>
      <c r="AL56" s="205"/>
      <c r="AM56" s="201"/>
      <c r="AN56" s="201"/>
      <c r="AO56" s="201"/>
      <c r="AP56" s="205"/>
      <c r="AQ56" s="233"/>
    </row>
    <row r="57" spans="1:43" x14ac:dyDescent="0.2">
      <c r="A57" s="201"/>
      <c r="B57" s="201" t="s">
        <v>1291</v>
      </c>
      <c r="C57" s="201">
        <v>51</v>
      </c>
      <c r="D57" s="201" t="s">
        <v>1606</v>
      </c>
      <c r="E57" s="202">
        <v>2006683000</v>
      </c>
      <c r="F57" s="203">
        <v>1.6E-2</v>
      </c>
      <c r="G57" s="205">
        <v>51</v>
      </c>
      <c r="H57" s="205">
        <v>52</v>
      </c>
      <c r="I57" s="205" t="s">
        <v>360</v>
      </c>
      <c r="J57" s="205"/>
      <c r="K57" s="201"/>
      <c r="L57" s="201"/>
      <c r="M57" s="201"/>
      <c r="N57" s="201"/>
      <c r="O57" s="201"/>
      <c r="P57" s="201"/>
      <c r="Q57" s="201"/>
      <c r="R57" s="201"/>
      <c r="S57" s="201"/>
      <c r="T57" s="205"/>
      <c r="U57" s="201"/>
      <c r="V57" s="201"/>
      <c r="W57" s="201"/>
      <c r="X57" s="201"/>
      <c r="Y57" s="201"/>
      <c r="Z57" s="201"/>
      <c r="AA57" s="201"/>
      <c r="AB57" s="201"/>
      <c r="AC57" s="201"/>
      <c r="AD57" s="201"/>
      <c r="AE57" s="201"/>
      <c r="AF57" s="201"/>
      <c r="AG57" s="201" t="str">
        <f>IF(E57="","",IF(E57&gt;='Reference Tab - Do not Delete'!$E$35,'Reference Tab - Do not Delete'!$D$35,IF(AND(E57&gt;='Reference Tab - Do not Delete'!$E$36,E57&lt;'Reference Tab - Do not Delete'!$E$35),'Reference Tab - Do not Delete'!$D$36,IF(AND(E57&gt;='Reference Tab - Do not Delete'!$E$37,E57&lt;'Reference Tab - Do not Delete'!$E$36),'Reference Tab - Do not Delete'!$D$37,IF(AND(E57&gt;='Reference Tab - Do not Delete'!$E$38,E57&lt;'Reference Tab - Do not Delete'!$E$37),'Reference Tab - Do not Delete'!$D$38,'Reference Tab - Do not Delete'!$D$39)))))</f>
        <v>$50B - $B</v>
      </c>
      <c r="AH57" s="205" t="str">
        <f t="shared" si="0"/>
        <v>Above 50</v>
      </c>
      <c r="AI57" s="205" t="str">
        <f t="shared" si="1"/>
        <v/>
      </c>
      <c r="AJ57" s="202">
        <v>0</v>
      </c>
      <c r="AK57" s="201"/>
      <c r="AL57" s="205"/>
      <c r="AM57" s="201"/>
      <c r="AN57" s="201"/>
      <c r="AO57" s="201"/>
      <c r="AP57" s="205"/>
      <c r="AQ57" s="233"/>
    </row>
    <row r="58" spans="1:43" x14ac:dyDescent="0.2">
      <c r="A58" s="201"/>
      <c r="B58" s="201" t="s">
        <v>1288</v>
      </c>
      <c r="C58" s="201">
        <v>52</v>
      </c>
      <c r="D58" s="201" t="s">
        <v>1606</v>
      </c>
      <c r="E58" s="202">
        <v>1996372000</v>
      </c>
      <c r="F58" s="203">
        <v>-0.115</v>
      </c>
      <c r="G58" s="205">
        <v>52</v>
      </c>
      <c r="H58" s="205">
        <v>49</v>
      </c>
      <c r="I58" s="205" t="s">
        <v>360</v>
      </c>
      <c r="J58" s="205"/>
      <c r="K58" s="201"/>
      <c r="L58" s="201"/>
      <c r="M58" s="201"/>
      <c r="N58" s="201"/>
      <c r="O58" s="201"/>
      <c r="P58" s="201"/>
      <c r="Q58" s="201"/>
      <c r="R58" s="201"/>
      <c r="S58" s="201"/>
      <c r="T58" s="205"/>
      <c r="U58" s="201"/>
      <c r="V58" s="201"/>
      <c r="W58" s="201"/>
      <c r="X58" s="201"/>
      <c r="Y58" s="201"/>
      <c r="Z58" s="201"/>
      <c r="AA58" s="201"/>
      <c r="AB58" s="201"/>
      <c r="AC58" s="201"/>
      <c r="AD58" s="201"/>
      <c r="AE58" s="201"/>
      <c r="AF58" s="201"/>
      <c r="AG58" s="201" t="str">
        <f>IF(E58="","",IF(E58&gt;='Reference Tab - Do not Delete'!$E$35,'Reference Tab - Do not Delete'!$D$35,IF(AND(E58&gt;='Reference Tab - Do not Delete'!$E$36,E58&lt;'Reference Tab - Do not Delete'!$E$35),'Reference Tab - Do not Delete'!$D$36,IF(AND(E58&gt;='Reference Tab - Do not Delete'!$E$37,E58&lt;'Reference Tab - Do not Delete'!$E$36),'Reference Tab - Do not Delete'!$D$37,IF(AND(E58&gt;='Reference Tab - Do not Delete'!$E$38,E58&lt;'Reference Tab - Do not Delete'!$E$37),'Reference Tab - Do not Delete'!$D$38,'Reference Tab - Do not Delete'!$D$39)))))</f>
        <v>$50B - $B</v>
      </c>
      <c r="AH58" s="205" t="str">
        <f t="shared" si="0"/>
        <v>26 - 50</v>
      </c>
      <c r="AI58" s="205" t="str">
        <f t="shared" si="1"/>
        <v/>
      </c>
      <c r="AJ58" s="202">
        <v>0</v>
      </c>
      <c r="AK58" s="201"/>
      <c r="AL58" s="205"/>
      <c r="AM58" s="201"/>
      <c r="AN58" s="201"/>
      <c r="AO58" s="201"/>
      <c r="AP58" s="205"/>
      <c r="AQ58" s="233"/>
    </row>
    <row r="59" spans="1:43" x14ac:dyDescent="0.2">
      <c r="A59" s="201" t="s">
        <v>1176</v>
      </c>
      <c r="B59" s="201" t="s">
        <v>1287</v>
      </c>
      <c r="C59" s="201">
        <v>53</v>
      </c>
      <c r="D59" s="201" t="s">
        <v>1606</v>
      </c>
      <c r="E59" s="202">
        <v>1932319000</v>
      </c>
      <c r="F59" s="203">
        <v>-0.14800000000000002</v>
      </c>
      <c r="G59" s="205">
        <v>53</v>
      </c>
      <c r="H59" s="205">
        <v>48</v>
      </c>
      <c r="I59" s="205" t="s">
        <v>360</v>
      </c>
      <c r="J59" s="205">
        <v>107.3</v>
      </c>
      <c r="K59" s="201" t="s">
        <v>1154</v>
      </c>
      <c r="L59" s="201" t="s">
        <v>1176</v>
      </c>
      <c r="M59" s="201" t="s">
        <v>1195</v>
      </c>
      <c r="N59" s="201" t="s">
        <v>1196</v>
      </c>
      <c r="O59" s="201" t="s">
        <v>1197</v>
      </c>
      <c r="P59" s="201" t="s">
        <v>1198</v>
      </c>
      <c r="Q59" s="201" t="s">
        <v>1199</v>
      </c>
      <c r="R59" s="201" t="s">
        <v>1200</v>
      </c>
      <c r="S59" s="201" t="s">
        <v>1201</v>
      </c>
      <c r="T59" s="205" t="s">
        <v>648</v>
      </c>
      <c r="U59" s="201" t="s">
        <v>1405</v>
      </c>
      <c r="V59" s="201">
        <v>2022</v>
      </c>
      <c r="W59" s="201"/>
      <c r="X59" s="201"/>
      <c r="Y59" s="201"/>
      <c r="Z59" s="201"/>
      <c r="AA59" s="201"/>
      <c r="AB59" s="201"/>
      <c r="AC59" s="201"/>
      <c r="AD59" s="201"/>
      <c r="AE59" s="201"/>
      <c r="AF59" s="201"/>
      <c r="AG59" s="201" t="str">
        <f>IF(E59="","",IF(E59&gt;='Reference Tab - Do not Delete'!$E$35,'Reference Tab - Do not Delete'!$D$35,IF(AND(E59&gt;='Reference Tab - Do not Delete'!$E$36,E59&lt;'Reference Tab - Do not Delete'!$E$35),'Reference Tab - Do not Delete'!$D$36,IF(AND(E59&gt;='Reference Tab - Do not Delete'!$E$37,E59&lt;'Reference Tab - Do not Delete'!$E$36),'Reference Tab - Do not Delete'!$D$37,IF(AND(E59&gt;='Reference Tab - Do not Delete'!$E$38,E59&lt;'Reference Tab - Do not Delete'!$E$37),'Reference Tab - Do not Delete'!$D$38,'Reference Tab - Do not Delete'!$D$39)))))</f>
        <v>$50B - $B</v>
      </c>
      <c r="AH59" s="205" t="str">
        <f t="shared" si="0"/>
        <v>26 - 50</v>
      </c>
      <c r="AI59" s="205" t="str">
        <f t="shared" si="1"/>
        <v>Yes</v>
      </c>
      <c r="AJ59" s="202">
        <v>513322.32396927511</v>
      </c>
      <c r="AK59" s="201"/>
      <c r="AL59" s="205"/>
      <c r="AM59" s="201"/>
      <c r="AN59" s="201"/>
      <c r="AO59" s="201"/>
      <c r="AP59" s="205"/>
      <c r="AQ59" s="233"/>
    </row>
    <row r="60" spans="1:43" x14ac:dyDescent="0.2">
      <c r="A60" s="201"/>
      <c r="B60" s="201" t="s">
        <v>1362</v>
      </c>
      <c r="C60" s="201">
        <v>54</v>
      </c>
      <c r="D60" s="201" t="s">
        <v>1606</v>
      </c>
      <c r="E60" s="202">
        <v>1910680000</v>
      </c>
      <c r="F60" s="203">
        <v>1.4999999999999999E-2</v>
      </c>
      <c r="G60" s="205">
        <v>54</v>
      </c>
      <c r="H60" s="205">
        <v>53</v>
      </c>
      <c r="I60" s="205" t="s">
        <v>360</v>
      </c>
      <c r="J60" s="205"/>
      <c r="K60" s="201"/>
      <c r="L60" s="201"/>
      <c r="M60" s="201"/>
      <c r="N60" s="201"/>
      <c r="O60" s="201"/>
      <c r="P60" s="201"/>
      <c r="Q60" s="201"/>
      <c r="R60" s="201"/>
      <c r="S60" s="201"/>
      <c r="T60" s="205"/>
      <c r="U60" s="201"/>
      <c r="V60" s="201"/>
      <c r="W60" s="201"/>
      <c r="X60" s="201"/>
      <c r="Y60" s="201"/>
      <c r="Z60" s="201"/>
      <c r="AA60" s="201"/>
      <c r="AB60" s="201"/>
      <c r="AC60" s="201"/>
      <c r="AD60" s="201"/>
      <c r="AE60" s="201"/>
      <c r="AF60" s="201"/>
      <c r="AG60" s="201" t="str">
        <f>IF(E60="","",IF(E60&gt;='Reference Tab - Do not Delete'!$E$35,'Reference Tab - Do not Delete'!$D$35,IF(AND(E60&gt;='Reference Tab - Do not Delete'!$E$36,E60&lt;'Reference Tab - Do not Delete'!$E$35),'Reference Tab - Do not Delete'!$D$36,IF(AND(E60&gt;='Reference Tab - Do not Delete'!$E$37,E60&lt;'Reference Tab - Do not Delete'!$E$36),'Reference Tab - Do not Delete'!$D$37,IF(AND(E60&gt;='Reference Tab - Do not Delete'!$E$38,E60&lt;'Reference Tab - Do not Delete'!$E$37),'Reference Tab - Do not Delete'!$D$38,'Reference Tab - Do not Delete'!$D$39)))))</f>
        <v>$50B - $B</v>
      </c>
      <c r="AH60" s="205" t="str">
        <f t="shared" si="0"/>
        <v>Above 50</v>
      </c>
      <c r="AI60" s="205" t="str">
        <f t="shared" si="1"/>
        <v/>
      </c>
      <c r="AJ60" s="202">
        <v>0</v>
      </c>
      <c r="AK60" s="201"/>
      <c r="AL60" s="205"/>
      <c r="AM60" s="201"/>
      <c r="AN60" s="201"/>
      <c r="AO60" s="201"/>
      <c r="AP60" s="205"/>
      <c r="AQ60" s="233"/>
    </row>
    <row r="61" spans="1:43" x14ac:dyDescent="0.2">
      <c r="A61" s="201"/>
      <c r="B61" s="201" t="s">
        <v>1363</v>
      </c>
      <c r="C61" s="201">
        <v>55</v>
      </c>
      <c r="D61" s="201" t="s">
        <v>1606</v>
      </c>
      <c r="E61" s="202">
        <v>1907802000</v>
      </c>
      <c r="F61" s="203">
        <v>4.0999999999999995E-2</v>
      </c>
      <c r="G61" s="205">
        <v>55</v>
      </c>
      <c r="H61" s="205">
        <v>56</v>
      </c>
      <c r="I61" s="205" t="s">
        <v>360</v>
      </c>
      <c r="J61" s="205"/>
      <c r="K61" s="201"/>
      <c r="L61" s="201"/>
      <c r="M61" s="201"/>
      <c r="N61" s="201"/>
      <c r="O61" s="201"/>
      <c r="P61" s="201"/>
      <c r="Q61" s="201"/>
      <c r="R61" s="201"/>
      <c r="S61" s="201"/>
      <c r="T61" s="205"/>
      <c r="U61" s="201"/>
      <c r="V61" s="201"/>
      <c r="W61" s="201"/>
      <c r="X61" s="201"/>
      <c r="Y61" s="201"/>
      <c r="Z61" s="201"/>
      <c r="AA61" s="201"/>
      <c r="AB61" s="201"/>
      <c r="AC61" s="201"/>
      <c r="AD61" s="201"/>
      <c r="AE61" s="201"/>
      <c r="AF61" s="201"/>
      <c r="AG61" s="201" t="str">
        <f>IF(E61="","",IF(E61&gt;='Reference Tab - Do not Delete'!$E$35,'Reference Tab - Do not Delete'!$D$35,IF(AND(E61&gt;='Reference Tab - Do not Delete'!$E$36,E61&lt;'Reference Tab - Do not Delete'!$E$35),'Reference Tab - Do not Delete'!$D$36,IF(AND(E61&gt;='Reference Tab - Do not Delete'!$E$37,E61&lt;'Reference Tab - Do not Delete'!$E$36),'Reference Tab - Do not Delete'!$D$37,IF(AND(E61&gt;='Reference Tab - Do not Delete'!$E$38,E61&lt;'Reference Tab - Do not Delete'!$E$37),'Reference Tab - Do not Delete'!$D$38,'Reference Tab - Do not Delete'!$D$39)))))</f>
        <v>$50B - $B</v>
      </c>
      <c r="AH61" s="205" t="str">
        <f t="shared" si="0"/>
        <v>Above 50</v>
      </c>
      <c r="AI61" s="205" t="str">
        <f t="shared" si="1"/>
        <v/>
      </c>
      <c r="AJ61" s="202">
        <v>0</v>
      </c>
      <c r="AK61" s="201"/>
      <c r="AL61" s="205"/>
      <c r="AM61" s="201"/>
      <c r="AN61" s="201"/>
      <c r="AO61" s="201"/>
      <c r="AP61" s="205"/>
      <c r="AQ61" s="233"/>
    </row>
    <row r="62" spans="1:43" x14ac:dyDescent="0.2">
      <c r="A62" s="201" t="s">
        <v>1155</v>
      </c>
      <c r="B62" s="201" t="s">
        <v>1289</v>
      </c>
      <c r="C62" s="201">
        <v>56</v>
      </c>
      <c r="D62" s="201" t="s">
        <v>1606</v>
      </c>
      <c r="E62" s="202">
        <v>1863845000</v>
      </c>
      <c r="F62" s="203">
        <v>-0.16200000000000001</v>
      </c>
      <c r="G62" s="205">
        <v>56</v>
      </c>
      <c r="H62" s="205">
        <v>51</v>
      </c>
      <c r="I62" s="205" t="s">
        <v>360</v>
      </c>
      <c r="J62" s="205">
        <v>97.6</v>
      </c>
      <c r="K62" s="201" t="s">
        <v>1154</v>
      </c>
      <c r="L62" s="201" t="s">
        <v>1155</v>
      </c>
      <c r="M62" s="201" t="s">
        <v>1257</v>
      </c>
      <c r="N62" s="201" t="s">
        <v>1258</v>
      </c>
      <c r="O62" s="201" t="s">
        <v>1259</v>
      </c>
      <c r="P62" s="201" t="s">
        <v>1260</v>
      </c>
      <c r="Q62" s="201" t="s">
        <v>1261</v>
      </c>
      <c r="R62" s="201" t="s">
        <v>1262</v>
      </c>
      <c r="S62" s="201"/>
      <c r="T62" s="205" t="s">
        <v>648</v>
      </c>
      <c r="U62" s="201" t="s">
        <v>276</v>
      </c>
      <c r="V62" s="201"/>
      <c r="W62" s="201"/>
      <c r="X62" s="201"/>
      <c r="Y62" s="201"/>
      <c r="Z62" s="201"/>
      <c r="AA62" s="201"/>
      <c r="AB62" s="201"/>
      <c r="AC62" s="201"/>
      <c r="AD62" s="201"/>
      <c r="AE62" s="201"/>
      <c r="AF62" s="201"/>
      <c r="AG62" s="201" t="str">
        <f>IF(E62="","",IF(E62&gt;='Reference Tab - Do not Delete'!$E$35,'Reference Tab - Do not Delete'!$D$35,IF(AND(E62&gt;='Reference Tab - Do not Delete'!$E$36,E62&lt;'Reference Tab - Do not Delete'!$E$35),'Reference Tab - Do not Delete'!$D$36,IF(AND(E62&gt;='Reference Tab - Do not Delete'!$E$37,E62&lt;'Reference Tab - Do not Delete'!$E$36),'Reference Tab - Do not Delete'!$D$37,IF(AND(E62&gt;='Reference Tab - Do not Delete'!$E$38,E62&lt;'Reference Tab - Do not Delete'!$E$37),'Reference Tab - Do not Delete'!$D$38,'Reference Tab - Do not Delete'!$D$39)))))</f>
        <v>$50B - $B</v>
      </c>
      <c r="AH62" s="205" t="str">
        <f t="shared" si="0"/>
        <v>Above 50</v>
      </c>
      <c r="AI62" s="205" t="str">
        <f t="shared" si="1"/>
        <v/>
      </c>
      <c r="AJ62" s="202">
        <v>0</v>
      </c>
      <c r="AK62" s="201"/>
      <c r="AL62" s="205"/>
      <c r="AM62" s="201"/>
      <c r="AN62" s="201"/>
      <c r="AO62" s="201"/>
      <c r="AP62" s="205"/>
      <c r="AQ62" s="233"/>
    </row>
    <row r="63" spans="1:43" x14ac:dyDescent="0.2">
      <c r="A63" s="201"/>
      <c r="B63" s="201" t="s">
        <v>1364</v>
      </c>
      <c r="C63" s="201">
        <v>57</v>
      </c>
      <c r="D63" s="201" t="s">
        <v>1606</v>
      </c>
      <c r="E63" s="202">
        <v>1848964000</v>
      </c>
      <c r="F63" s="203">
        <v>0.28899999999999998</v>
      </c>
      <c r="G63" s="205">
        <v>57</v>
      </c>
      <c r="H63" s="205">
        <v>62</v>
      </c>
      <c r="I63" s="205" t="s">
        <v>360</v>
      </c>
      <c r="J63" s="205"/>
      <c r="K63" s="201"/>
      <c r="L63" s="201"/>
      <c r="M63" s="201"/>
      <c r="N63" s="201"/>
      <c r="O63" s="201"/>
      <c r="P63" s="201"/>
      <c r="Q63" s="201"/>
      <c r="R63" s="201"/>
      <c r="S63" s="201"/>
      <c r="T63" s="205"/>
      <c r="U63" s="201"/>
      <c r="V63" s="201"/>
      <c r="W63" s="201"/>
      <c r="X63" s="201"/>
      <c r="Y63" s="201"/>
      <c r="Z63" s="201"/>
      <c r="AA63" s="201"/>
      <c r="AB63" s="201"/>
      <c r="AC63" s="201"/>
      <c r="AD63" s="201"/>
      <c r="AE63" s="201"/>
      <c r="AF63" s="201"/>
      <c r="AG63" s="201" t="str">
        <f>IF(E63="","",IF(E63&gt;='Reference Tab - Do not Delete'!$E$35,'Reference Tab - Do not Delete'!$D$35,IF(AND(E63&gt;='Reference Tab - Do not Delete'!$E$36,E63&lt;'Reference Tab - Do not Delete'!$E$35),'Reference Tab - Do not Delete'!$D$36,IF(AND(E63&gt;='Reference Tab - Do not Delete'!$E$37,E63&lt;'Reference Tab - Do not Delete'!$E$36),'Reference Tab - Do not Delete'!$D$37,IF(AND(E63&gt;='Reference Tab - Do not Delete'!$E$38,E63&lt;'Reference Tab - Do not Delete'!$E$37),'Reference Tab - Do not Delete'!$D$38,'Reference Tab - Do not Delete'!$D$39)))))</f>
        <v>$50B - $B</v>
      </c>
      <c r="AH63" s="205" t="str">
        <f t="shared" si="0"/>
        <v>Above 50</v>
      </c>
      <c r="AI63" s="205" t="str">
        <f t="shared" si="1"/>
        <v/>
      </c>
      <c r="AJ63" s="202">
        <v>0</v>
      </c>
      <c r="AK63" s="201"/>
      <c r="AL63" s="205"/>
      <c r="AM63" s="201"/>
      <c r="AN63" s="201"/>
      <c r="AO63" s="201"/>
      <c r="AP63" s="205"/>
      <c r="AQ63" s="233"/>
    </row>
    <row r="64" spans="1:43" x14ac:dyDescent="0.2">
      <c r="A64" s="201"/>
      <c r="B64" s="201" t="s">
        <v>1293</v>
      </c>
      <c r="C64" s="201">
        <v>58</v>
      </c>
      <c r="D64" s="201" t="s">
        <v>1606</v>
      </c>
      <c r="E64" s="202">
        <v>1803649000</v>
      </c>
      <c r="F64" s="203">
        <v>-1.7000000000000001E-2</v>
      </c>
      <c r="G64" s="205">
        <v>59</v>
      </c>
      <c r="H64" s="205">
        <v>55</v>
      </c>
      <c r="I64" s="205" t="s">
        <v>360</v>
      </c>
      <c r="J64" s="205"/>
      <c r="K64" s="201"/>
      <c r="L64" s="201"/>
      <c r="M64" s="201"/>
      <c r="N64" s="201"/>
      <c r="O64" s="201"/>
      <c r="P64" s="201"/>
      <c r="Q64" s="201"/>
      <c r="R64" s="201"/>
      <c r="S64" s="201"/>
      <c r="T64" s="205"/>
      <c r="U64" s="201"/>
      <c r="V64" s="201"/>
      <c r="W64" s="201"/>
      <c r="X64" s="201"/>
      <c r="Y64" s="201"/>
      <c r="Z64" s="201"/>
      <c r="AA64" s="201"/>
      <c r="AB64" s="201"/>
      <c r="AC64" s="201"/>
      <c r="AD64" s="201"/>
      <c r="AE64" s="201"/>
      <c r="AF64" s="201"/>
      <c r="AG64" s="201" t="str">
        <f>IF(E64="","",IF(E64&gt;='Reference Tab - Do not Delete'!$E$35,'Reference Tab - Do not Delete'!$D$35,IF(AND(E64&gt;='Reference Tab - Do not Delete'!$E$36,E64&lt;'Reference Tab - Do not Delete'!$E$35),'Reference Tab - Do not Delete'!$D$36,IF(AND(E64&gt;='Reference Tab - Do not Delete'!$E$37,E64&lt;'Reference Tab - Do not Delete'!$E$36),'Reference Tab - Do not Delete'!$D$37,IF(AND(E64&gt;='Reference Tab - Do not Delete'!$E$38,E64&lt;'Reference Tab - Do not Delete'!$E$37),'Reference Tab - Do not Delete'!$D$38,'Reference Tab - Do not Delete'!$D$39)))))</f>
        <v>$50B - $B</v>
      </c>
      <c r="AH64" s="205" t="str">
        <f t="shared" si="0"/>
        <v>Above 50</v>
      </c>
      <c r="AI64" s="205" t="str">
        <f t="shared" si="1"/>
        <v/>
      </c>
      <c r="AJ64" s="202">
        <v>0</v>
      </c>
      <c r="AK64" s="201"/>
      <c r="AL64" s="205"/>
      <c r="AM64" s="201"/>
      <c r="AN64" s="201"/>
      <c r="AO64" s="201"/>
      <c r="AP64" s="205"/>
      <c r="AQ64" s="233"/>
    </row>
    <row r="65" spans="1:43" x14ac:dyDescent="0.2">
      <c r="A65" s="201"/>
      <c r="B65" s="201" t="s">
        <v>1296</v>
      </c>
      <c r="C65" s="201">
        <v>59</v>
      </c>
      <c r="D65" s="201" t="s">
        <v>1606</v>
      </c>
      <c r="E65" s="202">
        <v>1649373000</v>
      </c>
      <c r="F65" s="203">
        <v>0.115</v>
      </c>
      <c r="G65" s="205">
        <v>60</v>
      </c>
      <c r="H65" s="205">
        <v>60</v>
      </c>
      <c r="I65" s="205" t="s">
        <v>360</v>
      </c>
      <c r="J65" s="205"/>
      <c r="K65" s="201"/>
      <c r="L65" s="201"/>
      <c r="M65" s="201"/>
      <c r="N65" s="201"/>
      <c r="O65" s="201"/>
      <c r="P65" s="201"/>
      <c r="Q65" s="201"/>
      <c r="R65" s="201"/>
      <c r="S65" s="201"/>
      <c r="T65" s="205"/>
      <c r="U65" s="201"/>
      <c r="V65" s="201"/>
      <c r="W65" s="201"/>
      <c r="X65" s="201"/>
      <c r="Y65" s="201"/>
      <c r="Z65" s="201"/>
      <c r="AA65" s="201"/>
      <c r="AB65" s="201"/>
      <c r="AC65" s="201"/>
      <c r="AD65" s="201"/>
      <c r="AE65" s="201"/>
      <c r="AF65" s="201"/>
      <c r="AG65" s="201" t="str">
        <f>IF(E65="","",IF(E65&gt;='Reference Tab - Do not Delete'!$E$35,'Reference Tab - Do not Delete'!$D$35,IF(AND(E65&gt;='Reference Tab - Do not Delete'!$E$36,E65&lt;'Reference Tab - Do not Delete'!$E$35),'Reference Tab - Do not Delete'!$D$36,IF(AND(E65&gt;='Reference Tab - Do not Delete'!$E$37,E65&lt;'Reference Tab - Do not Delete'!$E$36),'Reference Tab - Do not Delete'!$D$37,IF(AND(E65&gt;='Reference Tab - Do not Delete'!$E$38,E65&lt;'Reference Tab - Do not Delete'!$E$37),'Reference Tab - Do not Delete'!$D$38,'Reference Tab - Do not Delete'!$D$39)))))</f>
        <v>$50B - $B</v>
      </c>
      <c r="AH65" s="205" t="str">
        <f t="shared" si="0"/>
        <v>Above 50</v>
      </c>
      <c r="AI65" s="205" t="str">
        <f t="shared" si="1"/>
        <v/>
      </c>
      <c r="AJ65" s="202">
        <v>0</v>
      </c>
      <c r="AK65" s="201"/>
      <c r="AL65" s="205"/>
      <c r="AM65" s="201"/>
      <c r="AN65" s="201"/>
      <c r="AO65" s="201"/>
      <c r="AP65" s="205"/>
      <c r="AQ65" s="233"/>
    </row>
    <row r="66" spans="1:43" x14ac:dyDescent="0.2">
      <c r="A66" s="201"/>
      <c r="B66" s="201" t="s">
        <v>1295</v>
      </c>
      <c r="C66" s="201">
        <v>60</v>
      </c>
      <c r="D66" s="201" t="s">
        <v>1606</v>
      </c>
      <c r="E66" s="202">
        <v>1617767000</v>
      </c>
      <c r="F66" s="203">
        <v>8.199999999999999E-2</v>
      </c>
      <c r="G66" s="205">
        <v>61</v>
      </c>
      <c r="H66" s="205">
        <v>58</v>
      </c>
      <c r="I66" s="205" t="s">
        <v>360</v>
      </c>
      <c r="J66" s="205"/>
      <c r="K66" s="201"/>
      <c r="L66" s="201"/>
      <c r="M66" s="201"/>
      <c r="N66" s="201"/>
      <c r="O66" s="201"/>
      <c r="P66" s="201"/>
      <c r="Q66" s="201"/>
      <c r="R66" s="201"/>
      <c r="S66" s="201"/>
      <c r="T66" s="205"/>
      <c r="U66" s="201"/>
      <c r="V66" s="201"/>
      <c r="W66" s="201"/>
      <c r="X66" s="201"/>
      <c r="Y66" s="201"/>
      <c r="Z66" s="201"/>
      <c r="AA66" s="201"/>
      <c r="AB66" s="201"/>
      <c r="AC66" s="201"/>
      <c r="AD66" s="201"/>
      <c r="AE66" s="201"/>
      <c r="AF66" s="201"/>
      <c r="AG66" s="201" t="str">
        <f>IF(E66="","",IF(E66&gt;='Reference Tab - Do not Delete'!$E$35,'Reference Tab - Do not Delete'!$D$35,IF(AND(E66&gt;='Reference Tab - Do not Delete'!$E$36,E66&lt;'Reference Tab - Do not Delete'!$E$35),'Reference Tab - Do not Delete'!$D$36,IF(AND(E66&gt;='Reference Tab - Do not Delete'!$E$37,E66&lt;'Reference Tab - Do not Delete'!$E$36),'Reference Tab - Do not Delete'!$D$37,IF(AND(E66&gt;='Reference Tab - Do not Delete'!$E$38,E66&lt;'Reference Tab - Do not Delete'!$E$37),'Reference Tab - Do not Delete'!$D$38,'Reference Tab - Do not Delete'!$D$39)))))</f>
        <v>$50B - $B</v>
      </c>
      <c r="AH66" s="205" t="str">
        <f t="shared" si="0"/>
        <v>Above 50</v>
      </c>
      <c r="AI66" s="205" t="str">
        <f t="shared" si="1"/>
        <v/>
      </c>
      <c r="AJ66" s="202">
        <v>0</v>
      </c>
      <c r="AK66" s="201"/>
      <c r="AL66" s="205"/>
      <c r="AM66" s="201"/>
      <c r="AN66" s="201"/>
      <c r="AO66" s="201"/>
      <c r="AP66" s="205"/>
      <c r="AQ66" s="233"/>
    </row>
    <row r="67" spans="1:43" x14ac:dyDescent="0.2">
      <c r="A67" s="201"/>
      <c r="B67" s="201" t="s">
        <v>1297</v>
      </c>
      <c r="C67" s="201">
        <v>61</v>
      </c>
      <c r="D67" s="201" t="s">
        <v>1606</v>
      </c>
      <c r="E67" s="202">
        <v>1582349000</v>
      </c>
      <c r="F67" s="203">
        <v>7.8E-2</v>
      </c>
      <c r="G67" s="205">
        <v>62</v>
      </c>
      <c r="H67" s="205">
        <v>61</v>
      </c>
      <c r="I67" s="205" t="s">
        <v>360</v>
      </c>
      <c r="J67" s="205"/>
      <c r="K67" s="201"/>
      <c r="L67" s="201"/>
      <c r="M67" s="201"/>
      <c r="N67" s="201"/>
      <c r="O67" s="201"/>
      <c r="P67" s="201"/>
      <c r="Q67" s="201"/>
      <c r="R67" s="201"/>
      <c r="S67" s="201"/>
      <c r="T67" s="205"/>
      <c r="U67" s="201"/>
      <c r="V67" s="201"/>
      <c r="W67" s="201"/>
      <c r="X67" s="201"/>
      <c r="Y67" s="201"/>
      <c r="Z67" s="201"/>
      <c r="AA67" s="201"/>
      <c r="AB67" s="201"/>
      <c r="AC67" s="201"/>
      <c r="AD67" s="201"/>
      <c r="AE67" s="201"/>
      <c r="AF67" s="201"/>
      <c r="AG67" s="201" t="str">
        <f>IF(E67="","",IF(E67&gt;='Reference Tab - Do not Delete'!$E$35,'Reference Tab - Do not Delete'!$D$35,IF(AND(E67&gt;='Reference Tab - Do not Delete'!$E$36,E67&lt;'Reference Tab - Do not Delete'!$E$35),'Reference Tab - Do not Delete'!$D$36,IF(AND(E67&gt;='Reference Tab - Do not Delete'!$E$37,E67&lt;'Reference Tab - Do not Delete'!$E$36),'Reference Tab - Do not Delete'!$D$37,IF(AND(E67&gt;='Reference Tab - Do not Delete'!$E$38,E67&lt;'Reference Tab - Do not Delete'!$E$37),'Reference Tab - Do not Delete'!$D$38,'Reference Tab - Do not Delete'!$D$39)))))</f>
        <v>$50B - $B</v>
      </c>
      <c r="AH67" s="205" t="str">
        <f t="shared" si="0"/>
        <v>Above 50</v>
      </c>
      <c r="AI67" s="205" t="str">
        <f t="shared" si="1"/>
        <v/>
      </c>
      <c r="AJ67" s="202">
        <v>0</v>
      </c>
      <c r="AK67" s="201"/>
      <c r="AL67" s="205"/>
      <c r="AM67" s="201"/>
      <c r="AN67" s="201"/>
      <c r="AO67" s="201"/>
      <c r="AP67" s="205"/>
      <c r="AQ67" s="233"/>
    </row>
    <row r="68" spans="1:43" x14ac:dyDescent="0.2">
      <c r="A68" s="201"/>
      <c r="B68" s="201" t="s">
        <v>1298</v>
      </c>
      <c r="C68" s="201">
        <v>62</v>
      </c>
      <c r="D68" s="201" t="s">
        <v>1606</v>
      </c>
      <c r="E68" s="202">
        <v>1509107000</v>
      </c>
      <c r="F68" s="203">
        <v>1.3000000000000001E-2</v>
      </c>
      <c r="G68" s="205">
        <v>63</v>
      </c>
      <c r="H68" s="205">
        <v>59</v>
      </c>
      <c r="I68" s="205" t="s">
        <v>360</v>
      </c>
      <c r="J68" s="205"/>
      <c r="K68" s="201"/>
      <c r="L68" s="201"/>
      <c r="M68" s="201"/>
      <c r="N68" s="201"/>
      <c r="O68" s="201"/>
      <c r="P68" s="201"/>
      <c r="Q68" s="201"/>
      <c r="R68" s="201"/>
      <c r="S68" s="201"/>
      <c r="T68" s="205"/>
      <c r="U68" s="201"/>
      <c r="V68" s="201"/>
      <c r="W68" s="201"/>
      <c r="X68" s="201"/>
      <c r="Y68" s="201"/>
      <c r="Z68" s="201"/>
      <c r="AA68" s="201"/>
      <c r="AB68" s="201"/>
      <c r="AC68" s="201"/>
      <c r="AD68" s="201"/>
      <c r="AE68" s="201"/>
      <c r="AF68" s="201"/>
      <c r="AG68" s="201" t="str">
        <f>IF(E68="","",IF(E68&gt;='Reference Tab - Do not Delete'!$E$35,'Reference Tab - Do not Delete'!$D$35,IF(AND(E68&gt;='Reference Tab - Do not Delete'!$E$36,E68&lt;'Reference Tab - Do not Delete'!$E$35),'Reference Tab - Do not Delete'!$D$36,IF(AND(E68&gt;='Reference Tab - Do not Delete'!$E$37,E68&lt;'Reference Tab - Do not Delete'!$E$36),'Reference Tab - Do not Delete'!$D$37,IF(AND(E68&gt;='Reference Tab - Do not Delete'!$E$38,E68&lt;'Reference Tab - Do not Delete'!$E$37),'Reference Tab - Do not Delete'!$D$38,'Reference Tab - Do not Delete'!$D$39)))))</f>
        <v>$50B - $B</v>
      </c>
      <c r="AH68" s="205" t="str">
        <f t="shared" si="0"/>
        <v>Above 50</v>
      </c>
      <c r="AI68" s="205" t="str">
        <f t="shared" si="1"/>
        <v/>
      </c>
      <c r="AJ68" s="202">
        <v>0</v>
      </c>
      <c r="AK68" s="201"/>
      <c r="AL68" s="205"/>
      <c r="AM68" s="201"/>
      <c r="AN68" s="201"/>
      <c r="AO68" s="201"/>
      <c r="AP68" s="205"/>
      <c r="AQ68" s="233"/>
    </row>
    <row r="69" spans="1:43" x14ac:dyDescent="0.2">
      <c r="A69" s="201"/>
      <c r="B69" s="201" t="s">
        <v>1365</v>
      </c>
      <c r="C69" s="201">
        <v>63</v>
      </c>
      <c r="D69" s="201" t="s">
        <v>1606</v>
      </c>
      <c r="E69" s="202">
        <v>1430047000</v>
      </c>
      <c r="F69" s="203">
        <v>4.7E-2</v>
      </c>
      <c r="G69" s="205">
        <v>84</v>
      </c>
      <c r="H69" s="205">
        <v>85</v>
      </c>
      <c r="I69" s="205" t="s">
        <v>360</v>
      </c>
      <c r="J69" s="205"/>
      <c r="K69" s="201"/>
      <c r="L69" s="201"/>
      <c r="M69" s="201"/>
      <c r="N69" s="201"/>
      <c r="O69" s="201"/>
      <c r="P69" s="201"/>
      <c r="Q69" s="201"/>
      <c r="R69" s="201"/>
      <c r="S69" s="201"/>
      <c r="T69" s="205"/>
      <c r="U69" s="201"/>
      <c r="V69" s="201"/>
      <c r="W69" s="201"/>
      <c r="X69" s="201"/>
      <c r="Y69" s="201"/>
      <c r="Z69" s="201"/>
      <c r="AA69" s="201"/>
      <c r="AB69" s="201"/>
      <c r="AC69" s="201"/>
      <c r="AD69" s="201"/>
      <c r="AE69" s="201"/>
      <c r="AF69" s="201"/>
      <c r="AG69" s="201" t="str">
        <f>IF(E69="","",IF(E69&gt;='Reference Tab - Do not Delete'!$E$35,'Reference Tab - Do not Delete'!$D$35,IF(AND(E69&gt;='Reference Tab - Do not Delete'!$E$36,E69&lt;'Reference Tab - Do not Delete'!$E$35),'Reference Tab - Do not Delete'!$D$36,IF(AND(E69&gt;='Reference Tab - Do not Delete'!$E$37,E69&lt;'Reference Tab - Do not Delete'!$E$36),'Reference Tab - Do not Delete'!$D$37,IF(AND(E69&gt;='Reference Tab - Do not Delete'!$E$38,E69&lt;'Reference Tab - Do not Delete'!$E$37),'Reference Tab - Do not Delete'!$D$38,'Reference Tab - Do not Delete'!$D$39)))))</f>
        <v>$50B - $B</v>
      </c>
      <c r="AH69" s="205" t="str">
        <f t="shared" si="0"/>
        <v>Above 50</v>
      </c>
      <c r="AI69" s="205" t="str">
        <f t="shared" si="1"/>
        <v/>
      </c>
      <c r="AJ69" s="202">
        <v>0</v>
      </c>
      <c r="AK69" s="201"/>
      <c r="AL69" s="205"/>
      <c r="AM69" s="201"/>
      <c r="AN69" s="201"/>
      <c r="AO69" s="201"/>
      <c r="AP69" s="205"/>
      <c r="AQ69" s="233"/>
    </row>
    <row r="70" spans="1:43" x14ac:dyDescent="0.2">
      <c r="A70" s="201"/>
      <c r="B70" s="201" t="s">
        <v>1299</v>
      </c>
      <c r="C70" s="201">
        <v>64</v>
      </c>
      <c r="D70" s="201" t="s">
        <v>1606</v>
      </c>
      <c r="E70" s="202">
        <v>1417693000</v>
      </c>
      <c r="F70" s="203">
        <v>2.3E-2</v>
      </c>
      <c r="G70" s="205">
        <v>65</v>
      </c>
      <c r="H70" s="205">
        <v>63</v>
      </c>
      <c r="I70" s="205" t="s">
        <v>360</v>
      </c>
      <c r="J70" s="205"/>
      <c r="K70" s="201"/>
      <c r="L70" s="201"/>
      <c r="M70" s="201"/>
      <c r="N70" s="201"/>
      <c r="O70" s="201"/>
      <c r="P70" s="201"/>
      <c r="Q70" s="201"/>
      <c r="R70" s="201"/>
      <c r="S70" s="201"/>
      <c r="T70" s="205"/>
      <c r="U70" s="201"/>
      <c r="V70" s="201"/>
      <c r="W70" s="201"/>
      <c r="X70" s="201"/>
      <c r="Y70" s="201"/>
      <c r="Z70" s="201"/>
      <c r="AA70" s="201"/>
      <c r="AB70" s="201"/>
      <c r="AC70" s="201"/>
      <c r="AD70" s="201"/>
      <c r="AE70" s="201"/>
      <c r="AF70" s="201"/>
      <c r="AG70" s="201" t="str">
        <f>IF(E70="","",IF(E70&gt;='Reference Tab - Do not Delete'!$E$35,'Reference Tab - Do not Delete'!$D$35,IF(AND(E70&gt;='Reference Tab - Do not Delete'!$E$36,E70&lt;'Reference Tab - Do not Delete'!$E$35),'Reference Tab - Do not Delete'!$D$36,IF(AND(E70&gt;='Reference Tab - Do not Delete'!$E$37,E70&lt;'Reference Tab - Do not Delete'!$E$36),'Reference Tab - Do not Delete'!$D$37,IF(AND(E70&gt;='Reference Tab - Do not Delete'!$E$38,E70&lt;'Reference Tab - Do not Delete'!$E$37),'Reference Tab - Do not Delete'!$D$38,'Reference Tab - Do not Delete'!$D$39)))))</f>
        <v>$50B - $B</v>
      </c>
      <c r="AH70" s="205" t="str">
        <f t="shared" si="0"/>
        <v>Above 50</v>
      </c>
      <c r="AI70" s="205" t="str">
        <f t="shared" si="1"/>
        <v/>
      </c>
      <c r="AJ70" s="202">
        <v>0</v>
      </c>
      <c r="AK70" s="201"/>
      <c r="AL70" s="205"/>
      <c r="AM70" s="201"/>
      <c r="AN70" s="201"/>
      <c r="AO70" s="201"/>
      <c r="AP70" s="205"/>
      <c r="AQ70" s="233"/>
    </row>
    <row r="71" spans="1:43" x14ac:dyDescent="0.2">
      <c r="A71" s="201"/>
      <c r="B71" s="201" t="s">
        <v>1300</v>
      </c>
      <c r="C71" s="201">
        <v>65</v>
      </c>
      <c r="D71" s="201" t="s">
        <v>1606</v>
      </c>
      <c r="E71" s="202">
        <v>1413657000</v>
      </c>
      <c r="F71" s="203">
        <v>3.2000000000000001E-2</v>
      </c>
      <c r="G71" s="205">
        <v>66</v>
      </c>
      <c r="H71" s="205">
        <v>64</v>
      </c>
      <c r="I71" s="205" t="s">
        <v>360</v>
      </c>
      <c r="J71" s="205"/>
      <c r="K71" s="201"/>
      <c r="L71" s="201"/>
      <c r="M71" s="201"/>
      <c r="N71" s="201"/>
      <c r="O71" s="201"/>
      <c r="P71" s="201"/>
      <c r="Q71" s="201"/>
      <c r="R71" s="201"/>
      <c r="S71" s="201"/>
      <c r="T71" s="205"/>
      <c r="U71" s="201"/>
      <c r="V71" s="201"/>
      <c r="W71" s="201"/>
      <c r="X71" s="201"/>
      <c r="Y71" s="201"/>
      <c r="Z71" s="201"/>
      <c r="AA71" s="201"/>
      <c r="AB71" s="201"/>
      <c r="AC71" s="201"/>
      <c r="AD71" s="201"/>
      <c r="AE71" s="201"/>
      <c r="AF71" s="201"/>
      <c r="AG71" s="201" t="str">
        <f>IF(E71="","",IF(E71&gt;='Reference Tab - Do not Delete'!$E$35,'Reference Tab - Do not Delete'!$D$35,IF(AND(E71&gt;='Reference Tab - Do not Delete'!$E$36,E71&lt;'Reference Tab - Do not Delete'!$E$35),'Reference Tab - Do not Delete'!$D$36,IF(AND(E71&gt;='Reference Tab - Do not Delete'!$E$37,E71&lt;'Reference Tab - Do not Delete'!$E$36),'Reference Tab - Do not Delete'!$D$37,IF(AND(E71&gt;='Reference Tab - Do not Delete'!$E$38,E71&lt;'Reference Tab - Do not Delete'!$E$37),'Reference Tab - Do not Delete'!$D$38,'Reference Tab - Do not Delete'!$D$39)))))</f>
        <v>$50B - $B</v>
      </c>
      <c r="AH71" s="205" t="str">
        <f t="shared" si="0"/>
        <v>Above 50</v>
      </c>
      <c r="AI71" s="205" t="str">
        <f t="shared" si="1"/>
        <v/>
      </c>
      <c r="AJ71" s="202">
        <v>0</v>
      </c>
      <c r="AK71" s="201"/>
      <c r="AL71" s="205"/>
      <c r="AM71" s="201"/>
      <c r="AN71" s="201"/>
      <c r="AO71" s="201"/>
      <c r="AP71" s="205"/>
      <c r="AQ71" s="233"/>
    </row>
    <row r="72" spans="1:43" x14ac:dyDescent="0.2">
      <c r="A72" s="201"/>
      <c r="B72" s="201" t="s">
        <v>1301</v>
      </c>
      <c r="C72" s="201">
        <v>66</v>
      </c>
      <c r="D72" s="201" t="s">
        <v>1606</v>
      </c>
      <c r="E72" s="202">
        <v>1326984000</v>
      </c>
      <c r="F72" s="203">
        <v>-2.4E-2</v>
      </c>
      <c r="G72" s="205">
        <v>67</v>
      </c>
      <c r="H72" s="205">
        <v>66</v>
      </c>
      <c r="I72" s="205" t="s">
        <v>360</v>
      </c>
      <c r="J72" s="205"/>
      <c r="K72" s="201"/>
      <c r="L72" s="201"/>
      <c r="M72" s="201"/>
      <c r="N72" s="201"/>
      <c r="O72" s="201"/>
      <c r="P72" s="201"/>
      <c r="Q72" s="201"/>
      <c r="R72" s="201"/>
      <c r="S72" s="201"/>
      <c r="T72" s="205"/>
      <c r="U72" s="201"/>
      <c r="V72" s="201"/>
      <c r="W72" s="201"/>
      <c r="X72" s="201"/>
      <c r="Y72" s="201"/>
      <c r="Z72" s="201"/>
      <c r="AA72" s="201"/>
      <c r="AB72" s="201"/>
      <c r="AC72" s="201"/>
      <c r="AD72" s="201"/>
      <c r="AE72" s="201"/>
      <c r="AF72" s="201"/>
      <c r="AG72" s="201" t="str">
        <f>IF(E72="","",IF(E72&gt;='Reference Tab - Do not Delete'!$E$35,'Reference Tab - Do not Delete'!$D$35,IF(AND(E72&gt;='Reference Tab - Do not Delete'!$E$36,E72&lt;'Reference Tab - Do not Delete'!$E$35),'Reference Tab - Do not Delete'!$D$36,IF(AND(E72&gt;='Reference Tab - Do not Delete'!$E$37,E72&lt;'Reference Tab - Do not Delete'!$E$36),'Reference Tab - Do not Delete'!$D$37,IF(AND(E72&gt;='Reference Tab - Do not Delete'!$E$38,E72&lt;'Reference Tab - Do not Delete'!$E$37),'Reference Tab - Do not Delete'!$D$38,'Reference Tab - Do not Delete'!$D$39)))))</f>
        <v>$50B - $B</v>
      </c>
      <c r="AH72" s="205" t="str">
        <f t="shared" ref="AH72:AH131" si="2">IF(H72="","DNA",IF(H72&lt;=10,"Top 10",IF(AND(H72&lt;=25,H72&gt;10),"11 - 25",IF(AND(H72&lt;=50,H72&gt;25),"26 - 50","Above 50"))))</f>
        <v>Above 50</v>
      </c>
      <c r="AI72" s="205" t="str">
        <f t="shared" ref="AI72:AI135" si="3">IF(AJ72&gt;0,"Yes","")</f>
        <v/>
      </c>
      <c r="AJ72" s="202">
        <v>0</v>
      </c>
      <c r="AK72" s="201"/>
      <c r="AL72" s="205"/>
      <c r="AM72" s="201"/>
      <c r="AN72" s="201"/>
      <c r="AO72" s="201"/>
      <c r="AP72" s="205"/>
      <c r="AQ72" s="233"/>
    </row>
    <row r="73" spans="1:43" x14ac:dyDescent="0.2">
      <c r="A73" s="201"/>
      <c r="B73" s="201" t="s">
        <v>1305</v>
      </c>
      <c r="C73" s="201">
        <v>67</v>
      </c>
      <c r="D73" s="201" t="s">
        <v>1606</v>
      </c>
      <c r="E73" s="202">
        <v>1275968000</v>
      </c>
      <c r="F73" s="203">
        <v>9.0999999999999998E-2</v>
      </c>
      <c r="G73" s="205">
        <v>68</v>
      </c>
      <c r="H73" s="205">
        <v>71</v>
      </c>
      <c r="I73" s="205" t="s">
        <v>360</v>
      </c>
      <c r="J73" s="205"/>
      <c r="K73" s="201"/>
      <c r="L73" s="201"/>
      <c r="M73" s="201"/>
      <c r="N73" s="201"/>
      <c r="O73" s="201"/>
      <c r="P73" s="201"/>
      <c r="Q73" s="201"/>
      <c r="R73" s="201"/>
      <c r="S73" s="201"/>
      <c r="T73" s="205"/>
      <c r="U73" s="201"/>
      <c r="V73" s="201"/>
      <c r="W73" s="201"/>
      <c r="X73" s="201"/>
      <c r="Y73" s="201"/>
      <c r="Z73" s="201"/>
      <c r="AA73" s="201"/>
      <c r="AB73" s="201"/>
      <c r="AC73" s="201"/>
      <c r="AD73" s="201"/>
      <c r="AE73" s="201"/>
      <c r="AF73" s="201"/>
      <c r="AG73" s="201" t="str">
        <f>IF(E73="","",IF(E73&gt;='Reference Tab - Do not Delete'!$E$35,'Reference Tab - Do not Delete'!$D$35,IF(AND(E73&gt;='Reference Tab - Do not Delete'!$E$36,E73&lt;'Reference Tab - Do not Delete'!$E$35),'Reference Tab - Do not Delete'!$D$36,IF(AND(E73&gt;='Reference Tab - Do not Delete'!$E$37,E73&lt;'Reference Tab - Do not Delete'!$E$36),'Reference Tab - Do not Delete'!$D$37,IF(AND(E73&gt;='Reference Tab - Do not Delete'!$E$38,E73&lt;'Reference Tab - Do not Delete'!$E$37),'Reference Tab - Do not Delete'!$D$38,'Reference Tab - Do not Delete'!$D$39)))))</f>
        <v>$50B - $B</v>
      </c>
      <c r="AH73" s="205" t="str">
        <f t="shared" si="2"/>
        <v>Above 50</v>
      </c>
      <c r="AI73" s="205" t="str">
        <f t="shared" si="3"/>
        <v/>
      </c>
      <c r="AJ73" s="202">
        <v>0</v>
      </c>
      <c r="AK73" s="201"/>
      <c r="AL73" s="205"/>
      <c r="AM73" s="201"/>
      <c r="AN73" s="201"/>
      <c r="AO73" s="201"/>
      <c r="AP73" s="205"/>
      <c r="AQ73" s="233"/>
    </row>
    <row r="74" spans="1:43" x14ac:dyDescent="0.2">
      <c r="A74" s="201"/>
      <c r="B74" s="201" t="s">
        <v>1304</v>
      </c>
      <c r="C74" s="201">
        <v>68</v>
      </c>
      <c r="D74" s="201" t="s">
        <v>1606</v>
      </c>
      <c r="E74" s="202">
        <v>1274202000</v>
      </c>
      <c r="F74" s="203">
        <v>5.9000000000000004E-2</v>
      </c>
      <c r="G74" s="205">
        <v>69</v>
      </c>
      <c r="H74" s="205">
        <v>70</v>
      </c>
      <c r="I74" s="205" t="s">
        <v>360</v>
      </c>
      <c r="J74" s="205"/>
      <c r="K74" s="201"/>
      <c r="L74" s="201"/>
      <c r="M74" s="201"/>
      <c r="N74" s="201"/>
      <c r="O74" s="201"/>
      <c r="P74" s="201"/>
      <c r="Q74" s="201"/>
      <c r="R74" s="201"/>
      <c r="S74" s="201"/>
      <c r="T74" s="205"/>
      <c r="U74" s="201"/>
      <c r="V74" s="201"/>
      <c r="W74" s="201"/>
      <c r="X74" s="201"/>
      <c r="Y74" s="201"/>
      <c r="Z74" s="201"/>
      <c r="AA74" s="201"/>
      <c r="AB74" s="201"/>
      <c r="AC74" s="201"/>
      <c r="AD74" s="201"/>
      <c r="AE74" s="201"/>
      <c r="AF74" s="201"/>
      <c r="AG74" s="201" t="str">
        <f>IF(E74="","",IF(E74&gt;='Reference Tab - Do not Delete'!$E$35,'Reference Tab - Do not Delete'!$D$35,IF(AND(E74&gt;='Reference Tab - Do not Delete'!$E$36,E74&lt;'Reference Tab - Do not Delete'!$E$35),'Reference Tab - Do not Delete'!$D$36,IF(AND(E74&gt;='Reference Tab - Do not Delete'!$E$37,E74&lt;'Reference Tab - Do not Delete'!$E$36),'Reference Tab - Do not Delete'!$D$37,IF(AND(E74&gt;='Reference Tab - Do not Delete'!$E$38,E74&lt;'Reference Tab - Do not Delete'!$E$37),'Reference Tab - Do not Delete'!$D$38,'Reference Tab - Do not Delete'!$D$39)))))</f>
        <v>$50B - $B</v>
      </c>
      <c r="AH74" s="205" t="str">
        <f t="shared" si="2"/>
        <v>Above 50</v>
      </c>
      <c r="AI74" s="205" t="str">
        <f t="shared" si="3"/>
        <v/>
      </c>
      <c r="AJ74" s="202">
        <v>0</v>
      </c>
      <c r="AK74" s="201"/>
      <c r="AL74" s="205"/>
      <c r="AM74" s="201"/>
      <c r="AN74" s="201"/>
      <c r="AO74" s="201"/>
      <c r="AP74" s="205"/>
      <c r="AQ74" s="233"/>
    </row>
    <row r="75" spans="1:43" x14ac:dyDescent="0.2">
      <c r="A75" s="201"/>
      <c r="B75" s="201" t="s">
        <v>1303</v>
      </c>
      <c r="C75" s="201">
        <v>69</v>
      </c>
      <c r="D75" s="201" t="s">
        <v>1606</v>
      </c>
      <c r="E75" s="202">
        <v>1254578000</v>
      </c>
      <c r="F75" s="203">
        <v>3.9E-2</v>
      </c>
      <c r="G75" s="205">
        <v>70</v>
      </c>
      <c r="H75" s="205">
        <v>69</v>
      </c>
      <c r="I75" s="205" t="s">
        <v>360</v>
      </c>
      <c r="J75" s="205"/>
      <c r="K75" s="201"/>
      <c r="L75" s="201"/>
      <c r="M75" s="201"/>
      <c r="N75" s="201"/>
      <c r="O75" s="201"/>
      <c r="P75" s="201"/>
      <c r="Q75" s="201"/>
      <c r="R75" s="201"/>
      <c r="S75" s="201"/>
      <c r="T75" s="205"/>
      <c r="U75" s="201"/>
      <c r="V75" s="201"/>
      <c r="W75" s="201"/>
      <c r="X75" s="201"/>
      <c r="Y75" s="201"/>
      <c r="Z75" s="201"/>
      <c r="AA75" s="201"/>
      <c r="AB75" s="201"/>
      <c r="AC75" s="201"/>
      <c r="AD75" s="201"/>
      <c r="AE75" s="201"/>
      <c r="AF75" s="201"/>
      <c r="AG75" s="201" t="str">
        <f>IF(E75="","",IF(E75&gt;='Reference Tab - Do not Delete'!$E$35,'Reference Tab - Do not Delete'!$D$35,IF(AND(E75&gt;='Reference Tab - Do not Delete'!$E$36,E75&lt;'Reference Tab - Do not Delete'!$E$35),'Reference Tab - Do not Delete'!$D$36,IF(AND(E75&gt;='Reference Tab - Do not Delete'!$E$37,E75&lt;'Reference Tab - Do not Delete'!$E$36),'Reference Tab - Do not Delete'!$D$37,IF(AND(E75&gt;='Reference Tab - Do not Delete'!$E$38,E75&lt;'Reference Tab - Do not Delete'!$E$37),'Reference Tab - Do not Delete'!$D$38,'Reference Tab - Do not Delete'!$D$39)))))</f>
        <v>$50B - $B</v>
      </c>
      <c r="AH75" s="205" t="str">
        <f t="shared" si="2"/>
        <v>Above 50</v>
      </c>
      <c r="AI75" s="205" t="str">
        <f t="shared" si="3"/>
        <v/>
      </c>
      <c r="AJ75" s="202">
        <v>0</v>
      </c>
      <c r="AK75" s="201"/>
      <c r="AL75" s="205"/>
      <c r="AM75" s="201"/>
      <c r="AN75" s="201"/>
      <c r="AO75" s="201"/>
      <c r="AP75" s="205"/>
      <c r="AQ75" s="233"/>
    </row>
    <row r="76" spans="1:43" x14ac:dyDescent="0.2">
      <c r="A76" s="201"/>
      <c r="B76" s="201" t="s">
        <v>1307</v>
      </c>
      <c r="C76" s="201">
        <v>70</v>
      </c>
      <c r="D76" s="201" t="s">
        <v>1606</v>
      </c>
      <c r="E76" s="202">
        <v>1238639000</v>
      </c>
      <c r="F76" s="203">
        <v>0.16</v>
      </c>
      <c r="G76" s="205">
        <v>71</v>
      </c>
      <c r="H76" s="205">
        <v>75</v>
      </c>
      <c r="I76" s="205" t="s">
        <v>360</v>
      </c>
      <c r="J76" s="205"/>
      <c r="K76" s="201"/>
      <c r="L76" s="201"/>
      <c r="M76" s="201"/>
      <c r="N76" s="201"/>
      <c r="O76" s="201"/>
      <c r="P76" s="201"/>
      <c r="Q76" s="201"/>
      <c r="R76" s="201"/>
      <c r="S76" s="201"/>
      <c r="T76" s="205"/>
      <c r="U76" s="201"/>
      <c r="V76" s="201"/>
      <c r="W76" s="201"/>
      <c r="X76" s="201"/>
      <c r="Y76" s="201"/>
      <c r="Z76" s="201"/>
      <c r="AA76" s="201"/>
      <c r="AB76" s="201"/>
      <c r="AC76" s="201"/>
      <c r="AD76" s="201"/>
      <c r="AE76" s="201"/>
      <c r="AF76" s="201"/>
      <c r="AG76" s="201" t="str">
        <f>IF(E76="","",IF(E76&gt;='Reference Tab - Do not Delete'!$E$35,'Reference Tab - Do not Delete'!$D$35,IF(AND(E76&gt;='Reference Tab - Do not Delete'!$E$36,E76&lt;'Reference Tab - Do not Delete'!$E$35),'Reference Tab - Do not Delete'!$D$36,IF(AND(E76&gt;='Reference Tab - Do not Delete'!$E$37,E76&lt;'Reference Tab - Do not Delete'!$E$36),'Reference Tab - Do not Delete'!$D$37,IF(AND(E76&gt;='Reference Tab - Do not Delete'!$E$38,E76&lt;'Reference Tab - Do not Delete'!$E$37),'Reference Tab - Do not Delete'!$D$38,'Reference Tab - Do not Delete'!$D$39)))))</f>
        <v>$50B - $B</v>
      </c>
      <c r="AH76" s="205" t="str">
        <f t="shared" si="2"/>
        <v>Above 50</v>
      </c>
      <c r="AI76" s="205" t="str">
        <f t="shared" si="3"/>
        <v/>
      </c>
      <c r="AJ76" s="202">
        <v>0</v>
      </c>
      <c r="AK76" s="201"/>
      <c r="AL76" s="205"/>
      <c r="AM76" s="201"/>
      <c r="AN76" s="201"/>
      <c r="AO76" s="201"/>
      <c r="AP76" s="205"/>
      <c r="AQ76" s="233"/>
    </row>
    <row r="77" spans="1:43" x14ac:dyDescent="0.2">
      <c r="A77" s="201"/>
      <c r="B77" s="201" t="s">
        <v>1366</v>
      </c>
      <c r="C77" s="201">
        <v>71</v>
      </c>
      <c r="D77" s="201" t="s">
        <v>1606</v>
      </c>
      <c r="E77" s="202">
        <v>1202199000</v>
      </c>
      <c r="F77" s="203">
        <v>6.7000000000000004E-2</v>
      </c>
      <c r="G77" s="205">
        <v>72</v>
      </c>
      <c r="H77" s="205">
        <v>73</v>
      </c>
      <c r="I77" s="205" t="s">
        <v>360</v>
      </c>
      <c r="J77" s="205"/>
      <c r="K77" s="201"/>
      <c r="L77" s="201"/>
      <c r="M77" s="201"/>
      <c r="N77" s="201"/>
      <c r="O77" s="201"/>
      <c r="P77" s="201"/>
      <c r="Q77" s="201"/>
      <c r="R77" s="201"/>
      <c r="S77" s="201"/>
      <c r="T77" s="205"/>
      <c r="U77" s="201"/>
      <c r="V77" s="201"/>
      <c r="W77" s="201"/>
      <c r="X77" s="201"/>
      <c r="Y77" s="201"/>
      <c r="Z77" s="201"/>
      <c r="AA77" s="201"/>
      <c r="AB77" s="201"/>
      <c r="AC77" s="201"/>
      <c r="AD77" s="201"/>
      <c r="AE77" s="201"/>
      <c r="AF77" s="201"/>
      <c r="AG77" s="201" t="str">
        <f>IF(E77="","",IF(E77&gt;='Reference Tab - Do not Delete'!$E$35,'Reference Tab - Do not Delete'!$D$35,IF(AND(E77&gt;='Reference Tab - Do not Delete'!$E$36,E77&lt;'Reference Tab - Do not Delete'!$E$35),'Reference Tab - Do not Delete'!$D$36,IF(AND(E77&gt;='Reference Tab - Do not Delete'!$E$37,E77&lt;'Reference Tab - Do not Delete'!$E$36),'Reference Tab - Do not Delete'!$D$37,IF(AND(E77&gt;='Reference Tab - Do not Delete'!$E$38,E77&lt;'Reference Tab - Do not Delete'!$E$37),'Reference Tab - Do not Delete'!$D$38,'Reference Tab - Do not Delete'!$D$39)))))</f>
        <v>$50B - $B</v>
      </c>
      <c r="AH77" s="205" t="str">
        <f t="shared" si="2"/>
        <v>Above 50</v>
      </c>
      <c r="AI77" s="205" t="str">
        <f t="shared" si="3"/>
        <v/>
      </c>
      <c r="AJ77" s="202">
        <v>0</v>
      </c>
      <c r="AK77" s="201"/>
      <c r="AL77" s="205"/>
      <c r="AM77" s="201"/>
      <c r="AN77" s="201"/>
      <c r="AO77" s="201"/>
      <c r="AP77" s="205"/>
      <c r="AQ77" s="233"/>
    </row>
    <row r="78" spans="1:43" x14ac:dyDescent="0.2">
      <c r="A78" s="201"/>
      <c r="B78" s="201" t="s">
        <v>1302</v>
      </c>
      <c r="C78" s="201">
        <v>72</v>
      </c>
      <c r="D78" s="201" t="s">
        <v>1606</v>
      </c>
      <c r="E78" s="202">
        <v>1191289000</v>
      </c>
      <c r="F78" s="203">
        <v>-0.10099999999999999</v>
      </c>
      <c r="G78" s="205">
        <v>73</v>
      </c>
      <c r="H78" s="205">
        <v>88</v>
      </c>
      <c r="I78" s="205" t="s">
        <v>360</v>
      </c>
      <c r="J78" s="205"/>
      <c r="K78" s="201"/>
      <c r="L78" s="201"/>
      <c r="M78" s="201"/>
      <c r="N78" s="201"/>
      <c r="O78" s="201"/>
      <c r="P78" s="201"/>
      <c r="Q78" s="201"/>
      <c r="R78" s="201"/>
      <c r="S78" s="201"/>
      <c r="T78" s="205"/>
      <c r="U78" s="201"/>
      <c r="V78" s="201"/>
      <c r="W78" s="201"/>
      <c r="X78" s="201"/>
      <c r="Y78" s="201"/>
      <c r="Z78" s="201"/>
      <c r="AA78" s="201"/>
      <c r="AB78" s="201"/>
      <c r="AC78" s="201"/>
      <c r="AD78" s="201"/>
      <c r="AE78" s="201"/>
      <c r="AF78" s="201"/>
      <c r="AG78" s="201" t="str">
        <f>IF(E78="","",IF(E78&gt;='Reference Tab - Do not Delete'!$E$35,'Reference Tab - Do not Delete'!$D$35,IF(AND(E78&gt;='Reference Tab - Do not Delete'!$E$36,E78&lt;'Reference Tab - Do not Delete'!$E$35),'Reference Tab - Do not Delete'!$D$36,IF(AND(E78&gt;='Reference Tab - Do not Delete'!$E$37,E78&lt;'Reference Tab - Do not Delete'!$E$36),'Reference Tab - Do not Delete'!$D$37,IF(AND(E78&gt;='Reference Tab - Do not Delete'!$E$38,E78&lt;'Reference Tab - Do not Delete'!$E$37),'Reference Tab - Do not Delete'!$D$38,'Reference Tab - Do not Delete'!$D$39)))))</f>
        <v>$50B - $B</v>
      </c>
      <c r="AH78" s="205" t="str">
        <f t="shared" si="2"/>
        <v>Above 50</v>
      </c>
      <c r="AI78" s="205" t="str">
        <f t="shared" si="3"/>
        <v/>
      </c>
      <c r="AJ78" s="202">
        <v>0</v>
      </c>
      <c r="AK78" s="201"/>
      <c r="AL78" s="205"/>
      <c r="AM78" s="201"/>
      <c r="AN78" s="201"/>
      <c r="AO78" s="201"/>
      <c r="AP78" s="205"/>
      <c r="AQ78" s="233"/>
    </row>
    <row r="79" spans="1:43" x14ac:dyDescent="0.2">
      <c r="A79" s="201"/>
      <c r="B79" s="201" t="s">
        <v>1311</v>
      </c>
      <c r="C79" s="201">
        <v>73</v>
      </c>
      <c r="D79" s="201" t="s">
        <v>1606</v>
      </c>
      <c r="E79" s="202">
        <v>1142082000</v>
      </c>
      <c r="F79" s="203">
        <v>0.14899999999999999</v>
      </c>
      <c r="G79" s="205">
        <v>74</v>
      </c>
      <c r="H79" s="205">
        <v>80</v>
      </c>
      <c r="I79" s="205" t="s">
        <v>360</v>
      </c>
      <c r="J79" s="205"/>
      <c r="K79" s="201"/>
      <c r="L79" s="201"/>
      <c r="M79" s="201"/>
      <c r="N79" s="201"/>
      <c r="O79" s="201"/>
      <c r="P79" s="201"/>
      <c r="Q79" s="201"/>
      <c r="R79" s="201"/>
      <c r="S79" s="201"/>
      <c r="T79" s="205"/>
      <c r="U79" s="201"/>
      <c r="V79" s="201"/>
      <c r="W79" s="201"/>
      <c r="X79" s="201"/>
      <c r="Y79" s="201"/>
      <c r="Z79" s="201"/>
      <c r="AA79" s="201"/>
      <c r="AB79" s="201"/>
      <c r="AC79" s="201"/>
      <c r="AD79" s="201"/>
      <c r="AE79" s="201"/>
      <c r="AF79" s="201"/>
      <c r="AG79" s="201" t="str">
        <f>IF(E79="","",IF(E79&gt;='Reference Tab - Do not Delete'!$E$35,'Reference Tab - Do not Delete'!$D$35,IF(AND(E79&gt;='Reference Tab - Do not Delete'!$E$36,E79&lt;'Reference Tab - Do not Delete'!$E$35),'Reference Tab - Do not Delete'!$D$36,IF(AND(E79&gt;='Reference Tab - Do not Delete'!$E$37,E79&lt;'Reference Tab - Do not Delete'!$E$36),'Reference Tab - Do not Delete'!$D$37,IF(AND(E79&gt;='Reference Tab - Do not Delete'!$E$38,E79&lt;'Reference Tab - Do not Delete'!$E$37),'Reference Tab - Do not Delete'!$D$38,'Reference Tab - Do not Delete'!$D$39)))))</f>
        <v>$50B - $B</v>
      </c>
      <c r="AH79" s="205" t="str">
        <f t="shared" si="2"/>
        <v>Above 50</v>
      </c>
      <c r="AI79" s="205" t="str">
        <f t="shared" si="3"/>
        <v/>
      </c>
      <c r="AJ79" s="202">
        <v>0</v>
      </c>
      <c r="AK79" s="201"/>
      <c r="AL79" s="205"/>
      <c r="AM79" s="201"/>
      <c r="AN79" s="201"/>
      <c r="AO79" s="201"/>
      <c r="AP79" s="205"/>
      <c r="AQ79" s="233"/>
    </row>
    <row r="80" spans="1:43" x14ac:dyDescent="0.2">
      <c r="A80" s="201"/>
      <c r="B80" s="201" t="s">
        <v>1309</v>
      </c>
      <c r="C80" s="201">
        <v>74</v>
      </c>
      <c r="D80" s="201" t="s">
        <v>1606</v>
      </c>
      <c r="E80" s="202">
        <v>1131097000</v>
      </c>
      <c r="F80" s="203">
        <v>8.8000000000000009E-2</v>
      </c>
      <c r="G80" s="205">
        <v>75</v>
      </c>
      <c r="H80" s="205">
        <v>78</v>
      </c>
      <c r="I80" s="205" t="s">
        <v>360</v>
      </c>
      <c r="J80" s="205"/>
      <c r="K80" s="201"/>
      <c r="L80" s="201"/>
      <c r="M80" s="201"/>
      <c r="N80" s="201"/>
      <c r="O80" s="201"/>
      <c r="P80" s="201"/>
      <c r="Q80" s="201"/>
      <c r="R80" s="201"/>
      <c r="S80" s="201"/>
      <c r="T80" s="205"/>
      <c r="U80" s="201"/>
      <c r="V80" s="201"/>
      <c r="W80" s="201"/>
      <c r="X80" s="201"/>
      <c r="Y80" s="201"/>
      <c r="Z80" s="201"/>
      <c r="AA80" s="201"/>
      <c r="AB80" s="201"/>
      <c r="AC80" s="201"/>
      <c r="AD80" s="201"/>
      <c r="AE80" s="201"/>
      <c r="AF80" s="201"/>
      <c r="AG80" s="201" t="str">
        <f>IF(E80="","",IF(E80&gt;='Reference Tab - Do not Delete'!$E$35,'Reference Tab - Do not Delete'!$D$35,IF(AND(E80&gt;='Reference Tab - Do not Delete'!$E$36,E80&lt;'Reference Tab - Do not Delete'!$E$35),'Reference Tab - Do not Delete'!$D$36,IF(AND(E80&gt;='Reference Tab - Do not Delete'!$E$37,E80&lt;'Reference Tab - Do not Delete'!$E$36),'Reference Tab - Do not Delete'!$D$37,IF(AND(E80&gt;='Reference Tab - Do not Delete'!$E$38,E80&lt;'Reference Tab - Do not Delete'!$E$37),'Reference Tab - Do not Delete'!$D$38,'Reference Tab - Do not Delete'!$D$39)))))</f>
        <v>$50B - $B</v>
      </c>
      <c r="AH80" s="205" t="str">
        <f t="shared" si="2"/>
        <v>Above 50</v>
      </c>
      <c r="AI80" s="205" t="str">
        <f t="shared" si="3"/>
        <v/>
      </c>
      <c r="AJ80" s="202">
        <v>0</v>
      </c>
      <c r="AK80" s="201"/>
      <c r="AL80" s="205"/>
      <c r="AM80" s="201"/>
      <c r="AN80" s="201"/>
      <c r="AO80" s="201"/>
      <c r="AP80" s="205"/>
      <c r="AQ80" s="233"/>
    </row>
    <row r="81" spans="1:43" x14ac:dyDescent="0.2">
      <c r="A81" s="201"/>
      <c r="B81" s="201" t="s">
        <v>1306</v>
      </c>
      <c r="C81" s="201">
        <v>75</v>
      </c>
      <c r="D81" s="201" t="s">
        <v>1606</v>
      </c>
      <c r="E81" s="202">
        <v>1107238000</v>
      </c>
      <c r="F81" s="203">
        <v>-3.5000000000000003E-2</v>
      </c>
      <c r="G81" s="205">
        <v>78</v>
      </c>
      <c r="H81" s="205">
        <v>72</v>
      </c>
      <c r="I81" s="205" t="s">
        <v>360</v>
      </c>
      <c r="J81" s="205"/>
      <c r="K81" s="201"/>
      <c r="L81" s="201"/>
      <c r="M81" s="201"/>
      <c r="N81" s="201"/>
      <c r="O81" s="201"/>
      <c r="P81" s="201"/>
      <c r="Q81" s="201"/>
      <c r="R81" s="201"/>
      <c r="S81" s="201"/>
      <c r="T81" s="205"/>
      <c r="U81" s="201"/>
      <c r="V81" s="201"/>
      <c r="W81" s="201"/>
      <c r="X81" s="201"/>
      <c r="Y81" s="201"/>
      <c r="Z81" s="201"/>
      <c r="AA81" s="201"/>
      <c r="AB81" s="201"/>
      <c r="AC81" s="201"/>
      <c r="AD81" s="201"/>
      <c r="AE81" s="201"/>
      <c r="AF81" s="201"/>
      <c r="AG81" s="201" t="str">
        <f>IF(E81="","",IF(E81&gt;='Reference Tab - Do not Delete'!$E$35,'Reference Tab - Do not Delete'!$D$35,IF(AND(E81&gt;='Reference Tab - Do not Delete'!$E$36,E81&lt;'Reference Tab - Do not Delete'!$E$35),'Reference Tab - Do not Delete'!$D$36,IF(AND(E81&gt;='Reference Tab - Do not Delete'!$E$37,E81&lt;'Reference Tab - Do not Delete'!$E$36),'Reference Tab - Do not Delete'!$D$37,IF(AND(E81&gt;='Reference Tab - Do not Delete'!$E$38,E81&lt;'Reference Tab - Do not Delete'!$E$37),'Reference Tab - Do not Delete'!$D$38,'Reference Tab - Do not Delete'!$D$39)))))</f>
        <v>$50B - $B</v>
      </c>
      <c r="AH81" s="205" t="str">
        <f t="shared" si="2"/>
        <v>Above 50</v>
      </c>
      <c r="AI81" s="205" t="str">
        <f t="shared" si="3"/>
        <v/>
      </c>
      <c r="AJ81" s="202">
        <v>0</v>
      </c>
      <c r="AK81" s="201"/>
      <c r="AL81" s="205"/>
      <c r="AM81" s="201"/>
      <c r="AN81" s="201"/>
      <c r="AO81" s="201"/>
      <c r="AP81" s="205"/>
      <c r="AQ81" s="233"/>
    </row>
    <row r="82" spans="1:43" x14ac:dyDescent="0.2">
      <c r="A82" s="201"/>
      <c r="B82" s="201" t="s">
        <v>1308</v>
      </c>
      <c r="C82" s="201">
        <v>76</v>
      </c>
      <c r="D82" s="201" t="s">
        <v>1606</v>
      </c>
      <c r="E82" s="202">
        <v>1096730000</v>
      </c>
      <c r="F82" s="203">
        <v>3.3000000000000002E-2</v>
      </c>
      <c r="G82" s="205">
        <v>77</v>
      </c>
      <c r="H82" s="205">
        <v>76</v>
      </c>
      <c r="I82" s="205" t="s">
        <v>360</v>
      </c>
      <c r="J82" s="205"/>
      <c r="K82" s="201"/>
      <c r="L82" s="201"/>
      <c r="M82" s="201"/>
      <c r="N82" s="201"/>
      <c r="O82" s="201"/>
      <c r="P82" s="201"/>
      <c r="Q82" s="201"/>
      <c r="R82" s="201"/>
      <c r="S82" s="201"/>
      <c r="T82" s="205"/>
      <c r="U82" s="201"/>
      <c r="V82" s="201"/>
      <c r="W82" s="201"/>
      <c r="X82" s="201"/>
      <c r="Y82" s="201"/>
      <c r="Z82" s="201"/>
      <c r="AA82" s="201"/>
      <c r="AB82" s="201"/>
      <c r="AC82" s="201"/>
      <c r="AD82" s="201"/>
      <c r="AE82" s="201"/>
      <c r="AF82" s="201"/>
      <c r="AG82" s="201" t="str">
        <f>IF(E82="","",IF(E82&gt;='Reference Tab - Do not Delete'!$E$35,'Reference Tab - Do not Delete'!$D$35,IF(AND(E82&gt;='Reference Tab - Do not Delete'!$E$36,E82&lt;'Reference Tab - Do not Delete'!$E$35),'Reference Tab - Do not Delete'!$D$36,IF(AND(E82&gt;='Reference Tab - Do not Delete'!$E$37,E82&lt;'Reference Tab - Do not Delete'!$E$36),'Reference Tab - Do not Delete'!$D$37,IF(AND(E82&gt;='Reference Tab - Do not Delete'!$E$38,E82&lt;'Reference Tab - Do not Delete'!$E$37),'Reference Tab - Do not Delete'!$D$38,'Reference Tab - Do not Delete'!$D$39)))))</f>
        <v>$50B - $B</v>
      </c>
      <c r="AH82" s="205" t="str">
        <f t="shared" si="2"/>
        <v>Above 50</v>
      </c>
      <c r="AI82" s="205" t="str">
        <f t="shared" si="3"/>
        <v/>
      </c>
      <c r="AJ82" s="202">
        <v>0</v>
      </c>
      <c r="AK82" s="201"/>
      <c r="AL82" s="205"/>
      <c r="AM82" s="201"/>
      <c r="AN82" s="201"/>
      <c r="AO82" s="201"/>
      <c r="AP82" s="205"/>
      <c r="AQ82" s="233"/>
    </row>
    <row r="83" spans="1:43" x14ac:dyDescent="0.2">
      <c r="A83" s="201"/>
      <c r="B83" s="201" t="s">
        <v>1367</v>
      </c>
      <c r="C83" s="201">
        <v>77</v>
      </c>
      <c r="D83" s="201" t="s">
        <v>1606</v>
      </c>
      <c r="E83" s="202">
        <v>1092778000</v>
      </c>
      <c r="F83" s="203">
        <v>1.3000000000000001E-2</v>
      </c>
      <c r="G83" s="205">
        <v>78</v>
      </c>
      <c r="H83" s="205">
        <v>74</v>
      </c>
      <c r="I83" s="205" t="s">
        <v>360</v>
      </c>
      <c r="J83" s="205"/>
      <c r="K83" s="201"/>
      <c r="L83" s="201"/>
      <c r="M83" s="201"/>
      <c r="N83" s="201"/>
      <c r="O83" s="201"/>
      <c r="P83" s="201"/>
      <c r="Q83" s="201"/>
      <c r="R83" s="201"/>
      <c r="S83" s="201"/>
      <c r="T83" s="205"/>
      <c r="U83" s="201"/>
      <c r="V83" s="201"/>
      <c r="W83" s="201"/>
      <c r="X83" s="201"/>
      <c r="Y83" s="201"/>
      <c r="Z83" s="201"/>
      <c r="AA83" s="201"/>
      <c r="AB83" s="201"/>
      <c r="AC83" s="201"/>
      <c r="AD83" s="201"/>
      <c r="AE83" s="201"/>
      <c r="AF83" s="201"/>
      <c r="AG83" s="201" t="str">
        <f>IF(E83="","",IF(E83&gt;='Reference Tab - Do not Delete'!$E$35,'Reference Tab - Do not Delete'!$D$35,IF(AND(E83&gt;='Reference Tab - Do not Delete'!$E$36,E83&lt;'Reference Tab - Do not Delete'!$E$35),'Reference Tab - Do not Delete'!$D$36,IF(AND(E83&gt;='Reference Tab - Do not Delete'!$E$37,E83&lt;'Reference Tab - Do not Delete'!$E$36),'Reference Tab - Do not Delete'!$D$37,IF(AND(E83&gt;='Reference Tab - Do not Delete'!$E$38,E83&lt;'Reference Tab - Do not Delete'!$E$37),'Reference Tab - Do not Delete'!$D$38,'Reference Tab - Do not Delete'!$D$39)))))</f>
        <v>$50B - $B</v>
      </c>
      <c r="AH83" s="205" t="str">
        <f t="shared" si="2"/>
        <v>Above 50</v>
      </c>
      <c r="AI83" s="205" t="str">
        <f t="shared" si="3"/>
        <v/>
      </c>
      <c r="AJ83" s="202">
        <v>0</v>
      </c>
      <c r="AK83" s="201"/>
      <c r="AL83" s="205"/>
      <c r="AM83" s="201"/>
      <c r="AN83" s="201"/>
      <c r="AO83" s="201"/>
      <c r="AP83" s="205"/>
      <c r="AQ83" s="233"/>
    </row>
    <row r="84" spans="1:43" x14ac:dyDescent="0.2">
      <c r="A84" s="201"/>
      <c r="B84" s="201" t="s">
        <v>1314</v>
      </c>
      <c r="C84" s="201">
        <v>78</v>
      </c>
      <c r="D84" s="201" t="s">
        <v>1606</v>
      </c>
      <c r="E84" s="202">
        <v>1090173000</v>
      </c>
      <c r="F84" s="203">
        <v>0.20699999999999999</v>
      </c>
      <c r="G84" s="205">
        <v>79</v>
      </c>
      <c r="H84" s="205">
        <v>84</v>
      </c>
      <c r="I84" s="205" t="s">
        <v>360</v>
      </c>
      <c r="J84" s="205"/>
      <c r="K84" s="201"/>
      <c r="L84" s="201"/>
      <c r="M84" s="201"/>
      <c r="N84" s="201"/>
      <c r="O84" s="201"/>
      <c r="P84" s="201"/>
      <c r="Q84" s="201"/>
      <c r="R84" s="201"/>
      <c r="S84" s="201"/>
      <c r="T84" s="205"/>
      <c r="U84" s="201"/>
      <c r="V84" s="201"/>
      <c r="W84" s="201"/>
      <c r="X84" s="201"/>
      <c r="Y84" s="201"/>
      <c r="Z84" s="201"/>
      <c r="AA84" s="201"/>
      <c r="AB84" s="201"/>
      <c r="AC84" s="201"/>
      <c r="AD84" s="201"/>
      <c r="AE84" s="201"/>
      <c r="AF84" s="201"/>
      <c r="AG84" s="201" t="str">
        <f>IF(E84="","",IF(E84&gt;='Reference Tab - Do not Delete'!$E$35,'Reference Tab - Do not Delete'!$D$35,IF(AND(E84&gt;='Reference Tab - Do not Delete'!$E$36,E84&lt;'Reference Tab - Do not Delete'!$E$35),'Reference Tab - Do not Delete'!$D$36,IF(AND(E84&gt;='Reference Tab - Do not Delete'!$E$37,E84&lt;'Reference Tab - Do not Delete'!$E$36),'Reference Tab - Do not Delete'!$D$37,IF(AND(E84&gt;='Reference Tab - Do not Delete'!$E$38,E84&lt;'Reference Tab - Do not Delete'!$E$37),'Reference Tab - Do not Delete'!$D$38,'Reference Tab - Do not Delete'!$D$39)))))</f>
        <v>$50B - $B</v>
      </c>
      <c r="AH84" s="205" t="str">
        <f t="shared" si="2"/>
        <v>Above 50</v>
      </c>
      <c r="AI84" s="205" t="str">
        <f t="shared" si="3"/>
        <v/>
      </c>
      <c r="AJ84" s="202">
        <v>0</v>
      </c>
      <c r="AK84" s="201"/>
      <c r="AL84" s="205"/>
      <c r="AM84" s="201"/>
      <c r="AN84" s="201"/>
      <c r="AO84" s="201"/>
      <c r="AP84" s="205"/>
      <c r="AQ84" s="233"/>
    </row>
    <row r="85" spans="1:43" x14ac:dyDescent="0.2">
      <c r="A85" s="201"/>
      <c r="B85" s="201" t="s">
        <v>1368</v>
      </c>
      <c r="C85" s="201">
        <v>79</v>
      </c>
      <c r="D85" s="201" t="s">
        <v>1606</v>
      </c>
      <c r="E85" s="202">
        <v>1059496000</v>
      </c>
      <c r="F85" s="203">
        <v>2E-3</v>
      </c>
      <c r="G85" s="205">
        <v>80</v>
      </c>
      <c r="H85" s="205">
        <v>77</v>
      </c>
      <c r="I85" s="205" t="s">
        <v>360</v>
      </c>
      <c r="J85" s="205"/>
      <c r="K85" s="201"/>
      <c r="L85" s="201"/>
      <c r="M85" s="201"/>
      <c r="N85" s="201"/>
      <c r="O85" s="201"/>
      <c r="P85" s="201"/>
      <c r="Q85" s="201"/>
      <c r="R85" s="201"/>
      <c r="S85" s="201"/>
      <c r="T85" s="205"/>
      <c r="U85" s="201"/>
      <c r="V85" s="201"/>
      <c r="W85" s="201"/>
      <c r="X85" s="201"/>
      <c r="Y85" s="201"/>
      <c r="Z85" s="201"/>
      <c r="AA85" s="201"/>
      <c r="AB85" s="201"/>
      <c r="AC85" s="201"/>
      <c r="AD85" s="201"/>
      <c r="AE85" s="201"/>
      <c r="AF85" s="201"/>
      <c r="AG85" s="201" t="str">
        <f>IF(E85="","",IF(E85&gt;='Reference Tab - Do not Delete'!$E$35,'Reference Tab - Do not Delete'!$D$35,IF(AND(E85&gt;='Reference Tab - Do not Delete'!$E$36,E85&lt;'Reference Tab - Do not Delete'!$E$35),'Reference Tab - Do not Delete'!$D$36,IF(AND(E85&gt;='Reference Tab - Do not Delete'!$E$37,E85&lt;'Reference Tab - Do not Delete'!$E$36),'Reference Tab - Do not Delete'!$D$37,IF(AND(E85&gt;='Reference Tab - Do not Delete'!$E$38,E85&lt;'Reference Tab - Do not Delete'!$E$37),'Reference Tab - Do not Delete'!$D$38,'Reference Tab - Do not Delete'!$D$39)))))</f>
        <v>$50B - $B</v>
      </c>
      <c r="AH85" s="205" t="str">
        <f t="shared" si="2"/>
        <v>Above 50</v>
      </c>
      <c r="AI85" s="205" t="str">
        <f t="shared" si="3"/>
        <v/>
      </c>
      <c r="AJ85" s="202">
        <v>0</v>
      </c>
      <c r="AK85" s="201"/>
      <c r="AL85" s="205"/>
      <c r="AM85" s="201"/>
      <c r="AN85" s="201"/>
      <c r="AO85" s="201"/>
      <c r="AP85" s="205"/>
      <c r="AQ85" s="233"/>
    </row>
    <row r="86" spans="1:43" x14ac:dyDescent="0.2">
      <c r="A86" s="201"/>
      <c r="B86" s="201" t="s">
        <v>1312</v>
      </c>
      <c r="C86" s="201">
        <v>80</v>
      </c>
      <c r="D86" s="201" t="s">
        <v>1606</v>
      </c>
      <c r="E86" s="202">
        <v>1057681000</v>
      </c>
      <c r="F86" s="203">
        <v>6.7000000000000004E-2</v>
      </c>
      <c r="G86" s="205">
        <v>81</v>
      </c>
      <c r="H86" s="205">
        <v>81</v>
      </c>
      <c r="I86" s="205" t="s">
        <v>360</v>
      </c>
      <c r="J86" s="205"/>
      <c r="K86" s="201"/>
      <c r="L86" s="201"/>
      <c r="M86" s="201"/>
      <c r="N86" s="201"/>
      <c r="O86" s="201"/>
      <c r="P86" s="201"/>
      <c r="Q86" s="201"/>
      <c r="R86" s="201"/>
      <c r="S86" s="201"/>
      <c r="T86" s="205"/>
      <c r="U86" s="201"/>
      <c r="V86" s="201"/>
      <c r="W86" s="201"/>
      <c r="X86" s="201"/>
      <c r="Y86" s="201"/>
      <c r="Z86" s="201"/>
      <c r="AA86" s="201"/>
      <c r="AB86" s="201"/>
      <c r="AC86" s="201"/>
      <c r="AD86" s="201"/>
      <c r="AE86" s="201"/>
      <c r="AF86" s="201"/>
      <c r="AG86" s="201" t="str">
        <f>IF(E86="","",IF(E86&gt;='Reference Tab - Do not Delete'!$E$35,'Reference Tab - Do not Delete'!$D$35,IF(AND(E86&gt;='Reference Tab - Do not Delete'!$E$36,E86&lt;'Reference Tab - Do not Delete'!$E$35),'Reference Tab - Do not Delete'!$D$36,IF(AND(E86&gt;='Reference Tab - Do not Delete'!$E$37,E86&lt;'Reference Tab - Do not Delete'!$E$36),'Reference Tab - Do not Delete'!$D$37,IF(AND(E86&gt;='Reference Tab - Do not Delete'!$E$38,E86&lt;'Reference Tab - Do not Delete'!$E$37),'Reference Tab - Do not Delete'!$D$38,'Reference Tab - Do not Delete'!$D$39)))))</f>
        <v>$50B - $B</v>
      </c>
      <c r="AH86" s="205" t="str">
        <f t="shared" si="2"/>
        <v>Above 50</v>
      </c>
      <c r="AI86" s="205" t="str">
        <f t="shared" si="3"/>
        <v/>
      </c>
      <c r="AJ86" s="202">
        <v>0</v>
      </c>
      <c r="AK86" s="201"/>
      <c r="AL86" s="205"/>
      <c r="AM86" s="201"/>
      <c r="AN86" s="201"/>
      <c r="AO86" s="201"/>
      <c r="AP86" s="205"/>
      <c r="AQ86" s="233"/>
    </row>
    <row r="87" spans="1:43" x14ac:dyDescent="0.2">
      <c r="A87" s="201"/>
      <c r="B87" s="201" t="s">
        <v>1310</v>
      </c>
      <c r="C87" s="201">
        <v>81</v>
      </c>
      <c r="D87" s="201" t="s">
        <v>1606</v>
      </c>
      <c r="E87" s="202">
        <v>1001148000</v>
      </c>
      <c r="F87" s="203">
        <v>6.0000000000000001E-3</v>
      </c>
      <c r="G87" s="205">
        <v>82</v>
      </c>
      <c r="H87" s="205">
        <v>79</v>
      </c>
      <c r="I87" s="205" t="s">
        <v>360</v>
      </c>
      <c r="J87" s="205"/>
      <c r="K87" s="201"/>
      <c r="L87" s="201"/>
      <c r="M87" s="201"/>
      <c r="N87" s="201"/>
      <c r="O87" s="201"/>
      <c r="P87" s="201"/>
      <c r="Q87" s="201"/>
      <c r="R87" s="201"/>
      <c r="S87" s="201"/>
      <c r="T87" s="205"/>
      <c r="U87" s="201"/>
      <c r="V87" s="201"/>
      <c r="W87" s="201"/>
      <c r="X87" s="201"/>
      <c r="Y87" s="201"/>
      <c r="Z87" s="201"/>
      <c r="AA87" s="201"/>
      <c r="AB87" s="201"/>
      <c r="AC87" s="201"/>
      <c r="AD87" s="201"/>
      <c r="AE87" s="201"/>
      <c r="AF87" s="201"/>
      <c r="AG87" s="201" t="str">
        <f>IF(E87="","",IF(E87&gt;='Reference Tab - Do not Delete'!$E$35,'Reference Tab - Do not Delete'!$D$35,IF(AND(E87&gt;='Reference Tab - Do not Delete'!$E$36,E87&lt;'Reference Tab - Do not Delete'!$E$35),'Reference Tab - Do not Delete'!$D$36,IF(AND(E87&gt;='Reference Tab - Do not Delete'!$E$37,E87&lt;'Reference Tab - Do not Delete'!$E$36),'Reference Tab - Do not Delete'!$D$37,IF(AND(E87&gt;='Reference Tab - Do not Delete'!$E$38,E87&lt;'Reference Tab - Do not Delete'!$E$37),'Reference Tab - Do not Delete'!$D$38,'Reference Tab - Do not Delete'!$D$39)))))</f>
        <v>$50B - $B</v>
      </c>
      <c r="AH87" s="205" t="str">
        <f t="shared" si="2"/>
        <v>Above 50</v>
      </c>
      <c r="AI87" s="205" t="str">
        <f t="shared" si="3"/>
        <v/>
      </c>
      <c r="AJ87" s="202">
        <v>0</v>
      </c>
      <c r="AK87" s="201"/>
      <c r="AL87" s="205"/>
      <c r="AM87" s="201"/>
      <c r="AN87" s="201"/>
      <c r="AO87" s="201"/>
      <c r="AP87" s="205"/>
      <c r="AQ87" s="233"/>
    </row>
    <row r="88" spans="1:43" x14ac:dyDescent="0.2">
      <c r="A88" s="201"/>
      <c r="B88" s="201" t="s">
        <v>1369</v>
      </c>
      <c r="C88" s="201">
        <v>82</v>
      </c>
      <c r="D88" s="201" t="s">
        <v>1606</v>
      </c>
      <c r="E88" s="202">
        <v>937992000</v>
      </c>
      <c r="F88" s="203">
        <v>0.995</v>
      </c>
      <c r="G88" s="205">
        <v>83</v>
      </c>
      <c r="H88" s="205">
        <v>127</v>
      </c>
      <c r="I88" s="205" t="s">
        <v>360</v>
      </c>
      <c r="J88" s="205"/>
      <c r="K88" s="201"/>
      <c r="L88" s="201"/>
      <c r="M88" s="201"/>
      <c r="N88" s="201"/>
      <c r="O88" s="201"/>
      <c r="P88" s="201"/>
      <c r="Q88" s="201"/>
      <c r="R88" s="201"/>
      <c r="S88" s="201"/>
      <c r="T88" s="205"/>
      <c r="U88" s="201"/>
      <c r="V88" s="201"/>
      <c r="W88" s="201"/>
      <c r="X88" s="201"/>
      <c r="Y88" s="201"/>
      <c r="Z88" s="201"/>
      <c r="AA88" s="201"/>
      <c r="AB88" s="201"/>
      <c r="AC88" s="201"/>
      <c r="AD88" s="201"/>
      <c r="AE88" s="201"/>
      <c r="AF88" s="201"/>
      <c r="AG88" s="201" t="str">
        <f>IF(E88="","",IF(E88&gt;='Reference Tab - Do not Delete'!$E$35,'Reference Tab - Do not Delete'!$D$35,IF(AND(E88&gt;='Reference Tab - Do not Delete'!$E$36,E88&lt;'Reference Tab - Do not Delete'!$E$35),'Reference Tab - Do not Delete'!$D$36,IF(AND(E88&gt;='Reference Tab - Do not Delete'!$E$37,E88&lt;'Reference Tab - Do not Delete'!$E$36),'Reference Tab - Do not Delete'!$D$37,IF(AND(E88&gt;='Reference Tab - Do not Delete'!$E$38,E88&lt;'Reference Tab - Do not Delete'!$E$37),'Reference Tab - Do not Delete'!$D$38,'Reference Tab - Do not Delete'!$D$39)))))</f>
        <v>$B - $500M</v>
      </c>
      <c r="AH88" s="205" t="str">
        <f t="shared" si="2"/>
        <v>Above 50</v>
      </c>
      <c r="AI88" s="205" t="str">
        <f t="shared" si="3"/>
        <v/>
      </c>
      <c r="AJ88" s="202">
        <v>0</v>
      </c>
      <c r="AK88" s="201"/>
      <c r="AL88" s="205"/>
      <c r="AM88" s="201"/>
      <c r="AN88" s="201"/>
      <c r="AO88" s="201"/>
      <c r="AP88" s="205"/>
      <c r="AQ88" s="233"/>
    </row>
    <row r="89" spans="1:43" x14ac:dyDescent="0.2">
      <c r="A89" s="201"/>
      <c r="B89" s="201" t="s">
        <v>1313</v>
      </c>
      <c r="C89" s="201">
        <v>83</v>
      </c>
      <c r="D89" s="201" t="s">
        <v>1606</v>
      </c>
      <c r="E89" s="202">
        <v>930654000</v>
      </c>
      <c r="F89" s="203">
        <v>3.0000000000000001E-3</v>
      </c>
      <c r="G89" s="205">
        <v>84</v>
      </c>
      <c r="H89" s="205">
        <v>82</v>
      </c>
      <c r="I89" s="205" t="s">
        <v>360</v>
      </c>
      <c r="J89" s="205"/>
      <c r="K89" s="201"/>
      <c r="L89" s="201"/>
      <c r="M89" s="201"/>
      <c r="N89" s="201"/>
      <c r="O89" s="201"/>
      <c r="P89" s="201"/>
      <c r="Q89" s="201"/>
      <c r="R89" s="201"/>
      <c r="S89" s="201"/>
      <c r="T89" s="205"/>
      <c r="U89" s="201"/>
      <c r="V89" s="201"/>
      <c r="W89" s="201"/>
      <c r="X89" s="201"/>
      <c r="Y89" s="201"/>
      <c r="Z89" s="201"/>
      <c r="AA89" s="201"/>
      <c r="AB89" s="201"/>
      <c r="AC89" s="201"/>
      <c r="AD89" s="201"/>
      <c r="AE89" s="201"/>
      <c r="AF89" s="201"/>
      <c r="AG89" s="201" t="str">
        <f>IF(E89="","",IF(E89&gt;='Reference Tab - Do not Delete'!$E$35,'Reference Tab - Do not Delete'!$D$35,IF(AND(E89&gt;='Reference Tab - Do not Delete'!$E$36,E89&lt;'Reference Tab - Do not Delete'!$E$35),'Reference Tab - Do not Delete'!$D$36,IF(AND(E89&gt;='Reference Tab - Do not Delete'!$E$37,E89&lt;'Reference Tab - Do not Delete'!$E$36),'Reference Tab - Do not Delete'!$D$37,IF(AND(E89&gt;='Reference Tab - Do not Delete'!$E$38,E89&lt;'Reference Tab - Do not Delete'!$E$37),'Reference Tab - Do not Delete'!$D$38,'Reference Tab - Do not Delete'!$D$39)))))</f>
        <v>$B - $500M</v>
      </c>
      <c r="AH89" s="205" t="str">
        <f t="shared" si="2"/>
        <v>Above 50</v>
      </c>
      <c r="AI89" s="205" t="str">
        <f t="shared" si="3"/>
        <v/>
      </c>
      <c r="AJ89" s="202">
        <v>0</v>
      </c>
      <c r="AK89" s="201"/>
      <c r="AL89" s="205"/>
      <c r="AM89" s="201"/>
      <c r="AN89" s="201"/>
      <c r="AO89" s="201"/>
      <c r="AP89" s="205"/>
      <c r="AQ89" s="233"/>
    </row>
    <row r="90" spans="1:43" x14ac:dyDescent="0.2">
      <c r="A90" s="201"/>
      <c r="B90" s="201" t="s">
        <v>1316</v>
      </c>
      <c r="C90" s="201">
        <v>84</v>
      </c>
      <c r="D90" s="201" t="s">
        <v>1606</v>
      </c>
      <c r="E90" s="202">
        <v>927856000</v>
      </c>
      <c r="F90" s="203">
        <v>0.05</v>
      </c>
      <c r="G90" s="205">
        <v>85</v>
      </c>
      <c r="H90" s="205">
        <v>86</v>
      </c>
      <c r="I90" s="205" t="s">
        <v>360</v>
      </c>
      <c r="J90" s="205"/>
      <c r="K90" s="201"/>
      <c r="L90" s="201"/>
      <c r="M90" s="201"/>
      <c r="N90" s="201"/>
      <c r="O90" s="201"/>
      <c r="P90" s="201"/>
      <c r="Q90" s="201"/>
      <c r="R90" s="201"/>
      <c r="S90" s="201"/>
      <c r="T90" s="205"/>
      <c r="U90" s="201"/>
      <c r="V90" s="201"/>
      <c r="W90" s="201"/>
      <c r="X90" s="201"/>
      <c r="Y90" s="201"/>
      <c r="Z90" s="201"/>
      <c r="AA90" s="201"/>
      <c r="AB90" s="201"/>
      <c r="AC90" s="201"/>
      <c r="AD90" s="201"/>
      <c r="AE90" s="201"/>
      <c r="AF90" s="201"/>
      <c r="AG90" s="201" t="str">
        <f>IF(E90="","",IF(E90&gt;='Reference Tab - Do not Delete'!$E$35,'Reference Tab - Do not Delete'!$D$35,IF(AND(E90&gt;='Reference Tab - Do not Delete'!$E$36,E90&lt;'Reference Tab - Do not Delete'!$E$35),'Reference Tab - Do not Delete'!$D$36,IF(AND(E90&gt;='Reference Tab - Do not Delete'!$E$37,E90&lt;'Reference Tab - Do not Delete'!$E$36),'Reference Tab - Do not Delete'!$D$37,IF(AND(E90&gt;='Reference Tab - Do not Delete'!$E$38,E90&lt;'Reference Tab - Do not Delete'!$E$37),'Reference Tab - Do not Delete'!$D$38,'Reference Tab - Do not Delete'!$D$39)))))</f>
        <v>$B - $500M</v>
      </c>
      <c r="AH90" s="205" t="str">
        <f t="shared" si="2"/>
        <v>Above 50</v>
      </c>
      <c r="AI90" s="205" t="str">
        <f t="shared" si="3"/>
        <v/>
      </c>
      <c r="AJ90" s="202">
        <v>0</v>
      </c>
      <c r="AK90" s="201"/>
      <c r="AL90" s="205"/>
      <c r="AM90" s="201"/>
      <c r="AN90" s="201"/>
      <c r="AO90" s="201"/>
      <c r="AP90" s="205"/>
      <c r="AQ90" s="233"/>
    </row>
    <row r="91" spans="1:43" x14ac:dyDescent="0.2">
      <c r="A91" s="201"/>
      <c r="B91" s="201" t="s">
        <v>1370</v>
      </c>
      <c r="C91" s="201">
        <v>85</v>
      </c>
      <c r="D91" s="201" t="s">
        <v>1606</v>
      </c>
      <c r="E91" s="202">
        <v>917599000</v>
      </c>
      <c r="F91" s="203">
        <v>9.0000000000000011E-3</v>
      </c>
      <c r="G91" s="205">
        <v>86</v>
      </c>
      <c r="H91" s="205">
        <v>83</v>
      </c>
      <c r="I91" s="205" t="s">
        <v>360</v>
      </c>
      <c r="J91" s="205"/>
      <c r="K91" s="201"/>
      <c r="L91" s="201"/>
      <c r="M91" s="201"/>
      <c r="N91" s="201"/>
      <c r="O91" s="201"/>
      <c r="P91" s="201"/>
      <c r="Q91" s="201"/>
      <c r="R91" s="201"/>
      <c r="S91" s="201"/>
      <c r="T91" s="205"/>
      <c r="U91" s="201"/>
      <c r="V91" s="201"/>
      <c r="W91" s="201"/>
      <c r="X91" s="201"/>
      <c r="Y91" s="201"/>
      <c r="Z91" s="201"/>
      <c r="AA91" s="201"/>
      <c r="AB91" s="201"/>
      <c r="AC91" s="201"/>
      <c r="AD91" s="201"/>
      <c r="AE91" s="201"/>
      <c r="AF91" s="201"/>
      <c r="AG91" s="201" t="str">
        <f>IF(E91="","",IF(E91&gt;='Reference Tab - Do not Delete'!$E$35,'Reference Tab - Do not Delete'!$D$35,IF(AND(E91&gt;='Reference Tab - Do not Delete'!$E$36,E91&lt;'Reference Tab - Do not Delete'!$E$35),'Reference Tab - Do not Delete'!$D$36,IF(AND(E91&gt;='Reference Tab - Do not Delete'!$E$37,E91&lt;'Reference Tab - Do not Delete'!$E$36),'Reference Tab - Do not Delete'!$D$37,IF(AND(E91&gt;='Reference Tab - Do not Delete'!$E$38,E91&lt;'Reference Tab - Do not Delete'!$E$37),'Reference Tab - Do not Delete'!$D$38,'Reference Tab - Do not Delete'!$D$39)))))</f>
        <v>$B - $500M</v>
      </c>
      <c r="AH91" s="205" t="str">
        <f t="shared" si="2"/>
        <v>Above 50</v>
      </c>
      <c r="AI91" s="205" t="str">
        <f t="shared" si="3"/>
        <v/>
      </c>
      <c r="AJ91" s="202">
        <v>0</v>
      </c>
      <c r="AK91" s="201"/>
      <c r="AL91" s="205"/>
      <c r="AM91" s="201"/>
      <c r="AN91" s="201"/>
      <c r="AO91" s="201"/>
      <c r="AP91" s="205"/>
      <c r="AQ91" s="233"/>
    </row>
    <row r="92" spans="1:43" x14ac:dyDescent="0.2">
      <c r="A92" s="201"/>
      <c r="B92" s="201" t="s">
        <v>1315</v>
      </c>
      <c r="C92" s="201">
        <v>86</v>
      </c>
      <c r="D92" s="201" t="s">
        <v>1606</v>
      </c>
      <c r="E92" s="202">
        <v>916803000</v>
      </c>
      <c r="F92" s="203">
        <v>1.6E-2</v>
      </c>
      <c r="G92" s="205">
        <v>87</v>
      </c>
      <c r="H92" s="205">
        <v>85</v>
      </c>
      <c r="I92" s="205" t="s">
        <v>360</v>
      </c>
      <c r="J92" s="205"/>
      <c r="K92" s="201"/>
      <c r="L92" s="201"/>
      <c r="M92" s="201"/>
      <c r="N92" s="201"/>
      <c r="O92" s="201"/>
      <c r="P92" s="201"/>
      <c r="Q92" s="201"/>
      <c r="R92" s="201"/>
      <c r="S92" s="201"/>
      <c r="T92" s="205"/>
      <c r="U92" s="201"/>
      <c r="V92" s="201"/>
      <c r="W92" s="201"/>
      <c r="X92" s="201"/>
      <c r="Y92" s="201"/>
      <c r="Z92" s="201"/>
      <c r="AA92" s="201"/>
      <c r="AB92" s="201"/>
      <c r="AC92" s="201"/>
      <c r="AD92" s="201"/>
      <c r="AE92" s="201"/>
      <c r="AF92" s="201"/>
      <c r="AG92" s="201" t="str">
        <f>IF(E92="","",IF(E92&gt;='Reference Tab - Do not Delete'!$E$35,'Reference Tab - Do not Delete'!$D$35,IF(AND(E92&gt;='Reference Tab - Do not Delete'!$E$36,E92&lt;'Reference Tab - Do not Delete'!$E$35),'Reference Tab - Do not Delete'!$D$36,IF(AND(E92&gt;='Reference Tab - Do not Delete'!$E$37,E92&lt;'Reference Tab - Do not Delete'!$E$36),'Reference Tab - Do not Delete'!$D$37,IF(AND(E92&gt;='Reference Tab - Do not Delete'!$E$38,E92&lt;'Reference Tab - Do not Delete'!$E$37),'Reference Tab - Do not Delete'!$D$38,'Reference Tab - Do not Delete'!$D$39)))))</f>
        <v>$B - $500M</v>
      </c>
      <c r="AH92" s="205" t="str">
        <f t="shared" si="2"/>
        <v>Above 50</v>
      </c>
      <c r="AI92" s="205" t="str">
        <f t="shared" si="3"/>
        <v/>
      </c>
      <c r="AJ92" s="202">
        <v>0</v>
      </c>
      <c r="AK92" s="201"/>
      <c r="AL92" s="205"/>
      <c r="AM92" s="201"/>
      <c r="AN92" s="201"/>
      <c r="AO92" s="201"/>
      <c r="AP92" s="205"/>
      <c r="AQ92" s="233"/>
    </row>
    <row r="93" spans="1:43" x14ac:dyDescent="0.2">
      <c r="A93" s="201"/>
      <c r="B93" s="201" t="s">
        <v>1318</v>
      </c>
      <c r="C93" s="201">
        <v>87</v>
      </c>
      <c r="D93" s="201" t="s">
        <v>1606</v>
      </c>
      <c r="E93" s="202">
        <v>869845000</v>
      </c>
      <c r="F93" s="203">
        <v>5.0999999999999997E-2</v>
      </c>
      <c r="G93" s="205">
        <v>88</v>
      </c>
      <c r="H93" s="205">
        <v>88</v>
      </c>
      <c r="I93" s="205" t="s">
        <v>360</v>
      </c>
      <c r="J93" s="205"/>
      <c r="K93" s="201"/>
      <c r="L93" s="201"/>
      <c r="M93" s="201"/>
      <c r="N93" s="201"/>
      <c r="O93" s="201"/>
      <c r="P93" s="201"/>
      <c r="Q93" s="201"/>
      <c r="R93" s="201"/>
      <c r="S93" s="201"/>
      <c r="T93" s="205"/>
      <c r="U93" s="201"/>
      <c r="V93" s="201"/>
      <c r="W93" s="201"/>
      <c r="X93" s="201"/>
      <c r="Y93" s="201"/>
      <c r="Z93" s="201"/>
      <c r="AA93" s="201"/>
      <c r="AB93" s="201"/>
      <c r="AC93" s="201"/>
      <c r="AD93" s="201"/>
      <c r="AE93" s="201"/>
      <c r="AF93" s="201"/>
      <c r="AG93" s="201" t="str">
        <f>IF(E93="","",IF(E93&gt;='Reference Tab - Do not Delete'!$E$35,'Reference Tab - Do not Delete'!$D$35,IF(AND(E93&gt;='Reference Tab - Do not Delete'!$E$36,E93&lt;'Reference Tab - Do not Delete'!$E$35),'Reference Tab - Do not Delete'!$D$36,IF(AND(E93&gt;='Reference Tab - Do not Delete'!$E$37,E93&lt;'Reference Tab - Do not Delete'!$E$36),'Reference Tab - Do not Delete'!$D$37,IF(AND(E93&gt;='Reference Tab - Do not Delete'!$E$38,E93&lt;'Reference Tab - Do not Delete'!$E$37),'Reference Tab - Do not Delete'!$D$38,'Reference Tab - Do not Delete'!$D$39)))))</f>
        <v>$B - $500M</v>
      </c>
      <c r="AH93" s="205" t="str">
        <f t="shared" si="2"/>
        <v>Above 50</v>
      </c>
      <c r="AI93" s="205" t="str">
        <f t="shared" si="3"/>
        <v/>
      </c>
      <c r="AJ93" s="202">
        <v>0</v>
      </c>
      <c r="AK93" s="201"/>
      <c r="AL93" s="205"/>
      <c r="AM93" s="201"/>
      <c r="AN93" s="201"/>
      <c r="AO93" s="201"/>
      <c r="AP93" s="205"/>
      <c r="AQ93" s="233"/>
    </row>
    <row r="94" spans="1:43" x14ac:dyDescent="0.2">
      <c r="A94" s="201"/>
      <c r="B94" s="201" t="s">
        <v>1319</v>
      </c>
      <c r="C94" s="201">
        <v>88</v>
      </c>
      <c r="D94" s="201" t="s">
        <v>1606</v>
      </c>
      <c r="E94" s="202">
        <v>880337000</v>
      </c>
      <c r="F94" s="203">
        <v>4.4999999999999998E-2</v>
      </c>
      <c r="G94" s="205">
        <v>88</v>
      </c>
      <c r="H94" s="205">
        <v>90</v>
      </c>
      <c r="I94" s="205" t="s">
        <v>360</v>
      </c>
      <c r="J94" s="205"/>
      <c r="K94" s="201"/>
      <c r="L94" s="201"/>
      <c r="M94" s="201"/>
      <c r="N94" s="201"/>
      <c r="O94" s="201"/>
      <c r="P94" s="201"/>
      <c r="Q94" s="201"/>
      <c r="R94" s="201"/>
      <c r="S94" s="201"/>
      <c r="T94" s="205"/>
      <c r="U94" s="201"/>
      <c r="V94" s="201"/>
      <c r="W94" s="201"/>
      <c r="X94" s="201"/>
      <c r="Y94" s="201"/>
      <c r="Z94" s="201"/>
      <c r="AA94" s="201"/>
      <c r="AB94" s="201"/>
      <c r="AC94" s="201"/>
      <c r="AD94" s="201"/>
      <c r="AE94" s="201"/>
      <c r="AF94" s="201"/>
      <c r="AG94" s="201" t="str">
        <f>IF(E94="","",IF(E94&gt;='Reference Tab - Do not Delete'!$E$35,'Reference Tab - Do not Delete'!$D$35,IF(AND(E94&gt;='Reference Tab - Do not Delete'!$E$36,E94&lt;'Reference Tab - Do not Delete'!$E$35),'Reference Tab - Do not Delete'!$D$36,IF(AND(E94&gt;='Reference Tab - Do not Delete'!$E$37,E94&lt;'Reference Tab - Do not Delete'!$E$36),'Reference Tab - Do not Delete'!$D$37,IF(AND(E94&gt;='Reference Tab - Do not Delete'!$E$38,E94&lt;'Reference Tab - Do not Delete'!$E$37),'Reference Tab - Do not Delete'!$D$38,'Reference Tab - Do not Delete'!$D$39)))))</f>
        <v>$B - $500M</v>
      </c>
      <c r="AH94" s="205" t="str">
        <f t="shared" si="2"/>
        <v>Above 50</v>
      </c>
      <c r="AI94" s="205" t="str">
        <f t="shared" si="3"/>
        <v/>
      </c>
      <c r="AJ94" s="202">
        <v>0</v>
      </c>
      <c r="AK94" s="201"/>
      <c r="AL94" s="205"/>
      <c r="AM94" s="201"/>
      <c r="AN94" s="201"/>
      <c r="AO94" s="201"/>
      <c r="AP94" s="205"/>
      <c r="AQ94" s="233"/>
    </row>
    <row r="95" spans="1:43" x14ac:dyDescent="0.2">
      <c r="A95" s="201"/>
      <c r="B95" s="201" t="s">
        <v>1317</v>
      </c>
      <c r="C95" s="201">
        <v>89</v>
      </c>
      <c r="D95" s="201" t="s">
        <v>1606</v>
      </c>
      <c r="E95" s="202">
        <v>850789000</v>
      </c>
      <c r="F95" s="203">
        <v>6.0000000000000001E-3</v>
      </c>
      <c r="G95" s="205">
        <v>90</v>
      </c>
      <c r="H95" s="205">
        <v>88</v>
      </c>
      <c r="I95" s="205" t="s">
        <v>360</v>
      </c>
      <c r="J95" s="205"/>
      <c r="K95" s="201"/>
      <c r="L95" s="201"/>
      <c r="M95" s="201"/>
      <c r="N95" s="201"/>
      <c r="O95" s="201"/>
      <c r="P95" s="201"/>
      <c r="Q95" s="201"/>
      <c r="R95" s="201"/>
      <c r="S95" s="201"/>
      <c r="T95" s="205"/>
      <c r="U95" s="201"/>
      <c r="V95" s="201"/>
      <c r="W95" s="201"/>
      <c r="X95" s="201"/>
      <c r="Y95" s="201"/>
      <c r="Z95" s="201"/>
      <c r="AA95" s="201"/>
      <c r="AB95" s="201"/>
      <c r="AC95" s="201"/>
      <c r="AD95" s="201"/>
      <c r="AE95" s="201"/>
      <c r="AF95" s="201"/>
      <c r="AG95" s="201" t="str">
        <f>IF(E95="","",IF(E95&gt;='Reference Tab - Do not Delete'!$E$35,'Reference Tab - Do not Delete'!$D$35,IF(AND(E95&gt;='Reference Tab - Do not Delete'!$E$36,E95&lt;'Reference Tab - Do not Delete'!$E$35),'Reference Tab - Do not Delete'!$D$36,IF(AND(E95&gt;='Reference Tab - Do not Delete'!$E$37,E95&lt;'Reference Tab - Do not Delete'!$E$36),'Reference Tab - Do not Delete'!$D$37,IF(AND(E95&gt;='Reference Tab - Do not Delete'!$E$38,E95&lt;'Reference Tab - Do not Delete'!$E$37),'Reference Tab - Do not Delete'!$D$38,'Reference Tab - Do not Delete'!$D$39)))))</f>
        <v>$B - $500M</v>
      </c>
      <c r="AH95" s="205" t="str">
        <f t="shared" si="2"/>
        <v>Above 50</v>
      </c>
      <c r="AI95" s="205" t="str">
        <f t="shared" si="3"/>
        <v/>
      </c>
      <c r="AJ95" s="202">
        <v>0</v>
      </c>
      <c r="AK95" s="201"/>
      <c r="AL95" s="205"/>
      <c r="AM95" s="201"/>
      <c r="AN95" s="201"/>
      <c r="AO95" s="201"/>
      <c r="AP95" s="205"/>
      <c r="AQ95" s="233"/>
    </row>
    <row r="96" spans="1:43" x14ac:dyDescent="0.2">
      <c r="A96" s="201"/>
      <c r="B96" s="201" t="s">
        <v>1324</v>
      </c>
      <c r="C96" s="201">
        <v>90</v>
      </c>
      <c r="D96" s="201" t="s">
        <v>1606</v>
      </c>
      <c r="E96" s="202">
        <v>845741000</v>
      </c>
      <c r="F96" s="203">
        <v>9.5000000000000001E-2</v>
      </c>
      <c r="G96" s="205">
        <v>91</v>
      </c>
      <c r="H96" s="205">
        <v>96</v>
      </c>
      <c r="I96" s="205" t="s">
        <v>360</v>
      </c>
      <c r="J96" s="205"/>
      <c r="K96" s="201"/>
      <c r="L96" s="201"/>
      <c r="M96" s="201"/>
      <c r="N96" s="201"/>
      <c r="O96" s="201"/>
      <c r="P96" s="201"/>
      <c r="Q96" s="201"/>
      <c r="R96" s="201"/>
      <c r="S96" s="201"/>
      <c r="T96" s="205"/>
      <c r="U96" s="201"/>
      <c r="V96" s="201"/>
      <c r="W96" s="201"/>
      <c r="X96" s="201"/>
      <c r="Y96" s="201"/>
      <c r="Z96" s="201"/>
      <c r="AA96" s="201"/>
      <c r="AB96" s="201"/>
      <c r="AC96" s="201"/>
      <c r="AD96" s="201"/>
      <c r="AE96" s="201"/>
      <c r="AF96" s="201"/>
      <c r="AG96" s="201" t="str">
        <f>IF(E96="","",IF(E96&gt;='Reference Tab - Do not Delete'!$E$35,'Reference Tab - Do not Delete'!$D$35,IF(AND(E96&gt;='Reference Tab - Do not Delete'!$E$36,E96&lt;'Reference Tab - Do not Delete'!$E$35),'Reference Tab - Do not Delete'!$D$36,IF(AND(E96&gt;='Reference Tab - Do not Delete'!$E$37,E96&lt;'Reference Tab - Do not Delete'!$E$36),'Reference Tab - Do not Delete'!$D$37,IF(AND(E96&gt;='Reference Tab - Do not Delete'!$E$38,E96&lt;'Reference Tab - Do not Delete'!$E$37),'Reference Tab - Do not Delete'!$D$38,'Reference Tab - Do not Delete'!$D$39)))))</f>
        <v>$B - $500M</v>
      </c>
      <c r="AH96" s="205" t="str">
        <f t="shared" si="2"/>
        <v>Above 50</v>
      </c>
      <c r="AI96" s="205" t="str">
        <f t="shared" si="3"/>
        <v/>
      </c>
      <c r="AJ96" s="202">
        <v>0</v>
      </c>
      <c r="AK96" s="201"/>
      <c r="AL96" s="205"/>
      <c r="AM96" s="201"/>
      <c r="AN96" s="201"/>
      <c r="AO96" s="201"/>
      <c r="AP96" s="205"/>
      <c r="AQ96" s="233"/>
    </row>
    <row r="97" spans="1:43" x14ac:dyDescent="0.2">
      <c r="A97" s="201"/>
      <c r="B97" s="201" t="s">
        <v>1325</v>
      </c>
      <c r="C97" s="201">
        <v>91</v>
      </c>
      <c r="D97" s="201" t="s">
        <v>1606</v>
      </c>
      <c r="E97" s="202">
        <v>840768000</v>
      </c>
      <c r="F97" s="203">
        <v>6.6000000000000003E-2</v>
      </c>
      <c r="G97" s="205">
        <v>92</v>
      </c>
      <c r="H97" s="205">
        <v>93</v>
      </c>
      <c r="I97" s="205" t="s">
        <v>360</v>
      </c>
      <c r="J97" s="205"/>
      <c r="K97" s="201"/>
      <c r="L97" s="201"/>
      <c r="M97" s="201"/>
      <c r="N97" s="201"/>
      <c r="O97" s="201"/>
      <c r="P97" s="201"/>
      <c r="Q97" s="201"/>
      <c r="R97" s="201"/>
      <c r="S97" s="201"/>
      <c r="T97" s="205"/>
      <c r="U97" s="201"/>
      <c r="V97" s="201"/>
      <c r="W97" s="201"/>
      <c r="X97" s="201"/>
      <c r="Y97" s="201"/>
      <c r="Z97" s="201"/>
      <c r="AA97" s="201"/>
      <c r="AB97" s="201"/>
      <c r="AC97" s="201"/>
      <c r="AD97" s="201"/>
      <c r="AE97" s="201"/>
      <c r="AF97" s="201"/>
      <c r="AG97" s="201" t="str">
        <f>IF(E97="","",IF(E97&gt;='Reference Tab - Do not Delete'!$E$35,'Reference Tab - Do not Delete'!$D$35,IF(AND(E97&gt;='Reference Tab - Do not Delete'!$E$36,E97&lt;'Reference Tab - Do not Delete'!$E$35),'Reference Tab - Do not Delete'!$D$36,IF(AND(E97&gt;='Reference Tab - Do not Delete'!$E$37,E97&lt;'Reference Tab - Do not Delete'!$E$36),'Reference Tab - Do not Delete'!$D$37,IF(AND(E97&gt;='Reference Tab - Do not Delete'!$E$38,E97&lt;'Reference Tab - Do not Delete'!$E$37),'Reference Tab - Do not Delete'!$D$38,'Reference Tab - Do not Delete'!$D$39)))))</f>
        <v>$B - $500M</v>
      </c>
      <c r="AH97" s="205" t="str">
        <f t="shared" si="2"/>
        <v>Above 50</v>
      </c>
      <c r="AI97" s="205" t="str">
        <f t="shared" si="3"/>
        <v/>
      </c>
      <c r="AJ97" s="202">
        <v>0</v>
      </c>
      <c r="AK97" s="201"/>
      <c r="AL97" s="205"/>
      <c r="AM97" s="201"/>
      <c r="AN97" s="201"/>
      <c r="AO97" s="201"/>
      <c r="AP97" s="205"/>
      <c r="AQ97" s="233"/>
    </row>
    <row r="98" spans="1:43" x14ac:dyDescent="0.2">
      <c r="A98" s="201"/>
      <c r="B98" s="201" t="s">
        <v>1326</v>
      </c>
      <c r="C98" s="201">
        <v>92</v>
      </c>
      <c r="D98" s="201" t="s">
        <v>1606</v>
      </c>
      <c r="E98" s="202">
        <v>818540000</v>
      </c>
      <c r="F98" s="203">
        <v>7.0999999999999994E-2</v>
      </c>
      <c r="G98" s="205">
        <v>93</v>
      </c>
      <c r="H98" s="205">
        <v>97</v>
      </c>
      <c r="I98" s="205" t="s">
        <v>360</v>
      </c>
      <c r="J98" s="205"/>
      <c r="K98" s="201"/>
      <c r="L98" s="201"/>
      <c r="M98" s="201"/>
      <c r="N98" s="201"/>
      <c r="O98" s="201"/>
      <c r="P98" s="201"/>
      <c r="Q98" s="201"/>
      <c r="R98" s="201"/>
      <c r="S98" s="201"/>
      <c r="T98" s="205"/>
      <c r="U98" s="201"/>
      <c r="V98" s="201"/>
      <c r="W98" s="201"/>
      <c r="X98" s="201"/>
      <c r="Y98" s="201"/>
      <c r="Z98" s="201"/>
      <c r="AA98" s="201"/>
      <c r="AB98" s="201"/>
      <c r="AC98" s="201"/>
      <c r="AD98" s="201"/>
      <c r="AE98" s="201"/>
      <c r="AF98" s="201"/>
      <c r="AG98" s="201" t="str">
        <f>IF(E98="","",IF(E98&gt;='Reference Tab - Do not Delete'!$E$35,'Reference Tab - Do not Delete'!$D$35,IF(AND(E98&gt;='Reference Tab - Do not Delete'!$E$36,E98&lt;'Reference Tab - Do not Delete'!$E$35),'Reference Tab - Do not Delete'!$D$36,IF(AND(E98&gt;='Reference Tab - Do not Delete'!$E$37,E98&lt;'Reference Tab - Do not Delete'!$E$36),'Reference Tab - Do not Delete'!$D$37,IF(AND(E98&gt;='Reference Tab - Do not Delete'!$E$38,E98&lt;'Reference Tab - Do not Delete'!$E$37),'Reference Tab - Do not Delete'!$D$38,'Reference Tab - Do not Delete'!$D$39)))))</f>
        <v>$B - $500M</v>
      </c>
      <c r="AH98" s="205" t="str">
        <f t="shared" si="2"/>
        <v>Above 50</v>
      </c>
      <c r="AI98" s="205" t="str">
        <f t="shared" si="3"/>
        <v/>
      </c>
      <c r="AJ98" s="202">
        <v>0</v>
      </c>
      <c r="AK98" s="201"/>
      <c r="AL98" s="205"/>
      <c r="AM98" s="201"/>
      <c r="AN98" s="201"/>
      <c r="AO98" s="201"/>
      <c r="AP98" s="205"/>
      <c r="AQ98" s="233"/>
    </row>
    <row r="99" spans="1:43" x14ac:dyDescent="0.2">
      <c r="A99" s="201"/>
      <c r="B99" s="201" t="s">
        <v>1321</v>
      </c>
      <c r="C99" s="201">
        <v>93</v>
      </c>
      <c r="D99" s="201" t="s">
        <v>1606</v>
      </c>
      <c r="E99" s="202">
        <v>810502000</v>
      </c>
      <c r="F99" s="203">
        <v>5.0000000000000001E-3</v>
      </c>
      <c r="G99" s="205">
        <v>94</v>
      </c>
      <c r="H99" s="205">
        <v>92</v>
      </c>
      <c r="I99" s="205" t="s">
        <v>360</v>
      </c>
      <c r="J99" s="205"/>
      <c r="K99" s="201"/>
      <c r="L99" s="201"/>
      <c r="M99" s="201"/>
      <c r="N99" s="201"/>
      <c r="O99" s="201"/>
      <c r="P99" s="201"/>
      <c r="Q99" s="201"/>
      <c r="R99" s="201"/>
      <c r="S99" s="201"/>
      <c r="T99" s="205"/>
      <c r="U99" s="201"/>
      <c r="V99" s="201"/>
      <c r="W99" s="201"/>
      <c r="X99" s="201"/>
      <c r="Y99" s="201"/>
      <c r="Z99" s="201"/>
      <c r="AA99" s="201"/>
      <c r="AB99" s="201"/>
      <c r="AC99" s="201"/>
      <c r="AD99" s="201"/>
      <c r="AE99" s="201"/>
      <c r="AF99" s="201"/>
      <c r="AG99" s="201" t="str">
        <f>IF(E99="","",IF(E99&gt;='Reference Tab - Do not Delete'!$E$35,'Reference Tab - Do not Delete'!$D$35,IF(AND(E99&gt;='Reference Tab - Do not Delete'!$E$36,E99&lt;'Reference Tab - Do not Delete'!$E$35),'Reference Tab - Do not Delete'!$D$36,IF(AND(E99&gt;='Reference Tab - Do not Delete'!$E$37,E99&lt;'Reference Tab - Do not Delete'!$E$36),'Reference Tab - Do not Delete'!$D$37,IF(AND(E99&gt;='Reference Tab - Do not Delete'!$E$38,E99&lt;'Reference Tab - Do not Delete'!$E$37),'Reference Tab - Do not Delete'!$D$38,'Reference Tab - Do not Delete'!$D$39)))))</f>
        <v>$B - $500M</v>
      </c>
      <c r="AH99" s="205" t="str">
        <f t="shared" si="2"/>
        <v>Above 50</v>
      </c>
      <c r="AI99" s="205" t="str">
        <f t="shared" si="3"/>
        <v/>
      </c>
      <c r="AJ99" s="202">
        <v>0</v>
      </c>
      <c r="AK99" s="201"/>
      <c r="AL99" s="205"/>
      <c r="AM99" s="201"/>
      <c r="AN99" s="201"/>
      <c r="AO99" s="201"/>
      <c r="AP99" s="205"/>
      <c r="AQ99" s="233"/>
    </row>
    <row r="100" spans="1:43" x14ac:dyDescent="0.2">
      <c r="A100" s="201"/>
      <c r="B100" s="201" t="s">
        <v>1372</v>
      </c>
      <c r="C100" s="201">
        <v>94</v>
      </c>
      <c r="D100" s="201" t="s">
        <v>1606</v>
      </c>
      <c r="E100" s="202">
        <v>803206000</v>
      </c>
      <c r="F100" s="203">
        <v>6.6000000000000003E-2</v>
      </c>
      <c r="G100" s="205">
        <v>95</v>
      </c>
      <c r="H100" s="205">
        <v>98</v>
      </c>
      <c r="I100" s="205" t="s">
        <v>360</v>
      </c>
      <c r="J100" s="205"/>
      <c r="K100" s="201"/>
      <c r="L100" s="201"/>
      <c r="M100" s="201"/>
      <c r="N100" s="201"/>
      <c r="O100" s="201"/>
      <c r="P100" s="201"/>
      <c r="Q100" s="201"/>
      <c r="R100" s="201"/>
      <c r="S100" s="201"/>
      <c r="T100" s="205"/>
      <c r="U100" s="201"/>
      <c r="V100" s="201"/>
      <c r="W100" s="201"/>
      <c r="X100" s="201"/>
      <c r="Y100" s="201"/>
      <c r="Z100" s="201"/>
      <c r="AA100" s="201"/>
      <c r="AB100" s="201"/>
      <c r="AC100" s="201"/>
      <c r="AD100" s="201"/>
      <c r="AE100" s="201"/>
      <c r="AF100" s="201"/>
      <c r="AG100" s="201" t="str">
        <f>IF(E100="","",IF(E100&gt;='Reference Tab - Do not Delete'!$E$35,'Reference Tab - Do not Delete'!$D$35,IF(AND(E100&gt;='Reference Tab - Do not Delete'!$E$36,E100&lt;'Reference Tab - Do not Delete'!$E$35),'Reference Tab - Do not Delete'!$D$36,IF(AND(E100&gt;='Reference Tab - Do not Delete'!$E$37,E100&lt;'Reference Tab - Do not Delete'!$E$36),'Reference Tab - Do not Delete'!$D$37,IF(AND(E100&gt;='Reference Tab - Do not Delete'!$E$38,E100&lt;'Reference Tab - Do not Delete'!$E$37),'Reference Tab - Do not Delete'!$D$38,'Reference Tab - Do not Delete'!$D$39)))))</f>
        <v>$B - $500M</v>
      </c>
      <c r="AH100" s="205" t="str">
        <f t="shared" si="2"/>
        <v>Above 50</v>
      </c>
      <c r="AI100" s="205" t="str">
        <f t="shared" si="3"/>
        <v/>
      </c>
      <c r="AJ100" s="202">
        <v>0</v>
      </c>
      <c r="AK100" s="201"/>
      <c r="AL100" s="205"/>
      <c r="AM100" s="201"/>
      <c r="AN100" s="201"/>
      <c r="AO100" s="201"/>
      <c r="AP100" s="205"/>
      <c r="AQ100" s="233"/>
    </row>
    <row r="101" spans="1:43" x14ac:dyDescent="0.2">
      <c r="A101" s="201"/>
      <c r="B101" s="201" t="s">
        <v>1323</v>
      </c>
      <c r="C101" s="201">
        <v>95</v>
      </c>
      <c r="D101" s="201" t="s">
        <v>1606</v>
      </c>
      <c r="E101" s="202">
        <v>801023000</v>
      </c>
      <c r="F101" s="203">
        <v>2.2000000000000002E-2</v>
      </c>
      <c r="G101" s="205">
        <v>96</v>
      </c>
      <c r="H101" s="205">
        <v>95</v>
      </c>
      <c r="I101" s="205" t="s">
        <v>360</v>
      </c>
      <c r="J101" s="205"/>
      <c r="K101" s="201"/>
      <c r="L101" s="201"/>
      <c r="M101" s="201"/>
      <c r="N101" s="201"/>
      <c r="O101" s="201"/>
      <c r="P101" s="201"/>
      <c r="Q101" s="201"/>
      <c r="R101" s="201"/>
      <c r="S101" s="201"/>
      <c r="T101" s="205"/>
      <c r="U101" s="201"/>
      <c r="V101" s="201"/>
      <c r="W101" s="201"/>
      <c r="X101" s="201"/>
      <c r="Y101" s="201"/>
      <c r="Z101" s="201"/>
      <c r="AA101" s="201"/>
      <c r="AB101" s="201"/>
      <c r="AC101" s="201"/>
      <c r="AD101" s="201"/>
      <c r="AE101" s="201"/>
      <c r="AF101" s="201"/>
      <c r="AG101" s="201" t="str">
        <f>IF(E101="","",IF(E101&gt;='Reference Tab - Do not Delete'!$E$35,'Reference Tab - Do not Delete'!$D$35,IF(AND(E101&gt;='Reference Tab - Do not Delete'!$E$36,E101&lt;'Reference Tab - Do not Delete'!$E$35),'Reference Tab - Do not Delete'!$D$36,IF(AND(E101&gt;='Reference Tab - Do not Delete'!$E$37,E101&lt;'Reference Tab - Do not Delete'!$E$36),'Reference Tab - Do not Delete'!$D$37,IF(AND(E101&gt;='Reference Tab - Do not Delete'!$E$38,E101&lt;'Reference Tab - Do not Delete'!$E$37),'Reference Tab - Do not Delete'!$D$38,'Reference Tab - Do not Delete'!$D$39)))))</f>
        <v>$B - $500M</v>
      </c>
      <c r="AH101" s="205" t="str">
        <f t="shared" si="2"/>
        <v>Above 50</v>
      </c>
      <c r="AI101" s="205" t="str">
        <f t="shared" si="3"/>
        <v/>
      </c>
      <c r="AJ101" s="202">
        <v>0</v>
      </c>
      <c r="AK101" s="201"/>
      <c r="AL101" s="205"/>
      <c r="AM101" s="201"/>
      <c r="AN101" s="201"/>
      <c r="AO101" s="201"/>
      <c r="AP101" s="205"/>
      <c r="AQ101" s="233"/>
    </row>
    <row r="102" spans="1:43" x14ac:dyDescent="0.2">
      <c r="A102" s="201"/>
      <c r="B102" s="201" t="s">
        <v>1320</v>
      </c>
      <c r="C102" s="201">
        <v>96</v>
      </c>
      <c r="D102" s="201" t="s">
        <v>1606</v>
      </c>
      <c r="E102" s="202">
        <v>796474000</v>
      </c>
      <c r="F102" s="203">
        <v>-2.8999999999999998E-2</v>
      </c>
      <c r="G102" s="205">
        <v>97</v>
      </c>
      <c r="H102" s="205">
        <v>91</v>
      </c>
      <c r="I102" s="205" t="s">
        <v>360</v>
      </c>
      <c r="J102" s="205"/>
      <c r="K102" s="201"/>
      <c r="L102" s="201"/>
      <c r="M102" s="201"/>
      <c r="N102" s="201"/>
      <c r="O102" s="201"/>
      <c r="P102" s="201"/>
      <c r="Q102" s="201"/>
      <c r="R102" s="201"/>
      <c r="S102" s="201"/>
      <c r="T102" s="205"/>
      <c r="U102" s="201"/>
      <c r="V102" s="201"/>
      <c r="W102" s="201"/>
      <c r="X102" s="201"/>
      <c r="Y102" s="201"/>
      <c r="Z102" s="201"/>
      <c r="AA102" s="201"/>
      <c r="AB102" s="201"/>
      <c r="AC102" s="201"/>
      <c r="AD102" s="201"/>
      <c r="AE102" s="201"/>
      <c r="AF102" s="201"/>
      <c r="AG102" s="201" t="str">
        <f>IF(E102="","",IF(E102&gt;='Reference Tab - Do not Delete'!$E$35,'Reference Tab - Do not Delete'!$D$35,IF(AND(E102&gt;='Reference Tab - Do not Delete'!$E$36,E102&lt;'Reference Tab - Do not Delete'!$E$35),'Reference Tab - Do not Delete'!$D$36,IF(AND(E102&gt;='Reference Tab - Do not Delete'!$E$37,E102&lt;'Reference Tab - Do not Delete'!$E$36),'Reference Tab - Do not Delete'!$D$37,IF(AND(E102&gt;='Reference Tab - Do not Delete'!$E$38,E102&lt;'Reference Tab - Do not Delete'!$E$37),'Reference Tab - Do not Delete'!$D$38,'Reference Tab - Do not Delete'!$D$39)))))</f>
        <v>$B - $500M</v>
      </c>
      <c r="AH102" s="205" t="str">
        <f t="shared" si="2"/>
        <v>Above 50</v>
      </c>
      <c r="AI102" s="205" t="str">
        <f t="shared" si="3"/>
        <v/>
      </c>
      <c r="AJ102" s="202">
        <v>0</v>
      </c>
      <c r="AK102" s="201"/>
      <c r="AL102" s="205"/>
      <c r="AM102" s="201"/>
      <c r="AN102" s="201"/>
      <c r="AO102" s="201"/>
      <c r="AP102" s="205"/>
      <c r="AQ102" s="233"/>
    </row>
    <row r="103" spans="1:43" x14ac:dyDescent="0.2">
      <c r="A103" s="201"/>
      <c r="B103" s="201" t="s">
        <v>1322</v>
      </c>
      <c r="C103" s="201">
        <v>97</v>
      </c>
      <c r="D103" s="201" t="s">
        <v>1606</v>
      </c>
      <c r="E103" s="202">
        <v>794408000</v>
      </c>
      <c r="F103" s="203">
        <v>0.01</v>
      </c>
      <c r="G103" s="205">
        <v>98</v>
      </c>
      <c r="H103" s="205">
        <v>94</v>
      </c>
      <c r="I103" s="205" t="s">
        <v>360</v>
      </c>
      <c r="J103" s="205"/>
      <c r="K103" s="201"/>
      <c r="L103" s="201"/>
      <c r="M103" s="201"/>
      <c r="N103" s="201"/>
      <c r="O103" s="201"/>
      <c r="P103" s="201"/>
      <c r="Q103" s="201"/>
      <c r="R103" s="201"/>
      <c r="S103" s="201"/>
      <c r="T103" s="205"/>
      <c r="U103" s="201"/>
      <c r="V103" s="201"/>
      <c r="W103" s="201"/>
      <c r="X103" s="201"/>
      <c r="Y103" s="201"/>
      <c r="Z103" s="201"/>
      <c r="AA103" s="201"/>
      <c r="AB103" s="201"/>
      <c r="AC103" s="201"/>
      <c r="AD103" s="201"/>
      <c r="AE103" s="201"/>
      <c r="AF103" s="201"/>
      <c r="AG103" s="201" t="str">
        <f>IF(E103="","",IF(E103&gt;='Reference Tab - Do not Delete'!$E$35,'Reference Tab - Do not Delete'!$D$35,IF(AND(E103&gt;='Reference Tab - Do not Delete'!$E$36,E103&lt;'Reference Tab - Do not Delete'!$E$35),'Reference Tab - Do not Delete'!$D$36,IF(AND(E103&gt;='Reference Tab - Do not Delete'!$E$37,E103&lt;'Reference Tab - Do not Delete'!$E$36),'Reference Tab - Do not Delete'!$D$37,IF(AND(E103&gt;='Reference Tab - Do not Delete'!$E$38,E103&lt;'Reference Tab - Do not Delete'!$E$37),'Reference Tab - Do not Delete'!$D$38,'Reference Tab - Do not Delete'!$D$39)))))</f>
        <v>$B - $500M</v>
      </c>
      <c r="AH103" s="205" t="str">
        <f t="shared" si="2"/>
        <v>Above 50</v>
      </c>
      <c r="AI103" s="205" t="str">
        <f t="shared" si="3"/>
        <v/>
      </c>
      <c r="AJ103" s="202">
        <v>0</v>
      </c>
      <c r="AK103" s="201"/>
      <c r="AL103" s="205"/>
      <c r="AM103" s="201"/>
      <c r="AN103" s="201"/>
      <c r="AO103" s="201"/>
      <c r="AP103" s="205"/>
      <c r="AQ103" s="233"/>
    </row>
    <row r="104" spans="1:43" x14ac:dyDescent="0.2">
      <c r="A104" s="201"/>
      <c r="B104" s="201" t="s">
        <v>1373</v>
      </c>
      <c r="C104" s="201">
        <v>98</v>
      </c>
      <c r="D104" s="201" t="s">
        <v>1606</v>
      </c>
      <c r="E104" s="202">
        <v>749617000</v>
      </c>
      <c r="F104" s="203">
        <v>2.1000000000000001E-2</v>
      </c>
      <c r="G104" s="205">
        <v>99</v>
      </c>
      <c r="H104" s="205">
        <v>101</v>
      </c>
      <c r="I104" s="205" t="s">
        <v>360</v>
      </c>
      <c r="J104" s="205"/>
      <c r="K104" s="201"/>
      <c r="L104" s="201"/>
      <c r="M104" s="201"/>
      <c r="N104" s="201"/>
      <c r="O104" s="201"/>
      <c r="P104" s="201"/>
      <c r="Q104" s="201"/>
      <c r="R104" s="201"/>
      <c r="S104" s="201"/>
      <c r="T104" s="205"/>
      <c r="U104" s="201"/>
      <c r="V104" s="201"/>
      <c r="W104" s="201"/>
      <c r="X104" s="201"/>
      <c r="Y104" s="201"/>
      <c r="Z104" s="201"/>
      <c r="AA104" s="201"/>
      <c r="AB104" s="201"/>
      <c r="AC104" s="201"/>
      <c r="AD104" s="201"/>
      <c r="AE104" s="201"/>
      <c r="AF104" s="201"/>
      <c r="AG104" s="201" t="str">
        <f>IF(E104="","",IF(E104&gt;='Reference Tab - Do not Delete'!$E$35,'Reference Tab - Do not Delete'!$D$35,IF(AND(E104&gt;='Reference Tab - Do not Delete'!$E$36,E104&lt;'Reference Tab - Do not Delete'!$E$35),'Reference Tab - Do not Delete'!$D$36,IF(AND(E104&gt;='Reference Tab - Do not Delete'!$E$37,E104&lt;'Reference Tab - Do not Delete'!$E$36),'Reference Tab - Do not Delete'!$D$37,IF(AND(E104&gt;='Reference Tab - Do not Delete'!$E$38,E104&lt;'Reference Tab - Do not Delete'!$E$37),'Reference Tab - Do not Delete'!$D$38,'Reference Tab - Do not Delete'!$D$39)))))</f>
        <v>$B - $500M</v>
      </c>
      <c r="AH104" s="205" t="str">
        <f t="shared" si="2"/>
        <v>Above 50</v>
      </c>
      <c r="AI104" s="205" t="str">
        <f t="shared" si="3"/>
        <v/>
      </c>
      <c r="AJ104" s="202">
        <v>0</v>
      </c>
      <c r="AK104" s="201"/>
      <c r="AL104" s="205"/>
      <c r="AM104" s="201"/>
      <c r="AN104" s="201"/>
      <c r="AO104" s="201"/>
      <c r="AP104" s="205"/>
      <c r="AQ104" s="233"/>
    </row>
    <row r="105" spans="1:43" x14ac:dyDescent="0.2">
      <c r="A105" s="201"/>
      <c r="B105" s="201" t="s">
        <v>1374</v>
      </c>
      <c r="C105" s="201">
        <v>99</v>
      </c>
      <c r="D105" s="201" t="s">
        <v>1606</v>
      </c>
      <c r="E105" s="202">
        <v>733092000</v>
      </c>
      <c r="F105" s="203">
        <v>9.6000000000000002E-2</v>
      </c>
      <c r="G105" s="205">
        <v>100</v>
      </c>
      <c r="H105" s="205">
        <v>107</v>
      </c>
      <c r="I105" s="205" t="s">
        <v>360</v>
      </c>
      <c r="J105" s="205"/>
      <c r="K105" s="201"/>
      <c r="L105" s="201"/>
      <c r="M105" s="201"/>
      <c r="N105" s="201"/>
      <c r="O105" s="201"/>
      <c r="P105" s="201"/>
      <c r="Q105" s="201"/>
      <c r="R105" s="201"/>
      <c r="S105" s="201"/>
      <c r="T105" s="205"/>
      <c r="U105" s="201"/>
      <c r="V105" s="201"/>
      <c r="W105" s="201"/>
      <c r="X105" s="201"/>
      <c r="Y105" s="201"/>
      <c r="Z105" s="201"/>
      <c r="AA105" s="201"/>
      <c r="AB105" s="201"/>
      <c r="AC105" s="201"/>
      <c r="AD105" s="201"/>
      <c r="AE105" s="201"/>
      <c r="AF105" s="201"/>
      <c r="AG105" s="201" t="str">
        <f>IF(E105="","",IF(E105&gt;='Reference Tab - Do not Delete'!$E$35,'Reference Tab - Do not Delete'!$D$35,IF(AND(E105&gt;='Reference Tab - Do not Delete'!$E$36,E105&lt;'Reference Tab - Do not Delete'!$E$35),'Reference Tab - Do not Delete'!$D$36,IF(AND(E105&gt;='Reference Tab - Do not Delete'!$E$37,E105&lt;'Reference Tab - Do not Delete'!$E$36),'Reference Tab - Do not Delete'!$D$37,IF(AND(E105&gt;='Reference Tab - Do not Delete'!$E$38,E105&lt;'Reference Tab - Do not Delete'!$E$37),'Reference Tab - Do not Delete'!$D$38,'Reference Tab - Do not Delete'!$D$39)))))</f>
        <v>$B - $500M</v>
      </c>
      <c r="AH105" s="205" t="str">
        <f t="shared" si="2"/>
        <v>Above 50</v>
      </c>
      <c r="AI105" s="205" t="str">
        <f t="shared" si="3"/>
        <v/>
      </c>
      <c r="AJ105" s="202">
        <v>0</v>
      </c>
      <c r="AK105" s="201"/>
      <c r="AL105" s="205"/>
      <c r="AM105" s="201"/>
      <c r="AN105" s="201"/>
      <c r="AO105" s="201"/>
      <c r="AP105" s="205"/>
      <c r="AQ105" s="233"/>
    </row>
    <row r="106" spans="1:43" x14ac:dyDescent="0.2">
      <c r="A106" s="201"/>
      <c r="B106" s="201" t="s">
        <v>1375</v>
      </c>
      <c r="C106" s="201">
        <v>100</v>
      </c>
      <c r="D106" s="201" t="s">
        <v>1606</v>
      </c>
      <c r="E106" s="202">
        <v>720489000</v>
      </c>
      <c r="F106" s="203">
        <v>2.2000000000000002E-2</v>
      </c>
      <c r="G106" s="205">
        <v>101</v>
      </c>
      <c r="H106" s="205">
        <v>102</v>
      </c>
      <c r="I106" s="205" t="s">
        <v>360</v>
      </c>
      <c r="J106" s="205"/>
      <c r="K106" s="201"/>
      <c r="L106" s="201"/>
      <c r="M106" s="201"/>
      <c r="N106" s="201"/>
      <c r="O106" s="201"/>
      <c r="P106" s="201"/>
      <c r="Q106" s="201"/>
      <c r="R106" s="201"/>
      <c r="S106" s="201"/>
      <c r="T106" s="205"/>
      <c r="U106" s="201"/>
      <c r="V106" s="201"/>
      <c r="W106" s="201"/>
      <c r="X106" s="201"/>
      <c r="Y106" s="201"/>
      <c r="Z106" s="201"/>
      <c r="AA106" s="201"/>
      <c r="AB106" s="201"/>
      <c r="AC106" s="201"/>
      <c r="AD106" s="201"/>
      <c r="AE106" s="201"/>
      <c r="AF106" s="201"/>
      <c r="AG106" s="201" t="str">
        <f>IF(E106="","",IF(E106&gt;='Reference Tab - Do not Delete'!$E$35,'Reference Tab - Do not Delete'!$D$35,IF(AND(E106&gt;='Reference Tab - Do not Delete'!$E$36,E106&lt;'Reference Tab - Do not Delete'!$E$35),'Reference Tab - Do not Delete'!$D$36,IF(AND(E106&gt;='Reference Tab - Do not Delete'!$E$37,E106&lt;'Reference Tab - Do not Delete'!$E$36),'Reference Tab - Do not Delete'!$D$37,IF(AND(E106&gt;='Reference Tab - Do not Delete'!$E$38,E106&lt;'Reference Tab - Do not Delete'!$E$37),'Reference Tab - Do not Delete'!$D$38,'Reference Tab - Do not Delete'!$D$39)))))</f>
        <v>$B - $500M</v>
      </c>
      <c r="AH106" s="205" t="str">
        <f t="shared" si="2"/>
        <v>Above 50</v>
      </c>
      <c r="AI106" s="205" t="str">
        <f t="shared" si="3"/>
        <v/>
      </c>
      <c r="AJ106" s="202">
        <v>0</v>
      </c>
      <c r="AK106" s="201"/>
      <c r="AL106" s="205"/>
      <c r="AM106" s="201"/>
      <c r="AN106" s="201"/>
      <c r="AO106" s="201"/>
      <c r="AP106" s="205"/>
      <c r="AQ106" s="233"/>
    </row>
    <row r="107" spans="1:43" x14ac:dyDescent="0.2">
      <c r="A107" s="201"/>
      <c r="B107" s="201" t="s">
        <v>1376</v>
      </c>
      <c r="C107" s="201">
        <v>101</v>
      </c>
      <c r="D107" s="201" t="s">
        <v>1606</v>
      </c>
      <c r="E107" s="202">
        <v>715161000</v>
      </c>
      <c r="F107" s="203">
        <v>0.03</v>
      </c>
      <c r="G107" s="205">
        <v>102</v>
      </c>
      <c r="H107" s="205">
        <v>103</v>
      </c>
      <c r="I107" s="205" t="s">
        <v>360</v>
      </c>
      <c r="J107" s="205"/>
      <c r="K107" s="201"/>
      <c r="L107" s="201"/>
      <c r="M107" s="201"/>
      <c r="N107" s="201"/>
      <c r="O107" s="201"/>
      <c r="P107" s="201"/>
      <c r="Q107" s="201"/>
      <c r="R107" s="201"/>
      <c r="S107" s="201"/>
      <c r="T107" s="205"/>
      <c r="U107" s="201"/>
      <c r="V107" s="201"/>
      <c r="W107" s="201"/>
      <c r="X107" s="201"/>
      <c r="Y107" s="201"/>
      <c r="Z107" s="201"/>
      <c r="AA107" s="201"/>
      <c r="AB107" s="201"/>
      <c r="AC107" s="201"/>
      <c r="AD107" s="201"/>
      <c r="AE107" s="201"/>
      <c r="AF107" s="201"/>
      <c r="AG107" s="201" t="str">
        <f>IF(E107="","",IF(E107&gt;='Reference Tab - Do not Delete'!$E$35,'Reference Tab - Do not Delete'!$D$35,IF(AND(E107&gt;='Reference Tab - Do not Delete'!$E$36,E107&lt;'Reference Tab - Do not Delete'!$E$35),'Reference Tab - Do not Delete'!$D$36,IF(AND(E107&gt;='Reference Tab - Do not Delete'!$E$37,E107&lt;'Reference Tab - Do not Delete'!$E$36),'Reference Tab - Do not Delete'!$D$37,IF(AND(E107&gt;='Reference Tab - Do not Delete'!$E$38,E107&lt;'Reference Tab - Do not Delete'!$E$37),'Reference Tab - Do not Delete'!$D$38,'Reference Tab - Do not Delete'!$D$39)))))</f>
        <v>$B - $500M</v>
      </c>
      <c r="AH107" s="205" t="str">
        <f t="shared" si="2"/>
        <v>Above 50</v>
      </c>
      <c r="AI107" s="205" t="str">
        <f t="shared" si="3"/>
        <v/>
      </c>
      <c r="AJ107" s="202">
        <v>0</v>
      </c>
      <c r="AK107" s="201"/>
      <c r="AL107" s="205"/>
      <c r="AM107" s="201"/>
      <c r="AN107" s="201"/>
      <c r="AO107" s="201"/>
      <c r="AP107" s="205"/>
      <c r="AQ107" s="233"/>
    </row>
    <row r="108" spans="1:43" x14ac:dyDescent="0.2">
      <c r="A108" s="201"/>
      <c r="B108" s="201" t="s">
        <v>1377</v>
      </c>
      <c r="C108" s="201">
        <v>102</v>
      </c>
      <c r="D108" s="201" t="s">
        <v>1606</v>
      </c>
      <c r="E108" s="202">
        <v>706827000</v>
      </c>
      <c r="F108" s="203">
        <v>2.6000000000000002E-2</v>
      </c>
      <c r="G108" s="205">
        <v>103</v>
      </c>
      <c r="H108" s="205">
        <v>104</v>
      </c>
      <c r="I108" s="205" t="s">
        <v>360</v>
      </c>
      <c r="J108" s="205"/>
      <c r="K108" s="201"/>
      <c r="L108" s="201"/>
      <c r="M108" s="201"/>
      <c r="N108" s="201"/>
      <c r="O108" s="201"/>
      <c r="P108" s="201"/>
      <c r="Q108" s="201"/>
      <c r="R108" s="201"/>
      <c r="S108" s="201"/>
      <c r="T108" s="205"/>
      <c r="U108" s="201"/>
      <c r="V108" s="201"/>
      <c r="W108" s="201"/>
      <c r="X108" s="201"/>
      <c r="Y108" s="201"/>
      <c r="Z108" s="201"/>
      <c r="AA108" s="201"/>
      <c r="AB108" s="201"/>
      <c r="AC108" s="201"/>
      <c r="AD108" s="201"/>
      <c r="AE108" s="201"/>
      <c r="AF108" s="201"/>
      <c r="AG108" s="201" t="str">
        <f>IF(E108="","",IF(E108&gt;='Reference Tab - Do not Delete'!$E$35,'Reference Tab - Do not Delete'!$D$35,IF(AND(E108&gt;='Reference Tab - Do not Delete'!$E$36,E108&lt;'Reference Tab - Do not Delete'!$E$35),'Reference Tab - Do not Delete'!$D$36,IF(AND(E108&gt;='Reference Tab - Do not Delete'!$E$37,E108&lt;'Reference Tab - Do not Delete'!$E$36),'Reference Tab - Do not Delete'!$D$37,IF(AND(E108&gt;='Reference Tab - Do not Delete'!$E$38,E108&lt;'Reference Tab - Do not Delete'!$E$37),'Reference Tab - Do not Delete'!$D$38,'Reference Tab - Do not Delete'!$D$39)))))</f>
        <v>$B - $500M</v>
      </c>
      <c r="AH108" s="205" t="str">
        <f t="shared" si="2"/>
        <v>Above 50</v>
      </c>
      <c r="AI108" s="205" t="str">
        <f t="shared" si="3"/>
        <v/>
      </c>
      <c r="AJ108" s="202">
        <v>0</v>
      </c>
      <c r="AK108" s="201"/>
      <c r="AL108" s="205"/>
      <c r="AM108" s="201"/>
      <c r="AN108" s="201"/>
      <c r="AO108" s="201"/>
      <c r="AP108" s="205"/>
      <c r="AQ108" s="233"/>
    </row>
    <row r="109" spans="1:43" x14ac:dyDescent="0.2">
      <c r="A109" s="201"/>
      <c r="B109" s="201" t="s">
        <v>1378</v>
      </c>
      <c r="C109" s="201">
        <v>103</v>
      </c>
      <c r="D109" s="201" t="s">
        <v>1606</v>
      </c>
      <c r="E109" s="202">
        <v>680261000</v>
      </c>
      <c r="F109" s="203">
        <v>2E-3</v>
      </c>
      <c r="G109" s="205">
        <v>104</v>
      </c>
      <c r="H109" s="205">
        <v>105</v>
      </c>
      <c r="I109" s="205" t="s">
        <v>360</v>
      </c>
      <c r="J109" s="205"/>
      <c r="K109" s="201"/>
      <c r="L109" s="201"/>
      <c r="M109" s="201"/>
      <c r="N109" s="201"/>
      <c r="O109" s="201"/>
      <c r="P109" s="201"/>
      <c r="Q109" s="201"/>
      <c r="R109" s="201"/>
      <c r="S109" s="201"/>
      <c r="T109" s="205"/>
      <c r="U109" s="201"/>
      <c r="V109" s="201"/>
      <c r="W109" s="201"/>
      <c r="X109" s="201"/>
      <c r="Y109" s="201"/>
      <c r="Z109" s="201"/>
      <c r="AA109" s="201"/>
      <c r="AB109" s="201"/>
      <c r="AC109" s="201"/>
      <c r="AD109" s="201"/>
      <c r="AE109" s="201"/>
      <c r="AF109" s="201"/>
      <c r="AG109" s="201" t="str">
        <f>IF(E109="","",IF(E109&gt;='Reference Tab - Do not Delete'!$E$35,'Reference Tab - Do not Delete'!$D$35,IF(AND(E109&gt;='Reference Tab - Do not Delete'!$E$36,E109&lt;'Reference Tab - Do not Delete'!$E$35),'Reference Tab - Do not Delete'!$D$36,IF(AND(E109&gt;='Reference Tab - Do not Delete'!$E$37,E109&lt;'Reference Tab - Do not Delete'!$E$36),'Reference Tab - Do not Delete'!$D$37,IF(AND(E109&gt;='Reference Tab - Do not Delete'!$E$38,E109&lt;'Reference Tab - Do not Delete'!$E$37),'Reference Tab - Do not Delete'!$D$38,'Reference Tab - Do not Delete'!$D$39)))))</f>
        <v>$B - $500M</v>
      </c>
      <c r="AH109" s="205" t="str">
        <f t="shared" si="2"/>
        <v>Above 50</v>
      </c>
      <c r="AI109" s="205" t="str">
        <f t="shared" si="3"/>
        <v/>
      </c>
      <c r="AJ109" s="202">
        <v>0</v>
      </c>
      <c r="AK109" s="201"/>
      <c r="AL109" s="205"/>
      <c r="AM109" s="201"/>
      <c r="AN109" s="201"/>
      <c r="AO109" s="201"/>
      <c r="AP109" s="205"/>
      <c r="AQ109" s="233"/>
    </row>
    <row r="110" spans="1:43" x14ac:dyDescent="0.2">
      <c r="A110" s="201"/>
      <c r="B110" s="201" t="s">
        <v>1379</v>
      </c>
      <c r="C110" s="201">
        <v>104</v>
      </c>
      <c r="D110" s="201" t="s">
        <v>1606</v>
      </c>
      <c r="E110" s="202">
        <v>679060000</v>
      </c>
      <c r="F110" s="203">
        <v>1.1000000000000001E-2</v>
      </c>
      <c r="G110" s="205">
        <v>105</v>
      </c>
      <c r="H110" s="205">
        <v>1116</v>
      </c>
      <c r="I110" s="205" t="s">
        <v>360</v>
      </c>
      <c r="J110" s="205"/>
      <c r="K110" s="201"/>
      <c r="L110" s="201"/>
      <c r="M110" s="201"/>
      <c r="N110" s="201"/>
      <c r="O110" s="201"/>
      <c r="P110" s="201"/>
      <c r="Q110" s="201"/>
      <c r="R110" s="201"/>
      <c r="S110" s="201"/>
      <c r="T110" s="205"/>
      <c r="U110" s="201"/>
      <c r="V110" s="201"/>
      <c r="W110" s="201"/>
      <c r="X110" s="201"/>
      <c r="Y110" s="201"/>
      <c r="Z110" s="201"/>
      <c r="AA110" s="201"/>
      <c r="AB110" s="201"/>
      <c r="AC110" s="201"/>
      <c r="AD110" s="201"/>
      <c r="AE110" s="201"/>
      <c r="AF110" s="201"/>
      <c r="AG110" s="201" t="str">
        <f>IF(E110="","",IF(E110&gt;='Reference Tab - Do not Delete'!$E$35,'Reference Tab - Do not Delete'!$D$35,IF(AND(E110&gt;='Reference Tab - Do not Delete'!$E$36,E110&lt;'Reference Tab - Do not Delete'!$E$35),'Reference Tab - Do not Delete'!$D$36,IF(AND(E110&gt;='Reference Tab - Do not Delete'!$E$37,E110&lt;'Reference Tab - Do not Delete'!$E$36),'Reference Tab - Do not Delete'!$D$37,IF(AND(E110&gt;='Reference Tab - Do not Delete'!$E$38,E110&lt;'Reference Tab - Do not Delete'!$E$37),'Reference Tab - Do not Delete'!$D$38,'Reference Tab - Do not Delete'!$D$39)))))</f>
        <v>$B - $500M</v>
      </c>
      <c r="AH110" s="205" t="str">
        <f t="shared" si="2"/>
        <v>Above 50</v>
      </c>
      <c r="AI110" s="205" t="str">
        <f t="shared" si="3"/>
        <v/>
      </c>
      <c r="AJ110" s="202">
        <v>0</v>
      </c>
      <c r="AK110" s="201"/>
      <c r="AL110" s="205"/>
      <c r="AM110" s="201"/>
      <c r="AN110" s="201"/>
      <c r="AO110" s="201"/>
      <c r="AP110" s="205"/>
      <c r="AQ110" s="233"/>
    </row>
    <row r="111" spans="1:43" x14ac:dyDescent="0.2">
      <c r="A111" s="201"/>
      <c r="B111" s="201" t="s">
        <v>1380</v>
      </c>
      <c r="C111" s="201">
        <v>105</v>
      </c>
      <c r="D111" s="201" t="s">
        <v>1606</v>
      </c>
      <c r="E111" s="202">
        <v>669032000</v>
      </c>
      <c r="F111" s="203">
        <v>7.4999999999999997E-2</v>
      </c>
      <c r="G111" s="205">
        <v>1116</v>
      </c>
      <c r="H111" s="205">
        <v>111</v>
      </c>
      <c r="I111" s="205" t="s">
        <v>360</v>
      </c>
      <c r="J111" s="205"/>
      <c r="K111" s="201"/>
      <c r="L111" s="201"/>
      <c r="M111" s="201"/>
      <c r="N111" s="201"/>
      <c r="O111" s="201"/>
      <c r="P111" s="201"/>
      <c r="Q111" s="201"/>
      <c r="R111" s="201"/>
      <c r="S111" s="201"/>
      <c r="T111" s="205"/>
      <c r="U111" s="201"/>
      <c r="V111" s="201"/>
      <c r="W111" s="201"/>
      <c r="X111" s="201"/>
      <c r="Y111" s="201"/>
      <c r="Z111" s="201"/>
      <c r="AA111" s="201"/>
      <c r="AB111" s="201"/>
      <c r="AC111" s="201"/>
      <c r="AD111" s="201"/>
      <c r="AE111" s="201"/>
      <c r="AF111" s="201"/>
      <c r="AG111" s="201" t="str">
        <f>IF(E111="","",IF(E111&gt;='Reference Tab - Do not Delete'!$E$35,'Reference Tab - Do not Delete'!$D$35,IF(AND(E111&gt;='Reference Tab - Do not Delete'!$E$36,E111&lt;'Reference Tab - Do not Delete'!$E$35),'Reference Tab - Do not Delete'!$D$36,IF(AND(E111&gt;='Reference Tab - Do not Delete'!$E$37,E111&lt;'Reference Tab - Do not Delete'!$E$36),'Reference Tab - Do not Delete'!$D$37,IF(AND(E111&gt;='Reference Tab - Do not Delete'!$E$38,E111&lt;'Reference Tab - Do not Delete'!$E$37),'Reference Tab - Do not Delete'!$D$38,'Reference Tab - Do not Delete'!$D$39)))))</f>
        <v>$B - $500M</v>
      </c>
      <c r="AH111" s="205" t="str">
        <f t="shared" si="2"/>
        <v>Above 50</v>
      </c>
      <c r="AI111" s="205" t="str">
        <f t="shared" si="3"/>
        <v/>
      </c>
      <c r="AJ111" s="202">
        <v>0</v>
      </c>
      <c r="AK111" s="201"/>
      <c r="AL111" s="205"/>
      <c r="AM111" s="201"/>
      <c r="AN111" s="201"/>
      <c r="AO111" s="201"/>
      <c r="AP111" s="205"/>
      <c r="AQ111" s="233"/>
    </row>
    <row r="112" spans="1:43" x14ac:dyDescent="0.2">
      <c r="A112" s="201"/>
      <c r="B112" s="201" t="s">
        <v>1381</v>
      </c>
      <c r="C112" s="201">
        <v>106</v>
      </c>
      <c r="D112" s="201" t="s">
        <v>1606</v>
      </c>
      <c r="E112" s="202">
        <v>656469000</v>
      </c>
      <c r="F112" s="203">
        <v>2.6000000000000002E-2</v>
      </c>
      <c r="G112" s="205">
        <v>107</v>
      </c>
      <c r="H112" s="205">
        <v>108</v>
      </c>
      <c r="I112" s="205" t="s">
        <v>360</v>
      </c>
      <c r="J112" s="205"/>
      <c r="K112" s="201"/>
      <c r="L112" s="201"/>
      <c r="M112" s="201"/>
      <c r="N112" s="201"/>
      <c r="O112" s="201"/>
      <c r="P112" s="201"/>
      <c r="Q112" s="201"/>
      <c r="R112" s="201"/>
      <c r="S112" s="201"/>
      <c r="T112" s="205"/>
      <c r="U112" s="201"/>
      <c r="V112" s="201"/>
      <c r="W112" s="201"/>
      <c r="X112" s="201"/>
      <c r="Y112" s="201"/>
      <c r="Z112" s="201"/>
      <c r="AA112" s="201"/>
      <c r="AB112" s="201"/>
      <c r="AC112" s="201"/>
      <c r="AD112" s="201"/>
      <c r="AE112" s="201"/>
      <c r="AF112" s="201"/>
      <c r="AG112" s="201" t="str">
        <f>IF(E112="","",IF(E112&gt;='Reference Tab - Do not Delete'!$E$35,'Reference Tab - Do not Delete'!$D$35,IF(AND(E112&gt;='Reference Tab - Do not Delete'!$E$36,E112&lt;'Reference Tab - Do not Delete'!$E$35),'Reference Tab - Do not Delete'!$D$36,IF(AND(E112&gt;='Reference Tab - Do not Delete'!$E$37,E112&lt;'Reference Tab - Do not Delete'!$E$36),'Reference Tab - Do not Delete'!$D$37,IF(AND(E112&gt;='Reference Tab - Do not Delete'!$E$38,E112&lt;'Reference Tab - Do not Delete'!$E$37),'Reference Tab - Do not Delete'!$D$38,'Reference Tab - Do not Delete'!$D$39)))))</f>
        <v>$B - $500M</v>
      </c>
      <c r="AH112" s="205" t="str">
        <f t="shared" si="2"/>
        <v>Above 50</v>
      </c>
      <c r="AI112" s="205" t="str">
        <f t="shared" si="3"/>
        <v/>
      </c>
      <c r="AJ112" s="202">
        <v>0</v>
      </c>
      <c r="AK112" s="201"/>
      <c r="AL112" s="205"/>
      <c r="AM112" s="201"/>
      <c r="AN112" s="201"/>
      <c r="AO112" s="201"/>
      <c r="AP112" s="205"/>
      <c r="AQ112" s="233"/>
    </row>
    <row r="113" spans="1:43" x14ac:dyDescent="0.2">
      <c r="A113" s="201"/>
      <c r="B113" s="201" t="s">
        <v>1382</v>
      </c>
      <c r="C113" s="201">
        <v>107</v>
      </c>
      <c r="D113" s="201" t="s">
        <v>1606</v>
      </c>
      <c r="E113" s="202">
        <v>648848000</v>
      </c>
      <c r="F113" s="203">
        <v>1.4999999999999999E-2</v>
      </c>
      <c r="G113" s="205">
        <v>108</v>
      </c>
      <c r="H113" s="205">
        <v>109</v>
      </c>
      <c r="I113" s="205" t="s">
        <v>360</v>
      </c>
      <c r="J113" s="205"/>
      <c r="K113" s="201"/>
      <c r="L113" s="201"/>
      <c r="M113" s="201"/>
      <c r="N113" s="201"/>
      <c r="O113" s="201"/>
      <c r="P113" s="201"/>
      <c r="Q113" s="201"/>
      <c r="R113" s="201"/>
      <c r="S113" s="201"/>
      <c r="T113" s="205"/>
      <c r="U113" s="201"/>
      <c r="V113" s="201"/>
      <c r="W113" s="201"/>
      <c r="X113" s="201"/>
      <c r="Y113" s="201"/>
      <c r="Z113" s="201"/>
      <c r="AA113" s="201"/>
      <c r="AB113" s="201"/>
      <c r="AC113" s="201"/>
      <c r="AD113" s="201"/>
      <c r="AE113" s="201"/>
      <c r="AF113" s="201"/>
      <c r="AG113" s="201" t="str">
        <f>IF(E113="","",IF(E113&gt;='Reference Tab - Do not Delete'!$E$35,'Reference Tab - Do not Delete'!$D$35,IF(AND(E113&gt;='Reference Tab - Do not Delete'!$E$36,E113&lt;'Reference Tab - Do not Delete'!$E$35),'Reference Tab - Do not Delete'!$D$36,IF(AND(E113&gt;='Reference Tab - Do not Delete'!$E$37,E113&lt;'Reference Tab - Do not Delete'!$E$36),'Reference Tab - Do not Delete'!$D$37,IF(AND(E113&gt;='Reference Tab - Do not Delete'!$E$38,E113&lt;'Reference Tab - Do not Delete'!$E$37),'Reference Tab - Do not Delete'!$D$38,'Reference Tab - Do not Delete'!$D$39)))))</f>
        <v>$B - $500M</v>
      </c>
      <c r="AH113" s="205" t="str">
        <f t="shared" si="2"/>
        <v>Above 50</v>
      </c>
      <c r="AI113" s="205" t="str">
        <f t="shared" si="3"/>
        <v/>
      </c>
      <c r="AJ113" s="202">
        <v>0</v>
      </c>
      <c r="AK113" s="201"/>
      <c r="AL113" s="205"/>
      <c r="AM113" s="201"/>
      <c r="AN113" s="201"/>
      <c r="AO113" s="201"/>
      <c r="AP113" s="205"/>
      <c r="AQ113" s="233"/>
    </row>
    <row r="114" spans="1:43" x14ac:dyDescent="0.2">
      <c r="A114" s="201"/>
      <c r="B114" s="201" t="s">
        <v>1327</v>
      </c>
      <c r="C114" s="201">
        <v>108</v>
      </c>
      <c r="D114" s="201" t="s">
        <v>1606</v>
      </c>
      <c r="E114" s="202">
        <v>845519000</v>
      </c>
      <c r="F114" s="203">
        <v>-0.13100000000000001</v>
      </c>
      <c r="G114" s="205">
        <v>109</v>
      </c>
      <c r="H114" s="205">
        <v>99</v>
      </c>
      <c r="I114" s="205" t="s">
        <v>360</v>
      </c>
      <c r="J114" s="205"/>
      <c r="K114" s="201"/>
      <c r="L114" s="201"/>
      <c r="M114" s="201"/>
      <c r="N114" s="201"/>
      <c r="O114" s="201"/>
      <c r="P114" s="201"/>
      <c r="Q114" s="201"/>
      <c r="R114" s="201"/>
      <c r="S114" s="201"/>
      <c r="T114" s="205"/>
      <c r="U114" s="201"/>
      <c r="V114" s="201"/>
      <c r="W114" s="201"/>
      <c r="X114" s="201"/>
      <c r="Y114" s="201"/>
      <c r="Z114" s="201"/>
      <c r="AA114" s="201"/>
      <c r="AB114" s="201"/>
      <c r="AC114" s="201"/>
      <c r="AD114" s="201"/>
      <c r="AE114" s="201"/>
      <c r="AF114" s="201"/>
      <c r="AG114" s="201" t="str">
        <f>IF(E114="","",IF(E114&gt;='Reference Tab - Do not Delete'!$E$35,'Reference Tab - Do not Delete'!$D$35,IF(AND(E114&gt;='Reference Tab - Do not Delete'!$E$36,E114&lt;'Reference Tab - Do not Delete'!$E$35),'Reference Tab - Do not Delete'!$D$36,IF(AND(E114&gt;='Reference Tab - Do not Delete'!$E$37,E114&lt;'Reference Tab - Do not Delete'!$E$36),'Reference Tab - Do not Delete'!$D$37,IF(AND(E114&gt;='Reference Tab - Do not Delete'!$E$38,E114&lt;'Reference Tab - Do not Delete'!$E$37),'Reference Tab - Do not Delete'!$D$38,'Reference Tab - Do not Delete'!$D$39)))))</f>
        <v>$B - $500M</v>
      </c>
      <c r="AH114" s="205" t="str">
        <f t="shared" si="2"/>
        <v>Above 50</v>
      </c>
      <c r="AI114" s="205" t="str">
        <f t="shared" si="3"/>
        <v/>
      </c>
      <c r="AJ114" s="202">
        <v>0</v>
      </c>
      <c r="AK114" s="201"/>
      <c r="AL114" s="205"/>
      <c r="AM114" s="201"/>
      <c r="AN114" s="201"/>
      <c r="AO114" s="201"/>
      <c r="AP114" s="205"/>
      <c r="AQ114" s="233"/>
    </row>
    <row r="115" spans="1:43" x14ac:dyDescent="0.2">
      <c r="A115" s="201"/>
      <c r="B115" s="201" t="s">
        <v>1383</v>
      </c>
      <c r="C115" s="201">
        <v>109</v>
      </c>
      <c r="D115" s="201" t="s">
        <v>1606</v>
      </c>
      <c r="E115" s="202">
        <v>638990000</v>
      </c>
      <c r="F115" s="203">
        <v>3.7000000000000005E-2</v>
      </c>
      <c r="G115" s="205">
        <v>110</v>
      </c>
      <c r="H115" s="205">
        <v>112</v>
      </c>
      <c r="I115" s="205" t="s">
        <v>360</v>
      </c>
      <c r="J115" s="205"/>
      <c r="K115" s="201"/>
      <c r="L115" s="201"/>
      <c r="M115" s="201"/>
      <c r="N115" s="201"/>
      <c r="O115" s="201"/>
      <c r="P115" s="201"/>
      <c r="Q115" s="201"/>
      <c r="R115" s="201"/>
      <c r="S115" s="201"/>
      <c r="T115" s="205"/>
      <c r="U115" s="201"/>
      <c r="V115" s="201"/>
      <c r="W115" s="201"/>
      <c r="X115" s="201"/>
      <c r="Y115" s="201"/>
      <c r="Z115" s="201"/>
      <c r="AA115" s="201"/>
      <c r="AB115" s="201"/>
      <c r="AC115" s="201"/>
      <c r="AD115" s="201"/>
      <c r="AE115" s="201"/>
      <c r="AF115" s="201"/>
      <c r="AG115" s="201" t="str">
        <f>IF(E115="","",IF(E115&gt;='Reference Tab - Do not Delete'!$E$35,'Reference Tab - Do not Delete'!$D$35,IF(AND(E115&gt;='Reference Tab - Do not Delete'!$E$36,E115&lt;'Reference Tab - Do not Delete'!$E$35),'Reference Tab - Do not Delete'!$D$36,IF(AND(E115&gt;='Reference Tab - Do not Delete'!$E$37,E115&lt;'Reference Tab - Do not Delete'!$E$36),'Reference Tab - Do not Delete'!$D$37,IF(AND(E115&gt;='Reference Tab - Do not Delete'!$E$38,E115&lt;'Reference Tab - Do not Delete'!$E$37),'Reference Tab - Do not Delete'!$D$38,'Reference Tab - Do not Delete'!$D$39)))))</f>
        <v>$B - $500M</v>
      </c>
      <c r="AH115" s="205" t="str">
        <f t="shared" si="2"/>
        <v>Above 50</v>
      </c>
      <c r="AI115" s="205" t="str">
        <f t="shared" si="3"/>
        <v/>
      </c>
      <c r="AJ115" s="202">
        <v>0</v>
      </c>
      <c r="AK115" s="201"/>
      <c r="AL115" s="205"/>
      <c r="AM115" s="201"/>
      <c r="AN115" s="201"/>
      <c r="AO115" s="201"/>
      <c r="AP115" s="205"/>
      <c r="AQ115" s="233"/>
    </row>
    <row r="116" spans="1:43" x14ac:dyDescent="0.2">
      <c r="A116" s="201"/>
      <c r="B116" s="201" t="s">
        <v>1384</v>
      </c>
      <c r="C116" s="201">
        <v>110</v>
      </c>
      <c r="D116" s="201" t="s">
        <v>1606</v>
      </c>
      <c r="E116" s="202">
        <v>625095000</v>
      </c>
      <c r="F116" s="203">
        <v>3.7000000000000005E-2</v>
      </c>
      <c r="G116" s="205">
        <v>111</v>
      </c>
      <c r="H116" s="205">
        <v>113</v>
      </c>
      <c r="I116" s="205" t="s">
        <v>360</v>
      </c>
      <c r="J116" s="205"/>
      <c r="K116" s="201"/>
      <c r="L116" s="201"/>
      <c r="M116" s="201"/>
      <c r="N116" s="201"/>
      <c r="O116" s="201"/>
      <c r="P116" s="201"/>
      <c r="Q116" s="201"/>
      <c r="R116" s="201"/>
      <c r="S116" s="201"/>
      <c r="T116" s="205"/>
      <c r="U116" s="201"/>
      <c r="V116" s="201"/>
      <c r="W116" s="201"/>
      <c r="X116" s="201"/>
      <c r="Y116" s="201"/>
      <c r="Z116" s="201"/>
      <c r="AA116" s="201"/>
      <c r="AB116" s="201"/>
      <c r="AC116" s="201"/>
      <c r="AD116" s="201"/>
      <c r="AE116" s="201"/>
      <c r="AF116" s="201"/>
      <c r="AG116" s="201" t="str">
        <f>IF(E116="","",IF(E116&gt;='Reference Tab - Do not Delete'!$E$35,'Reference Tab - Do not Delete'!$D$35,IF(AND(E116&gt;='Reference Tab - Do not Delete'!$E$36,E116&lt;'Reference Tab - Do not Delete'!$E$35),'Reference Tab - Do not Delete'!$D$36,IF(AND(E116&gt;='Reference Tab - Do not Delete'!$E$37,E116&lt;'Reference Tab - Do not Delete'!$E$36),'Reference Tab - Do not Delete'!$D$37,IF(AND(E116&gt;='Reference Tab - Do not Delete'!$E$38,E116&lt;'Reference Tab - Do not Delete'!$E$37),'Reference Tab - Do not Delete'!$D$38,'Reference Tab - Do not Delete'!$D$39)))))</f>
        <v>$B - $500M</v>
      </c>
      <c r="AH116" s="205" t="str">
        <f t="shared" si="2"/>
        <v>Above 50</v>
      </c>
      <c r="AI116" s="205" t="str">
        <f t="shared" si="3"/>
        <v/>
      </c>
      <c r="AJ116" s="202">
        <v>0</v>
      </c>
      <c r="AK116" s="201"/>
      <c r="AL116" s="205"/>
      <c r="AM116" s="201"/>
      <c r="AN116" s="201"/>
      <c r="AO116" s="201"/>
      <c r="AP116" s="205"/>
      <c r="AQ116" s="233"/>
    </row>
    <row r="117" spans="1:43" x14ac:dyDescent="0.2">
      <c r="A117" s="201"/>
      <c r="B117" s="201" t="s">
        <v>1385</v>
      </c>
      <c r="C117" s="201">
        <v>111</v>
      </c>
      <c r="D117" s="201" t="s">
        <v>1606</v>
      </c>
      <c r="E117" s="202">
        <v>611738000</v>
      </c>
      <c r="F117" s="203">
        <v>6.4000000000000001E-2</v>
      </c>
      <c r="G117" s="205">
        <v>112</v>
      </c>
      <c r="H117" s="205">
        <v>117</v>
      </c>
      <c r="I117" s="205" t="s">
        <v>360</v>
      </c>
      <c r="J117" s="205"/>
      <c r="K117" s="201"/>
      <c r="L117" s="201"/>
      <c r="M117" s="201"/>
      <c r="N117" s="201"/>
      <c r="O117" s="201"/>
      <c r="P117" s="201"/>
      <c r="Q117" s="201"/>
      <c r="R117" s="201"/>
      <c r="S117" s="201"/>
      <c r="T117" s="205"/>
      <c r="U117" s="201"/>
      <c r="V117" s="201"/>
      <c r="W117" s="201"/>
      <c r="X117" s="201"/>
      <c r="Y117" s="201"/>
      <c r="Z117" s="201"/>
      <c r="AA117" s="201"/>
      <c r="AB117" s="201"/>
      <c r="AC117" s="201"/>
      <c r="AD117" s="201"/>
      <c r="AE117" s="201"/>
      <c r="AF117" s="201"/>
      <c r="AG117" s="201" t="str">
        <f>IF(E117="","",IF(E117&gt;='Reference Tab - Do not Delete'!$E$35,'Reference Tab - Do not Delete'!$D$35,IF(AND(E117&gt;='Reference Tab - Do not Delete'!$E$36,E117&lt;'Reference Tab - Do not Delete'!$E$35),'Reference Tab - Do not Delete'!$D$36,IF(AND(E117&gt;='Reference Tab - Do not Delete'!$E$37,E117&lt;'Reference Tab - Do not Delete'!$E$36),'Reference Tab - Do not Delete'!$D$37,IF(AND(E117&gt;='Reference Tab - Do not Delete'!$E$38,E117&lt;'Reference Tab - Do not Delete'!$E$37),'Reference Tab - Do not Delete'!$D$38,'Reference Tab - Do not Delete'!$D$39)))))</f>
        <v>$B - $500M</v>
      </c>
      <c r="AH117" s="205" t="str">
        <f t="shared" si="2"/>
        <v>Above 50</v>
      </c>
      <c r="AI117" s="205" t="str">
        <f t="shared" si="3"/>
        <v/>
      </c>
      <c r="AJ117" s="202">
        <v>0</v>
      </c>
      <c r="AK117" s="201"/>
      <c r="AL117" s="205"/>
      <c r="AM117" s="201"/>
      <c r="AN117" s="201"/>
      <c r="AO117" s="201"/>
      <c r="AP117" s="205"/>
      <c r="AQ117" s="233"/>
    </row>
    <row r="118" spans="1:43" x14ac:dyDescent="0.2">
      <c r="A118" s="201"/>
      <c r="B118" s="201" t="s">
        <v>1386</v>
      </c>
      <c r="C118" s="201">
        <v>112</v>
      </c>
      <c r="D118" s="201" t="s">
        <v>1606</v>
      </c>
      <c r="E118" s="202">
        <v>609825000</v>
      </c>
      <c r="F118" s="203">
        <v>2.3E-2</v>
      </c>
      <c r="G118" s="205">
        <v>113</v>
      </c>
      <c r="H118" s="205">
        <v>115</v>
      </c>
      <c r="I118" s="205" t="s">
        <v>360</v>
      </c>
      <c r="J118" s="205"/>
      <c r="K118" s="201"/>
      <c r="L118" s="201"/>
      <c r="M118" s="201"/>
      <c r="N118" s="201"/>
      <c r="O118" s="201"/>
      <c r="P118" s="201"/>
      <c r="Q118" s="201"/>
      <c r="R118" s="201"/>
      <c r="S118" s="201"/>
      <c r="T118" s="205"/>
      <c r="U118" s="201"/>
      <c r="V118" s="201"/>
      <c r="W118" s="201"/>
      <c r="X118" s="201"/>
      <c r="Y118" s="201"/>
      <c r="Z118" s="201"/>
      <c r="AA118" s="201"/>
      <c r="AB118" s="201"/>
      <c r="AC118" s="201"/>
      <c r="AD118" s="201"/>
      <c r="AE118" s="201"/>
      <c r="AF118" s="201"/>
      <c r="AG118" s="201" t="str">
        <f>IF(E118="","",IF(E118&gt;='Reference Tab - Do not Delete'!$E$35,'Reference Tab - Do not Delete'!$D$35,IF(AND(E118&gt;='Reference Tab - Do not Delete'!$E$36,E118&lt;'Reference Tab - Do not Delete'!$E$35),'Reference Tab - Do not Delete'!$D$36,IF(AND(E118&gt;='Reference Tab - Do not Delete'!$E$37,E118&lt;'Reference Tab - Do not Delete'!$E$36),'Reference Tab - Do not Delete'!$D$37,IF(AND(E118&gt;='Reference Tab - Do not Delete'!$E$38,E118&lt;'Reference Tab - Do not Delete'!$E$37),'Reference Tab - Do not Delete'!$D$38,'Reference Tab - Do not Delete'!$D$39)))))</f>
        <v>$B - $500M</v>
      </c>
      <c r="AH118" s="205" t="str">
        <f t="shared" si="2"/>
        <v>Above 50</v>
      </c>
      <c r="AI118" s="205" t="str">
        <f t="shared" si="3"/>
        <v/>
      </c>
      <c r="AJ118" s="202">
        <v>0</v>
      </c>
      <c r="AK118" s="201"/>
      <c r="AL118" s="205"/>
      <c r="AM118" s="201"/>
      <c r="AN118" s="201"/>
      <c r="AO118" s="201"/>
      <c r="AP118" s="205"/>
      <c r="AQ118" s="233"/>
    </row>
    <row r="119" spans="1:43" x14ac:dyDescent="0.2">
      <c r="A119" s="201"/>
      <c r="B119" s="201" t="s">
        <v>1387</v>
      </c>
      <c r="C119" s="201">
        <v>113</v>
      </c>
      <c r="D119" s="201" t="s">
        <v>1606</v>
      </c>
      <c r="E119" s="202">
        <v>603934000</v>
      </c>
      <c r="F119" s="203">
        <v>5.7000000000000002E-2</v>
      </c>
      <c r="G119" s="205">
        <v>114</v>
      </c>
      <c r="H119" s="205">
        <v>118</v>
      </c>
      <c r="I119" s="205" t="s">
        <v>360</v>
      </c>
      <c r="J119" s="205"/>
      <c r="K119" s="201"/>
      <c r="L119" s="201"/>
      <c r="M119" s="201"/>
      <c r="N119" s="201"/>
      <c r="O119" s="201"/>
      <c r="P119" s="201"/>
      <c r="Q119" s="201"/>
      <c r="R119" s="201"/>
      <c r="S119" s="201"/>
      <c r="T119" s="205"/>
      <c r="U119" s="201"/>
      <c r="V119" s="201"/>
      <c r="W119" s="201"/>
      <c r="X119" s="201"/>
      <c r="Y119" s="201"/>
      <c r="Z119" s="201"/>
      <c r="AA119" s="201"/>
      <c r="AB119" s="201"/>
      <c r="AC119" s="201"/>
      <c r="AD119" s="201"/>
      <c r="AE119" s="201"/>
      <c r="AF119" s="201"/>
      <c r="AG119" s="201" t="str">
        <f>IF(E119="","",IF(E119&gt;='Reference Tab - Do not Delete'!$E$35,'Reference Tab - Do not Delete'!$D$35,IF(AND(E119&gt;='Reference Tab - Do not Delete'!$E$36,E119&lt;'Reference Tab - Do not Delete'!$E$35),'Reference Tab - Do not Delete'!$D$36,IF(AND(E119&gt;='Reference Tab - Do not Delete'!$E$37,E119&lt;'Reference Tab - Do not Delete'!$E$36),'Reference Tab - Do not Delete'!$D$37,IF(AND(E119&gt;='Reference Tab - Do not Delete'!$E$38,E119&lt;'Reference Tab - Do not Delete'!$E$37),'Reference Tab - Do not Delete'!$D$38,'Reference Tab - Do not Delete'!$D$39)))))</f>
        <v>$B - $500M</v>
      </c>
      <c r="AH119" s="205" t="str">
        <f t="shared" si="2"/>
        <v>Above 50</v>
      </c>
      <c r="AI119" s="205" t="str">
        <f t="shared" si="3"/>
        <v/>
      </c>
      <c r="AJ119" s="202">
        <v>0</v>
      </c>
      <c r="AK119" s="201"/>
      <c r="AL119" s="205"/>
      <c r="AM119" s="201"/>
      <c r="AN119" s="201"/>
      <c r="AO119" s="201"/>
      <c r="AP119" s="205"/>
      <c r="AQ119" s="233"/>
    </row>
    <row r="120" spans="1:43" x14ac:dyDescent="0.2">
      <c r="A120" s="201"/>
      <c r="B120" s="201" t="s">
        <v>1388</v>
      </c>
      <c r="C120" s="201">
        <v>114</v>
      </c>
      <c r="D120" s="201" t="s">
        <v>1606</v>
      </c>
      <c r="E120" s="202">
        <v>603172000</v>
      </c>
      <c r="F120" s="203">
        <v>0.22500000000000001</v>
      </c>
      <c r="G120" s="205">
        <v>115</v>
      </c>
      <c r="H120" s="205">
        <v>123</v>
      </c>
      <c r="I120" s="205" t="s">
        <v>360</v>
      </c>
      <c r="J120" s="205"/>
      <c r="K120" s="201"/>
      <c r="L120" s="201"/>
      <c r="M120" s="201"/>
      <c r="N120" s="201"/>
      <c r="O120" s="201"/>
      <c r="P120" s="201"/>
      <c r="Q120" s="201"/>
      <c r="R120" s="201"/>
      <c r="S120" s="201"/>
      <c r="T120" s="205"/>
      <c r="U120" s="201"/>
      <c r="V120" s="201"/>
      <c r="W120" s="201"/>
      <c r="X120" s="201"/>
      <c r="Y120" s="201"/>
      <c r="Z120" s="201"/>
      <c r="AA120" s="201"/>
      <c r="AB120" s="201"/>
      <c r="AC120" s="201"/>
      <c r="AD120" s="201"/>
      <c r="AE120" s="201"/>
      <c r="AF120" s="201"/>
      <c r="AG120" s="201" t="str">
        <f>IF(E120="","",IF(E120&gt;='Reference Tab - Do not Delete'!$E$35,'Reference Tab - Do not Delete'!$D$35,IF(AND(E120&gt;='Reference Tab - Do not Delete'!$E$36,E120&lt;'Reference Tab - Do not Delete'!$E$35),'Reference Tab - Do not Delete'!$D$36,IF(AND(E120&gt;='Reference Tab - Do not Delete'!$E$37,E120&lt;'Reference Tab - Do not Delete'!$E$36),'Reference Tab - Do not Delete'!$D$37,IF(AND(E120&gt;='Reference Tab - Do not Delete'!$E$38,E120&lt;'Reference Tab - Do not Delete'!$E$37),'Reference Tab - Do not Delete'!$D$38,'Reference Tab - Do not Delete'!$D$39)))))</f>
        <v>$B - $500M</v>
      </c>
      <c r="AH120" s="205" t="str">
        <f t="shared" si="2"/>
        <v>Above 50</v>
      </c>
      <c r="AI120" s="205" t="str">
        <f t="shared" si="3"/>
        <v/>
      </c>
      <c r="AJ120" s="202">
        <v>0</v>
      </c>
      <c r="AK120" s="201"/>
      <c r="AL120" s="205"/>
      <c r="AM120" s="201"/>
      <c r="AN120" s="201"/>
      <c r="AO120" s="201"/>
      <c r="AP120" s="205"/>
      <c r="AQ120" s="233"/>
    </row>
    <row r="121" spans="1:43" x14ac:dyDescent="0.2">
      <c r="A121" s="201"/>
      <c r="B121" s="201" t="s">
        <v>1389</v>
      </c>
      <c r="C121" s="201">
        <v>115</v>
      </c>
      <c r="D121" s="201" t="s">
        <v>1606</v>
      </c>
      <c r="E121" s="202">
        <v>597049000</v>
      </c>
      <c r="F121" s="203">
        <v>-5.4000000000000006E-2</v>
      </c>
      <c r="G121" s="205">
        <v>116</v>
      </c>
      <c r="H121" s="205">
        <v>110</v>
      </c>
      <c r="I121" s="205" t="s">
        <v>360</v>
      </c>
      <c r="J121" s="205"/>
      <c r="K121" s="201"/>
      <c r="L121" s="201"/>
      <c r="M121" s="201"/>
      <c r="N121" s="201"/>
      <c r="O121" s="201"/>
      <c r="P121" s="201"/>
      <c r="Q121" s="201"/>
      <c r="R121" s="201"/>
      <c r="S121" s="201"/>
      <c r="T121" s="205"/>
      <c r="U121" s="201"/>
      <c r="V121" s="201"/>
      <c r="W121" s="201"/>
      <c r="X121" s="201"/>
      <c r="Y121" s="201"/>
      <c r="Z121" s="201"/>
      <c r="AA121" s="201"/>
      <c r="AB121" s="201"/>
      <c r="AC121" s="201"/>
      <c r="AD121" s="201"/>
      <c r="AE121" s="201"/>
      <c r="AF121" s="201"/>
      <c r="AG121" s="201" t="str">
        <f>IF(E121="","",IF(E121&gt;='Reference Tab - Do not Delete'!$E$35,'Reference Tab - Do not Delete'!$D$35,IF(AND(E121&gt;='Reference Tab - Do not Delete'!$E$36,E121&lt;'Reference Tab - Do not Delete'!$E$35),'Reference Tab - Do not Delete'!$D$36,IF(AND(E121&gt;='Reference Tab - Do not Delete'!$E$37,E121&lt;'Reference Tab - Do not Delete'!$E$36),'Reference Tab - Do not Delete'!$D$37,IF(AND(E121&gt;='Reference Tab - Do not Delete'!$E$38,E121&lt;'Reference Tab - Do not Delete'!$E$37),'Reference Tab - Do not Delete'!$D$38,'Reference Tab - Do not Delete'!$D$39)))))</f>
        <v>$B - $500M</v>
      </c>
      <c r="AH121" s="205" t="str">
        <f t="shared" si="2"/>
        <v>Above 50</v>
      </c>
      <c r="AI121" s="205" t="str">
        <f t="shared" si="3"/>
        <v/>
      </c>
      <c r="AJ121" s="202">
        <v>0</v>
      </c>
      <c r="AK121" s="201"/>
      <c r="AL121" s="205"/>
      <c r="AM121" s="201"/>
      <c r="AN121" s="201"/>
      <c r="AO121" s="201"/>
      <c r="AP121" s="205"/>
      <c r="AQ121" s="233"/>
    </row>
    <row r="122" spans="1:43" x14ac:dyDescent="0.2">
      <c r="A122" s="201"/>
      <c r="B122" s="201" t="s">
        <v>1390</v>
      </c>
      <c r="C122" s="201">
        <v>116</v>
      </c>
      <c r="D122" s="201" t="s">
        <v>1606</v>
      </c>
      <c r="E122" s="202">
        <v>591388000</v>
      </c>
      <c r="F122" s="203">
        <v>-1.3999999999999999E-2</v>
      </c>
      <c r="G122" s="205">
        <v>117</v>
      </c>
      <c r="H122" s="205">
        <v>114</v>
      </c>
      <c r="I122" s="205" t="s">
        <v>360</v>
      </c>
      <c r="J122" s="205"/>
      <c r="K122" s="201"/>
      <c r="L122" s="201"/>
      <c r="M122" s="201"/>
      <c r="N122" s="201"/>
      <c r="O122" s="201"/>
      <c r="P122" s="201"/>
      <c r="Q122" s="201"/>
      <c r="R122" s="201"/>
      <c r="S122" s="201"/>
      <c r="T122" s="205"/>
      <c r="U122" s="201"/>
      <c r="V122" s="201"/>
      <c r="W122" s="201"/>
      <c r="X122" s="201"/>
      <c r="Y122" s="201"/>
      <c r="Z122" s="201"/>
      <c r="AA122" s="201"/>
      <c r="AB122" s="201"/>
      <c r="AC122" s="201"/>
      <c r="AD122" s="201"/>
      <c r="AE122" s="201"/>
      <c r="AF122" s="201"/>
      <c r="AG122" s="201" t="str">
        <f>IF(E122="","",IF(E122&gt;='Reference Tab - Do not Delete'!$E$35,'Reference Tab - Do not Delete'!$D$35,IF(AND(E122&gt;='Reference Tab - Do not Delete'!$E$36,E122&lt;'Reference Tab - Do not Delete'!$E$35),'Reference Tab - Do not Delete'!$D$36,IF(AND(E122&gt;='Reference Tab - Do not Delete'!$E$37,E122&lt;'Reference Tab - Do not Delete'!$E$36),'Reference Tab - Do not Delete'!$D$37,IF(AND(E122&gt;='Reference Tab - Do not Delete'!$E$38,E122&lt;'Reference Tab - Do not Delete'!$E$37),'Reference Tab - Do not Delete'!$D$38,'Reference Tab - Do not Delete'!$D$39)))))</f>
        <v>$B - $500M</v>
      </c>
      <c r="AH122" s="205" t="str">
        <f t="shared" si="2"/>
        <v>Above 50</v>
      </c>
      <c r="AI122" s="205" t="str">
        <f t="shared" si="3"/>
        <v/>
      </c>
      <c r="AJ122" s="202">
        <v>0</v>
      </c>
      <c r="AK122" s="201"/>
      <c r="AL122" s="205"/>
      <c r="AM122" s="201"/>
      <c r="AN122" s="201"/>
      <c r="AO122" s="201"/>
      <c r="AP122" s="205"/>
      <c r="AQ122" s="233"/>
    </row>
    <row r="123" spans="1:43" x14ac:dyDescent="0.2">
      <c r="A123" s="201"/>
      <c r="B123" s="201" t="s">
        <v>1391</v>
      </c>
      <c r="C123" s="201">
        <v>117</v>
      </c>
      <c r="D123" s="201" t="s">
        <v>1606</v>
      </c>
      <c r="E123" s="202">
        <v>563068000</v>
      </c>
      <c r="F123" s="203">
        <v>0.185</v>
      </c>
      <c r="G123" s="205">
        <v>118</v>
      </c>
      <c r="H123" s="205">
        <v>126</v>
      </c>
      <c r="I123" s="205" t="s">
        <v>360</v>
      </c>
      <c r="J123" s="205"/>
      <c r="K123" s="201"/>
      <c r="L123" s="201"/>
      <c r="M123" s="201"/>
      <c r="N123" s="201"/>
      <c r="O123" s="201"/>
      <c r="P123" s="201"/>
      <c r="Q123" s="201"/>
      <c r="R123" s="201"/>
      <c r="S123" s="201"/>
      <c r="T123" s="205"/>
      <c r="U123" s="201"/>
      <c r="V123" s="201"/>
      <c r="W123" s="201"/>
      <c r="X123" s="201"/>
      <c r="Y123" s="201"/>
      <c r="Z123" s="201"/>
      <c r="AA123" s="201"/>
      <c r="AB123" s="201"/>
      <c r="AC123" s="201"/>
      <c r="AD123" s="201"/>
      <c r="AE123" s="201"/>
      <c r="AF123" s="201"/>
      <c r="AG123" s="201" t="str">
        <f>IF(E123="","",IF(E123&gt;='Reference Tab - Do not Delete'!$E$35,'Reference Tab - Do not Delete'!$D$35,IF(AND(E123&gt;='Reference Tab - Do not Delete'!$E$36,E123&lt;'Reference Tab - Do not Delete'!$E$35),'Reference Tab - Do not Delete'!$D$36,IF(AND(E123&gt;='Reference Tab - Do not Delete'!$E$37,E123&lt;'Reference Tab - Do not Delete'!$E$36),'Reference Tab - Do not Delete'!$D$37,IF(AND(E123&gt;='Reference Tab - Do not Delete'!$E$38,E123&lt;'Reference Tab - Do not Delete'!$E$37),'Reference Tab - Do not Delete'!$D$38,'Reference Tab - Do not Delete'!$D$39)))))</f>
        <v>$B - $500M</v>
      </c>
      <c r="AH123" s="205" t="str">
        <f t="shared" si="2"/>
        <v>Above 50</v>
      </c>
      <c r="AI123" s="205" t="str">
        <f t="shared" si="3"/>
        <v/>
      </c>
      <c r="AJ123" s="202">
        <v>0</v>
      </c>
      <c r="AK123" s="201"/>
      <c r="AL123" s="205"/>
      <c r="AM123" s="201"/>
      <c r="AN123" s="201"/>
      <c r="AO123" s="201"/>
      <c r="AP123" s="205"/>
      <c r="AQ123" s="233"/>
    </row>
    <row r="124" spans="1:43" x14ac:dyDescent="0.2">
      <c r="A124" s="201"/>
      <c r="B124" s="201" t="s">
        <v>1392</v>
      </c>
      <c r="C124" s="201">
        <v>118</v>
      </c>
      <c r="D124" s="201" t="s">
        <v>1606</v>
      </c>
      <c r="E124" s="202">
        <v>556138000</v>
      </c>
      <c r="F124" s="203">
        <v>8.5999999999999993E-2</v>
      </c>
      <c r="G124" s="205">
        <v>119</v>
      </c>
      <c r="H124" s="205">
        <v>121</v>
      </c>
      <c r="I124" s="205" t="s">
        <v>360</v>
      </c>
      <c r="J124" s="205"/>
      <c r="K124" s="201"/>
      <c r="L124" s="201"/>
      <c r="M124" s="201"/>
      <c r="N124" s="201"/>
      <c r="O124" s="201"/>
      <c r="P124" s="201"/>
      <c r="Q124" s="201"/>
      <c r="R124" s="201"/>
      <c r="S124" s="201"/>
      <c r="T124" s="205"/>
      <c r="U124" s="201"/>
      <c r="V124" s="201"/>
      <c r="W124" s="201"/>
      <c r="X124" s="201"/>
      <c r="Y124" s="201"/>
      <c r="Z124" s="201"/>
      <c r="AA124" s="201"/>
      <c r="AB124" s="201"/>
      <c r="AC124" s="201"/>
      <c r="AD124" s="201"/>
      <c r="AE124" s="201"/>
      <c r="AF124" s="201"/>
      <c r="AG124" s="201" t="str">
        <f>IF(E124="","",IF(E124&gt;='Reference Tab - Do not Delete'!$E$35,'Reference Tab - Do not Delete'!$D$35,IF(AND(E124&gt;='Reference Tab - Do not Delete'!$E$36,E124&lt;'Reference Tab - Do not Delete'!$E$35),'Reference Tab - Do not Delete'!$D$36,IF(AND(E124&gt;='Reference Tab - Do not Delete'!$E$37,E124&lt;'Reference Tab - Do not Delete'!$E$36),'Reference Tab - Do not Delete'!$D$37,IF(AND(E124&gt;='Reference Tab - Do not Delete'!$E$38,E124&lt;'Reference Tab - Do not Delete'!$E$37),'Reference Tab - Do not Delete'!$D$38,'Reference Tab - Do not Delete'!$D$39)))))</f>
        <v>$B - $500M</v>
      </c>
      <c r="AH124" s="205" t="str">
        <f t="shared" si="2"/>
        <v>Above 50</v>
      </c>
      <c r="AI124" s="205" t="str">
        <f t="shared" si="3"/>
        <v/>
      </c>
      <c r="AJ124" s="202">
        <v>0</v>
      </c>
      <c r="AK124" s="201"/>
      <c r="AL124" s="205"/>
      <c r="AM124" s="201"/>
      <c r="AN124" s="201"/>
      <c r="AO124" s="201"/>
      <c r="AP124" s="205"/>
      <c r="AQ124" s="233"/>
    </row>
    <row r="125" spans="1:43" x14ac:dyDescent="0.2">
      <c r="A125" s="201"/>
      <c r="B125" s="201" t="s">
        <v>1393</v>
      </c>
      <c r="C125" s="201">
        <v>119</v>
      </c>
      <c r="D125" s="201" t="s">
        <v>1606</v>
      </c>
      <c r="E125" s="202">
        <v>555768000</v>
      </c>
      <c r="F125" s="203">
        <v>0.153</v>
      </c>
      <c r="G125" s="205">
        <v>120</v>
      </c>
      <c r="H125" s="205">
        <v>124</v>
      </c>
      <c r="I125" s="205" t="s">
        <v>360</v>
      </c>
      <c r="J125" s="205"/>
      <c r="K125" s="201"/>
      <c r="L125" s="201"/>
      <c r="M125" s="201"/>
      <c r="N125" s="201"/>
      <c r="O125" s="201"/>
      <c r="P125" s="201"/>
      <c r="Q125" s="201"/>
      <c r="R125" s="201"/>
      <c r="S125" s="201"/>
      <c r="T125" s="205"/>
      <c r="U125" s="201"/>
      <c r="V125" s="201"/>
      <c r="W125" s="201"/>
      <c r="X125" s="201"/>
      <c r="Y125" s="201"/>
      <c r="Z125" s="201"/>
      <c r="AA125" s="201"/>
      <c r="AB125" s="201"/>
      <c r="AC125" s="201"/>
      <c r="AD125" s="201"/>
      <c r="AE125" s="201"/>
      <c r="AF125" s="201"/>
      <c r="AG125" s="201" t="str">
        <f>IF(E125="","",IF(E125&gt;='Reference Tab - Do not Delete'!$E$35,'Reference Tab - Do not Delete'!$D$35,IF(AND(E125&gt;='Reference Tab - Do not Delete'!$E$36,E125&lt;'Reference Tab - Do not Delete'!$E$35),'Reference Tab - Do not Delete'!$D$36,IF(AND(E125&gt;='Reference Tab - Do not Delete'!$E$37,E125&lt;'Reference Tab - Do not Delete'!$E$36),'Reference Tab - Do not Delete'!$D$37,IF(AND(E125&gt;='Reference Tab - Do not Delete'!$E$38,E125&lt;'Reference Tab - Do not Delete'!$E$37),'Reference Tab - Do not Delete'!$D$38,'Reference Tab - Do not Delete'!$D$39)))))</f>
        <v>$B - $500M</v>
      </c>
      <c r="AH125" s="205" t="str">
        <f t="shared" si="2"/>
        <v>Above 50</v>
      </c>
      <c r="AI125" s="205" t="str">
        <f t="shared" si="3"/>
        <v/>
      </c>
      <c r="AJ125" s="202">
        <v>0</v>
      </c>
      <c r="AK125" s="201"/>
      <c r="AL125" s="205"/>
      <c r="AM125" s="201"/>
      <c r="AN125" s="201"/>
      <c r="AO125" s="201"/>
      <c r="AP125" s="205"/>
      <c r="AQ125" s="233"/>
    </row>
    <row r="126" spans="1:43" x14ac:dyDescent="0.2">
      <c r="A126" s="201"/>
      <c r="B126" s="201" t="s">
        <v>1394</v>
      </c>
      <c r="C126" s="201">
        <v>120</v>
      </c>
      <c r="D126" s="201" t="s">
        <v>1606</v>
      </c>
      <c r="E126" s="202">
        <v>548776000</v>
      </c>
      <c r="F126" s="203">
        <v>8.8000000000000009E-2</v>
      </c>
      <c r="G126" s="205">
        <v>121</v>
      </c>
      <c r="H126" s="205">
        <v>122</v>
      </c>
      <c r="I126" s="205" t="s">
        <v>360</v>
      </c>
      <c r="J126" s="205"/>
      <c r="K126" s="201"/>
      <c r="L126" s="201"/>
      <c r="M126" s="201"/>
      <c r="N126" s="201"/>
      <c r="O126" s="201"/>
      <c r="P126" s="201"/>
      <c r="Q126" s="201"/>
      <c r="R126" s="201"/>
      <c r="S126" s="201"/>
      <c r="T126" s="205"/>
      <c r="U126" s="201"/>
      <c r="V126" s="201"/>
      <c r="W126" s="201"/>
      <c r="X126" s="201"/>
      <c r="Y126" s="201"/>
      <c r="Z126" s="201"/>
      <c r="AA126" s="201"/>
      <c r="AB126" s="201"/>
      <c r="AC126" s="201"/>
      <c r="AD126" s="201"/>
      <c r="AE126" s="201"/>
      <c r="AF126" s="201"/>
      <c r="AG126" s="201" t="str">
        <f>IF(E126="","",IF(E126&gt;='Reference Tab - Do not Delete'!$E$35,'Reference Tab - Do not Delete'!$D$35,IF(AND(E126&gt;='Reference Tab - Do not Delete'!$E$36,E126&lt;'Reference Tab - Do not Delete'!$E$35),'Reference Tab - Do not Delete'!$D$36,IF(AND(E126&gt;='Reference Tab - Do not Delete'!$E$37,E126&lt;'Reference Tab - Do not Delete'!$E$36),'Reference Tab - Do not Delete'!$D$37,IF(AND(E126&gt;='Reference Tab - Do not Delete'!$E$38,E126&lt;'Reference Tab - Do not Delete'!$E$37),'Reference Tab - Do not Delete'!$D$38,'Reference Tab - Do not Delete'!$D$39)))))</f>
        <v>$B - $500M</v>
      </c>
      <c r="AH126" s="205" t="str">
        <f t="shared" si="2"/>
        <v>Above 50</v>
      </c>
      <c r="AI126" s="205" t="str">
        <f t="shared" si="3"/>
        <v/>
      </c>
      <c r="AJ126" s="202">
        <v>0</v>
      </c>
      <c r="AK126" s="201"/>
      <c r="AL126" s="205"/>
      <c r="AM126" s="201"/>
      <c r="AN126" s="201"/>
      <c r="AO126" s="201"/>
      <c r="AP126" s="205"/>
      <c r="AQ126" s="233"/>
    </row>
    <row r="127" spans="1:43" x14ac:dyDescent="0.2">
      <c r="A127" s="201"/>
      <c r="B127" s="201" t="s">
        <v>1395</v>
      </c>
      <c r="C127" s="201">
        <v>121</v>
      </c>
      <c r="D127" s="201" t="s">
        <v>1606</v>
      </c>
      <c r="E127" s="202">
        <v>544587000</v>
      </c>
      <c r="F127" s="203">
        <v>-1.3999999999999999E-2</v>
      </c>
      <c r="G127" s="205">
        <v>122</v>
      </c>
      <c r="H127" s="205">
        <v>116</v>
      </c>
      <c r="I127" s="205" t="s">
        <v>360</v>
      </c>
      <c r="J127" s="205"/>
      <c r="K127" s="201"/>
      <c r="L127" s="201"/>
      <c r="M127" s="201"/>
      <c r="N127" s="201"/>
      <c r="O127" s="201"/>
      <c r="P127" s="201"/>
      <c r="Q127" s="201"/>
      <c r="R127" s="201"/>
      <c r="S127" s="201"/>
      <c r="T127" s="205"/>
      <c r="U127" s="201"/>
      <c r="V127" s="201"/>
      <c r="W127" s="201"/>
      <c r="X127" s="201"/>
      <c r="Y127" s="201"/>
      <c r="Z127" s="201"/>
      <c r="AA127" s="201"/>
      <c r="AB127" s="201"/>
      <c r="AC127" s="201"/>
      <c r="AD127" s="201"/>
      <c r="AE127" s="201"/>
      <c r="AF127" s="201"/>
      <c r="AG127" s="201" t="str">
        <f>IF(E127="","",IF(E127&gt;='Reference Tab - Do not Delete'!$E$35,'Reference Tab - Do not Delete'!$D$35,IF(AND(E127&gt;='Reference Tab - Do not Delete'!$E$36,E127&lt;'Reference Tab - Do not Delete'!$E$35),'Reference Tab - Do not Delete'!$D$36,IF(AND(E127&gt;='Reference Tab - Do not Delete'!$E$37,E127&lt;'Reference Tab - Do not Delete'!$E$36),'Reference Tab - Do not Delete'!$D$37,IF(AND(E127&gt;='Reference Tab - Do not Delete'!$E$38,E127&lt;'Reference Tab - Do not Delete'!$E$37),'Reference Tab - Do not Delete'!$D$38,'Reference Tab - Do not Delete'!$D$39)))))</f>
        <v>$B - $500M</v>
      </c>
      <c r="AH127" s="205" t="str">
        <f t="shared" si="2"/>
        <v>Above 50</v>
      </c>
      <c r="AI127" s="205" t="str">
        <f t="shared" si="3"/>
        <v/>
      </c>
      <c r="AJ127" s="202">
        <v>0</v>
      </c>
      <c r="AK127" s="201"/>
      <c r="AL127" s="205"/>
      <c r="AM127" s="201"/>
      <c r="AN127" s="201"/>
      <c r="AO127" s="201"/>
      <c r="AP127" s="205"/>
      <c r="AQ127" s="233"/>
    </row>
    <row r="128" spans="1:43" x14ac:dyDescent="0.2">
      <c r="A128" s="201"/>
      <c r="B128" s="201" t="s">
        <v>1328</v>
      </c>
      <c r="C128" s="201">
        <v>122</v>
      </c>
      <c r="D128" s="201" t="s">
        <v>1606</v>
      </c>
      <c r="E128" s="202">
        <v>533875000</v>
      </c>
      <c r="F128" s="203">
        <v>-0.27899999999999997</v>
      </c>
      <c r="G128" s="205">
        <v>123</v>
      </c>
      <c r="H128" s="205">
        <v>100</v>
      </c>
      <c r="I128" s="205" t="s">
        <v>360</v>
      </c>
      <c r="J128" s="205"/>
      <c r="K128" s="201"/>
      <c r="L128" s="201"/>
      <c r="M128" s="201"/>
      <c r="N128" s="201"/>
      <c r="O128" s="201"/>
      <c r="P128" s="201"/>
      <c r="Q128" s="201"/>
      <c r="R128" s="201"/>
      <c r="S128" s="201"/>
      <c r="T128" s="205"/>
      <c r="U128" s="201"/>
      <c r="V128" s="201"/>
      <c r="W128" s="201"/>
      <c r="X128" s="201"/>
      <c r="Y128" s="201"/>
      <c r="Z128" s="201"/>
      <c r="AA128" s="201"/>
      <c r="AB128" s="201"/>
      <c r="AC128" s="201"/>
      <c r="AD128" s="201"/>
      <c r="AE128" s="201"/>
      <c r="AF128" s="201"/>
      <c r="AG128" s="201" t="str">
        <f>IF(E128="","",IF(E128&gt;='Reference Tab - Do not Delete'!$E$35,'Reference Tab - Do not Delete'!$D$35,IF(AND(E128&gt;='Reference Tab - Do not Delete'!$E$36,E128&lt;'Reference Tab - Do not Delete'!$E$35),'Reference Tab - Do not Delete'!$D$36,IF(AND(E128&gt;='Reference Tab - Do not Delete'!$E$37,E128&lt;'Reference Tab - Do not Delete'!$E$36),'Reference Tab - Do not Delete'!$D$37,IF(AND(E128&gt;='Reference Tab - Do not Delete'!$E$38,E128&lt;'Reference Tab - Do not Delete'!$E$37),'Reference Tab - Do not Delete'!$D$38,'Reference Tab - Do not Delete'!$D$39)))))</f>
        <v>$B - $500M</v>
      </c>
      <c r="AH128" s="205" t="str">
        <f t="shared" si="2"/>
        <v>Above 50</v>
      </c>
      <c r="AI128" s="205" t="str">
        <f t="shared" si="3"/>
        <v/>
      </c>
      <c r="AJ128" s="202">
        <v>0</v>
      </c>
      <c r="AK128" s="201"/>
      <c r="AL128" s="205"/>
      <c r="AM128" s="201"/>
      <c r="AN128" s="201"/>
      <c r="AO128" s="201"/>
      <c r="AP128" s="205"/>
      <c r="AQ128" s="233"/>
    </row>
    <row r="129" spans="1:43" x14ac:dyDescent="0.2">
      <c r="A129" s="201"/>
      <c r="B129" s="201" t="s">
        <v>1396</v>
      </c>
      <c r="C129" s="201">
        <v>123</v>
      </c>
      <c r="D129" s="201" t="s">
        <v>1606</v>
      </c>
      <c r="E129" s="202">
        <v>519823000</v>
      </c>
      <c r="F129" s="203">
        <v>-0.02</v>
      </c>
      <c r="G129" s="205">
        <v>124</v>
      </c>
      <c r="H129" s="205">
        <v>119</v>
      </c>
      <c r="I129" s="205" t="s">
        <v>360</v>
      </c>
      <c r="J129" s="205"/>
      <c r="K129" s="201"/>
      <c r="L129" s="201"/>
      <c r="M129" s="201"/>
      <c r="N129" s="201"/>
      <c r="O129" s="201"/>
      <c r="P129" s="201"/>
      <c r="Q129" s="201"/>
      <c r="R129" s="201"/>
      <c r="S129" s="201"/>
      <c r="T129" s="205"/>
      <c r="U129" s="201"/>
      <c r="V129" s="201"/>
      <c r="W129" s="201"/>
      <c r="X129" s="201"/>
      <c r="Y129" s="201"/>
      <c r="Z129" s="201"/>
      <c r="AA129" s="201"/>
      <c r="AB129" s="201"/>
      <c r="AC129" s="201"/>
      <c r="AD129" s="201"/>
      <c r="AE129" s="201"/>
      <c r="AF129" s="201"/>
      <c r="AG129" s="201" t="str">
        <f>IF(E129="","",IF(E129&gt;='Reference Tab - Do not Delete'!$E$35,'Reference Tab - Do not Delete'!$D$35,IF(AND(E129&gt;='Reference Tab - Do not Delete'!$E$36,E129&lt;'Reference Tab - Do not Delete'!$E$35),'Reference Tab - Do not Delete'!$D$36,IF(AND(E129&gt;='Reference Tab - Do not Delete'!$E$37,E129&lt;'Reference Tab - Do not Delete'!$E$36),'Reference Tab - Do not Delete'!$D$37,IF(AND(E129&gt;='Reference Tab - Do not Delete'!$E$38,E129&lt;'Reference Tab - Do not Delete'!$E$37),'Reference Tab - Do not Delete'!$D$38,'Reference Tab - Do not Delete'!$D$39)))))</f>
        <v>$B - $500M</v>
      </c>
      <c r="AH129" s="205" t="str">
        <f t="shared" si="2"/>
        <v>Above 50</v>
      </c>
      <c r="AI129" s="205" t="str">
        <f t="shared" si="3"/>
        <v/>
      </c>
      <c r="AJ129" s="202">
        <v>0</v>
      </c>
      <c r="AK129" s="201"/>
      <c r="AL129" s="205"/>
      <c r="AM129" s="201"/>
      <c r="AN129" s="201"/>
      <c r="AO129" s="201"/>
      <c r="AP129" s="205"/>
      <c r="AQ129" s="233"/>
    </row>
    <row r="130" spans="1:43" x14ac:dyDescent="0.2">
      <c r="A130" s="201"/>
      <c r="B130" s="201" t="s">
        <v>1397</v>
      </c>
      <c r="C130" s="201">
        <v>124</v>
      </c>
      <c r="D130" s="201" t="s">
        <v>1606</v>
      </c>
      <c r="E130" s="202">
        <v>508621000</v>
      </c>
      <c r="F130" s="203">
        <v>-2.1000000000000001E-2</v>
      </c>
      <c r="G130" s="205">
        <v>125</v>
      </c>
      <c r="H130" s="205">
        <v>120</v>
      </c>
      <c r="I130" s="205" t="s">
        <v>360</v>
      </c>
      <c r="J130" s="205"/>
      <c r="K130" s="201"/>
      <c r="L130" s="201"/>
      <c r="M130" s="201"/>
      <c r="N130" s="201"/>
      <c r="O130" s="201"/>
      <c r="P130" s="201"/>
      <c r="Q130" s="201"/>
      <c r="R130" s="201"/>
      <c r="S130" s="201"/>
      <c r="T130" s="205"/>
      <c r="U130" s="201"/>
      <c r="V130" s="201"/>
      <c r="W130" s="201"/>
      <c r="X130" s="201"/>
      <c r="Y130" s="201"/>
      <c r="Z130" s="201"/>
      <c r="AA130" s="201"/>
      <c r="AB130" s="201"/>
      <c r="AC130" s="201"/>
      <c r="AD130" s="201"/>
      <c r="AE130" s="201"/>
      <c r="AF130" s="201"/>
      <c r="AG130" s="201" t="str">
        <f>IF(E130="","",IF(E130&gt;='Reference Tab - Do not Delete'!$E$35,'Reference Tab - Do not Delete'!$D$35,IF(AND(E130&gt;='Reference Tab - Do not Delete'!$E$36,E130&lt;'Reference Tab - Do not Delete'!$E$35),'Reference Tab - Do not Delete'!$D$36,IF(AND(E130&gt;='Reference Tab - Do not Delete'!$E$37,E130&lt;'Reference Tab - Do not Delete'!$E$36),'Reference Tab - Do not Delete'!$D$37,IF(AND(E130&gt;='Reference Tab - Do not Delete'!$E$38,E130&lt;'Reference Tab - Do not Delete'!$E$37),'Reference Tab - Do not Delete'!$D$38,'Reference Tab - Do not Delete'!$D$39)))))</f>
        <v>$B - $500M</v>
      </c>
      <c r="AH130" s="205" t="str">
        <f t="shared" si="2"/>
        <v>Above 50</v>
      </c>
      <c r="AI130" s="205" t="str">
        <f t="shared" si="3"/>
        <v/>
      </c>
      <c r="AJ130" s="202">
        <v>0</v>
      </c>
      <c r="AK130" s="201"/>
      <c r="AL130" s="205"/>
      <c r="AM130" s="201"/>
      <c r="AN130" s="201"/>
      <c r="AO130" s="201"/>
      <c r="AP130" s="205"/>
      <c r="AQ130" s="233"/>
    </row>
    <row r="131" spans="1:43" x14ac:dyDescent="0.2">
      <c r="A131" s="201" t="s">
        <v>1176</v>
      </c>
      <c r="B131" s="201" t="s">
        <v>1401</v>
      </c>
      <c r="C131" s="201">
        <v>125</v>
      </c>
      <c r="D131" s="201" t="s">
        <v>1606</v>
      </c>
      <c r="E131" s="202">
        <v>2500000000</v>
      </c>
      <c r="F131" s="203">
        <v>0.03</v>
      </c>
      <c r="G131" s="201"/>
      <c r="H131" s="201"/>
      <c r="I131" s="205" t="s">
        <v>360</v>
      </c>
      <c r="J131" s="205"/>
      <c r="K131" s="201" t="s">
        <v>1154</v>
      </c>
      <c r="L131" s="201" t="s">
        <v>1176</v>
      </c>
      <c r="M131" s="201" t="s">
        <v>1177</v>
      </c>
      <c r="N131" s="201" t="s">
        <v>1178</v>
      </c>
      <c r="O131" s="201" t="s">
        <v>1179</v>
      </c>
      <c r="P131" s="201" t="s">
        <v>1180</v>
      </c>
      <c r="Q131" s="201" t="s">
        <v>1181</v>
      </c>
      <c r="R131" s="201" t="s">
        <v>1182</v>
      </c>
      <c r="S131" s="201" t="s">
        <v>1183</v>
      </c>
      <c r="T131" s="205" t="s">
        <v>648</v>
      </c>
      <c r="U131" s="201" t="s">
        <v>277</v>
      </c>
      <c r="V131" s="201" t="s">
        <v>1185</v>
      </c>
      <c r="W131" s="201"/>
      <c r="X131" s="201"/>
      <c r="Y131" s="201"/>
      <c r="Z131" s="201"/>
      <c r="AA131" s="201"/>
      <c r="AB131" s="201"/>
      <c r="AC131" s="201"/>
      <c r="AD131" s="201"/>
      <c r="AE131" s="201"/>
      <c r="AF131" s="201"/>
      <c r="AG131" s="201" t="str">
        <f>IF(E131="","",IF(E131&gt;='Reference Tab - Do not Delete'!$E$35,'Reference Tab - Do not Delete'!$D$35,IF(AND(E131&gt;='Reference Tab - Do not Delete'!$E$36,E131&lt;'Reference Tab - Do not Delete'!$E$35),'Reference Tab - Do not Delete'!$D$36,IF(AND(E131&gt;='Reference Tab - Do not Delete'!$E$37,E131&lt;'Reference Tab - Do not Delete'!$E$36),'Reference Tab - Do not Delete'!$D$37,IF(AND(E131&gt;='Reference Tab - Do not Delete'!$E$38,E131&lt;'Reference Tab - Do not Delete'!$E$37),'Reference Tab - Do not Delete'!$D$38,'Reference Tab - Do not Delete'!$D$39)))))</f>
        <v>$50B - $B</v>
      </c>
      <c r="AH131" s="205" t="str">
        <f t="shared" si="2"/>
        <v>DNA</v>
      </c>
      <c r="AI131" s="205" t="str">
        <f t="shared" si="3"/>
        <v/>
      </c>
      <c r="AJ131" s="202">
        <v>0</v>
      </c>
      <c r="AK131" s="201"/>
      <c r="AL131" s="205"/>
      <c r="AM131" s="201"/>
      <c r="AN131" s="201"/>
      <c r="AO131" s="201"/>
      <c r="AP131" s="205"/>
      <c r="AQ131" s="233"/>
    </row>
    <row r="132" spans="1:43" x14ac:dyDescent="0.2">
      <c r="A132" s="201"/>
      <c r="B132" s="201" t="s">
        <v>1607</v>
      </c>
      <c r="C132" s="201">
        <v>126</v>
      </c>
      <c r="D132" s="201" t="s">
        <v>1979</v>
      </c>
      <c r="E132" s="202">
        <v>1435434756</v>
      </c>
      <c r="F132" s="203"/>
      <c r="G132" s="205">
        <v>1</v>
      </c>
      <c r="H132" s="205">
        <v>1</v>
      </c>
      <c r="I132" s="205" t="s">
        <v>360</v>
      </c>
      <c r="J132" s="205"/>
      <c r="K132" s="201"/>
      <c r="L132" s="201"/>
      <c r="M132" s="201"/>
      <c r="N132" s="201"/>
      <c r="O132" s="201"/>
      <c r="P132" s="201"/>
      <c r="Q132" s="201"/>
      <c r="R132" s="201"/>
      <c r="S132" s="201"/>
      <c r="T132" s="205"/>
      <c r="U132" s="201"/>
      <c r="V132" s="201"/>
      <c r="W132" s="201"/>
      <c r="X132" s="201"/>
      <c r="Y132" s="201"/>
      <c r="Z132" s="201"/>
      <c r="AA132" s="201"/>
      <c r="AB132" s="201"/>
      <c r="AC132" s="201"/>
      <c r="AD132" s="201"/>
      <c r="AE132" s="201"/>
      <c r="AF132" s="201"/>
      <c r="AG132" s="201" t="str">
        <f>IF(E132="","",IF(E132&gt;='Reference Tab - Do not Delete'!$E$35,'Reference Tab - Do not Delete'!$D$35,IF(AND(E132&gt;='Reference Tab - Do not Delete'!$E$36,E132&lt;'Reference Tab - Do not Delete'!$E$35),'Reference Tab - Do not Delete'!$D$36,IF(AND(E132&gt;='Reference Tab - Do not Delete'!$E$37,E132&lt;'Reference Tab - Do not Delete'!$E$36),'Reference Tab - Do not Delete'!$D$37,IF(AND(E132&gt;='Reference Tab - Do not Delete'!$E$38,E132&lt;'Reference Tab - Do not Delete'!$E$37),'Reference Tab - Do not Delete'!$D$38,'Reference Tab - Do not Delete'!$D$39)))))</f>
        <v>$50B - $B</v>
      </c>
      <c r="AH132" s="205" t="str">
        <f t="shared" ref="AH132:AH195" si="4">IF(H132="","DNA",IF(H132&lt;=10,"Top 10",IF(AND(H132&lt;=25,H132&gt;10),"11 - 25",IF(AND(H132&lt;=50,H132&gt;25),"26 - 50","Above 50"))))</f>
        <v>Top 10</v>
      </c>
      <c r="AI132" s="205" t="str">
        <f t="shared" si="3"/>
        <v/>
      </c>
      <c r="AJ132" s="202">
        <v>0</v>
      </c>
      <c r="AK132" s="201"/>
      <c r="AL132" s="205"/>
      <c r="AM132" s="201"/>
      <c r="AN132" s="201"/>
      <c r="AO132" s="201"/>
      <c r="AP132" s="205"/>
      <c r="AQ132" s="233"/>
    </row>
    <row r="133" spans="1:43" x14ac:dyDescent="0.2">
      <c r="A133" s="201"/>
      <c r="B133" s="201" t="s">
        <v>1608</v>
      </c>
      <c r="C133" s="201">
        <v>127</v>
      </c>
      <c r="D133" s="201" t="s">
        <v>1979</v>
      </c>
      <c r="E133" s="202">
        <v>1155316000</v>
      </c>
      <c r="F133" s="203"/>
      <c r="G133" s="205">
        <v>2</v>
      </c>
      <c r="H133" s="205">
        <v>2</v>
      </c>
      <c r="I133" s="205" t="s">
        <v>360</v>
      </c>
      <c r="J133" s="205"/>
      <c r="K133" s="201"/>
      <c r="L133" s="201"/>
      <c r="M133" s="201"/>
      <c r="N133" s="201"/>
      <c r="O133" s="201"/>
      <c r="P133" s="201"/>
      <c r="Q133" s="201"/>
      <c r="R133" s="201"/>
      <c r="S133" s="201"/>
      <c r="T133" s="205"/>
      <c r="U133" s="201"/>
      <c r="V133" s="201"/>
      <c r="W133" s="201"/>
      <c r="X133" s="201"/>
      <c r="Y133" s="201"/>
      <c r="Z133" s="201"/>
      <c r="AA133" s="201"/>
      <c r="AB133" s="201"/>
      <c r="AC133" s="201"/>
      <c r="AD133" s="201"/>
      <c r="AE133" s="201"/>
      <c r="AF133" s="201"/>
      <c r="AG133" s="201" t="str">
        <f>IF(E133="","",IF(E133&gt;='Reference Tab - Do not Delete'!$E$35,'Reference Tab - Do not Delete'!$D$35,IF(AND(E133&gt;='Reference Tab - Do not Delete'!$E$36,E133&lt;'Reference Tab - Do not Delete'!$E$35),'Reference Tab - Do not Delete'!$D$36,IF(AND(E133&gt;='Reference Tab - Do not Delete'!$E$37,E133&lt;'Reference Tab - Do not Delete'!$E$36),'Reference Tab - Do not Delete'!$D$37,IF(AND(E133&gt;='Reference Tab - Do not Delete'!$E$38,E133&lt;'Reference Tab - Do not Delete'!$E$37),'Reference Tab - Do not Delete'!$D$38,'Reference Tab - Do not Delete'!$D$39)))))</f>
        <v>$50B - $B</v>
      </c>
      <c r="AH133" s="205" t="str">
        <f t="shared" si="4"/>
        <v>Top 10</v>
      </c>
      <c r="AI133" s="205" t="str">
        <f t="shared" si="3"/>
        <v/>
      </c>
      <c r="AJ133" s="202">
        <v>0</v>
      </c>
      <c r="AK133" s="201"/>
      <c r="AL133" s="205"/>
      <c r="AM133" s="201"/>
      <c r="AN133" s="201"/>
      <c r="AO133" s="201"/>
      <c r="AP133" s="205"/>
      <c r="AQ133" s="233"/>
    </row>
    <row r="134" spans="1:43" x14ac:dyDescent="0.2">
      <c r="A134" s="201"/>
      <c r="B134" s="201" t="s">
        <v>1609</v>
      </c>
      <c r="C134" s="201">
        <v>128</v>
      </c>
      <c r="D134" s="201" t="s">
        <v>1979</v>
      </c>
      <c r="E134" s="202">
        <v>1087549902</v>
      </c>
      <c r="F134" s="203"/>
      <c r="G134" s="205">
        <v>6</v>
      </c>
      <c r="H134" s="205">
        <v>3</v>
      </c>
      <c r="I134" s="205" t="s">
        <v>360</v>
      </c>
      <c r="J134" s="205"/>
      <c r="K134" s="201"/>
      <c r="L134" s="201"/>
      <c r="M134" s="201"/>
      <c r="N134" s="201"/>
      <c r="O134" s="201"/>
      <c r="P134" s="201"/>
      <c r="Q134" s="201"/>
      <c r="R134" s="201"/>
      <c r="S134" s="201"/>
      <c r="T134" s="205"/>
      <c r="U134" s="201"/>
      <c r="V134" s="201"/>
      <c r="W134" s="201"/>
      <c r="X134" s="201"/>
      <c r="Y134" s="201"/>
      <c r="Z134" s="201"/>
      <c r="AA134" s="201"/>
      <c r="AB134" s="201"/>
      <c r="AC134" s="201"/>
      <c r="AD134" s="201"/>
      <c r="AE134" s="201"/>
      <c r="AF134" s="201"/>
      <c r="AG134" s="201" t="str">
        <f>IF(E134="","",IF(E134&gt;='Reference Tab - Do not Delete'!$E$35,'Reference Tab - Do not Delete'!$D$35,IF(AND(E134&gt;='Reference Tab - Do not Delete'!$E$36,E134&lt;'Reference Tab - Do not Delete'!$E$35),'Reference Tab - Do not Delete'!$D$36,IF(AND(E134&gt;='Reference Tab - Do not Delete'!$E$37,E134&lt;'Reference Tab - Do not Delete'!$E$36),'Reference Tab - Do not Delete'!$D$37,IF(AND(E134&gt;='Reference Tab - Do not Delete'!$E$38,E134&lt;'Reference Tab - Do not Delete'!$E$37),'Reference Tab - Do not Delete'!$D$38,'Reference Tab - Do not Delete'!$D$39)))))</f>
        <v>$50B - $B</v>
      </c>
      <c r="AH134" s="205" t="str">
        <f t="shared" si="4"/>
        <v>Top 10</v>
      </c>
      <c r="AI134" s="205" t="str">
        <f t="shared" si="3"/>
        <v/>
      </c>
      <c r="AJ134" s="202">
        <v>0</v>
      </c>
      <c r="AK134" s="201"/>
      <c r="AL134" s="205"/>
      <c r="AM134" s="201"/>
      <c r="AN134" s="201"/>
      <c r="AO134" s="201"/>
      <c r="AP134" s="205"/>
      <c r="AQ134" s="233"/>
    </row>
    <row r="135" spans="1:43" x14ac:dyDescent="0.2">
      <c r="A135" s="201"/>
      <c r="B135" s="201" t="s">
        <v>1610</v>
      </c>
      <c r="C135" s="201">
        <v>129</v>
      </c>
      <c r="D135" s="201" t="s">
        <v>1979</v>
      </c>
      <c r="E135" s="202">
        <v>1024784327</v>
      </c>
      <c r="F135" s="203"/>
      <c r="G135" s="205">
        <v>3</v>
      </c>
      <c r="H135" s="205">
        <v>4</v>
      </c>
      <c r="I135" s="205" t="s">
        <v>360</v>
      </c>
      <c r="J135" s="205"/>
      <c r="K135" s="201"/>
      <c r="L135" s="201"/>
      <c r="M135" s="201"/>
      <c r="N135" s="201"/>
      <c r="O135" s="201"/>
      <c r="P135" s="201"/>
      <c r="Q135" s="201"/>
      <c r="R135" s="201"/>
      <c r="S135" s="201"/>
      <c r="T135" s="205"/>
      <c r="U135" s="201"/>
      <c r="V135" s="201"/>
      <c r="W135" s="201"/>
      <c r="X135" s="201"/>
      <c r="Y135" s="201"/>
      <c r="Z135" s="201"/>
      <c r="AA135" s="201"/>
      <c r="AB135" s="201"/>
      <c r="AC135" s="201"/>
      <c r="AD135" s="201"/>
      <c r="AE135" s="201"/>
      <c r="AF135" s="201"/>
      <c r="AG135" s="201" t="str">
        <f>IF(E135="","",IF(E135&gt;='Reference Tab - Do not Delete'!$E$35,'Reference Tab - Do not Delete'!$D$35,IF(AND(E135&gt;='Reference Tab - Do not Delete'!$E$36,E135&lt;'Reference Tab - Do not Delete'!$E$35),'Reference Tab - Do not Delete'!$D$36,IF(AND(E135&gt;='Reference Tab - Do not Delete'!$E$37,E135&lt;'Reference Tab - Do not Delete'!$E$36),'Reference Tab - Do not Delete'!$D$37,IF(AND(E135&gt;='Reference Tab - Do not Delete'!$E$38,E135&lt;'Reference Tab - Do not Delete'!$E$37),'Reference Tab - Do not Delete'!$D$38,'Reference Tab - Do not Delete'!$D$39)))))</f>
        <v>$50B - $B</v>
      </c>
      <c r="AH135" s="205" t="str">
        <f t="shared" si="4"/>
        <v>Top 10</v>
      </c>
      <c r="AI135" s="205" t="str">
        <f t="shared" si="3"/>
        <v/>
      </c>
      <c r="AJ135" s="202">
        <v>0</v>
      </c>
      <c r="AK135" s="201"/>
      <c r="AL135" s="205"/>
      <c r="AM135" s="201"/>
      <c r="AN135" s="201"/>
      <c r="AO135" s="201"/>
      <c r="AP135" s="205"/>
      <c r="AQ135" s="233"/>
    </row>
    <row r="136" spans="1:43" x14ac:dyDescent="0.2">
      <c r="A136" s="201"/>
      <c r="B136" s="201" t="s">
        <v>1611</v>
      </c>
      <c r="C136" s="201">
        <v>130</v>
      </c>
      <c r="D136" s="201" t="s">
        <v>1979</v>
      </c>
      <c r="E136" s="202">
        <v>981752255</v>
      </c>
      <c r="F136" s="203"/>
      <c r="G136" s="205">
        <v>5</v>
      </c>
      <c r="H136" s="205">
        <v>5</v>
      </c>
      <c r="I136" s="205" t="s">
        <v>360</v>
      </c>
      <c r="J136" s="205"/>
      <c r="K136" s="201"/>
      <c r="L136" s="201"/>
      <c r="M136" s="201"/>
      <c r="N136" s="201"/>
      <c r="O136" s="201"/>
      <c r="P136" s="201"/>
      <c r="Q136" s="201"/>
      <c r="R136" s="201"/>
      <c r="S136" s="201"/>
      <c r="T136" s="205"/>
      <c r="U136" s="201"/>
      <c r="V136" s="201"/>
      <c r="W136" s="201"/>
      <c r="X136" s="201"/>
      <c r="Y136" s="201"/>
      <c r="Z136" s="201"/>
      <c r="AA136" s="201"/>
      <c r="AB136" s="201"/>
      <c r="AC136" s="201"/>
      <c r="AD136" s="201"/>
      <c r="AE136" s="201"/>
      <c r="AF136" s="201"/>
      <c r="AG136" s="201" t="str">
        <f>IF(E136="","",IF(E136&gt;='Reference Tab - Do not Delete'!$E$35,'Reference Tab - Do not Delete'!$D$35,IF(AND(E136&gt;='Reference Tab - Do not Delete'!$E$36,E136&lt;'Reference Tab - Do not Delete'!$E$35),'Reference Tab - Do not Delete'!$D$36,IF(AND(E136&gt;='Reference Tab - Do not Delete'!$E$37,E136&lt;'Reference Tab - Do not Delete'!$E$36),'Reference Tab - Do not Delete'!$D$37,IF(AND(E136&gt;='Reference Tab - Do not Delete'!$E$38,E136&lt;'Reference Tab - Do not Delete'!$E$37),'Reference Tab - Do not Delete'!$D$38,'Reference Tab - Do not Delete'!$D$39)))))</f>
        <v>$B - $500M</v>
      </c>
      <c r="AH136" s="205" t="str">
        <f t="shared" si="4"/>
        <v>Top 10</v>
      </c>
      <c r="AI136" s="205" t="str">
        <f t="shared" ref="AI136:AI199" si="5">IF(AJ136&gt;0,"Yes","")</f>
        <v/>
      </c>
      <c r="AJ136" s="202">
        <v>0</v>
      </c>
      <c r="AK136" s="201"/>
      <c r="AL136" s="205"/>
      <c r="AM136" s="201"/>
      <c r="AN136" s="201"/>
      <c r="AO136" s="201"/>
      <c r="AP136" s="205"/>
      <c r="AQ136" s="233"/>
    </row>
    <row r="137" spans="1:43" x14ac:dyDescent="0.2">
      <c r="A137" s="201"/>
      <c r="B137" s="201" t="s">
        <v>1612</v>
      </c>
      <c r="C137" s="201">
        <v>131</v>
      </c>
      <c r="D137" s="201" t="s">
        <v>1979</v>
      </c>
      <c r="E137" s="202">
        <v>942352957</v>
      </c>
      <c r="F137" s="203"/>
      <c r="G137" s="205">
        <v>4</v>
      </c>
      <c r="H137" s="205">
        <v>6</v>
      </c>
      <c r="I137" s="205" t="s">
        <v>360</v>
      </c>
      <c r="J137" s="205"/>
      <c r="K137" s="201"/>
      <c r="L137" s="201"/>
      <c r="M137" s="201"/>
      <c r="N137" s="201"/>
      <c r="O137" s="201"/>
      <c r="P137" s="201"/>
      <c r="Q137" s="201"/>
      <c r="R137" s="201"/>
      <c r="S137" s="201"/>
      <c r="T137" s="205"/>
      <c r="U137" s="201"/>
      <c r="V137" s="201"/>
      <c r="W137" s="201"/>
      <c r="X137" s="201"/>
      <c r="Y137" s="201"/>
      <c r="Z137" s="201"/>
      <c r="AA137" s="201"/>
      <c r="AB137" s="201"/>
      <c r="AC137" s="201"/>
      <c r="AD137" s="201"/>
      <c r="AE137" s="201"/>
      <c r="AF137" s="201"/>
      <c r="AG137" s="201" t="str">
        <f>IF(E137="","",IF(E137&gt;='Reference Tab - Do not Delete'!$E$35,'Reference Tab - Do not Delete'!$D$35,IF(AND(E137&gt;='Reference Tab - Do not Delete'!$E$36,E137&lt;'Reference Tab - Do not Delete'!$E$35),'Reference Tab - Do not Delete'!$D$36,IF(AND(E137&gt;='Reference Tab - Do not Delete'!$E$37,E137&lt;'Reference Tab - Do not Delete'!$E$36),'Reference Tab - Do not Delete'!$D$37,IF(AND(E137&gt;='Reference Tab - Do not Delete'!$E$38,E137&lt;'Reference Tab - Do not Delete'!$E$37),'Reference Tab - Do not Delete'!$D$38,'Reference Tab - Do not Delete'!$D$39)))))</f>
        <v>$B - $500M</v>
      </c>
      <c r="AH137" s="205" t="str">
        <f t="shared" si="4"/>
        <v>Top 10</v>
      </c>
      <c r="AI137" s="205" t="str">
        <f t="shared" si="5"/>
        <v/>
      </c>
      <c r="AJ137" s="202">
        <v>0</v>
      </c>
      <c r="AK137" s="201"/>
      <c r="AL137" s="205"/>
      <c r="AM137" s="201"/>
      <c r="AN137" s="201"/>
      <c r="AO137" s="201"/>
      <c r="AP137" s="205"/>
      <c r="AQ137" s="233"/>
    </row>
    <row r="138" spans="1:43" x14ac:dyDescent="0.2">
      <c r="A138" s="201"/>
      <c r="B138" s="201" t="s">
        <v>1613</v>
      </c>
      <c r="C138" s="201">
        <v>132</v>
      </c>
      <c r="D138" s="201" t="s">
        <v>1979</v>
      </c>
      <c r="E138" s="202">
        <v>559589000</v>
      </c>
      <c r="F138" s="203"/>
      <c r="G138" s="205">
        <v>8</v>
      </c>
      <c r="H138" s="205">
        <v>7</v>
      </c>
      <c r="I138" s="205" t="s">
        <v>360</v>
      </c>
      <c r="J138" s="205"/>
      <c r="K138" s="201"/>
      <c r="L138" s="201"/>
      <c r="M138" s="201"/>
      <c r="N138" s="201"/>
      <c r="O138" s="201"/>
      <c r="P138" s="201"/>
      <c r="Q138" s="201"/>
      <c r="R138" s="201"/>
      <c r="S138" s="201"/>
      <c r="T138" s="205"/>
      <c r="U138" s="201"/>
      <c r="V138" s="201"/>
      <c r="W138" s="201"/>
      <c r="X138" s="201"/>
      <c r="Y138" s="201"/>
      <c r="Z138" s="201"/>
      <c r="AA138" s="201"/>
      <c r="AB138" s="201"/>
      <c r="AC138" s="201"/>
      <c r="AD138" s="201"/>
      <c r="AE138" s="201"/>
      <c r="AF138" s="201"/>
      <c r="AG138" s="201" t="str">
        <f>IF(E138="","",IF(E138&gt;='Reference Tab - Do not Delete'!$E$35,'Reference Tab - Do not Delete'!$D$35,IF(AND(E138&gt;='Reference Tab - Do not Delete'!$E$36,E138&lt;'Reference Tab - Do not Delete'!$E$35),'Reference Tab - Do not Delete'!$D$36,IF(AND(E138&gt;='Reference Tab - Do not Delete'!$E$37,E138&lt;'Reference Tab - Do not Delete'!$E$36),'Reference Tab - Do not Delete'!$D$37,IF(AND(E138&gt;='Reference Tab - Do not Delete'!$E$38,E138&lt;'Reference Tab - Do not Delete'!$E$37),'Reference Tab - Do not Delete'!$D$38,'Reference Tab - Do not Delete'!$D$39)))))</f>
        <v>$B - $500M</v>
      </c>
      <c r="AH138" s="205" t="str">
        <f t="shared" si="4"/>
        <v>Top 10</v>
      </c>
      <c r="AI138" s="205" t="str">
        <f t="shared" si="5"/>
        <v/>
      </c>
      <c r="AJ138" s="202">
        <v>0</v>
      </c>
      <c r="AK138" s="201"/>
      <c r="AL138" s="205"/>
      <c r="AM138" s="201"/>
      <c r="AN138" s="201"/>
      <c r="AO138" s="201"/>
      <c r="AP138" s="205"/>
      <c r="AQ138" s="233"/>
    </row>
    <row r="139" spans="1:43" x14ac:dyDescent="0.2">
      <c r="A139" s="201"/>
      <c r="B139" s="201" t="s">
        <v>1614</v>
      </c>
      <c r="C139" s="201">
        <v>133</v>
      </c>
      <c r="D139" s="201" t="s">
        <v>1979</v>
      </c>
      <c r="E139" s="202">
        <v>515000000</v>
      </c>
      <c r="F139" s="203"/>
      <c r="G139" s="205">
        <v>7</v>
      </c>
      <c r="H139" s="205">
        <v>8</v>
      </c>
      <c r="I139" s="205" t="s">
        <v>360</v>
      </c>
      <c r="J139" s="205"/>
      <c r="K139" s="201"/>
      <c r="L139" s="201"/>
      <c r="M139" s="201"/>
      <c r="N139" s="201"/>
      <c r="O139" s="201"/>
      <c r="P139" s="201"/>
      <c r="Q139" s="201"/>
      <c r="R139" s="201"/>
      <c r="S139" s="201"/>
      <c r="T139" s="205"/>
      <c r="U139" s="201"/>
      <c r="V139" s="201"/>
      <c r="W139" s="201"/>
      <c r="X139" s="201"/>
      <c r="Y139" s="201"/>
      <c r="Z139" s="201"/>
      <c r="AA139" s="201"/>
      <c r="AB139" s="201"/>
      <c r="AC139" s="201"/>
      <c r="AD139" s="201"/>
      <c r="AE139" s="201"/>
      <c r="AF139" s="201"/>
      <c r="AG139" s="201" t="str">
        <f>IF(E139="","",IF(E139&gt;='Reference Tab - Do not Delete'!$E$35,'Reference Tab - Do not Delete'!$D$35,IF(AND(E139&gt;='Reference Tab - Do not Delete'!$E$36,E139&lt;'Reference Tab - Do not Delete'!$E$35),'Reference Tab - Do not Delete'!$D$36,IF(AND(E139&gt;='Reference Tab - Do not Delete'!$E$37,E139&lt;'Reference Tab - Do not Delete'!$E$36),'Reference Tab - Do not Delete'!$D$37,IF(AND(E139&gt;='Reference Tab - Do not Delete'!$E$38,E139&lt;'Reference Tab - Do not Delete'!$E$37),'Reference Tab - Do not Delete'!$D$38,'Reference Tab - Do not Delete'!$D$39)))))</f>
        <v>$B - $500M</v>
      </c>
      <c r="AH139" s="205" t="str">
        <f t="shared" si="4"/>
        <v>Top 10</v>
      </c>
      <c r="AI139" s="205" t="str">
        <f t="shared" si="5"/>
        <v/>
      </c>
      <c r="AJ139" s="202">
        <v>0</v>
      </c>
      <c r="AK139" s="201"/>
      <c r="AL139" s="205"/>
      <c r="AM139" s="201"/>
      <c r="AN139" s="201"/>
      <c r="AO139" s="201"/>
      <c r="AP139" s="205"/>
      <c r="AQ139" s="233"/>
    </row>
    <row r="140" spans="1:43" x14ac:dyDescent="0.2">
      <c r="A140" s="201"/>
      <c r="B140" s="201" t="s">
        <v>1615</v>
      </c>
      <c r="C140" s="201">
        <v>134</v>
      </c>
      <c r="D140" s="201" t="s">
        <v>1979</v>
      </c>
      <c r="E140" s="202">
        <v>461377714</v>
      </c>
      <c r="F140" s="203"/>
      <c r="G140" s="205">
        <v>9</v>
      </c>
      <c r="H140" s="205">
        <v>9</v>
      </c>
      <c r="I140" s="205" t="s">
        <v>360</v>
      </c>
      <c r="J140" s="205"/>
      <c r="K140" s="201"/>
      <c r="L140" s="201"/>
      <c r="M140" s="201"/>
      <c r="N140" s="201"/>
      <c r="O140" s="201"/>
      <c r="P140" s="201"/>
      <c r="Q140" s="201"/>
      <c r="R140" s="201"/>
      <c r="S140" s="201"/>
      <c r="T140" s="205"/>
      <c r="U140" s="201"/>
      <c r="V140" s="201"/>
      <c r="W140" s="201"/>
      <c r="X140" s="201"/>
      <c r="Y140" s="201"/>
      <c r="Z140" s="201"/>
      <c r="AA140" s="201"/>
      <c r="AB140" s="201"/>
      <c r="AC140" s="201"/>
      <c r="AD140" s="201"/>
      <c r="AE140" s="201"/>
      <c r="AF140" s="201"/>
      <c r="AG140" s="201" t="str">
        <f>IF(E140="","",IF(E140&gt;='Reference Tab - Do not Delete'!$E$35,'Reference Tab - Do not Delete'!$D$35,IF(AND(E140&gt;='Reference Tab - Do not Delete'!$E$36,E140&lt;'Reference Tab - Do not Delete'!$E$35),'Reference Tab - Do not Delete'!$D$36,IF(AND(E140&gt;='Reference Tab - Do not Delete'!$E$37,E140&lt;'Reference Tab - Do not Delete'!$E$36),'Reference Tab - Do not Delete'!$D$37,IF(AND(E140&gt;='Reference Tab - Do not Delete'!$E$38,E140&lt;'Reference Tab - Do not Delete'!$E$37),'Reference Tab - Do not Delete'!$D$38,'Reference Tab - Do not Delete'!$D$39)))))</f>
        <v>$500M - $M</v>
      </c>
      <c r="AH140" s="205" t="str">
        <f t="shared" si="4"/>
        <v>Top 10</v>
      </c>
      <c r="AI140" s="205" t="str">
        <f t="shared" si="5"/>
        <v/>
      </c>
      <c r="AJ140" s="202">
        <v>0</v>
      </c>
      <c r="AK140" s="201"/>
      <c r="AL140" s="205"/>
      <c r="AM140" s="201"/>
      <c r="AN140" s="201"/>
      <c r="AO140" s="201"/>
      <c r="AP140" s="205"/>
      <c r="AQ140" s="233"/>
    </row>
    <row r="141" spans="1:43" x14ac:dyDescent="0.2">
      <c r="A141" s="201"/>
      <c r="B141" s="201" t="s">
        <v>1616</v>
      </c>
      <c r="C141" s="201">
        <v>135</v>
      </c>
      <c r="D141" s="201" t="s">
        <v>1979</v>
      </c>
      <c r="E141" s="202">
        <v>338500000</v>
      </c>
      <c r="F141" s="203"/>
      <c r="G141" s="205">
        <v>10</v>
      </c>
      <c r="H141" s="205">
        <v>10</v>
      </c>
      <c r="I141" s="205" t="s">
        <v>360</v>
      </c>
      <c r="J141" s="205"/>
      <c r="K141" s="201"/>
      <c r="L141" s="201"/>
      <c r="M141" s="201"/>
      <c r="N141" s="201"/>
      <c r="O141" s="201"/>
      <c r="P141" s="201"/>
      <c r="Q141" s="201"/>
      <c r="R141" s="201"/>
      <c r="S141" s="201"/>
      <c r="T141" s="205"/>
      <c r="U141" s="201"/>
      <c r="V141" s="201"/>
      <c r="W141" s="201"/>
      <c r="X141" s="201"/>
      <c r="Y141" s="201"/>
      <c r="Z141" s="201"/>
      <c r="AA141" s="201"/>
      <c r="AB141" s="201"/>
      <c r="AC141" s="201"/>
      <c r="AD141" s="201"/>
      <c r="AE141" s="201"/>
      <c r="AF141" s="201"/>
      <c r="AG141" s="201" t="str">
        <f>IF(E141="","",IF(E141&gt;='Reference Tab - Do not Delete'!$E$35,'Reference Tab - Do not Delete'!$D$35,IF(AND(E141&gt;='Reference Tab - Do not Delete'!$E$36,E141&lt;'Reference Tab - Do not Delete'!$E$35),'Reference Tab - Do not Delete'!$D$36,IF(AND(E141&gt;='Reference Tab - Do not Delete'!$E$37,E141&lt;'Reference Tab - Do not Delete'!$E$36),'Reference Tab - Do not Delete'!$D$37,IF(AND(E141&gt;='Reference Tab - Do not Delete'!$E$38,E141&lt;'Reference Tab - Do not Delete'!$E$37),'Reference Tab - Do not Delete'!$D$38,'Reference Tab - Do not Delete'!$D$39)))))</f>
        <v>$500M - $M</v>
      </c>
      <c r="AH141" s="205" t="str">
        <f t="shared" si="4"/>
        <v>Top 10</v>
      </c>
      <c r="AI141" s="205" t="str">
        <f t="shared" si="5"/>
        <v/>
      </c>
      <c r="AJ141" s="202">
        <v>0</v>
      </c>
      <c r="AK141" s="201"/>
      <c r="AL141" s="205"/>
      <c r="AM141" s="201"/>
      <c r="AN141" s="201"/>
      <c r="AO141" s="201"/>
      <c r="AP141" s="205"/>
      <c r="AQ141" s="233"/>
    </row>
    <row r="142" spans="1:43" x14ac:dyDescent="0.2">
      <c r="A142" s="201"/>
      <c r="B142" s="201" t="s">
        <v>1617</v>
      </c>
      <c r="C142" s="201">
        <v>136</v>
      </c>
      <c r="D142" s="201" t="s">
        <v>1979</v>
      </c>
      <c r="E142" s="202">
        <v>290649571</v>
      </c>
      <c r="F142" s="203"/>
      <c r="G142" s="205">
        <v>11</v>
      </c>
      <c r="H142" s="205">
        <v>11</v>
      </c>
      <c r="I142" s="205" t="s">
        <v>360</v>
      </c>
      <c r="J142" s="205"/>
      <c r="K142" s="201"/>
      <c r="L142" s="201"/>
      <c r="M142" s="201"/>
      <c r="N142" s="201"/>
      <c r="O142" s="201"/>
      <c r="P142" s="201"/>
      <c r="Q142" s="201"/>
      <c r="R142" s="201"/>
      <c r="S142" s="201"/>
      <c r="T142" s="205"/>
      <c r="U142" s="201"/>
      <c r="V142" s="201"/>
      <c r="W142" s="201"/>
      <c r="X142" s="201"/>
      <c r="Y142" s="201"/>
      <c r="Z142" s="201"/>
      <c r="AA142" s="201"/>
      <c r="AB142" s="201"/>
      <c r="AC142" s="201"/>
      <c r="AD142" s="201"/>
      <c r="AE142" s="201"/>
      <c r="AF142" s="201"/>
      <c r="AG142" s="201" t="str">
        <f>IF(E142="","",IF(E142&gt;='Reference Tab - Do not Delete'!$E$35,'Reference Tab - Do not Delete'!$D$35,IF(AND(E142&gt;='Reference Tab - Do not Delete'!$E$36,E142&lt;'Reference Tab - Do not Delete'!$E$35),'Reference Tab - Do not Delete'!$D$36,IF(AND(E142&gt;='Reference Tab - Do not Delete'!$E$37,E142&lt;'Reference Tab - Do not Delete'!$E$36),'Reference Tab - Do not Delete'!$D$37,IF(AND(E142&gt;='Reference Tab - Do not Delete'!$E$38,E142&lt;'Reference Tab - Do not Delete'!$E$37),'Reference Tab - Do not Delete'!$D$38,'Reference Tab - Do not Delete'!$D$39)))))</f>
        <v>$500M - $M</v>
      </c>
      <c r="AH142" s="205" t="str">
        <f t="shared" si="4"/>
        <v>11 - 25</v>
      </c>
      <c r="AI142" s="205" t="str">
        <f t="shared" si="5"/>
        <v/>
      </c>
      <c r="AJ142" s="202">
        <v>0</v>
      </c>
      <c r="AK142" s="201"/>
      <c r="AL142" s="205"/>
      <c r="AM142" s="201"/>
      <c r="AN142" s="201"/>
      <c r="AO142" s="201"/>
      <c r="AP142" s="205"/>
      <c r="AQ142" s="233"/>
    </row>
    <row r="143" spans="1:43" x14ac:dyDescent="0.2">
      <c r="A143" s="201"/>
      <c r="B143" s="201" t="s">
        <v>1618</v>
      </c>
      <c r="C143" s="201">
        <v>137</v>
      </c>
      <c r="D143" s="201" t="s">
        <v>1979</v>
      </c>
      <c r="E143" s="202">
        <v>209445078</v>
      </c>
      <c r="F143" s="203"/>
      <c r="G143" s="205">
        <v>14</v>
      </c>
      <c r="H143" s="205">
        <v>12</v>
      </c>
      <c r="I143" s="205" t="s">
        <v>360</v>
      </c>
      <c r="J143" s="205"/>
      <c r="K143" s="201"/>
      <c r="L143" s="201"/>
      <c r="M143" s="201"/>
      <c r="N143" s="201"/>
      <c r="O143" s="201"/>
      <c r="P143" s="201"/>
      <c r="Q143" s="201"/>
      <c r="R143" s="201"/>
      <c r="S143" s="201"/>
      <c r="T143" s="205"/>
      <c r="U143" s="201"/>
      <c r="V143" s="201"/>
      <c r="W143" s="201"/>
      <c r="X143" s="201"/>
      <c r="Y143" s="201"/>
      <c r="Z143" s="201"/>
      <c r="AA143" s="201"/>
      <c r="AB143" s="201"/>
      <c r="AC143" s="201"/>
      <c r="AD143" s="201"/>
      <c r="AE143" s="201"/>
      <c r="AF143" s="201"/>
      <c r="AG143" s="201" t="str">
        <f>IF(E143="","",IF(E143&gt;='Reference Tab - Do not Delete'!$E$35,'Reference Tab - Do not Delete'!$D$35,IF(AND(E143&gt;='Reference Tab - Do not Delete'!$E$36,E143&lt;'Reference Tab - Do not Delete'!$E$35),'Reference Tab - Do not Delete'!$D$36,IF(AND(E143&gt;='Reference Tab - Do not Delete'!$E$37,E143&lt;'Reference Tab - Do not Delete'!$E$36),'Reference Tab - Do not Delete'!$D$37,IF(AND(E143&gt;='Reference Tab - Do not Delete'!$E$38,E143&lt;'Reference Tab - Do not Delete'!$E$37),'Reference Tab - Do not Delete'!$D$38,'Reference Tab - Do not Delete'!$D$39)))))</f>
        <v>$500M - $M</v>
      </c>
      <c r="AH143" s="205" t="str">
        <f t="shared" si="4"/>
        <v>11 - 25</v>
      </c>
      <c r="AI143" s="205" t="str">
        <f t="shared" si="5"/>
        <v/>
      </c>
      <c r="AJ143" s="202">
        <v>0</v>
      </c>
      <c r="AK143" s="201"/>
      <c r="AL143" s="205"/>
      <c r="AM143" s="201"/>
      <c r="AN143" s="201"/>
      <c r="AO143" s="201"/>
      <c r="AP143" s="205"/>
      <c r="AQ143" s="233"/>
    </row>
    <row r="144" spans="1:43" x14ac:dyDescent="0.2">
      <c r="A144" s="201"/>
      <c r="B144" s="201" t="s">
        <v>1619</v>
      </c>
      <c r="C144" s="201">
        <v>138</v>
      </c>
      <c r="D144" s="201" t="s">
        <v>1979</v>
      </c>
      <c r="E144" s="202">
        <v>187415483</v>
      </c>
      <c r="F144" s="203"/>
      <c r="G144" s="205">
        <v>13</v>
      </c>
      <c r="H144" s="205">
        <v>13</v>
      </c>
      <c r="I144" s="205" t="s">
        <v>360</v>
      </c>
      <c r="J144" s="205"/>
      <c r="K144" s="201"/>
      <c r="L144" s="201"/>
      <c r="M144" s="201"/>
      <c r="N144" s="201"/>
      <c r="O144" s="201"/>
      <c r="P144" s="201"/>
      <c r="Q144" s="201"/>
      <c r="R144" s="201"/>
      <c r="S144" s="201"/>
      <c r="T144" s="205"/>
      <c r="U144" s="201"/>
      <c r="V144" s="201"/>
      <c r="W144" s="201"/>
      <c r="X144" s="201"/>
      <c r="Y144" s="201"/>
      <c r="Z144" s="201"/>
      <c r="AA144" s="201"/>
      <c r="AB144" s="201"/>
      <c r="AC144" s="201"/>
      <c r="AD144" s="201"/>
      <c r="AE144" s="201"/>
      <c r="AF144" s="201"/>
      <c r="AG144" s="201" t="str">
        <f>IF(E144="","",IF(E144&gt;='Reference Tab - Do not Delete'!$E$35,'Reference Tab - Do not Delete'!$D$35,IF(AND(E144&gt;='Reference Tab - Do not Delete'!$E$36,E144&lt;'Reference Tab - Do not Delete'!$E$35),'Reference Tab - Do not Delete'!$D$36,IF(AND(E144&gt;='Reference Tab - Do not Delete'!$E$37,E144&lt;'Reference Tab - Do not Delete'!$E$36),'Reference Tab - Do not Delete'!$D$37,IF(AND(E144&gt;='Reference Tab - Do not Delete'!$E$38,E144&lt;'Reference Tab - Do not Delete'!$E$37),'Reference Tab - Do not Delete'!$D$38,'Reference Tab - Do not Delete'!$D$39)))))</f>
        <v>$500M - $M</v>
      </c>
      <c r="AH144" s="205" t="str">
        <f t="shared" si="4"/>
        <v>11 - 25</v>
      </c>
      <c r="AI144" s="205" t="str">
        <f t="shared" si="5"/>
        <v/>
      </c>
      <c r="AJ144" s="202">
        <v>0</v>
      </c>
      <c r="AK144" s="201"/>
      <c r="AL144" s="205"/>
      <c r="AM144" s="201"/>
      <c r="AN144" s="201"/>
      <c r="AO144" s="201"/>
      <c r="AP144" s="205"/>
      <c r="AQ144" s="233"/>
    </row>
    <row r="145" spans="1:43" x14ac:dyDescent="0.2">
      <c r="A145" s="201"/>
      <c r="B145" s="201" t="s">
        <v>1620</v>
      </c>
      <c r="C145" s="201">
        <v>139</v>
      </c>
      <c r="D145" s="201" t="s">
        <v>1979</v>
      </c>
      <c r="E145" s="202">
        <v>147043601</v>
      </c>
      <c r="F145" s="203"/>
      <c r="G145" s="205">
        <v>15</v>
      </c>
      <c r="H145" s="205">
        <v>14</v>
      </c>
      <c r="I145" s="205" t="s">
        <v>360</v>
      </c>
      <c r="J145" s="205"/>
      <c r="K145" s="201"/>
      <c r="L145" s="201"/>
      <c r="M145" s="201"/>
      <c r="N145" s="201"/>
      <c r="O145" s="201"/>
      <c r="P145" s="201"/>
      <c r="Q145" s="201"/>
      <c r="R145" s="201"/>
      <c r="S145" s="201"/>
      <c r="T145" s="205"/>
      <c r="U145" s="201"/>
      <c r="V145" s="201"/>
      <c r="W145" s="201"/>
      <c r="X145" s="201"/>
      <c r="Y145" s="201"/>
      <c r="Z145" s="201"/>
      <c r="AA145" s="201"/>
      <c r="AB145" s="201"/>
      <c r="AC145" s="201"/>
      <c r="AD145" s="201"/>
      <c r="AE145" s="201"/>
      <c r="AF145" s="201"/>
      <c r="AG145" s="201" t="str">
        <f>IF(E145="","",IF(E145&gt;='Reference Tab - Do not Delete'!$E$35,'Reference Tab - Do not Delete'!$D$35,IF(AND(E145&gt;='Reference Tab - Do not Delete'!$E$36,E145&lt;'Reference Tab - Do not Delete'!$E$35),'Reference Tab - Do not Delete'!$D$36,IF(AND(E145&gt;='Reference Tab - Do not Delete'!$E$37,E145&lt;'Reference Tab - Do not Delete'!$E$36),'Reference Tab - Do not Delete'!$D$37,IF(AND(E145&gt;='Reference Tab - Do not Delete'!$E$38,E145&lt;'Reference Tab - Do not Delete'!$E$37),'Reference Tab - Do not Delete'!$D$38,'Reference Tab - Do not Delete'!$D$39)))))</f>
        <v>$500M - $M</v>
      </c>
      <c r="AH145" s="205" t="str">
        <f t="shared" si="4"/>
        <v>11 - 25</v>
      </c>
      <c r="AI145" s="205" t="str">
        <f t="shared" si="5"/>
        <v/>
      </c>
      <c r="AJ145" s="202">
        <v>0</v>
      </c>
      <c r="AK145" s="201"/>
      <c r="AL145" s="205"/>
      <c r="AM145" s="201"/>
      <c r="AN145" s="201"/>
      <c r="AO145" s="201"/>
      <c r="AP145" s="205"/>
      <c r="AQ145" s="233"/>
    </row>
    <row r="146" spans="1:43" x14ac:dyDescent="0.2">
      <c r="A146" s="201"/>
      <c r="B146" s="201" t="s">
        <v>1621</v>
      </c>
      <c r="C146" s="201">
        <v>140</v>
      </c>
      <c r="D146" s="201" t="s">
        <v>1979</v>
      </c>
      <c r="E146" s="202">
        <v>139406000</v>
      </c>
      <c r="F146" s="203"/>
      <c r="G146" s="205">
        <v>17</v>
      </c>
      <c r="H146" s="205">
        <v>15</v>
      </c>
      <c r="I146" s="205" t="s">
        <v>360</v>
      </c>
      <c r="J146" s="205"/>
      <c r="K146" s="201"/>
      <c r="L146" s="201"/>
      <c r="M146" s="201"/>
      <c r="N146" s="201"/>
      <c r="O146" s="201"/>
      <c r="P146" s="201"/>
      <c r="Q146" s="201"/>
      <c r="R146" s="201"/>
      <c r="S146" s="201"/>
      <c r="T146" s="205"/>
      <c r="U146" s="201"/>
      <c r="V146" s="201"/>
      <c r="W146" s="201"/>
      <c r="X146" s="201"/>
      <c r="Y146" s="201"/>
      <c r="Z146" s="201"/>
      <c r="AA146" s="201"/>
      <c r="AB146" s="201"/>
      <c r="AC146" s="201"/>
      <c r="AD146" s="201"/>
      <c r="AE146" s="201"/>
      <c r="AF146" s="201"/>
      <c r="AG146" s="201" t="str">
        <f>IF(E146="","",IF(E146&gt;='Reference Tab - Do not Delete'!$E$35,'Reference Tab - Do not Delete'!$D$35,IF(AND(E146&gt;='Reference Tab - Do not Delete'!$E$36,E146&lt;'Reference Tab - Do not Delete'!$E$35),'Reference Tab - Do not Delete'!$D$36,IF(AND(E146&gt;='Reference Tab - Do not Delete'!$E$37,E146&lt;'Reference Tab - Do not Delete'!$E$36),'Reference Tab - Do not Delete'!$D$37,IF(AND(E146&gt;='Reference Tab - Do not Delete'!$E$38,E146&lt;'Reference Tab - Do not Delete'!$E$37),'Reference Tab - Do not Delete'!$D$38,'Reference Tab - Do not Delete'!$D$39)))))</f>
        <v>$500M - $M</v>
      </c>
      <c r="AH146" s="205" t="str">
        <f t="shared" si="4"/>
        <v>11 - 25</v>
      </c>
      <c r="AI146" s="205" t="str">
        <f t="shared" si="5"/>
        <v/>
      </c>
      <c r="AJ146" s="202">
        <v>0</v>
      </c>
      <c r="AK146" s="201"/>
      <c r="AL146" s="205"/>
      <c r="AM146" s="201"/>
      <c r="AN146" s="201"/>
      <c r="AO146" s="201"/>
      <c r="AP146" s="205"/>
      <c r="AQ146" s="233"/>
    </row>
    <row r="147" spans="1:43" x14ac:dyDescent="0.2">
      <c r="A147" s="201"/>
      <c r="B147" s="201" t="s">
        <v>1622</v>
      </c>
      <c r="C147" s="201">
        <v>141</v>
      </c>
      <c r="D147" s="201" t="s">
        <v>1979</v>
      </c>
      <c r="E147" s="202">
        <v>134000000</v>
      </c>
      <c r="F147" s="203"/>
      <c r="G147" s="205">
        <v>16</v>
      </c>
      <c r="H147" s="205">
        <v>16</v>
      </c>
      <c r="I147" s="205" t="s">
        <v>360</v>
      </c>
      <c r="J147" s="205"/>
      <c r="K147" s="201"/>
      <c r="L147" s="201"/>
      <c r="M147" s="201"/>
      <c r="N147" s="201"/>
      <c r="O147" s="201"/>
      <c r="P147" s="201"/>
      <c r="Q147" s="201"/>
      <c r="R147" s="201"/>
      <c r="S147" s="201"/>
      <c r="T147" s="205"/>
      <c r="U147" s="201"/>
      <c r="V147" s="201"/>
      <c r="W147" s="201"/>
      <c r="X147" s="201"/>
      <c r="Y147" s="201"/>
      <c r="Z147" s="201"/>
      <c r="AA147" s="201"/>
      <c r="AB147" s="201"/>
      <c r="AC147" s="201"/>
      <c r="AD147" s="201"/>
      <c r="AE147" s="201"/>
      <c r="AF147" s="201"/>
      <c r="AG147" s="201" t="str">
        <f>IF(E147="","",IF(E147&gt;='Reference Tab - Do not Delete'!$E$35,'Reference Tab - Do not Delete'!$D$35,IF(AND(E147&gt;='Reference Tab - Do not Delete'!$E$36,E147&lt;'Reference Tab - Do not Delete'!$E$35),'Reference Tab - Do not Delete'!$D$36,IF(AND(E147&gt;='Reference Tab - Do not Delete'!$E$37,E147&lt;'Reference Tab - Do not Delete'!$E$36),'Reference Tab - Do not Delete'!$D$37,IF(AND(E147&gt;='Reference Tab - Do not Delete'!$E$38,E147&lt;'Reference Tab - Do not Delete'!$E$37),'Reference Tab - Do not Delete'!$D$38,'Reference Tab - Do not Delete'!$D$39)))))</f>
        <v>$500M - $M</v>
      </c>
      <c r="AH147" s="205" t="str">
        <f t="shared" si="4"/>
        <v>11 - 25</v>
      </c>
      <c r="AI147" s="205" t="str">
        <f t="shared" si="5"/>
        <v/>
      </c>
      <c r="AJ147" s="202">
        <v>0</v>
      </c>
      <c r="AK147" s="201"/>
      <c r="AL147" s="205"/>
      <c r="AM147" s="201"/>
      <c r="AN147" s="201"/>
      <c r="AO147" s="201"/>
      <c r="AP147" s="205"/>
      <c r="AQ147" s="233"/>
    </row>
    <row r="148" spans="1:43" x14ac:dyDescent="0.2">
      <c r="A148" s="201"/>
      <c r="B148" s="201" t="s">
        <v>1623</v>
      </c>
      <c r="C148" s="201">
        <v>142</v>
      </c>
      <c r="D148" s="201" t="s">
        <v>1979</v>
      </c>
      <c r="E148" s="202">
        <v>115909533</v>
      </c>
      <c r="F148" s="203"/>
      <c r="G148" s="205">
        <v>19</v>
      </c>
      <c r="H148" s="205">
        <v>17</v>
      </c>
      <c r="I148" s="205" t="s">
        <v>360</v>
      </c>
      <c r="J148" s="205"/>
      <c r="K148" s="201"/>
      <c r="L148" s="201"/>
      <c r="M148" s="201"/>
      <c r="N148" s="201"/>
      <c r="O148" s="201"/>
      <c r="P148" s="201"/>
      <c r="Q148" s="201"/>
      <c r="R148" s="201"/>
      <c r="S148" s="201"/>
      <c r="T148" s="205"/>
      <c r="U148" s="201"/>
      <c r="V148" s="201"/>
      <c r="W148" s="201"/>
      <c r="X148" s="201"/>
      <c r="Y148" s="201"/>
      <c r="Z148" s="201"/>
      <c r="AA148" s="201"/>
      <c r="AB148" s="201"/>
      <c r="AC148" s="201"/>
      <c r="AD148" s="201"/>
      <c r="AE148" s="201"/>
      <c r="AF148" s="201"/>
      <c r="AG148" s="201" t="str">
        <f>IF(E148="","",IF(E148&gt;='Reference Tab - Do not Delete'!$E$35,'Reference Tab - Do not Delete'!$D$35,IF(AND(E148&gt;='Reference Tab - Do not Delete'!$E$36,E148&lt;'Reference Tab - Do not Delete'!$E$35),'Reference Tab - Do not Delete'!$D$36,IF(AND(E148&gt;='Reference Tab - Do not Delete'!$E$37,E148&lt;'Reference Tab - Do not Delete'!$E$36),'Reference Tab - Do not Delete'!$D$37,IF(AND(E148&gt;='Reference Tab - Do not Delete'!$E$38,E148&lt;'Reference Tab - Do not Delete'!$E$37),'Reference Tab - Do not Delete'!$D$38,'Reference Tab - Do not Delete'!$D$39)))))</f>
        <v>$500M - $M</v>
      </c>
      <c r="AH148" s="205" t="str">
        <f t="shared" si="4"/>
        <v>11 - 25</v>
      </c>
      <c r="AI148" s="205" t="str">
        <f t="shared" si="5"/>
        <v/>
      </c>
      <c r="AJ148" s="202">
        <v>0</v>
      </c>
      <c r="AK148" s="201"/>
      <c r="AL148" s="205"/>
      <c r="AM148" s="201"/>
      <c r="AN148" s="201"/>
      <c r="AO148" s="201"/>
      <c r="AP148" s="205"/>
      <c r="AQ148" s="233"/>
    </row>
    <row r="149" spans="1:43" x14ac:dyDescent="0.2">
      <c r="A149" s="201"/>
      <c r="B149" s="201" t="s">
        <v>1624</v>
      </c>
      <c r="C149" s="201">
        <v>143</v>
      </c>
      <c r="D149" s="201" t="s">
        <v>1979</v>
      </c>
      <c r="E149" s="202">
        <v>114100000</v>
      </c>
      <c r="F149" s="203"/>
      <c r="G149" s="205">
        <v>18</v>
      </c>
      <c r="H149" s="205">
        <v>18</v>
      </c>
      <c r="I149" s="205" t="s">
        <v>360</v>
      </c>
      <c r="J149" s="205"/>
      <c r="K149" s="201"/>
      <c r="L149" s="201"/>
      <c r="M149" s="201"/>
      <c r="N149" s="201"/>
      <c r="O149" s="201"/>
      <c r="P149" s="201"/>
      <c r="Q149" s="201"/>
      <c r="R149" s="201"/>
      <c r="S149" s="201"/>
      <c r="T149" s="205"/>
      <c r="U149" s="201"/>
      <c r="V149" s="201"/>
      <c r="W149" s="201"/>
      <c r="X149" s="201"/>
      <c r="Y149" s="201"/>
      <c r="Z149" s="201"/>
      <c r="AA149" s="201"/>
      <c r="AB149" s="201"/>
      <c r="AC149" s="201"/>
      <c r="AD149" s="201"/>
      <c r="AE149" s="201"/>
      <c r="AF149" s="201"/>
      <c r="AG149" s="201" t="str">
        <f>IF(E149="","",IF(E149&gt;='Reference Tab - Do not Delete'!$E$35,'Reference Tab - Do not Delete'!$D$35,IF(AND(E149&gt;='Reference Tab - Do not Delete'!$E$36,E149&lt;'Reference Tab - Do not Delete'!$E$35),'Reference Tab - Do not Delete'!$D$36,IF(AND(E149&gt;='Reference Tab - Do not Delete'!$E$37,E149&lt;'Reference Tab - Do not Delete'!$E$36),'Reference Tab - Do not Delete'!$D$37,IF(AND(E149&gt;='Reference Tab - Do not Delete'!$E$38,E149&lt;'Reference Tab - Do not Delete'!$E$37),'Reference Tab - Do not Delete'!$D$38,'Reference Tab - Do not Delete'!$D$39)))))</f>
        <v>$500M - $M</v>
      </c>
      <c r="AH149" s="205" t="str">
        <f t="shared" si="4"/>
        <v>11 - 25</v>
      </c>
      <c r="AI149" s="205" t="str">
        <f t="shared" si="5"/>
        <v/>
      </c>
      <c r="AJ149" s="202">
        <v>0</v>
      </c>
      <c r="AK149" s="201"/>
      <c r="AL149" s="205"/>
      <c r="AM149" s="201"/>
      <c r="AN149" s="201"/>
      <c r="AO149" s="201"/>
      <c r="AP149" s="205"/>
      <c r="AQ149" s="233"/>
    </row>
    <row r="150" spans="1:43" x14ac:dyDescent="0.2">
      <c r="A150" s="201"/>
      <c r="B150" s="201" t="s">
        <v>1625</v>
      </c>
      <c r="C150" s="201">
        <v>144</v>
      </c>
      <c r="D150" s="201" t="s">
        <v>1979</v>
      </c>
      <c r="E150" s="202">
        <v>101773230</v>
      </c>
      <c r="F150" s="203"/>
      <c r="G150" s="205">
        <v>20</v>
      </c>
      <c r="H150" s="205">
        <v>19</v>
      </c>
      <c r="I150" s="205" t="s">
        <v>360</v>
      </c>
      <c r="J150" s="205"/>
      <c r="K150" s="201"/>
      <c r="L150" s="201"/>
      <c r="M150" s="201"/>
      <c r="N150" s="201"/>
      <c r="O150" s="201"/>
      <c r="P150" s="201"/>
      <c r="Q150" s="201"/>
      <c r="R150" s="201"/>
      <c r="S150" s="201"/>
      <c r="T150" s="205"/>
      <c r="U150" s="201"/>
      <c r="V150" s="201"/>
      <c r="W150" s="201"/>
      <c r="X150" s="201"/>
      <c r="Y150" s="201"/>
      <c r="Z150" s="201"/>
      <c r="AA150" s="201"/>
      <c r="AB150" s="201"/>
      <c r="AC150" s="201"/>
      <c r="AD150" s="201"/>
      <c r="AE150" s="201"/>
      <c r="AF150" s="201"/>
      <c r="AG150" s="201" t="str">
        <f>IF(E150="","",IF(E150&gt;='Reference Tab - Do not Delete'!$E$35,'Reference Tab - Do not Delete'!$D$35,IF(AND(E150&gt;='Reference Tab - Do not Delete'!$E$36,E150&lt;'Reference Tab - Do not Delete'!$E$35),'Reference Tab - Do not Delete'!$D$36,IF(AND(E150&gt;='Reference Tab - Do not Delete'!$E$37,E150&lt;'Reference Tab - Do not Delete'!$E$36),'Reference Tab - Do not Delete'!$D$37,IF(AND(E150&gt;='Reference Tab - Do not Delete'!$E$38,E150&lt;'Reference Tab - Do not Delete'!$E$37),'Reference Tab - Do not Delete'!$D$38,'Reference Tab - Do not Delete'!$D$39)))))</f>
        <v>$500M - $M</v>
      </c>
      <c r="AH150" s="205" t="str">
        <f t="shared" si="4"/>
        <v>11 - 25</v>
      </c>
      <c r="AI150" s="205" t="str">
        <f t="shared" si="5"/>
        <v/>
      </c>
      <c r="AJ150" s="202">
        <v>0</v>
      </c>
      <c r="AK150" s="201"/>
      <c r="AL150" s="205"/>
      <c r="AM150" s="201"/>
      <c r="AN150" s="201"/>
      <c r="AO150" s="201"/>
      <c r="AP150" s="205"/>
      <c r="AQ150" s="233"/>
    </row>
    <row r="151" spans="1:43" x14ac:dyDescent="0.2">
      <c r="A151" s="201"/>
      <c r="B151" s="201" t="s">
        <v>1626</v>
      </c>
      <c r="C151" s="201">
        <v>145</v>
      </c>
      <c r="D151" s="201" t="s">
        <v>1979</v>
      </c>
      <c r="E151" s="202">
        <v>101412314</v>
      </c>
      <c r="F151" s="203"/>
      <c r="G151" s="205">
        <v>24</v>
      </c>
      <c r="H151" s="205">
        <v>20</v>
      </c>
      <c r="I151" s="205" t="s">
        <v>360</v>
      </c>
      <c r="J151" s="205"/>
      <c r="K151" s="201"/>
      <c r="L151" s="201"/>
      <c r="M151" s="201"/>
      <c r="N151" s="201"/>
      <c r="O151" s="201"/>
      <c r="P151" s="201"/>
      <c r="Q151" s="201"/>
      <c r="R151" s="201"/>
      <c r="S151" s="201"/>
      <c r="T151" s="205"/>
      <c r="U151" s="201"/>
      <c r="V151" s="201"/>
      <c r="W151" s="201"/>
      <c r="X151" s="201"/>
      <c r="Y151" s="201"/>
      <c r="Z151" s="201"/>
      <c r="AA151" s="201"/>
      <c r="AB151" s="201"/>
      <c r="AC151" s="201"/>
      <c r="AD151" s="201"/>
      <c r="AE151" s="201"/>
      <c r="AF151" s="201"/>
      <c r="AG151" s="201" t="str">
        <f>IF(E151="","",IF(E151&gt;='Reference Tab - Do not Delete'!$E$35,'Reference Tab - Do not Delete'!$D$35,IF(AND(E151&gt;='Reference Tab - Do not Delete'!$E$36,E151&lt;'Reference Tab - Do not Delete'!$E$35),'Reference Tab - Do not Delete'!$D$36,IF(AND(E151&gt;='Reference Tab - Do not Delete'!$E$37,E151&lt;'Reference Tab - Do not Delete'!$E$36),'Reference Tab - Do not Delete'!$D$37,IF(AND(E151&gt;='Reference Tab - Do not Delete'!$E$38,E151&lt;'Reference Tab - Do not Delete'!$E$37),'Reference Tab - Do not Delete'!$D$38,'Reference Tab - Do not Delete'!$D$39)))))</f>
        <v>$500M - $M</v>
      </c>
      <c r="AH151" s="205" t="str">
        <f t="shared" si="4"/>
        <v>11 - 25</v>
      </c>
      <c r="AI151" s="205" t="str">
        <f t="shared" si="5"/>
        <v/>
      </c>
      <c r="AJ151" s="202">
        <v>0</v>
      </c>
      <c r="AK151" s="201"/>
      <c r="AL151" s="205"/>
      <c r="AM151" s="201"/>
      <c r="AN151" s="201"/>
      <c r="AO151" s="201"/>
      <c r="AP151" s="205"/>
      <c r="AQ151" s="233"/>
    </row>
    <row r="152" spans="1:43" x14ac:dyDescent="0.2">
      <c r="A152" s="201"/>
      <c r="B152" s="201" t="s">
        <v>1627</v>
      </c>
      <c r="C152" s="201">
        <v>146</v>
      </c>
      <c r="D152" s="201" t="s">
        <v>1979</v>
      </c>
      <c r="E152" s="202">
        <v>100630793</v>
      </c>
      <c r="F152" s="203"/>
      <c r="G152" s="205">
        <v>26</v>
      </c>
      <c r="H152" s="205">
        <v>21</v>
      </c>
      <c r="I152" s="205" t="s">
        <v>360</v>
      </c>
      <c r="J152" s="205"/>
      <c r="K152" s="201"/>
      <c r="L152" s="201"/>
      <c r="M152" s="201"/>
      <c r="N152" s="201"/>
      <c r="O152" s="201"/>
      <c r="P152" s="201"/>
      <c r="Q152" s="201"/>
      <c r="R152" s="201"/>
      <c r="S152" s="201"/>
      <c r="T152" s="205"/>
      <c r="U152" s="201"/>
      <c r="V152" s="201"/>
      <c r="W152" s="201"/>
      <c r="X152" s="201"/>
      <c r="Y152" s="201"/>
      <c r="Z152" s="201"/>
      <c r="AA152" s="201"/>
      <c r="AB152" s="201"/>
      <c r="AC152" s="201"/>
      <c r="AD152" s="201"/>
      <c r="AE152" s="201"/>
      <c r="AF152" s="201"/>
      <c r="AG152" s="201" t="str">
        <f>IF(E152="","",IF(E152&gt;='Reference Tab - Do not Delete'!$E$35,'Reference Tab - Do not Delete'!$D$35,IF(AND(E152&gt;='Reference Tab - Do not Delete'!$E$36,E152&lt;'Reference Tab - Do not Delete'!$E$35),'Reference Tab - Do not Delete'!$D$36,IF(AND(E152&gt;='Reference Tab - Do not Delete'!$E$37,E152&lt;'Reference Tab - Do not Delete'!$E$36),'Reference Tab - Do not Delete'!$D$37,IF(AND(E152&gt;='Reference Tab - Do not Delete'!$E$38,E152&lt;'Reference Tab - Do not Delete'!$E$37),'Reference Tab - Do not Delete'!$D$38,'Reference Tab - Do not Delete'!$D$39)))))</f>
        <v>$500M - $M</v>
      </c>
      <c r="AH152" s="205" t="str">
        <f t="shared" si="4"/>
        <v>11 - 25</v>
      </c>
      <c r="AI152" s="205" t="str">
        <f t="shared" si="5"/>
        <v/>
      </c>
      <c r="AJ152" s="202">
        <v>0</v>
      </c>
      <c r="AK152" s="201"/>
      <c r="AL152" s="205"/>
      <c r="AM152" s="201"/>
      <c r="AN152" s="201"/>
      <c r="AO152" s="201"/>
      <c r="AP152" s="205"/>
      <c r="AQ152" s="233"/>
    </row>
    <row r="153" spans="1:43" x14ac:dyDescent="0.2">
      <c r="A153" s="201"/>
      <c r="B153" s="201" t="s">
        <v>1628</v>
      </c>
      <c r="C153" s="201">
        <v>147</v>
      </c>
      <c r="D153" s="201" t="s">
        <v>1979</v>
      </c>
      <c r="E153" s="202">
        <v>99878000</v>
      </c>
      <c r="F153" s="203"/>
      <c r="G153" s="205">
        <v>21</v>
      </c>
      <c r="H153" s="205">
        <v>22</v>
      </c>
      <c r="I153" s="205" t="s">
        <v>360</v>
      </c>
      <c r="J153" s="205"/>
      <c r="K153" s="201"/>
      <c r="L153" s="201"/>
      <c r="M153" s="201"/>
      <c r="N153" s="201"/>
      <c r="O153" s="201"/>
      <c r="P153" s="201"/>
      <c r="Q153" s="201"/>
      <c r="R153" s="201"/>
      <c r="S153" s="201"/>
      <c r="T153" s="205"/>
      <c r="U153" s="201"/>
      <c r="V153" s="201"/>
      <c r="W153" s="201"/>
      <c r="X153" s="201"/>
      <c r="Y153" s="201"/>
      <c r="Z153" s="201"/>
      <c r="AA153" s="201"/>
      <c r="AB153" s="201"/>
      <c r="AC153" s="201"/>
      <c r="AD153" s="201"/>
      <c r="AE153" s="201"/>
      <c r="AF153" s="201"/>
      <c r="AG153" s="201" t="str">
        <f>IF(E153="","",IF(E153&gt;='Reference Tab - Do not Delete'!$E$35,'Reference Tab - Do not Delete'!$D$35,IF(AND(E153&gt;='Reference Tab - Do not Delete'!$E$36,E153&lt;'Reference Tab - Do not Delete'!$E$35),'Reference Tab - Do not Delete'!$D$36,IF(AND(E153&gt;='Reference Tab - Do not Delete'!$E$37,E153&lt;'Reference Tab - Do not Delete'!$E$36),'Reference Tab - Do not Delete'!$D$37,IF(AND(E153&gt;='Reference Tab - Do not Delete'!$E$38,E153&lt;'Reference Tab - Do not Delete'!$E$37),'Reference Tab - Do not Delete'!$D$38,'Reference Tab - Do not Delete'!$D$39)))))</f>
        <v>$500M - $M</v>
      </c>
      <c r="AH153" s="205" t="str">
        <f t="shared" si="4"/>
        <v>11 - 25</v>
      </c>
      <c r="AI153" s="205" t="str">
        <f t="shared" si="5"/>
        <v/>
      </c>
      <c r="AJ153" s="202">
        <v>0</v>
      </c>
      <c r="AK153" s="201"/>
      <c r="AL153" s="205"/>
      <c r="AM153" s="201"/>
      <c r="AN153" s="201"/>
      <c r="AO153" s="201"/>
      <c r="AP153" s="205"/>
      <c r="AQ153" s="233"/>
    </row>
    <row r="154" spans="1:43" x14ac:dyDescent="0.2">
      <c r="A154" s="201"/>
      <c r="B154" s="201" t="s">
        <v>1629</v>
      </c>
      <c r="C154" s="201">
        <v>148</v>
      </c>
      <c r="D154" s="201" t="s">
        <v>1979</v>
      </c>
      <c r="E154" s="202">
        <v>94391726</v>
      </c>
      <c r="F154" s="203"/>
      <c r="G154" s="205">
        <v>23</v>
      </c>
      <c r="H154" s="205">
        <v>23</v>
      </c>
      <c r="I154" s="205" t="s">
        <v>360</v>
      </c>
      <c r="J154" s="205"/>
      <c r="K154" s="201"/>
      <c r="L154" s="201"/>
      <c r="M154" s="201"/>
      <c r="N154" s="201"/>
      <c r="O154" s="201"/>
      <c r="P154" s="201"/>
      <c r="Q154" s="201"/>
      <c r="R154" s="201"/>
      <c r="S154" s="201"/>
      <c r="T154" s="205"/>
      <c r="U154" s="201"/>
      <c r="V154" s="201"/>
      <c r="W154" s="201"/>
      <c r="X154" s="201"/>
      <c r="Y154" s="201"/>
      <c r="Z154" s="201"/>
      <c r="AA154" s="201"/>
      <c r="AB154" s="201"/>
      <c r="AC154" s="201"/>
      <c r="AD154" s="201"/>
      <c r="AE154" s="201"/>
      <c r="AF154" s="201"/>
      <c r="AG154" s="201" t="str">
        <f>IF(E154="","",IF(E154&gt;='Reference Tab - Do not Delete'!$E$35,'Reference Tab - Do not Delete'!$D$35,IF(AND(E154&gt;='Reference Tab - Do not Delete'!$E$36,E154&lt;'Reference Tab - Do not Delete'!$E$35),'Reference Tab - Do not Delete'!$D$36,IF(AND(E154&gt;='Reference Tab - Do not Delete'!$E$37,E154&lt;'Reference Tab - Do not Delete'!$E$36),'Reference Tab - Do not Delete'!$D$37,IF(AND(E154&gt;='Reference Tab - Do not Delete'!$E$38,E154&lt;'Reference Tab - Do not Delete'!$E$37),'Reference Tab - Do not Delete'!$D$38,'Reference Tab - Do not Delete'!$D$39)))))</f>
        <v>$500M - $M</v>
      </c>
      <c r="AH154" s="205" t="str">
        <f t="shared" si="4"/>
        <v>11 - 25</v>
      </c>
      <c r="AI154" s="205" t="str">
        <f t="shared" si="5"/>
        <v/>
      </c>
      <c r="AJ154" s="202">
        <v>0</v>
      </c>
      <c r="AK154" s="201"/>
      <c r="AL154" s="205"/>
      <c r="AM154" s="201"/>
      <c r="AN154" s="201"/>
      <c r="AO154" s="201"/>
      <c r="AP154" s="205"/>
      <c r="AQ154" s="233"/>
    </row>
    <row r="155" spans="1:43" x14ac:dyDescent="0.2">
      <c r="A155" s="201"/>
      <c r="B155" s="201" t="s">
        <v>1697</v>
      </c>
      <c r="C155" s="201">
        <v>149</v>
      </c>
      <c r="D155" s="201" t="s">
        <v>1979</v>
      </c>
      <c r="E155" s="202">
        <v>90322469</v>
      </c>
      <c r="F155" s="203"/>
      <c r="G155" s="205">
        <v>31</v>
      </c>
      <c r="H155" s="205">
        <v>24</v>
      </c>
      <c r="I155" s="205" t="s">
        <v>360</v>
      </c>
      <c r="J155" s="205"/>
      <c r="K155" s="201"/>
      <c r="L155" s="201"/>
      <c r="M155" s="201"/>
      <c r="N155" s="201"/>
      <c r="O155" s="201"/>
      <c r="P155" s="201"/>
      <c r="Q155" s="201"/>
      <c r="R155" s="201"/>
      <c r="S155" s="201"/>
      <c r="T155" s="205"/>
      <c r="U155" s="201"/>
      <c r="V155" s="201"/>
      <c r="W155" s="201"/>
      <c r="X155" s="201"/>
      <c r="Y155" s="201"/>
      <c r="Z155" s="201"/>
      <c r="AA155" s="201"/>
      <c r="AB155" s="201"/>
      <c r="AC155" s="201"/>
      <c r="AD155" s="201"/>
      <c r="AE155" s="201"/>
      <c r="AF155" s="201"/>
      <c r="AG155" s="201" t="str">
        <f>IF(E155="","",IF(E155&gt;='Reference Tab - Do not Delete'!$E$35,'Reference Tab - Do not Delete'!$D$35,IF(AND(E155&gt;='Reference Tab - Do not Delete'!$E$36,E155&lt;'Reference Tab - Do not Delete'!$E$35),'Reference Tab - Do not Delete'!$D$36,IF(AND(E155&gt;='Reference Tab - Do not Delete'!$E$37,E155&lt;'Reference Tab - Do not Delete'!$E$36),'Reference Tab - Do not Delete'!$D$37,IF(AND(E155&gt;='Reference Tab - Do not Delete'!$E$38,E155&lt;'Reference Tab - Do not Delete'!$E$37),'Reference Tab - Do not Delete'!$D$38,'Reference Tab - Do not Delete'!$D$39)))))</f>
        <v>$500M - $M</v>
      </c>
      <c r="AH155" s="205" t="str">
        <f t="shared" si="4"/>
        <v>11 - 25</v>
      </c>
      <c r="AI155" s="205" t="str">
        <f t="shared" si="5"/>
        <v/>
      </c>
      <c r="AJ155" s="202">
        <v>0</v>
      </c>
      <c r="AK155" s="201"/>
      <c r="AL155" s="205"/>
      <c r="AM155" s="201"/>
      <c r="AN155" s="201"/>
      <c r="AO155" s="201"/>
      <c r="AP155" s="205"/>
      <c r="AQ155" s="233"/>
    </row>
    <row r="156" spans="1:43" x14ac:dyDescent="0.2">
      <c r="A156" s="201"/>
      <c r="B156" s="201" t="s">
        <v>1630</v>
      </c>
      <c r="C156" s="201">
        <v>150</v>
      </c>
      <c r="D156" s="201" t="s">
        <v>1979</v>
      </c>
      <c r="E156" s="202">
        <v>86103868</v>
      </c>
      <c r="F156" s="203"/>
      <c r="G156" s="205">
        <v>25</v>
      </c>
      <c r="H156" s="205">
        <v>25</v>
      </c>
      <c r="I156" s="205" t="s">
        <v>360</v>
      </c>
      <c r="J156" s="205"/>
      <c r="K156" s="201"/>
      <c r="L156" s="201"/>
      <c r="M156" s="201"/>
      <c r="N156" s="201"/>
      <c r="O156" s="201"/>
      <c r="P156" s="201"/>
      <c r="Q156" s="201"/>
      <c r="R156" s="201"/>
      <c r="S156" s="201"/>
      <c r="T156" s="205"/>
      <c r="U156" s="201"/>
      <c r="V156" s="201"/>
      <c r="W156" s="201"/>
      <c r="X156" s="201"/>
      <c r="Y156" s="201"/>
      <c r="Z156" s="201"/>
      <c r="AA156" s="201"/>
      <c r="AB156" s="201"/>
      <c r="AC156" s="201"/>
      <c r="AD156" s="201"/>
      <c r="AE156" s="201"/>
      <c r="AF156" s="201"/>
      <c r="AG156" s="201" t="str">
        <f>IF(E156="","",IF(E156&gt;='Reference Tab - Do not Delete'!$E$35,'Reference Tab - Do not Delete'!$D$35,IF(AND(E156&gt;='Reference Tab - Do not Delete'!$E$36,E156&lt;'Reference Tab - Do not Delete'!$E$35),'Reference Tab - Do not Delete'!$D$36,IF(AND(E156&gt;='Reference Tab - Do not Delete'!$E$37,E156&lt;'Reference Tab - Do not Delete'!$E$36),'Reference Tab - Do not Delete'!$D$37,IF(AND(E156&gt;='Reference Tab - Do not Delete'!$E$38,E156&lt;'Reference Tab - Do not Delete'!$E$37),'Reference Tab - Do not Delete'!$D$38,'Reference Tab - Do not Delete'!$D$39)))))</f>
        <v>$500M - $M</v>
      </c>
      <c r="AH156" s="205" t="str">
        <f t="shared" si="4"/>
        <v>11 - 25</v>
      </c>
      <c r="AI156" s="205" t="str">
        <f t="shared" si="5"/>
        <v/>
      </c>
      <c r="AJ156" s="202">
        <v>0</v>
      </c>
      <c r="AK156" s="201"/>
      <c r="AL156" s="205"/>
      <c r="AM156" s="201"/>
      <c r="AN156" s="201"/>
      <c r="AO156" s="201"/>
      <c r="AP156" s="205"/>
      <c r="AQ156" s="233"/>
    </row>
    <row r="157" spans="1:43" x14ac:dyDescent="0.2">
      <c r="A157" s="201"/>
      <c r="B157" s="201" t="s">
        <v>1631</v>
      </c>
      <c r="C157" s="201">
        <v>151</v>
      </c>
      <c r="D157" s="201" t="s">
        <v>1979</v>
      </c>
      <c r="E157" s="202">
        <v>82173000</v>
      </c>
      <c r="F157" s="203"/>
      <c r="G157" s="205">
        <v>49</v>
      </c>
      <c r="H157" s="205">
        <v>26</v>
      </c>
      <c r="I157" s="205" t="s">
        <v>360</v>
      </c>
      <c r="J157" s="205"/>
      <c r="K157" s="201"/>
      <c r="L157" s="201"/>
      <c r="M157" s="201"/>
      <c r="N157" s="201"/>
      <c r="O157" s="201"/>
      <c r="P157" s="201"/>
      <c r="Q157" s="201"/>
      <c r="R157" s="201"/>
      <c r="S157" s="201"/>
      <c r="T157" s="205"/>
      <c r="U157" s="201"/>
      <c r="V157" s="201"/>
      <c r="W157" s="201"/>
      <c r="X157" s="201"/>
      <c r="Y157" s="201"/>
      <c r="Z157" s="201"/>
      <c r="AA157" s="201"/>
      <c r="AB157" s="201"/>
      <c r="AC157" s="201"/>
      <c r="AD157" s="201"/>
      <c r="AE157" s="201"/>
      <c r="AF157" s="201"/>
      <c r="AG157" s="201" t="str">
        <f>IF(E157="","",IF(E157&gt;='Reference Tab - Do not Delete'!$E$35,'Reference Tab - Do not Delete'!$D$35,IF(AND(E157&gt;='Reference Tab - Do not Delete'!$E$36,E157&lt;'Reference Tab - Do not Delete'!$E$35),'Reference Tab - Do not Delete'!$D$36,IF(AND(E157&gt;='Reference Tab - Do not Delete'!$E$37,E157&lt;'Reference Tab - Do not Delete'!$E$36),'Reference Tab - Do not Delete'!$D$37,IF(AND(E157&gt;='Reference Tab - Do not Delete'!$E$38,E157&lt;'Reference Tab - Do not Delete'!$E$37),'Reference Tab - Do not Delete'!$D$38,'Reference Tab - Do not Delete'!$D$39)))))</f>
        <v>$500M - $M</v>
      </c>
      <c r="AH157" s="205" t="str">
        <f t="shared" si="4"/>
        <v>26 - 50</v>
      </c>
      <c r="AI157" s="205" t="str">
        <f t="shared" si="5"/>
        <v/>
      </c>
      <c r="AJ157" s="202">
        <v>0</v>
      </c>
      <c r="AK157" s="201"/>
      <c r="AL157" s="205"/>
      <c r="AM157" s="201"/>
      <c r="AN157" s="201"/>
      <c r="AO157" s="201"/>
      <c r="AP157" s="205"/>
      <c r="AQ157" s="233"/>
    </row>
    <row r="158" spans="1:43" x14ac:dyDescent="0.2">
      <c r="A158" s="201"/>
      <c r="B158" s="201" t="s">
        <v>1632</v>
      </c>
      <c r="C158" s="201">
        <v>152</v>
      </c>
      <c r="D158" s="201" t="s">
        <v>1979</v>
      </c>
      <c r="E158" s="202">
        <v>80117709</v>
      </c>
      <c r="F158" s="203"/>
      <c r="G158" s="205">
        <v>27</v>
      </c>
      <c r="H158" s="205">
        <v>27</v>
      </c>
      <c r="I158" s="205" t="s">
        <v>360</v>
      </c>
      <c r="J158" s="205"/>
      <c r="K158" s="201"/>
      <c r="L158" s="201"/>
      <c r="M158" s="201"/>
      <c r="N158" s="201"/>
      <c r="O158" s="201"/>
      <c r="P158" s="201"/>
      <c r="Q158" s="201"/>
      <c r="R158" s="201"/>
      <c r="S158" s="201"/>
      <c r="T158" s="205"/>
      <c r="U158" s="201"/>
      <c r="V158" s="201"/>
      <c r="W158" s="201"/>
      <c r="X158" s="201"/>
      <c r="Y158" s="201"/>
      <c r="Z158" s="201"/>
      <c r="AA158" s="201"/>
      <c r="AB158" s="201"/>
      <c r="AC158" s="201"/>
      <c r="AD158" s="201"/>
      <c r="AE158" s="201"/>
      <c r="AF158" s="201"/>
      <c r="AG158" s="201" t="str">
        <f>IF(E158="","",IF(E158&gt;='Reference Tab - Do not Delete'!$E$35,'Reference Tab - Do not Delete'!$D$35,IF(AND(E158&gt;='Reference Tab - Do not Delete'!$E$36,E158&lt;'Reference Tab - Do not Delete'!$E$35),'Reference Tab - Do not Delete'!$D$36,IF(AND(E158&gt;='Reference Tab - Do not Delete'!$E$37,E158&lt;'Reference Tab - Do not Delete'!$E$36),'Reference Tab - Do not Delete'!$D$37,IF(AND(E158&gt;='Reference Tab - Do not Delete'!$E$38,E158&lt;'Reference Tab - Do not Delete'!$E$37),'Reference Tab - Do not Delete'!$D$38,'Reference Tab - Do not Delete'!$D$39)))))</f>
        <v>$500M - $M</v>
      </c>
      <c r="AH158" s="205" t="str">
        <f t="shared" si="4"/>
        <v>26 - 50</v>
      </c>
      <c r="AI158" s="205" t="str">
        <f t="shared" si="5"/>
        <v/>
      </c>
      <c r="AJ158" s="202">
        <v>0</v>
      </c>
      <c r="AK158" s="201"/>
      <c r="AL158" s="205"/>
      <c r="AM158" s="201"/>
      <c r="AN158" s="201"/>
      <c r="AO158" s="201"/>
      <c r="AP158" s="205"/>
      <c r="AQ158" s="233"/>
    </row>
    <row r="159" spans="1:43" x14ac:dyDescent="0.2">
      <c r="A159" s="201"/>
      <c r="B159" s="201" t="s">
        <v>1633</v>
      </c>
      <c r="C159" s="201">
        <v>153</v>
      </c>
      <c r="D159" s="201" t="s">
        <v>1979</v>
      </c>
      <c r="E159" s="202">
        <v>78042000</v>
      </c>
      <c r="F159" s="203"/>
      <c r="G159" s="205">
        <v>28</v>
      </c>
      <c r="H159" s="205">
        <v>28</v>
      </c>
      <c r="I159" s="205" t="s">
        <v>360</v>
      </c>
      <c r="J159" s="205"/>
      <c r="K159" s="201"/>
      <c r="L159" s="201"/>
      <c r="M159" s="201"/>
      <c r="N159" s="201"/>
      <c r="O159" s="201"/>
      <c r="P159" s="201"/>
      <c r="Q159" s="201"/>
      <c r="R159" s="201"/>
      <c r="S159" s="201"/>
      <c r="T159" s="205"/>
      <c r="U159" s="201"/>
      <c r="V159" s="201"/>
      <c r="W159" s="201"/>
      <c r="X159" s="201"/>
      <c r="Y159" s="201"/>
      <c r="Z159" s="201"/>
      <c r="AA159" s="201"/>
      <c r="AB159" s="201"/>
      <c r="AC159" s="201"/>
      <c r="AD159" s="201"/>
      <c r="AE159" s="201"/>
      <c r="AF159" s="201"/>
      <c r="AG159" s="201" t="str">
        <f>IF(E159="","",IF(E159&gt;='Reference Tab - Do not Delete'!$E$35,'Reference Tab - Do not Delete'!$D$35,IF(AND(E159&gt;='Reference Tab - Do not Delete'!$E$36,E159&lt;'Reference Tab - Do not Delete'!$E$35),'Reference Tab - Do not Delete'!$D$36,IF(AND(E159&gt;='Reference Tab - Do not Delete'!$E$37,E159&lt;'Reference Tab - Do not Delete'!$E$36),'Reference Tab - Do not Delete'!$D$37,IF(AND(E159&gt;='Reference Tab - Do not Delete'!$E$38,E159&lt;'Reference Tab - Do not Delete'!$E$37),'Reference Tab - Do not Delete'!$D$38,'Reference Tab - Do not Delete'!$D$39)))))</f>
        <v>$500M - $M</v>
      </c>
      <c r="AH159" s="205" t="str">
        <f t="shared" si="4"/>
        <v>26 - 50</v>
      </c>
      <c r="AI159" s="205" t="str">
        <f t="shared" si="5"/>
        <v/>
      </c>
      <c r="AJ159" s="202">
        <v>0</v>
      </c>
      <c r="AK159" s="201"/>
      <c r="AL159" s="205"/>
      <c r="AM159" s="201"/>
      <c r="AN159" s="201"/>
      <c r="AO159" s="201"/>
      <c r="AP159" s="205"/>
      <c r="AQ159" s="233"/>
    </row>
    <row r="160" spans="1:43" x14ac:dyDescent="0.2">
      <c r="A160" s="201"/>
      <c r="B160" s="201" t="s">
        <v>1634</v>
      </c>
      <c r="C160" s="201">
        <v>154</v>
      </c>
      <c r="D160" s="201" t="s">
        <v>1979</v>
      </c>
      <c r="E160" s="202">
        <v>77200000</v>
      </c>
      <c r="F160" s="203"/>
      <c r="G160" s="205">
        <v>30</v>
      </c>
      <c r="H160" s="205">
        <v>29</v>
      </c>
      <c r="I160" s="205" t="s">
        <v>360</v>
      </c>
      <c r="J160" s="205"/>
      <c r="K160" s="201"/>
      <c r="L160" s="201"/>
      <c r="M160" s="201"/>
      <c r="N160" s="201"/>
      <c r="O160" s="201"/>
      <c r="P160" s="201"/>
      <c r="Q160" s="201"/>
      <c r="R160" s="201"/>
      <c r="S160" s="201"/>
      <c r="T160" s="205"/>
      <c r="U160" s="201"/>
      <c r="V160" s="201"/>
      <c r="W160" s="201"/>
      <c r="X160" s="201"/>
      <c r="Y160" s="201"/>
      <c r="Z160" s="201"/>
      <c r="AA160" s="201"/>
      <c r="AB160" s="201"/>
      <c r="AC160" s="201"/>
      <c r="AD160" s="201"/>
      <c r="AE160" s="201"/>
      <c r="AF160" s="201"/>
      <c r="AG160" s="201" t="str">
        <f>IF(E160="","",IF(E160&gt;='Reference Tab - Do not Delete'!$E$35,'Reference Tab - Do not Delete'!$D$35,IF(AND(E160&gt;='Reference Tab - Do not Delete'!$E$36,E160&lt;'Reference Tab - Do not Delete'!$E$35),'Reference Tab - Do not Delete'!$D$36,IF(AND(E160&gt;='Reference Tab - Do not Delete'!$E$37,E160&lt;'Reference Tab - Do not Delete'!$E$36),'Reference Tab - Do not Delete'!$D$37,IF(AND(E160&gt;='Reference Tab - Do not Delete'!$E$38,E160&lt;'Reference Tab - Do not Delete'!$E$37),'Reference Tab - Do not Delete'!$D$38,'Reference Tab - Do not Delete'!$D$39)))))</f>
        <v>$500M - $M</v>
      </c>
      <c r="AH160" s="205" t="str">
        <f t="shared" si="4"/>
        <v>26 - 50</v>
      </c>
      <c r="AI160" s="205" t="str">
        <f t="shared" si="5"/>
        <v/>
      </c>
      <c r="AJ160" s="202">
        <v>0</v>
      </c>
      <c r="AK160" s="201"/>
      <c r="AL160" s="205"/>
      <c r="AM160" s="201"/>
      <c r="AN160" s="201"/>
      <c r="AO160" s="201"/>
      <c r="AP160" s="205"/>
      <c r="AQ160" s="233"/>
    </row>
    <row r="161" spans="1:43" x14ac:dyDescent="0.2">
      <c r="A161" s="201"/>
      <c r="B161" s="201" t="s">
        <v>1698</v>
      </c>
      <c r="C161" s="201">
        <v>155</v>
      </c>
      <c r="D161" s="201" t="s">
        <v>1979</v>
      </c>
      <c r="E161" s="202">
        <v>75791523</v>
      </c>
      <c r="F161" s="203"/>
      <c r="G161" s="205">
        <v>29</v>
      </c>
      <c r="H161" s="205">
        <v>30</v>
      </c>
      <c r="I161" s="205" t="s">
        <v>360</v>
      </c>
      <c r="J161" s="205"/>
      <c r="K161" s="201"/>
      <c r="L161" s="201"/>
      <c r="M161" s="201"/>
      <c r="N161" s="201"/>
      <c r="O161" s="201"/>
      <c r="P161" s="201"/>
      <c r="Q161" s="201"/>
      <c r="R161" s="201"/>
      <c r="S161" s="201"/>
      <c r="T161" s="205"/>
      <c r="U161" s="201"/>
      <c r="V161" s="201"/>
      <c r="W161" s="201"/>
      <c r="X161" s="201"/>
      <c r="Y161" s="201"/>
      <c r="Z161" s="201"/>
      <c r="AA161" s="201"/>
      <c r="AB161" s="201"/>
      <c r="AC161" s="201"/>
      <c r="AD161" s="201"/>
      <c r="AE161" s="201"/>
      <c r="AF161" s="201"/>
      <c r="AG161" s="201" t="str">
        <f>IF(E161="","",IF(E161&gt;='Reference Tab - Do not Delete'!$E$35,'Reference Tab - Do not Delete'!$D$35,IF(AND(E161&gt;='Reference Tab - Do not Delete'!$E$36,E161&lt;'Reference Tab - Do not Delete'!$E$35),'Reference Tab - Do not Delete'!$D$36,IF(AND(E161&gt;='Reference Tab - Do not Delete'!$E$37,E161&lt;'Reference Tab - Do not Delete'!$E$36),'Reference Tab - Do not Delete'!$D$37,IF(AND(E161&gt;='Reference Tab - Do not Delete'!$E$38,E161&lt;'Reference Tab - Do not Delete'!$E$37),'Reference Tab - Do not Delete'!$D$38,'Reference Tab - Do not Delete'!$D$39)))))</f>
        <v>$500M - $M</v>
      </c>
      <c r="AH161" s="205" t="str">
        <f t="shared" si="4"/>
        <v>26 - 50</v>
      </c>
      <c r="AI161" s="205" t="str">
        <f t="shared" si="5"/>
        <v/>
      </c>
      <c r="AJ161" s="202">
        <v>0</v>
      </c>
      <c r="AK161" s="201"/>
      <c r="AL161" s="205"/>
      <c r="AM161" s="201"/>
      <c r="AN161" s="201"/>
      <c r="AO161" s="201"/>
      <c r="AP161" s="205"/>
      <c r="AQ161" s="233"/>
    </row>
    <row r="162" spans="1:43" x14ac:dyDescent="0.2">
      <c r="A162" s="201"/>
      <c r="B162" s="201" t="s">
        <v>1635</v>
      </c>
      <c r="C162" s="201">
        <v>156</v>
      </c>
      <c r="D162" s="201" t="s">
        <v>1979</v>
      </c>
      <c r="E162" s="202">
        <v>68534738</v>
      </c>
      <c r="F162" s="203"/>
      <c r="G162" s="205">
        <v>33</v>
      </c>
      <c r="H162" s="205">
        <v>31</v>
      </c>
      <c r="I162" s="205" t="s">
        <v>360</v>
      </c>
      <c r="J162" s="205"/>
      <c r="K162" s="201"/>
      <c r="L162" s="201"/>
      <c r="M162" s="201"/>
      <c r="N162" s="201"/>
      <c r="O162" s="201"/>
      <c r="P162" s="201"/>
      <c r="Q162" s="201"/>
      <c r="R162" s="201"/>
      <c r="S162" s="201"/>
      <c r="T162" s="205"/>
      <c r="U162" s="201"/>
      <c r="V162" s="201"/>
      <c r="W162" s="201"/>
      <c r="X162" s="201"/>
      <c r="Y162" s="201"/>
      <c r="Z162" s="201"/>
      <c r="AA162" s="201"/>
      <c r="AB162" s="201"/>
      <c r="AC162" s="201"/>
      <c r="AD162" s="201"/>
      <c r="AE162" s="201"/>
      <c r="AF162" s="201"/>
      <c r="AG162" s="201" t="str">
        <f>IF(E162="","",IF(E162&gt;='Reference Tab - Do not Delete'!$E$35,'Reference Tab - Do not Delete'!$D$35,IF(AND(E162&gt;='Reference Tab - Do not Delete'!$E$36,E162&lt;'Reference Tab - Do not Delete'!$E$35),'Reference Tab - Do not Delete'!$D$36,IF(AND(E162&gt;='Reference Tab - Do not Delete'!$E$37,E162&lt;'Reference Tab - Do not Delete'!$E$36),'Reference Tab - Do not Delete'!$D$37,IF(AND(E162&gt;='Reference Tab - Do not Delete'!$E$38,E162&lt;'Reference Tab - Do not Delete'!$E$37),'Reference Tab - Do not Delete'!$D$38,'Reference Tab - Do not Delete'!$D$39)))))</f>
        <v>$500M - $M</v>
      </c>
      <c r="AH162" s="205" t="str">
        <f t="shared" si="4"/>
        <v>26 - 50</v>
      </c>
      <c r="AI162" s="205" t="str">
        <f t="shared" si="5"/>
        <v/>
      </c>
      <c r="AJ162" s="202">
        <v>0</v>
      </c>
      <c r="AK162" s="201"/>
      <c r="AL162" s="205"/>
      <c r="AM162" s="201"/>
      <c r="AN162" s="201"/>
      <c r="AO162" s="201"/>
      <c r="AP162" s="205"/>
      <c r="AQ162" s="233"/>
    </row>
    <row r="163" spans="1:43" x14ac:dyDescent="0.2">
      <c r="A163" s="201"/>
      <c r="B163" s="201" t="s">
        <v>1636</v>
      </c>
      <c r="C163" s="201">
        <v>157</v>
      </c>
      <c r="D163" s="201" t="s">
        <v>1979</v>
      </c>
      <c r="E163" s="202">
        <v>65202584</v>
      </c>
      <c r="F163" s="203"/>
      <c r="G163" s="205">
        <v>32</v>
      </c>
      <c r="H163" s="205">
        <v>32</v>
      </c>
      <c r="I163" s="205" t="s">
        <v>360</v>
      </c>
      <c r="J163" s="205"/>
      <c r="K163" s="201"/>
      <c r="L163" s="201"/>
      <c r="M163" s="201"/>
      <c r="N163" s="201"/>
      <c r="O163" s="201"/>
      <c r="P163" s="201"/>
      <c r="Q163" s="201"/>
      <c r="R163" s="201"/>
      <c r="S163" s="201"/>
      <c r="T163" s="205"/>
      <c r="U163" s="201"/>
      <c r="V163" s="201"/>
      <c r="W163" s="201"/>
      <c r="X163" s="201"/>
      <c r="Y163" s="201"/>
      <c r="Z163" s="201"/>
      <c r="AA163" s="201"/>
      <c r="AB163" s="201"/>
      <c r="AC163" s="201"/>
      <c r="AD163" s="201"/>
      <c r="AE163" s="201"/>
      <c r="AF163" s="201"/>
      <c r="AG163" s="201" t="str">
        <f>IF(E163="","",IF(E163&gt;='Reference Tab - Do not Delete'!$E$35,'Reference Tab - Do not Delete'!$D$35,IF(AND(E163&gt;='Reference Tab - Do not Delete'!$E$36,E163&lt;'Reference Tab - Do not Delete'!$E$35),'Reference Tab - Do not Delete'!$D$36,IF(AND(E163&gt;='Reference Tab - Do not Delete'!$E$37,E163&lt;'Reference Tab - Do not Delete'!$E$36),'Reference Tab - Do not Delete'!$D$37,IF(AND(E163&gt;='Reference Tab - Do not Delete'!$E$38,E163&lt;'Reference Tab - Do not Delete'!$E$37),'Reference Tab - Do not Delete'!$D$38,'Reference Tab - Do not Delete'!$D$39)))))</f>
        <v>$500M - $M</v>
      </c>
      <c r="AH163" s="205" t="str">
        <f t="shared" si="4"/>
        <v>26 - 50</v>
      </c>
      <c r="AI163" s="205" t="str">
        <f t="shared" si="5"/>
        <v/>
      </c>
      <c r="AJ163" s="202">
        <v>0</v>
      </c>
      <c r="AK163" s="201"/>
      <c r="AL163" s="205"/>
      <c r="AM163" s="201"/>
      <c r="AN163" s="201"/>
      <c r="AO163" s="201"/>
      <c r="AP163" s="205"/>
      <c r="AQ163" s="233"/>
    </row>
    <row r="164" spans="1:43" x14ac:dyDescent="0.2">
      <c r="A164" s="201"/>
      <c r="B164" s="201" t="s">
        <v>1637</v>
      </c>
      <c r="C164" s="201">
        <v>158</v>
      </c>
      <c r="D164" s="201" t="s">
        <v>1979</v>
      </c>
      <c r="E164" s="202">
        <v>62411604</v>
      </c>
      <c r="F164" s="203"/>
      <c r="G164" s="205">
        <v>43</v>
      </c>
      <c r="H164" s="205">
        <v>33</v>
      </c>
      <c r="I164" s="205" t="s">
        <v>360</v>
      </c>
      <c r="J164" s="205"/>
      <c r="K164" s="201"/>
      <c r="L164" s="201"/>
      <c r="M164" s="201"/>
      <c r="N164" s="201"/>
      <c r="O164" s="201"/>
      <c r="P164" s="201"/>
      <c r="Q164" s="201"/>
      <c r="R164" s="201"/>
      <c r="S164" s="201"/>
      <c r="T164" s="205"/>
      <c r="U164" s="201"/>
      <c r="V164" s="201"/>
      <c r="W164" s="201"/>
      <c r="X164" s="201"/>
      <c r="Y164" s="201"/>
      <c r="Z164" s="201"/>
      <c r="AA164" s="201"/>
      <c r="AB164" s="201"/>
      <c r="AC164" s="201"/>
      <c r="AD164" s="201"/>
      <c r="AE164" s="201"/>
      <c r="AF164" s="201"/>
      <c r="AG164" s="201" t="str">
        <f>IF(E164="","",IF(E164&gt;='Reference Tab - Do not Delete'!$E$35,'Reference Tab - Do not Delete'!$D$35,IF(AND(E164&gt;='Reference Tab - Do not Delete'!$E$36,E164&lt;'Reference Tab - Do not Delete'!$E$35),'Reference Tab - Do not Delete'!$D$36,IF(AND(E164&gt;='Reference Tab - Do not Delete'!$E$37,E164&lt;'Reference Tab - Do not Delete'!$E$36),'Reference Tab - Do not Delete'!$D$37,IF(AND(E164&gt;='Reference Tab - Do not Delete'!$E$38,E164&lt;'Reference Tab - Do not Delete'!$E$37),'Reference Tab - Do not Delete'!$D$38,'Reference Tab - Do not Delete'!$D$39)))))</f>
        <v>$500M - $M</v>
      </c>
      <c r="AH164" s="205" t="str">
        <f t="shared" si="4"/>
        <v>26 - 50</v>
      </c>
      <c r="AI164" s="205" t="str">
        <f t="shared" si="5"/>
        <v/>
      </c>
      <c r="AJ164" s="202">
        <v>0</v>
      </c>
      <c r="AK164" s="201"/>
      <c r="AL164" s="205"/>
      <c r="AM164" s="201"/>
      <c r="AN164" s="201"/>
      <c r="AO164" s="201"/>
      <c r="AP164" s="205"/>
      <c r="AQ164" s="233"/>
    </row>
    <row r="165" spans="1:43" x14ac:dyDescent="0.2">
      <c r="A165" s="201"/>
      <c r="B165" s="201" t="s">
        <v>1638</v>
      </c>
      <c r="C165" s="201">
        <v>159</v>
      </c>
      <c r="D165" s="201" t="s">
        <v>1979</v>
      </c>
      <c r="E165" s="202">
        <v>60652000</v>
      </c>
      <c r="F165" s="203"/>
      <c r="G165" s="205">
        <v>50</v>
      </c>
      <c r="H165" s="205">
        <v>34</v>
      </c>
      <c r="I165" s="205" t="s">
        <v>360</v>
      </c>
      <c r="J165" s="205"/>
      <c r="K165" s="201"/>
      <c r="L165" s="201"/>
      <c r="M165" s="201"/>
      <c r="N165" s="201"/>
      <c r="O165" s="201"/>
      <c r="P165" s="201"/>
      <c r="Q165" s="201"/>
      <c r="R165" s="201"/>
      <c r="S165" s="201"/>
      <c r="T165" s="205"/>
      <c r="U165" s="201"/>
      <c r="V165" s="201"/>
      <c r="W165" s="201"/>
      <c r="X165" s="201"/>
      <c r="Y165" s="201"/>
      <c r="Z165" s="201"/>
      <c r="AA165" s="201"/>
      <c r="AB165" s="201"/>
      <c r="AC165" s="201"/>
      <c r="AD165" s="201"/>
      <c r="AE165" s="201"/>
      <c r="AF165" s="201"/>
      <c r="AG165" s="201" t="str">
        <f>IF(E165="","",IF(E165&gt;='Reference Tab - Do not Delete'!$E$35,'Reference Tab - Do not Delete'!$D$35,IF(AND(E165&gt;='Reference Tab - Do not Delete'!$E$36,E165&lt;'Reference Tab - Do not Delete'!$E$35),'Reference Tab - Do not Delete'!$D$36,IF(AND(E165&gt;='Reference Tab - Do not Delete'!$E$37,E165&lt;'Reference Tab - Do not Delete'!$E$36),'Reference Tab - Do not Delete'!$D$37,IF(AND(E165&gt;='Reference Tab - Do not Delete'!$E$38,E165&lt;'Reference Tab - Do not Delete'!$E$37),'Reference Tab - Do not Delete'!$D$38,'Reference Tab - Do not Delete'!$D$39)))))</f>
        <v>$500M - $M</v>
      </c>
      <c r="AH165" s="205" t="str">
        <f t="shared" si="4"/>
        <v>26 - 50</v>
      </c>
      <c r="AI165" s="205" t="str">
        <f t="shared" si="5"/>
        <v/>
      </c>
      <c r="AJ165" s="202">
        <v>0</v>
      </c>
      <c r="AK165" s="201"/>
      <c r="AL165" s="205"/>
      <c r="AM165" s="201"/>
      <c r="AN165" s="201"/>
      <c r="AO165" s="201"/>
      <c r="AP165" s="205"/>
      <c r="AQ165" s="233"/>
    </row>
    <row r="166" spans="1:43" x14ac:dyDescent="0.2">
      <c r="A166" s="201"/>
      <c r="B166" s="201" t="s">
        <v>1699</v>
      </c>
      <c r="C166" s="201">
        <v>160</v>
      </c>
      <c r="D166" s="201" t="s">
        <v>1979</v>
      </c>
      <c r="E166" s="202">
        <v>54827671</v>
      </c>
      <c r="F166" s="203"/>
      <c r="G166" s="205">
        <v>40</v>
      </c>
      <c r="H166" s="205">
        <v>35</v>
      </c>
      <c r="I166" s="205" t="s">
        <v>360</v>
      </c>
      <c r="J166" s="205"/>
      <c r="K166" s="201"/>
      <c r="L166" s="201"/>
      <c r="M166" s="201"/>
      <c r="N166" s="201"/>
      <c r="O166" s="201"/>
      <c r="P166" s="201"/>
      <c r="Q166" s="201"/>
      <c r="R166" s="201"/>
      <c r="S166" s="201"/>
      <c r="T166" s="205"/>
      <c r="U166" s="201"/>
      <c r="V166" s="201"/>
      <c r="W166" s="201"/>
      <c r="X166" s="201"/>
      <c r="Y166" s="201"/>
      <c r="Z166" s="201"/>
      <c r="AA166" s="201"/>
      <c r="AB166" s="201"/>
      <c r="AC166" s="201"/>
      <c r="AD166" s="201"/>
      <c r="AE166" s="201"/>
      <c r="AF166" s="201"/>
      <c r="AG166" s="201" t="str">
        <f>IF(E166="","",IF(E166&gt;='Reference Tab - Do not Delete'!$E$35,'Reference Tab - Do not Delete'!$D$35,IF(AND(E166&gt;='Reference Tab - Do not Delete'!$E$36,E166&lt;'Reference Tab - Do not Delete'!$E$35),'Reference Tab - Do not Delete'!$D$36,IF(AND(E166&gt;='Reference Tab - Do not Delete'!$E$37,E166&lt;'Reference Tab - Do not Delete'!$E$36),'Reference Tab - Do not Delete'!$D$37,IF(AND(E166&gt;='Reference Tab - Do not Delete'!$E$38,E166&lt;'Reference Tab - Do not Delete'!$E$37),'Reference Tab - Do not Delete'!$D$38,'Reference Tab - Do not Delete'!$D$39)))))</f>
        <v>$500M - $M</v>
      </c>
      <c r="AH166" s="205" t="str">
        <f t="shared" si="4"/>
        <v>26 - 50</v>
      </c>
      <c r="AI166" s="205" t="str">
        <f t="shared" si="5"/>
        <v/>
      </c>
      <c r="AJ166" s="202">
        <v>0</v>
      </c>
      <c r="AK166" s="201"/>
      <c r="AL166" s="205"/>
      <c r="AM166" s="201"/>
      <c r="AN166" s="201"/>
      <c r="AO166" s="201"/>
      <c r="AP166" s="205"/>
      <c r="AQ166" s="233"/>
    </row>
    <row r="167" spans="1:43" x14ac:dyDescent="0.2">
      <c r="A167" s="201"/>
      <c r="B167" s="201" t="s">
        <v>1639</v>
      </c>
      <c r="C167" s="201">
        <v>161</v>
      </c>
      <c r="D167" s="201" t="s">
        <v>1979</v>
      </c>
      <c r="E167" s="202">
        <v>52580471</v>
      </c>
      <c r="F167" s="203"/>
      <c r="G167" s="205">
        <v>38</v>
      </c>
      <c r="H167" s="205">
        <v>36</v>
      </c>
      <c r="I167" s="205" t="s">
        <v>360</v>
      </c>
      <c r="J167" s="205"/>
      <c r="K167" s="201"/>
      <c r="L167" s="201"/>
      <c r="M167" s="201"/>
      <c r="N167" s="201"/>
      <c r="O167" s="201"/>
      <c r="P167" s="201"/>
      <c r="Q167" s="201"/>
      <c r="R167" s="201"/>
      <c r="S167" s="201"/>
      <c r="T167" s="205"/>
      <c r="U167" s="201"/>
      <c r="V167" s="201"/>
      <c r="W167" s="201"/>
      <c r="X167" s="201"/>
      <c r="Y167" s="201"/>
      <c r="Z167" s="201"/>
      <c r="AA167" s="201"/>
      <c r="AB167" s="201"/>
      <c r="AC167" s="201"/>
      <c r="AD167" s="201"/>
      <c r="AE167" s="201"/>
      <c r="AF167" s="201"/>
      <c r="AG167" s="201" t="str">
        <f>IF(E167="","",IF(E167&gt;='Reference Tab - Do not Delete'!$E$35,'Reference Tab - Do not Delete'!$D$35,IF(AND(E167&gt;='Reference Tab - Do not Delete'!$E$36,E167&lt;'Reference Tab - Do not Delete'!$E$35),'Reference Tab - Do not Delete'!$D$36,IF(AND(E167&gt;='Reference Tab - Do not Delete'!$E$37,E167&lt;'Reference Tab - Do not Delete'!$E$36),'Reference Tab - Do not Delete'!$D$37,IF(AND(E167&gt;='Reference Tab - Do not Delete'!$E$38,E167&lt;'Reference Tab - Do not Delete'!$E$37),'Reference Tab - Do not Delete'!$D$38,'Reference Tab - Do not Delete'!$D$39)))))</f>
        <v>$500M - $M</v>
      </c>
      <c r="AH167" s="205" t="str">
        <f t="shared" si="4"/>
        <v>26 - 50</v>
      </c>
      <c r="AI167" s="205" t="str">
        <f t="shared" si="5"/>
        <v/>
      </c>
      <c r="AJ167" s="202">
        <v>0</v>
      </c>
      <c r="AK167" s="201"/>
      <c r="AL167" s="205"/>
      <c r="AM167" s="201"/>
      <c r="AN167" s="201"/>
      <c r="AO167" s="201"/>
      <c r="AP167" s="205"/>
      <c r="AQ167" s="233"/>
    </row>
    <row r="168" spans="1:43" x14ac:dyDescent="0.2">
      <c r="A168" s="201"/>
      <c r="B168" s="201" t="s">
        <v>1640</v>
      </c>
      <c r="C168" s="201">
        <v>162</v>
      </c>
      <c r="D168" s="201" t="s">
        <v>1979</v>
      </c>
      <c r="E168" s="202">
        <v>52145900</v>
      </c>
      <c r="F168" s="203"/>
      <c r="G168" s="205">
        <v>34</v>
      </c>
      <c r="H168" s="205">
        <v>37</v>
      </c>
      <c r="I168" s="205" t="s">
        <v>360</v>
      </c>
      <c r="J168" s="205"/>
      <c r="K168" s="201"/>
      <c r="L168" s="201"/>
      <c r="M168" s="201"/>
      <c r="N168" s="201"/>
      <c r="O168" s="201"/>
      <c r="P168" s="201"/>
      <c r="Q168" s="201"/>
      <c r="R168" s="201"/>
      <c r="S168" s="201"/>
      <c r="T168" s="205"/>
      <c r="U168" s="201"/>
      <c r="V168" s="201"/>
      <c r="W168" s="201"/>
      <c r="X168" s="201"/>
      <c r="Y168" s="201"/>
      <c r="Z168" s="201"/>
      <c r="AA168" s="201"/>
      <c r="AB168" s="201"/>
      <c r="AC168" s="201"/>
      <c r="AD168" s="201"/>
      <c r="AE168" s="201"/>
      <c r="AF168" s="201"/>
      <c r="AG168" s="201" t="str">
        <f>IF(E168="","",IF(E168&gt;='Reference Tab - Do not Delete'!$E$35,'Reference Tab - Do not Delete'!$D$35,IF(AND(E168&gt;='Reference Tab - Do not Delete'!$E$36,E168&lt;'Reference Tab - Do not Delete'!$E$35),'Reference Tab - Do not Delete'!$D$36,IF(AND(E168&gt;='Reference Tab - Do not Delete'!$E$37,E168&lt;'Reference Tab - Do not Delete'!$E$36),'Reference Tab - Do not Delete'!$D$37,IF(AND(E168&gt;='Reference Tab - Do not Delete'!$E$38,E168&lt;'Reference Tab - Do not Delete'!$E$37),'Reference Tab - Do not Delete'!$D$38,'Reference Tab - Do not Delete'!$D$39)))))</f>
        <v>$500M - $M</v>
      </c>
      <c r="AH168" s="205" t="str">
        <f t="shared" si="4"/>
        <v>26 - 50</v>
      </c>
      <c r="AI168" s="205" t="str">
        <f t="shared" si="5"/>
        <v/>
      </c>
      <c r="AJ168" s="202">
        <v>0</v>
      </c>
      <c r="AK168" s="201"/>
      <c r="AL168" s="205"/>
      <c r="AM168" s="201"/>
      <c r="AN168" s="201"/>
      <c r="AO168" s="201"/>
      <c r="AP168" s="205"/>
      <c r="AQ168" s="233"/>
    </row>
    <row r="169" spans="1:43" x14ac:dyDescent="0.2">
      <c r="A169" s="201"/>
      <c r="B169" s="201" t="s">
        <v>1641</v>
      </c>
      <c r="C169" s="201">
        <v>163</v>
      </c>
      <c r="D169" s="201" t="s">
        <v>1979</v>
      </c>
      <c r="E169" s="202">
        <v>52000000</v>
      </c>
      <c r="F169" s="203"/>
      <c r="G169" s="205">
        <v>35</v>
      </c>
      <c r="H169" s="205">
        <v>38</v>
      </c>
      <c r="I169" s="205" t="s">
        <v>360</v>
      </c>
      <c r="J169" s="205"/>
      <c r="K169" s="201"/>
      <c r="L169" s="201"/>
      <c r="M169" s="201"/>
      <c r="N169" s="201"/>
      <c r="O169" s="201"/>
      <c r="P169" s="201"/>
      <c r="Q169" s="201"/>
      <c r="R169" s="201"/>
      <c r="S169" s="201"/>
      <c r="T169" s="205"/>
      <c r="U169" s="201"/>
      <c r="V169" s="201"/>
      <c r="W169" s="201"/>
      <c r="X169" s="201"/>
      <c r="Y169" s="201"/>
      <c r="Z169" s="201"/>
      <c r="AA169" s="201"/>
      <c r="AB169" s="201"/>
      <c r="AC169" s="201"/>
      <c r="AD169" s="201"/>
      <c r="AE169" s="201"/>
      <c r="AF169" s="201"/>
      <c r="AG169" s="201" t="str">
        <f>IF(E169="","",IF(E169&gt;='Reference Tab - Do not Delete'!$E$35,'Reference Tab - Do not Delete'!$D$35,IF(AND(E169&gt;='Reference Tab - Do not Delete'!$E$36,E169&lt;'Reference Tab - Do not Delete'!$E$35),'Reference Tab - Do not Delete'!$D$36,IF(AND(E169&gt;='Reference Tab - Do not Delete'!$E$37,E169&lt;'Reference Tab - Do not Delete'!$E$36),'Reference Tab - Do not Delete'!$D$37,IF(AND(E169&gt;='Reference Tab - Do not Delete'!$E$38,E169&lt;'Reference Tab - Do not Delete'!$E$37),'Reference Tab - Do not Delete'!$D$38,'Reference Tab - Do not Delete'!$D$39)))))</f>
        <v>$500M - $M</v>
      </c>
      <c r="AH169" s="205" t="str">
        <f t="shared" si="4"/>
        <v>26 - 50</v>
      </c>
      <c r="AI169" s="205" t="str">
        <f t="shared" si="5"/>
        <v/>
      </c>
      <c r="AJ169" s="202">
        <v>0</v>
      </c>
      <c r="AK169" s="201"/>
      <c r="AL169" s="205"/>
      <c r="AM169" s="201"/>
      <c r="AN169" s="201"/>
      <c r="AO169" s="201"/>
      <c r="AP169" s="205"/>
      <c r="AQ169" s="233"/>
    </row>
    <row r="170" spans="1:43" x14ac:dyDescent="0.2">
      <c r="A170" s="201"/>
      <c r="B170" s="201" t="s">
        <v>1642</v>
      </c>
      <c r="C170" s="201">
        <v>164</v>
      </c>
      <c r="D170" s="201" t="s">
        <v>1979</v>
      </c>
      <c r="E170" s="202">
        <v>51126847</v>
      </c>
      <c r="F170" s="203"/>
      <c r="G170" s="205">
        <v>36</v>
      </c>
      <c r="H170" s="205">
        <v>39</v>
      </c>
      <c r="I170" s="205" t="s">
        <v>360</v>
      </c>
      <c r="J170" s="205"/>
      <c r="K170" s="201"/>
      <c r="L170" s="201"/>
      <c r="M170" s="201"/>
      <c r="N170" s="201"/>
      <c r="O170" s="201"/>
      <c r="P170" s="201"/>
      <c r="Q170" s="201"/>
      <c r="R170" s="201"/>
      <c r="S170" s="201"/>
      <c r="T170" s="205"/>
      <c r="U170" s="201"/>
      <c r="V170" s="201"/>
      <c r="W170" s="201"/>
      <c r="X170" s="201"/>
      <c r="Y170" s="201"/>
      <c r="Z170" s="201"/>
      <c r="AA170" s="201"/>
      <c r="AB170" s="201"/>
      <c r="AC170" s="201"/>
      <c r="AD170" s="201"/>
      <c r="AE170" s="201"/>
      <c r="AF170" s="201"/>
      <c r="AG170" s="201" t="str">
        <f>IF(E170="","",IF(E170&gt;='Reference Tab - Do not Delete'!$E$35,'Reference Tab - Do not Delete'!$D$35,IF(AND(E170&gt;='Reference Tab - Do not Delete'!$E$36,E170&lt;'Reference Tab - Do not Delete'!$E$35),'Reference Tab - Do not Delete'!$D$36,IF(AND(E170&gt;='Reference Tab - Do not Delete'!$E$37,E170&lt;'Reference Tab - Do not Delete'!$E$36),'Reference Tab - Do not Delete'!$D$37,IF(AND(E170&gt;='Reference Tab - Do not Delete'!$E$38,E170&lt;'Reference Tab - Do not Delete'!$E$37),'Reference Tab - Do not Delete'!$D$38,'Reference Tab - Do not Delete'!$D$39)))))</f>
        <v>$500M - $M</v>
      </c>
      <c r="AH170" s="205" t="str">
        <f t="shared" si="4"/>
        <v>26 - 50</v>
      </c>
      <c r="AI170" s="205" t="str">
        <f t="shared" si="5"/>
        <v/>
      </c>
      <c r="AJ170" s="202">
        <v>0</v>
      </c>
      <c r="AK170" s="201"/>
      <c r="AL170" s="205"/>
      <c r="AM170" s="201"/>
      <c r="AN170" s="201"/>
      <c r="AO170" s="201"/>
      <c r="AP170" s="205"/>
      <c r="AQ170" s="233"/>
    </row>
    <row r="171" spans="1:43" x14ac:dyDescent="0.2">
      <c r="A171" s="201"/>
      <c r="B171" s="201" t="s">
        <v>1643</v>
      </c>
      <c r="C171" s="201">
        <v>165</v>
      </c>
      <c r="D171" s="201" t="s">
        <v>1979</v>
      </c>
      <c r="E171" s="202">
        <v>50330000</v>
      </c>
      <c r="F171" s="203"/>
      <c r="G171" s="205">
        <v>37</v>
      </c>
      <c r="H171" s="205">
        <v>40</v>
      </c>
      <c r="I171" s="205" t="s">
        <v>360</v>
      </c>
      <c r="J171" s="205"/>
      <c r="K171" s="201"/>
      <c r="L171" s="201"/>
      <c r="M171" s="201"/>
      <c r="N171" s="201"/>
      <c r="O171" s="201"/>
      <c r="P171" s="201"/>
      <c r="Q171" s="201"/>
      <c r="R171" s="201"/>
      <c r="S171" s="201"/>
      <c r="T171" s="205"/>
      <c r="U171" s="201"/>
      <c r="V171" s="201"/>
      <c r="W171" s="201"/>
      <c r="X171" s="201"/>
      <c r="Y171" s="201"/>
      <c r="Z171" s="201"/>
      <c r="AA171" s="201"/>
      <c r="AB171" s="201"/>
      <c r="AC171" s="201"/>
      <c r="AD171" s="201"/>
      <c r="AE171" s="201"/>
      <c r="AF171" s="201"/>
      <c r="AG171" s="201" t="str">
        <f>IF(E171="","",IF(E171&gt;='Reference Tab - Do not Delete'!$E$35,'Reference Tab - Do not Delete'!$D$35,IF(AND(E171&gt;='Reference Tab - Do not Delete'!$E$36,E171&lt;'Reference Tab - Do not Delete'!$E$35),'Reference Tab - Do not Delete'!$D$36,IF(AND(E171&gt;='Reference Tab - Do not Delete'!$E$37,E171&lt;'Reference Tab - Do not Delete'!$E$36),'Reference Tab - Do not Delete'!$D$37,IF(AND(E171&gt;='Reference Tab - Do not Delete'!$E$38,E171&lt;'Reference Tab - Do not Delete'!$E$37),'Reference Tab - Do not Delete'!$D$38,'Reference Tab - Do not Delete'!$D$39)))))</f>
        <v>$500M - $M</v>
      </c>
      <c r="AH171" s="205" t="str">
        <f t="shared" si="4"/>
        <v>26 - 50</v>
      </c>
      <c r="AI171" s="205" t="str">
        <f t="shared" si="5"/>
        <v/>
      </c>
      <c r="AJ171" s="202">
        <v>0</v>
      </c>
      <c r="AK171" s="201"/>
      <c r="AL171" s="205"/>
      <c r="AM171" s="201"/>
      <c r="AN171" s="201"/>
      <c r="AO171" s="201"/>
      <c r="AP171" s="205"/>
      <c r="AQ171" s="233"/>
    </row>
    <row r="172" spans="1:43" x14ac:dyDescent="0.2">
      <c r="A172" s="201"/>
      <c r="B172" s="201" t="s">
        <v>1644</v>
      </c>
      <c r="C172" s="201">
        <v>166</v>
      </c>
      <c r="D172" s="201" t="s">
        <v>1979</v>
      </c>
      <c r="E172" s="202">
        <v>49891215</v>
      </c>
      <c r="F172" s="203"/>
      <c r="G172" s="205">
        <v>42</v>
      </c>
      <c r="H172" s="205">
        <v>41</v>
      </c>
      <c r="I172" s="205" t="s">
        <v>360</v>
      </c>
      <c r="J172" s="205"/>
      <c r="K172" s="201"/>
      <c r="L172" s="201"/>
      <c r="M172" s="201"/>
      <c r="N172" s="201"/>
      <c r="O172" s="201"/>
      <c r="P172" s="201"/>
      <c r="Q172" s="201"/>
      <c r="R172" s="201"/>
      <c r="S172" s="201"/>
      <c r="T172" s="205"/>
      <c r="U172" s="201"/>
      <c r="V172" s="201"/>
      <c r="W172" s="201"/>
      <c r="X172" s="201"/>
      <c r="Y172" s="201"/>
      <c r="Z172" s="201"/>
      <c r="AA172" s="201"/>
      <c r="AB172" s="201"/>
      <c r="AC172" s="201"/>
      <c r="AD172" s="201"/>
      <c r="AE172" s="201"/>
      <c r="AF172" s="201"/>
      <c r="AG172" s="201" t="str">
        <f>IF(E172="","",IF(E172&gt;='Reference Tab - Do not Delete'!$E$35,'Reference Tab - Do not Delete'!$D$35,IF(AND(E172&gt;='Reference Tab - Do not Delete'!$E$36,E172&lt;'Reference Tab - Do not Delete'!$E$35),'Reference Tab - Do not Delete'!$D$36,IF(AND(E172&gt;='Reference Tab - Do not Delete'!$E$37,E172&lt;'Reference Tab - Do not Delete'!$E$36),'Reference Tab - Do not Delete'!$D$37,IF(AND(E172&gt;='Reference Tab - Do not Delete'!$E$38,E172&lt;'Reference Tab - Do not Delete'!$E$37),'Reference Tab - Do not Delete'!$D$38,'Reference Tab - Do not Delete'!$D$39)))))</f>
        <v>$500M - $M</v>
      </c>
      <c r="AH172" s="205" t="str">
        <f t="shared" si="4"/>
        <v>26 - 50</v>
      </c>
      <c r="AI172" s="205" t="str">
        <f t="shared" si="5"/>
        <v/>
      </c>
      <c r="AJ172" s="202">
        <v>0</v>
      </c>
      <c r="AK172" s="201"/>
      <c r="AL172" s="205"/>
      <c r="AM172" s="201"/>
      <c r="AN172" s="201"/>
      <c r="AO172" s="201"/>
      <c r="AP172" s="205"/>
      <c r="AQ172" s="233"/>
    </row>
    <row r="173" spans="1:43" x14ac:dyDescent="0.2">
      <c r="A173" s="201"/>
      <c r="B173" s="201" t="s">
        <v>1645</v>
      </c>
      <c r="C173" s="201">
        <v>167</v>
      </c>
      <c r="D173" s="201" t="s">
        <v>1979</v>
      </c>
      <c r="E173" s="202">
        <v>49576644</v>
      </c>
      <c r="F173" s="203"/>
      <c r="G173" s="205">
        <v>39</v>
      </c>
      <c r="H173" s="205">
        <v>42</v>
      </c>
      <c r="I173" s="205" t="s">
        <v>360</v>
      </c>
      <c r="J173" s="205"/>
      <c r="K173" s="201"/>
      <c r="L173" s="201"/>
      <c r="M173" s="201"/>
      <c r="N173" s="201"/>
      <c r="O173" s="201"/>
      <c r="P173" s="201"/>
      <c r="Q173" s="201"/>
      <c r="R173" s="201"/>
      <c r="S173" s="201"/>
      <c r="T173" s="205"/>
      <c r="U173" s="201"/>
      <c r="V173" s="201"/>
      <c r="W173" s="201"/>
      <c r="X173" s="201"/>
      <c r="Y173" s="201"/>
      <c r="Z173" s="201"/>
      <c r="AA173" s="201"/>
      <c r="AB173" s="201"/>
      <c r="AC173" s="201"/>
      <c r="AD173" s="201"/>
      <c r="AE173" s="201"/>
      <c r="AF173" s="201"/>
      <c r="AG173" s="201" t="str">
        <f>IF(E173="","",IF(E173&gt;='Reference Tab - Do not Delete'!$E$35,'Reference Tab - Do not Delete'!$D$35,IF(AND(E173&gt;='Reference Tab - Do not Delete'!$E$36,E173&lt;'Reference Tab - Do not Delete'!$E$35),'Reference Tab - Do not Delete'!$D$36,IF(AND(E173&gt;='Reference Tab - Do not Delete'!$E$37,E173&lt;'Reference Tab - Do not Delete'!$E$36),'Reference Tab - Do not Delete'!$D$37,IF(AND(E173&gt;='Reference Tab - Do not Delete'!$E$38,E173&lt;'Reference Tab - Do not Delete'!$E$37),'Reference Tab - Do not Delete'!$D$38,'Reference Tab - Do not Delete'!$D$39)))))</f>
        <v>$500M - $M</v>
      </c>
      <c r="AH173" s="205" t="str">
        <f t="shared" si="4"/>
        <v>26 - 50</v>
      </c>
      <c r="AI173" s="205" t="str">
        <f t="shared" si="5"/>
        <v/>
      </c>
      <c r="AJ173" s="202">
        <v>0</v>
      </c>
      <c r="AK173" s="201"/>
      <c r="AL173" s="205"/>
      <c r="AM173" s="201"/>
      <c r="AN173" s="201"/>
      <c r="AO173" s="201"/>
      <c r="AP173" s="205"/>
      <c r="AQ173" s="233"/>
    </row>
    <row r="174" spans="1:43" x14ac:dyDescent="0.2">
      <c r="A174" s="201"/>
      <c r="B174" s="201" t="s">
        <v>1646</v>
      </c>
      <c r="C174" s="201">
        <v>168</v>
      </c>
      <c r="D174" s="201" t="s">
        <v>1979</v>
      </c>
      <c r="E174" s="202">
        <v>47488559</v>
      </c>
      <c r="F174" s="203"/>
      <c r="G174" s="205">
        <v>51</v>
      </c>
      <c r="H174" s="205">
        <v>43</v>
      </c>
      <c r="I174" s="205" t="s">
        <v>360</v>
      </c>
      <c r="J174" s="205"/>
      <c r="K174" s="201"/>
      <c r="L174" s="201"/>
      <c r="M174" s="201"/>
      <c r="N174" s="201"/>
      <c r="O174" s="201"/>
      <c r="P174" s="201"/>
      <c r="Q174" s="201"/>
      <c r="R174" s="201"/>
      <c r="S174" s="201"/>
      <c r="T174" s="205"/>
      <c r="U174" s="201"/>
      <c r="V174" s="201"/>
      <c r="W174" s="201"/>
      <c r="X174" s="201"/>
      <c r="Y174" s="201"/>
      <c r="Z174" s="201"/>
      <c r="AA174" s="201"/>
      <c r="AB174" s="201"/>
      <c r="AC174" s="201"/>
      <c r="AD174" s="201"/>
      <c r="AE174" s="201"/>
      <c r="AF174" s="201"/>
      <c r="AG174" s="201" t="str">
        <f>IF(E174="","",IF(E174&gt;='Reference Tab - Do not Delete'!$E$35,'Reference Tab - Do not Delete'!$D$35,IF(AND(E174&gt;='Reference Tab - Do not Delete'!$E$36,E174&lt;'Reference Tab - Do not Delete'!$E$35),'Reference Tab - Do not Delete'!$D$36,IF(AND(E174&gt;='Reference Tab - Do not Delete'!$E$37,E174&lt;'Reference Tab - Do not Delete'!$E$36),'Reference Tab - Do not Delete'!$D$37,IF(AND(E174&gt;='Reference Tab - Do not Delete'!$E$38,E174&lt;'Reference Tab - Do not Delete'!$E$37),'Reference Tab - Do not Delete'!$D$38,'Reference Tab - Do not Delete'!$D$39)))))</f>
        <v>$500M - $M</v>
      </c>
      <c r="AH174" s="205" t="str">
        <f t="shared" si="4"/>
        <v>26 - 50</v>
      </c>
      <c r="AI174" s="205" t="str">
        <f t="shared" si="5"/>
        <v/>
      </c>
      <c r="AJ174" s="202">
        <v>0</v>
      </c>
      <c r="AK174" s="201"/>
      <c r="AL174" s="205"/>
      <c r="AM174" s="201"/>
      <c r="AN174" s="201"/>
      <c r="AO174" s="201"/>
      <c r="AP174" s="205"/>
      <c r="AQ174" s="233"/>
    </row>
    <row r="175" spans="1:43" x14ac:dyDescent="0.2">
      <c r="A175" s="201"/>
      <c r="B175" s="201" t="s">
        <v>1647</v>
      </c>
      <c r="C175" s="201">
        <v>169</v>
      </c>
      <c r="D175" s="201" t="s">
        <v>1979</v>
      </c>
      <c r="E175" s="202">
        <v>46322192</v>
      </c>
      <c r="F175" s="203"/>
      <c r="G175" s="205">
        <v>48</v>
      </c>
      <c r="H175" s="205">
        <v>44</v>
      </c>
      <c r="I175" s="205" t="s">
        <v>360</v>
      </c>
      <c r="J175" s="205"/>
      <c r="K175" s="201"/>
      <c r="L175" s="201"/>
      <c r="M175" s="201"/>
      <c r="N175" s="201"/>
      <c r="O175" s="201"/>
      <c r="P175" s="201"/>
      <c r="Q175" s="201"/>
      <c r="R175" s="201"/>
      <c r="S175" s="201"/>
      <c r="T175" s="205"/>
      <c r="U175" s="201"/>
      <c r="V175" s="201"/>
      <c r="W175" s="201"/>
      <c r="X175" s="201"/>
      <c r="Y175" s="201"/>
      <c r="Z175" s="201"/>
      <c r="AA175" s="201"/>
      <c r="AB175" s="201"/>
      <c r="AC175" s="201"/>
      <c r="AD175" s="201"/>
      <c r="AE175" s="201"/>
      <c r="AF175" s="201"/>
      <c r="AG175" s="201" t="str">
        <f>IF(E175="","",IF(E175&gt;='Reference Tab - Do not Delete'!$E$35,'Reference Tab - Do not Delete'!$D$35,IF(AND(E175&gt;='Reference Tab - Do not Delete'!$E$36,E175&lt;'Reference Tab - Do not Delete'!$E$35),'Reference Tab - Do not Delete'!$D$36,IF(AND(E175&gt;='Reference Tab - Do not Delete'!$E$37,E175&lt;'Reference Tab - Do not Delete'!$E$36),'Reference Tab - Do not Delete'!$D$37,IF(AND(E175&gt;='Reference Tab - Do not Delete'!$E$38,E175&lt;'Reference Tab - Do not Delete'!$E$37),'Reference Tab - Do not Delete'!$D$38,'Reference Tab - Do not Delete'!$D$39)))))</f>
        <v>$500M - $M</v>
      </c>
      <c r="AH175" s="205" t="str">
        <f t="shared" si="4"/>
        <v>26 - 50</v>
      </c>
      <c r="AI175" s="205" t="str">
        <f t="shared" si="5"/>
        <v/>
      </c>
      <c r="AJ175" s="202">
        <v>0</v>
      </c>
      <c r="AK175" s="201"/>
      <c r="AL175" s="205"/>
      <c r="AM175" s="201"/>
      <c r="AN175" s="201"/>
      <c r="AO175" s="201"/>
      <c r="AP175" s="205"/>
      <c r="AQ175" s="233"/>
    </row>
    <row r="176" spans="1:43" x14ac:dyDescent="0.2">
      <c r="A176" s="201"/>
      <c r="B176" s="201" t="s">
        <v>1648</v>
      </c>
      <c r="C176" s="201">
        <v>170</v>
      </c>
      <c r="D176" s="201" t="s">
        <v>1979</v>
      </c>
      <c r="E176" s="202">
        <v>45000000</v>
      </c>
      <c r="F176" s="203"/>
      <c r="G176" s="205">
        <v>56</v>
      </c>
      <c r="H176" s="205">
        <v>45</v>
      </c>
      <c r="I176" s="205" t="s">
        <v>360</v>
      </c>
      <c r="J176" s="205"/>
      <c r="K176" s="201"/>
      <c r="L176" s="201"/>
      <c r="M176" s="201"/>
      <c r="N176" s="201"/>
      <c r="O176" s="201"/>
      <c r="P176" s="201"/>
      <c r="Q176" s="201"/>
      <c r="R176" s="201"/>
      <c r="S176" s="201"/>
      <c r="T176" s="205"/>
      <c r="U176" s="201"/>
      <c r="V176" s="201"/>
      <c r="W176" s="201"/>
      <c r="X176" s="201"/>
      <c r="Y176" s="201"/>
      <c r="Z176" s="201"/>
      <c r="AA176" s="201"/>
      <c r="AB176" s="201"/>
      <c r="AC176" s="201"/>
      <c r="AD176" s="201"/>
      <c r="AE176" s="201"/>
      <c r="AF176" s="201"/>
      <c r="AG176" s="201" t="str">
        <f>IF(E176="","",IF(E176&gt;='Reference Tab - Do not Delete'!$E$35,'Reference Tab - Do not Delete'!$D$35,IF(AND(E176&gt;='Reference Tab - Do not Delete'!$E$36,E176&lt;'Reference Tab - Do not Delete'!$E$35),'Reference Tab - Do not Delete'!$D$36,IF(AND(E176&gt;='Reference Tab - Do not Delete'!$E$37,E176&lt;'Reference Tab - Do not Delete'!$E$36),'Reference Tab - Do not Delete'!$D$37,IF(AND(E176&gt;='Reference Tab - Do not Delete'!$E$38,E176&lt;'Reference Tab - Do not Delete'!$E$37),'Reference Tab - Do not Delete'!$D$38,'Reference Tab - Do not Delete'!$D$39)))))</f>
        <v>$500M - $M</v>
      </c>
      <c r="AH176" s="205" t="str">
        <f t="shared" si="4"/>
        <v>26 - 50</v>
      </c>
      <c r="AI176" s="205" t="str">
        <f t="shared" si="5"/>
        <v/>
      </c>
      <c r="AJ176" s="202">
        <v>0</v>
      </c>
      <c r="AK176" s="201"/>
      <c r="AL176" s="205"/>
      <c r="AM176" s="201"/>
      <c r="AN176" s="201"/>
      <c r="AO176" s="201"/>
      <c r="AP176" s="205"/>
      <c r="AQ176" s="233"/>
    </row>
    <row r="177" spans="1:43" x14ac:dyDescent="0.2">
      <c r="A177" s="201"/>
      <c r="B177" s="201" t="s">
        <v>1649</v>
      </c>
      <c r="C177" s="201">
        <v>171</v>
      </c>
      <c r="D177" s="201" t="s">
        <v>1979</v>
      </c>
      <c r="E177" s="202">
        <v>44743637</v>
      </c>
      <c r="F177" s="203"/>
      <c r="G177" s="205">
        <v>45</v>
      </c>
      <c r="H177" s="205">
        <v>46</v>
      </c>
      <c r="I177" s="205" t="s">
        <v>360</v>
      </c>
      <c r="J177" s="205"/>
      <c r="K177" s="201"/>
      <c r="L177" s="201"/>
      <c r="M177" s="201"/>
      <c r="N177" s="201"/>
      <c r="O177" s="201"/>
      <c r="P177" s="201"/>
      <c r="Q177" s="201"/>
      <c r="R177" s="201"/>
      <c r="S177" s="201"/>
      <c r="T177" s="205"/>
      <c r="U177" s="201"/>
      <c r="V177" s="201"/>
      <c r="W177" s="201"/>
      <c r="X177" s="201"/>
      <c r="Y177" s="201"/>
      <c r="Z177" s="201"/>
      <c r="AA177" s="201"/>
      <c r="AB177" s="201"/>
      <c r="AC177" s="201"/>
      <c r="AD177" s="201"/>
      <c r="AE177" s="201"/>
      <c r="AF177" s="201"/>
      <c r="AG177" s="201" t="str">
        <f>IF(E177="","",IF(E177&gt;='Reference Tab - Do not Delete'!$E$35,'Reference Tab - Do not Delete'!$D$35,IF(AND(E177&gt;='Reference Tab - Do not Delete'!$E$36,E177&lt;'Reference Tab - Do not Delete'!$E$35),'Reference Tab - Do not Delete'!$D$36,IF(AND(E177&gt;='Reference Tab - Do not Delete'!$E$37,E177&lt;'Reference Tab - Do not Delete'!$E$36),'Reference Tab - Do not Delete'!$D$37,IF(AND(E177&gt;='Reference Tab - Do not Delete'!$E$38,E177&lt;'Reference Tab - Do not Delete'!$E$37),'Reference Tab - Do not Delete'!$D$38,'Reference Tab - Do not Delete'!$D$39)))))</f>
        <v>$500M - $M</v>
      </c>
      <c r="AH177" s="205" t="str">
        <f t="shared" si="4"/>
        <v>26 - 50</v>
      </c>
      <c r="AI177" s="205" t="str">
        <f t="shared" si="5"/>
        <v/>
      </c>
      <c r="AJ177" s="202">
        <v>0</v>
      </c>
      <c r="AK177" s="201"/>
      <c r="AL177" s="205"/>
      <c r="AM177" s="201"/>
      <c r="AN177" s="201"/>
      <c r="AO177" s="201"/>
      <c r="AP177" s="205"/>
      <c r="AQ177" s="233"/>
    </row>
    <row r="178" spans="1:43" x14ac:dyDescent="0.2">
      <c r="A178" s="201"/>
      <c r="B178" s="201" t="s">
        <v>1650</v>
      </c>
      <c r="C178" s="201">
        <v>172</v>
      </c>
      <c r="D178" s="201" t="s">
        <v>1979</v>
      </c>
      <c r="E178" s="202">
        <v>43744167</v>
      </c>
      <c r="F178" s="203"/>
      <c r="G178" s="205">
        <v>41</v>
      </c>
      <c r="H178" s="205">
        <v>47</v>
      </c>
      <c r="I178" s="205" t="s">
        <v>360</v>
      </c>
      <c r="J178" s="205"/>
      <c r="K178" s="201"/>
      <c r="L178" s="201"/>
      <c r="M178" s="201"/>
      <c r="N178" s="201"/>
      <c r="O178" s="201"/>
      <c r="P178" s="201"/>
      <c r="Q178" s="201"/>
      <c r="R178" s="201"/>
      <c r="S178" s="201"/>
      <c r="T178" s="205"/>
      <c r="U178" s="201"/>
      <c r="V178" s="201"/>
      <c r="W178" s="201"/>
      <c r="X178" s="201"/>
      <c r="Y178" s="201"/>
      <c r="Z178" s="201"/>
      <c r="AA178" s="201"/>
      <c r="AB178" s="201"/>
      <c r="AC178" s="201"/>
      <c r="AD178" s="201"/>
      <c r="AE178" s="201"/>
      <c r="AF178" s="201"/>
      <c r="AG178" s="201" t="str">
        <f>IF(E178="","",IF(E178&gt;='Reference Tab - Do not Delete'!$E$35,'Reference Tab - Do not Delete'!$D$35,IF(AND(E178&gt;='Reference Tab - Do not Delete'!$E$36,E178&lt;'Reference Tab - Do not Delete'!$E$35),'Reference Tab - Do not Delete'!$D$36,IF(AND(E178&gt;='Reference Tab - Do not Delete'!$E$37,E178&lt;'Reference Tab - Do not Delete'!$E$36),'Reference Tab - Do not Delete'!$D$37,IF(AND(E178&gt;='Reference Tab - Do not Delete'!$E$38,E178&lt;'Reference Tab - Do not Delete'!$E$37),'Reference Tab - Do not Delete'!$D$38,'Reference Tab - Do not Delete'!$D$39)))))</f>
        <v>$500M - $M</v>
      </c>
      <c r="AH178" s="205" t="str">
        <f t="shared" si="4"/>
        <v>26 - 50</v>
      </c>
      <c r="AI178" s="205" t="str">
        <f t="shared" si="5"/>
        <v/>
      </c>
      <c r="AJ178" s="202">
        <v>0</v>
      </c>
      <c r="AK178" s="201"/>
      <c r="AL178" s="205"/>
      <c r="AM178" s="201"/>
      <c r="AN178" s="201"/>
      <c r="AO178" s="201"/>
      <c r="AP178" s="205"/>
      <c r="AQ178" s="233"/>
    </row>
    <row r="179" spans="1:43" x14ac:dyDescent="0.2">
      <c r="A179" s="201"/>
      <c r="B179" s="201" t="s">
        <v>1651</v>
      </c>
      <c r="C179" s="201">
        <v>173</v>
      </c>
      <c r="D179" s="201" t="s">
        <v>1979</v>
      </c>
      <c r="E179" s="202">
        <v>43579000</v>
      </c>
      <c r="F179" s="203"/>
      <c r="G179" s="205" t="s">
        <v>1707</v>
      </c>
      <c r="H179" s="205">
        <v>48</v>
      </c>
      <c r="I179" s="205" t="s">
        <v>360</v>
      </c>
      <c r="J179" s="205"/>
      <c r="K179" s="201"/>
      <c r="L179" s="201"/>
      <c r="M179" s="201"/>
      <c r="N179" s="201"/>
      <c r="O179" s="201"/>
      <c r="P179" s="201"/>
      <c r="Q179" s="201"/>
      <c r="R179" s="201"/>
      <c r="S179" s="201"/>
      <c r="T179" s="205"/>
      <c r="U179" s="201"/>
      <c r="V179" s="201"/>
      <c r="W179" s="201"/>
      <c r="X179" s="201"/>
      <c r="Y179" s="201"/>
      <c r="Z179" s="201"/>
      <c r="AA179" s="201"/>
      <c r="AB179" s="201"/>
      <c r="AC179" s="201"/>
      <c r="AD179" s="201"/>
      <c r="AE179" s="201"/>
      <c r="AF179" s="201"/>
      <c r="AG179" s="201" t="str">
        <f>IF(E179="","",IF(E179&gt;='Reference Tab - Do not Delete'!$E$35,'Reference Tab - Do not Delete'!$D$35,IF(AND(E179&gt;='Reference Tab - Do not Delete'!$E$36,E179&lt;'Reference Tab - Do not Delete'!$E$35),'Reference Tab - Do not Delete'!$D$36,IF(AND(E179&gt;='Reference Tab - Do not Delete'!$E$37,E179&lt;'Reference Tab - Do not Delete'!$E$36),'Reference Tab - Do not Delete'!$D$37,IF(AND(E179&gt;='Reference Tab - Do not Delete'!$E$38,E179&lt;'Reference Tab - Do not Delete'!$E$37),'Reference Tab - Do not Delete'!$D$38,'Reference Tab - Do not Delete'!$D$39)))))</f>
        <v>$500M - $M</v>
      </c>
      <c r="AH179" s="205" t="str">
        <f t="shared" si="4"/>
        <v>26 - 50</v>
      </c>
      <c r="AI179" s="205" t="str">
        <f t="shared" si="5"/>
        <v/>
      </c>
      <c r="AJ179" s="202">
        <v>0</v>
      </c>
      <c r="AK179" s="201"/>
      <c r="AL179" s="205"/>
      <c r="AM179" s="201"/>
      <c r="AN179" s="201"/>
      <c r="AO179" s="201"/>
      <c r="AP179" s="205"/>
      <c r="AQ179" s="233"/>
    </row>
    <row r="180" spans="1:43" x14ac:dyDescent="0.2">
      <c r="A180" s="201"/>
      <c r="B180" s="201" t="s">
        <v>1652</v>
      </c>
      <c r="C180" s="201">
        <v>174</v>
      </c>
      <c r="D180" s="201" t="s">
        <v>1979</v>
      </c>
      <c r="E180" s="202">
        <v>40986433</v>
      </c>
      <c r="F180" s="203"/>
      <c r="G180" s="205">
        <v>63</v>
      </c>
      <c r="H180" s="205">
        <v>49</v>
      </c>
      <c r="I180" s="205" t="s">
        <v>360</v>
      </c>
      <c r="J180" s="205"/>
      <c r="K180" s="201"/>
      <c r="L180" s="201"/>
      <c r="M180" s="201"/>
      <c r="N180" s="201"/>
      <c r="O180" s="201"/>
      <c r="P180" s="201"/>
      <c r="Q180" s="201"/>
      <c r="R180" s="201"/>
      <c r="S180" s="201"/>
      <c r="T180" s="205"/>
      <c r="U180" s="201"/>
      <c r="V180" s="201"/>
      <c r="W180" s="201"/>
      <c r="X180" s="201"/>
      <c r="Y180" s="201"/>
      <c r="Z180" s="201"/>
      <c r="AA180" s="201"/>
      <c r="AB180" s="201"/>
      <c r="AC180" s="201"/>
      <c r="AD180" s="201"/>
      <c r="AE180" s="201"/>
      <c r="AF180" s="201"/>
      <c r="AG180" s="201" t="str">
        <f>IF(E180="","",IF(E180&gt;='Reference Tab - Do not Delete'!$E$35,'Reference Tab - Do not Delete'!$D$35,IF(AND(E180&gt;='Reference Tab - Do not Delete'!$E$36,E180&lt;'Reference Tab - Do not Delete'!$E$35),'Reference Tab - Do not Delete'!$D$36,IF(AND(E180&gt;='Reference Tab - Do not Delete'!$E$37,E180&lt;'Reference Tab - Do not Delete'!$E$36),'Reference Tab - Do not Delete'!$D$37,IF(AND(E180&gt;='Reference Tab - Do not Delete'!$E$38,E180&lt;'Reference Tab - Do not Delete'!$E$37),'Reference Tab - Do not Delete'!$D$38,'Reference Tab - Do not Delete'!$D$39)))))</f>
        <v>$500M - $M</v>
      </c>
      <c r="AH180" s="205" t="str">
        <f t="shared" si="4"/>
        <v>26 - 50</v>
      </c>
      <c r="AI180" s="205" t="str">
        <f t="shared" si="5"/>
        <v/>
      </c>
      <c r="AJ180" s="202">
        <v>0</v>
      </c>
      <c r="AK180" s="201"/>
      <c r="AL180" s="205"/>
      <c r="AM180" s="201"/>
      <c r="AN180" s="201"/>
      <c r="AO180" s="201"/>
      <c r="AP180" s="205"/>
      <c r="AQ180" s="233"/>
    </row>
    <row r="181" spans="1:43" x14ac:dyDescent="0.2">
      <c r="A181" s="201"/>
      <c r="B181" s="201" t="s">
        <v>1653</v>
      </c>
      <c r="C181" s="201">
        <v>175</v>
      </c>
      <c r="D181" s="201" t="s">
        <v>1979</v>
      </c>
      <c r="E181" s="202">
        <v>40400000</v>
      </c>
      <c r="F181" s="203"/>
      <c r="G181" s="205">
        <v>44</v>
      </c>
      <c r="H181" s="205">
        <v>50</v>
      </c>
      <c r="I181" s="205" t="s">
        <v>360</v>
      </c>
      <c r="J181" s="205"/>
      <c r="K181" s="201"/>
      <c r="L181" s="201"/>
      <c r="M181" s="201"/>
      <c r="N181" s="201"/>
      <c r="O181" s="201"/>
      <c r="P181" s="201"/>
      <c r="Q181" s="201"/>
      <c r="R181" s="201"/>
      <c r="S181" s="201"/>
      <c r="T181" s="205"/>
      <c r="U181" s="201"/>
      <c r="V181" s="201"/>
      <c r="W181" s="201"/>
      <c r="X181" s="201"/>
      <c r="Y181" s="201"/>
      <c r="Z181" s="201"/>
      <c r="AA181" s="201"/>
      <c r="AB181" s="201"/>
      <c r="AC181" s="201"/>
      <c r="AD181" s="201"/>
      <c r="AE181" s="201"/>
      <c r="AF181" s="201"/>
      <c r="AG181" s="201" t="str">
        <f>IF(E181="","",IF(E181&gt;='Reference Tab - Do not Delete'!$E$35,'Reference Tab - Do not Delete'!$D$35,IF(AND(E181&gt;='Reference Tab - Do not Delete'!$E$36,E181&lt;'Reference Tab - Do not Delete'!$E$35),'Reference Tab - Do not Delete'!$D$36,IF(AND(E181&gt;='Reference Tab - Do not Delete'!$E$37,E181&lt;'Reference Tab - Do not Delete'!$E$36),'Reference Tab - Do not Delete'!$D$37,IF(AND(E181&gt;='Reference Tab - Do not Delete'!$E$38,E181&lt;'Reference Tab - Do not Delete'!$E$37),'Reference Tab - Do not Delete'!$D$38,'Reference Tab - Do not Delete'!$D$39)))))</f>
        <v>$500M - $M</v>
      </c>
      <c r="AH181" s="205" t="str">
        <f t="shared" si="4"/>
        <v>26 - 50</v>
      </c>
      <c r="AI181" s="205" t="str">
        <f t="shared" si="5"/>
        <v/>
      </c>
      <c r="AJ181" s="202">
        <v>0</v>
      </c>
      <c r="AK181" s="201"/>
      <c r="AL181" s="205"/>
      <c r="AM181" s="201"/>
      <c r="AN181" s="201"/>
      <c r="AO181" s="201"/>
      <c r="AP181" s="205"/>
      <c r="AQ181" s="233"/>
    </row>
    <row r="182" spans="1:43" x14ac:dyDescent="0.2">
      <c r="A182" s="201"/>
      <c r="B182" s="201" t="s">
        <v>1654</v>
      </c>
      <c r="C182" s="201">
        <v>176</v>
      </c>
      <c r="D182" s="201" t="s">
        <v>1979</v>
      </c>
      <c r="E182" s="202">
        <v>39200000</v>
      </c>
      <c r="F182" s="203"/>
      <c r="G182" s="205">
        <v>59</v>
      </c>
      <c r="H182" s="205">
        <v>51</v>
      </c>
      <c r="I182" s="205" t="s">
        <v>360</v>
      </c>
      <c r="J182" s="205"/>
      <c r="K182" s="201"/>
      <c r="L182" s="201"/>
      <c r="M182" s="201"/>
      <c r="N182" s="201"/>
      <c r="O182" s="201"/>
      <c r="P182" s="201"/>
      <c r="Q182" s="201"/>
      <c r="R182" s="201"/>
      <c r="S182" s="201"/>
      <c r="T182" s="205"/>
      <c r="U182" s="201"/>
      <c r="V182" s="201"/>
      <c r="W182" s="201"/>
      <c r="X182" s="201"/>
      <c r="Y182" s="201"/>
      <c r="Z182" s="201"/>
      <c r="AA182" s="201"/>
      <c r="AB182" s="201"/>
      <c r="AC182" s="201"/>
      <c r="AD182" s="201"/>
      <c r="AE182" s="201"/>
      <c r="AF182" s="201"/>
      <c r="AG182" s="201" t="str">
        <f>IF(E182="","",IF(E182&gt;='Reference Tab - Do not Delete'!$E$35,'Reference Tab - Do not Delete'!$D$35,IF(AND(E182&gt;='Reference Tab - Do not Delete'!$E$36,E182&lt;'Reference Tab - Do not Delete'!$E$35),'Reference Tab - Do not Delete'!$D$36,IF(AND(E182&gt;='Reference Tab - Do not Delete'!$E$37,E182&lt;'Reference Tab - Do not Delete'!$E$36),'Reference Tab - Do not Delete'!$D$37,IF(AND(E182&gt;='Reference Tab - Do not Delete'!$E$38,E182&lt;'Reference Tab - Do not Delete'!$E$37),'Reference Tab - Do not Delete'!$D$38,'Reference Tab - Do not Delete'!$D$39)))))</f>
        <v>$500M - $M</v>
      </c>
      <c r="AH182" s="205" t="str">
        <f t="shared" si="4"/>
        <v>Above 50</v>
      </c>
      <c r="AI182" s="205" t="str">
        <f t="shared" si="5"/>
        <v/>
      </c>
      <c r="AJ182" s="202">
        <v>0</v>
      </c>
      <c r="AK182" s="201"/>
      <c r="AL182" s="205"/>
      <c r="AM182" s="201"/>
      <c r="AN182" s="201"/>
      <c r="AO182" s="201"/>
      <c r="AP182" s="205"/>
      <c r="AQ182" s="233"/>
    </row>
    <row r="183" spans="1:43" x14ac:dyDescent="0.2">
      <c r="A183" s="201"/>
      <c r="B183" s="201" t="s">
        <v>1700</v>
      </c>
      <c r="C183" s="201">
        <v>177</v>
      </c>
      <c r="D183" s="201" t="s">
        <v>1979</v>
      </c>
      <c r="E183" s="202">
        <v>38406000</v>
      </c>
      <c r="F183" s="203"/>
      <c r="G183" s="205" t="s">
        <v>1707</v>
      </c>
      <c r="H183" s="205">
        <v>52</v>
      </c>
      <c r="I183" s="205" t="s">
        <v>360</v>
      </c>
      <c r="J183" s="205"/>
      <c r="K183" s="201"/>
      <c r="L183" s="201"/>
      <c r="M183" s="201"/>
      <c r="N183" s="201"/>
      <c r="O183" s="201"/>
      <c r="P183" s="201"/>
      <c r="Q183" s="201"/>
      <c r="R183" s="201"/>
      <c r="S183" s="201"/>
      <c r="T183" s="205"/>
      <c r="U183" s="201"/>
      <c r="V183" s="201"/>
      <c r="W183" s="201"/>
      <c r="X183" s="201"/>
      <c r="Y183" s="201"/>
      <c r="Z183" s="201"/>
      <c r="AA183" s="201"/>
      <c r="AB183" s="201"/>
      <c r="AC183" s="201"/>
      <c r="AD183" s="201"/>
      <c r="AE183" s="201"/>
      <c r="AF183" s="201"/>
      <c r="AG183" s="201" t="str">
        <f>IF(E183="","",IF(E183&gt;='Reference Tab - Do not Delete'!$E$35,'Reference Tab - Do not Delete'!$D$35,IF(AND(E183&gt;='Reference Tab - Do not Delete'!$E$36,E183&lt;'Reference Tab - Do not Delete'!$E$35),'Reference Tab - Do not Delete'!$D$36,IF(AND(E183&gt;='Reference Tab - Do not Delete'!$E$37,E183&lt;'Reference Tab - Do not Delete'!$E$36),'Reference Tab - Do not Delete'!$D$37,IF(AND(E183&gt;='Reference Tab - Do not Delete'!$E$38,E183&lt;'Reference Tab - Do not Delete'!$E$37),'Reference Tab - Do not Delete'!$D$38,'Reference Tab - Do not Delete'!$D$39)))))</f>
        <v>$500M - $M</v>
      </c>
      <c r="AH183" s="205" t="str">
        <f t="shared" si="4"/>
        <v>Above 50</v>
      </c>
      <c r="AI183" s="205" t="str">
        <f t="shared" si="5"/>
        <v/>
      </c>
      <c r="AJ183" s="202">
        <v>0</v>
      </c>
      <c r="AK183" s="201"/>
      <c r="AL183" s="205"/>
      <c r="AM183" s="201"/>
      <c r="AN183" s="201"/>
      <c r="AO183" s="201"/>
      <c r="AP183" s="205"/>
      <c r="AQ183" s="233"/>
    </row>
    <row r="184" spans="1:43" x14ac:dyDescent="0.2">
      <c r="A184" s="201"/>
      <c r="B184" s="201" t="s">
        <v>1655</v>
      </c>
      <c r="C184" s="201">
        <v>178</v>
      </c>
      <c r="D184" s="201" t="s">
        <v>1979</v>
      </c>
      <c r="E184" s="202">
        <v>38329667</v>
      </c>
      <c r="F184" s="203"/>
      <c r="G184" s="205">
        <v>53</v>
      </c>
      <c r="H184" s="205">
        <v>53</v>
      </c>
      <c r="I184" s="205" t="s">
        <v>360</v>
      </c>
      <c r="J184" s="205"/>
      <c r="K184" s="201"/>
      <c r="L184" s="201"/>
      <c r="M184" s="201"/>
      <c r="N184" s="201"/>
      <c r="O184" s="201"/>
      <c r="P184" s="201"/>
      <c r="Q184" s="201"/>
      <c r="R184" s="201"/>
      <c r="S184" s="201"/>
      <c r="T184" s="205"/>
      <c r="U184" s="201"/>
      <c r="V184" s="201"/>
      <c r="W184" s="201"/>
      <c r="X184" s="201"/>
      <c r="Y184" s="201"/>
      <c r="Z184" s="201"/>
      <c r="AA184" s="201"/>
      <c r="AB184" s="201"/>
      <c r="AC184" s="201"/>
      <c r="AD184" s="201"/>
      <c r="AE184" s="201"/>
      <c r="AF184" s="201"/>
      <c r="AG184" s="201" t="str">
        <f>IF(E184="","",IF(E184&gt;='Reference Tab - Do not Delete'!$E$35,'Reference Tab - Do not Delete'!$D$35,IF(AND(E184&gt;='Reference Tab - Do not Delete'!$E$36,E184&lt;'Reference Tab - Do not Delete'!$E$35),'Reference Tab - Do not Delete'!$D$36,IF(AND(E184&gt;='Reference Tab - Do not Delete'!$E$37,E184&lt;'Reference Tab - Do not Delete'!$E$36),'Reference Tab - Do not Delete'!$D$37,IF(AND(E184&gt;='Reference Tab - Do not Delete'!$E$38,E184&lt;'Reference Tab - Do not Delete'!$E$37),'Reference Tab - Do not Delete'!$D$38,'Reference Tab - Do not Delete'!$D$39)))))</f>
        <v>$500M - $M</v>
      </c>
      <c r="AH184" s="205" t="str">
        <f t="shared" si="4"/>
        <v>Above 50</v>
      </c>
      <c r="AI184" s="205" t="str">
        <f t="shared" si="5"/>
        <v/>
      </c>
      <c r="AJ184" s="202">
        <v>0</v>
      </c>
      <c r="AK184" s="201"/>
      <c r="AL184" s="205"/>
      <c r="AM184" s="201"/>
      <c r="AN184" s="201"/>
      <c r="AO184" s="201"/>
      <c r="AP184" s="205"/>
      <c r="AQ184" s="233"/>
    </row>
    <row r="185" spans="1:43" x14ac:dyDescent="0.2">
      <c r="A185" s="201"/>
      <c r="B185" s="201" t="s">
        <v>1656</v>
      </c>
      <c r="C185" s="201">
        <v>179</v>
      </c>
      <c r="D185" s="201" t="s">
        <v>1979</v>
      </c>
      <c r="E185" s="202">
        <v>38283740</v>
      </c>
      <c r="F185" s="203"/>
      <c r="G185" s="205" t="s">
        <v>1707</v>
      </c>
      <c r="H185" s="205">
        <v>54</v>
      </c>
      <c r="I185" s="205" t="s">
        <v>360</v>
      </c>
      <c r="J185" s="205"/>
      <c r="K185" s="201"/>
      <c r="L185" s="201"/>
      <c r="M185" s="201"/>
      <c r="N185" s="201"/>
      <c r="O185" s="201"/>
      <c r="P185" s="201"/>
      <c r="Q185" s="201"/>
      <c r="R185" s="201"/>
      <c r="S185" s="201"/>
      <c r="T185" s="205"/>
      <c r="U185" s="201"/>
      <c r="V185" s="201"/>
      <c r="W185" s="201"/>
      <c r="X185" s="201"/>
      <c r="Y185" s="201"/>
      <c r="Z185" s="201"/>
      <c r="AA185" s="201"/>
      <c r="AB185" s="201"/>
      <c r="AC185" s="201"/>
      <c r="AD185" s="201"/>
      <c r="AE185" s="201"/>
      <c r="AF185" s="201"/>
      <c r="AG185" s="201" t="str">
        <f>IF(E185="","",IF(E185&gt;='Reference Tab - Do not Delete'!$E$35,'Reference Tab - Do not Delete'!$D$35,IF(AND(E185&gt;='Reference Tab - Do not Delete'!$E$36,E185&lt;'Reference Tab - Do not Delete'!$E$35),'Reference Tab - Do not Delete'!$D$36,IF(AND(E185&gt;='Reference Tab - Do not Delete'!$E$37,E185&lt;'Reference Tab - Do not Delete'!$E$36),'Reference Tab - Do not Delete'!$D$37,IF(AND(E185&gt;='Reference Tab - Do not Delete'!$E$38,E185&lt;'Reference Tab - Do not Delete'!$E$37),'Reference Tab - Do not Delete'!$D$38,'Reference Tab - Do not Delete'!$D$39)))))</f>
        <v>$500M - $M</v>
      </c>
      <c r="AH185" s="205" t="str">
        <f t="shared" si="4"/>
        <v>Above 50</v>
      </c>
      <c r="AI185" s="205" t="str">
        <f t="shared" si="5"/>
        <v/>
      </c>
      <c r="AJ185" s="202">
        <v>0</v>
      </c>
      <c r="AK185" s="201"/>
      <c r="AL185" s="205"/>
      <c r="AM185" s="201"/>
      <c r="AN185" s="201"/>
      <c r="AO185" s="201"/>
      <c r="AP185" s="205"/>
      <c r="AQ185" s="233"/>
    </row>
    <row r="186" spans="1:43" x14ac:dyDescent="0.2">
      <c r="A186" s="201"/>
      <c r="B186" s="201" t="s">
        <v>1657</v>
      </c>
      <c r="C186" s="201">
        <v>180</v>
      </c>
      <c r="D186" s="201" t="s">
        <v>1979</v>
      </c>
      <c r="E186" s="202">
        <v>38151357</v>
      </c>
      <c r="F186" s="203"/>
      <c r="G186" s="205">
        <v>62</v>
      </c>
      <c r="H186" s="205">
        <v>55</v>
      </c>
      <c r="I186" s="205" t="s">
        <v>360</v>
      </c>
      <c r="J186" s="205"/>
      <c r="K186" s="201"/>
      <c r="L186" s="201"/>
      <c r="M186" s="201"/>
      <c r="N186" s="201"/>
      <c r="O186" s="201"/>
      <c r="P186" s="201"/>
      <c r="Q186" s="201"/>
      <c r="R186" s="201"/>
      <c r="S186" s="201"/>
      <c r="T186" s="205"/>
      <c r="U186" s="201"/>
      <c r="V186" s="201"/>
      <c r="W186" s="201"/>
      <c r="X186" s="201"/>
      <c r="Y186" s="201"/>
      <c r="Z186" s="201"/>
      <c r="AA186" s="201"/>
      <c r="AB186" s="201"/>
      <c r="AC186" s="201"/>
      <c r="AD186" s="201"/>
      <c r="AE186" s="201"/>
      <c r="AF186" s="201"/>
      <c r="AG186" s="201" t="str">
        <f>IF(E186="","",IF(E186&gt;='Reference Tab - Do not Delete'!$E$35,'Reference Tab - Do not Delete'!$D$35,IF(AND(E186&gt;='Reference Tab - Do not Delete'!$E$36,E186&lt;'Reference Tab - Do not Delete'!$E$35),'Reference Tab - Do not Delete'!$D$36,IF(AND(E186&gt;='Reference Tab - Do not Delete'!$E$37,E186&lt;'Reference Tab - Do not Delete'!$E$36),'Reference Tab - Do not Delete'!$D$37,IF(AND(E186&gt;='Reference Tab - Do not Delete'!$E$38,E186&lt;'Reference Tab - Do not Delete'!$E$37),'Reference Tab - Do not Delete'!$D$38,'Reference Tab - Do not Delete'!$D$39)))))</f>
        <v>$500M - $M</v>
      </c>
      <c r="AH186" s="205" t="str">
        <f t="shared" si="4"/>
        <v>Above 50</v>
      </c>
      <c r="AI186" s="205" t="str">
        <f t="shared" si="5"/>
        <v/>
      </c>
      <c r="AJ186" s="202">
        <v>0</v>
      </c>
      <c r="AK186" s="201"/>
      <c r="AL186" s="205"/>
      <c r="AM186" s="201"/>
      <c r="AN186" s="201"/>
      <c r="AO186" s="201"/>
      <c r="AP186" s="205"/>
      <c r="AQ186" s="233"/>
    </row>
    <row r="187" spans="1:43" x14ac:dyDescent="0.2">
      <c r="A187" s="201"/>
      <c r="B187" s="201" t="s">
        <v>1701</v>
      </c>
      <c r="C187" s="201">
        <v>181</v>
      </c>
      <c r="D187" s="201" t="s">
        <v>1979</v>
      </c>
      <c r="E187" s="202">
        <v>36224107</v>
      </c>
      <c r="F187" s="203"/>
      <c r="G187" s="205">
        <v>46</v>
      </c>
      <c r="H187" s="205">
        <v>56</v>
      </c>
      <c r="I187" s="205" t="s">
        <v>360</v>
      </c>
      <c r="J187" s="205"/>
      <c r="K187" s="201"/>
      <c r="L187" s="201"/>
      <c r="M187" s="201"/>
      <c r="N187" s="201"/>
      <c r="O187" s="201"/>
      <c r="P187" s="201"/>
      <c r="Q187" s="201"/>
      <c r="R187" s="201"/>
      <c r="S187" s="201"/>
      <c r="T187" s="205"/>
      <c r="U187" s="201"/>
      <c r="V187" s="201"/>
      <c r="W187" s="201"/>
      <c r="X187" s="201"/>
      <c r="Y187" s="201"/>
      <c r="Z187" s="201"/>
      <c r="AA187" s="201"/>
      <c r="AB187" s="201"/>
      <c r="AC187" s="201"/>
      <c r="AD187" s="201"/>
      <c r="AE187" s="201"/>
      <c r="AF187" s="201"/>
      <c r="AG187" s="201" t="str">
        <f>IF(E187="","",IF(E187&gt;='Reference Tab - Do not Delete'!$E$35,'Reference Tab - Do not Delete'!$D$35,IF(AND(E187&gt;='Reference Tab - Do not Delete'!$E$36,E187&lt;'Reference Tab - Do not Delete'!$E$35),'Reference Tab - Do not Delete'!$D$36,IF(AND(E187&gt;='Reference Tab - Do not Delete'!$E$37,E187&lt;'Reference Tab - Do not Delete'!$E$36),'Reference Tab - Do not Delete'!$D$37,IF(AND(E187&gt;='Reference Tab - Do not Delete'!$E$38,E187&lt;'Reference Tab - Do not Delete'!$E$37),'Reference Tab - Do not Delete'!$D$38,'Reference Tab - Do not Delete'!$D$39)))))</f>
        <v>$500M - $M</v>
      </c>
      <c r="AH187" s="205" t="str">
        <f t="shared" si="4"/>
        <v>Above 50</v>
      </c>
      <c r="AI187" s="205" t="str">
        <f t="shared" si="5"/>
        <v/>
      </c>
      <c r="AJ187" s="202">
        <v>0</v>
      </c>
      <c r="AK187" s="201"/>
      <c r="AL187" s="205"/>
      <c r="AM187" s="201"/>
      <c r="AN187" s="201"/>
      <c r="AO187" s="201"/>
      <c r="AP187" s="205"/>
      <c r="AQ187" s="233"/>
    </row>
    <row r="188" spans="1:43" x14ac:dyDescent="0.2">
      <c r="A188" s="201"/>
      <c r="B188" s="201" t="s">
        <v>1658</v>
      </c>
      <c r="C188" s="201">
        <v>182</v>
      </c>
      <c r="D188" s="201" t="s">
        <v>1979</v>
      </c>
      <c r="E188" s="202">
        <v>36000000</v>
      </c>
      <c r="F188" s="203"/>
      <c r="G188" s="205">
        <v>55</v>
      </c>
      <c r="H188" s="205">
        <v>57</v>
      </c>
      <c r="I188" s="205" t="s">
        <v>360</v>
      </c>
      <c r="J188" s="205"/>
      <c r="K188" s="201"/>
      <c r="L188" s="201"/>
      <c r="M188" s="201"/>
      <c r="N188" s="201"/>
      <c r="O188" s="201"/>
      <c r="P188" s="201"/>
      <c r="Q188" s="201"/>
      <c r="R188" s="201"/>
      <c r="S188" s="201"/>
      <c r="T188" s="205"/>
      <c r="U188" s="201"/>
      <c r="V188" s="201"/>
      <c r="W188" s="201"/>
      <c r="X188" s="201"/>
      <c r="Y188" s="201"/>
      <c r="Z188" s="201"/>
      <c r="AA188" s="201"/>
      <c r="AB188" s="201"/>
      <c r="AC188" s="201"/>
      <c r="AD188" s="201"/>
      <c r="AE188" s="201"/>
      <c r="AF188" s="201"/>
      <c r="AG188" s="201" t="str">
        <f>IF(E188="","",IF(E188&gt;='Reference Tab - Do not Delete'!$E$35,'Reference Tab - Do not Delete'!$D$35,IF(AND(E188&gt;='Reference Tab - Do not Delete'!$E$36,E188&lt;'Reference Tab - Do not Delete'!$E$35),'Reference Tab - Do not Delete'!$D$36,IF(AND(E188&gt;='Reference Tab - Do not Delete'!$E$37,E188&lt;'Reference Tab - Do not Delete'!$E$36),'Reference Tab - Do not Delete'!$D$37,IF(AND(E188&gt;='Reference Tab - Do not Delete'!$E$38,E188&lt;'Reference Tab - Do not Delete'!$E$37),'Reference Tab - Do not Delete'!$D$38,'Reference Tab - Do not Delete'!$D$39)))))</f>
        <v>$500M - $M</v>
      </c>
      <c r="AH188" s="205" t="str">
        <f t="shared" si="4"/>
        <v>Above 50</v>
      </c>
      <c r="AI188" s="205" t="str">
        <f t="shared" si="5"/>
        <v/>
      </c>
      <c r="AJ188" s="202">
        <v>0</v>
      </c>
      <c r="AK188" s="201"/>
      <c r="AL188" s="205"/>
      <c r="AM188" s="201"/>
      <c r="AN188" s="201"/>
      <c r="AO188" s="201"/>
      <c r="AP188" s="205"/>
      <c r="AQ188" s="233"/>
    </row>
    <row r="189" spans="1:43" x14ac:dyDescent="0.2">
      <c r="A189" s="201"/>
      <c r="B189" s="201" t="s">
        <v>1659</v>
      </c>
      <c r="C189" s="201">
        <v>183</v>
      </c>
      <c r="D189" s="201" t="s">
        <v>1979</v>
      </c>
      <c r="E189" s="202">
        <v>35425000</v>
      </c>
      <c r="F189" s="203"/>
      <c r="G189" s="205">
        <v>54</v>
      </c>
      <c r="H189" s="205">
        <v>58</v>
      </c>
      <c r="I189" s="205" t="s">
        <v>360</v>
      </c>
      <c r="J189" s="205"/>
      <c r="K189" s="201"/>
      <c r="L189" s="201"/>
      <c r="M189" s="201"/>
      <c r="N189" s="201"/>
      <c r="O189" s="201"/>
      <c r="P189" s="201"/>
      <c r="Q189" s="201"/>
      <c r="R189" s="201"/>
      <c r="S189" s="201"/>
      <c r="T189" s="205"/>
      <c r="U189" s="201"/>
      <c r="V189" s="201"/>
      <c r="W189" s="201"/>
      <c r="X189" s="201"/>
      <c r="Y189" s="201"/>
      <c r="Z189" s="201"/>
      <c r="AA189" s="201"/>
      <c r="AB189" s="201"/>
      <c r="AC189" s="201"/>
      <c r="AD189" s="201"/>
      <c r="AE189" s="201"/>
      <c r="AF189" s="201"/>
      <c r="AG189" s="201" t="str">
        <f>IF(E189="","",IF(E189&gt;='Reference Tab - Do not Delete'!$E$35,'Reference Tab - Do not Delete'!$D$35,IF(AND(E189&gt;='Reference Tab - Do not Delete'!$E$36,E189&lt;'Reference Tab - Do not Delete'!$E$35),'Reference Tab - Do not Delete'!$D$36,IF(AND(E189&gt;='Reference Tab - Do not Delete'!$E$37,E189&lt;'Reference Tab - Do not Delete'!$E$36),'Reference Tab - Do not Delete'!$D$37,IF(AND(E189&gt;='Reference Tab - Do not Delete'!$E$38,E189&lt;'Reference Tab - Do not Delete'!$E$37),'Reference Tab - Do not Delete'!$D$38,'Reference Tab - Do not Delete'!$D$39)))))</f>
        <v>$500M - $M</v>
      </c>
      <c r="AH189" s="205" t="str">
        <f t="shared" si="4"/>
        <v>Above 50</v>
      </c>
      <c r="AI189" s="205" t="str">
        <f t="shared" si="5"/>
        <v/>
      </c>
      <c r="AJ189" s="202">
        <v>0</v>
      </c>
      <c r="AK189" s="201"/>
      <c r="AL189" s="205"/>
      <c r="AM189" s="201"/>
      <c r="AN189" s="201"/>
      <c r="AO189" s="201"/>
      <c r="AP189" s="205"/>
      <c r="AQ189" s="233"/>
    </row>
    <row r="190" spans="1:43" x14ac:dyDescent="0.2">
      <c r="A190" s="201"/>
      <c r="B190" s="201" t="s">
        <v>1660</v>
      </c>
      <c r="C190" s="201">
        <v>184</v>
      </c>
      <c r="D190" s="201" t="s">
        <v>1979</v>
      </c>
      <c r="E190" s="202">
        <v>34827303</v>
      </c>
      <c r="F190" s="203"/>
      <c r="G190" s="205" t="s">
        <v>1707</v>
      </c>
      <c r="H190" s="205">
        <v>59</v>
      </c>
      <c r="I190" s="205" t="s">
        <v>360</v>
      </c>
      <c r="J190" s="205"/>
      <c r="K190" s="201"/>
      <c r="L190" s="201"/>
      <c r="M190" s="201"/>
      <c r="N190" s="201"/>
      <c r="O190" s="201"/>
      <c r="P190" s="201"/>
      <c r="Q190" s="201"/>
      <c r="R190" s="201"/>
      <c r="S190" s="201"/>
      <c r="T190" s="205"/>
      <c r="U190" s="201"/>
      <c r="V190" s="201"/>
      <c r="W190" s="201"/>
      <c r="X190" s="201"/>
      <c r="Y190" s="201"/>
      <c r="Z190" s="201"/>
      <c r="AA190" s="201"/>
      <c r="AB190" s="201"/>
      <c r="AC190" s="201"/>
      <c r="AD190" s="201"/>
      <c r="AE190" s="201"/>
      <c r="AF190" s="201"/>
      <c r="AG190" s="201" t="str">
        <f>IF(E190="","",IF(E190&gt;='Reference Tab - Do not Delete'!$E$35,'Reference Tab - Do not Delete'!$D$35,IF(AND(E190&gt;='Reference Tab - Do not Delete'!$E$36,E190&lt;'Reference Tab - Do not Delete'!$E$35),'Reference Tab - Do not Delete'!$D$36,IF(AND(E190&gt;='Reference Tab - Do not Delete'!$E$37,E190&lt;'Reference Tab - Do not Delete'!$E$36),'Reference Tab - Do not Delete'!$D$37,IF(AND(E190&gt;='Reference Tab - Do not Delete'!$E$38,E190&lt;'Reference Tab - Do not Delete'!$E$37),'Reference Tab - Do not Delete'!$D$38,'Reference Tab - Do not Delete'!$D$39)))))</f>
        <v>$500M - $M</v>
      </c>
      <c r="AH190" s="205" t="str">
        <f t="shared" si="4"/>
        <v>Above 50</v>
      </c>
      <c r="AI190" s="205" t="str">
        <f t="shared" si="5"/>
        <v/>
      </c>
      <c r="AJ190" s="202">
        <v>0</v>
      </c>
      <c r="AK190" s="201"/>
      <c r="AL190" s="205"/>
      <c r="AM190" s="201"/>
      <c r="AN190" s="201"/>
      <c r="AO190" s="201"/>
      <c r="AP190" s="205"/>
      <c r="AQ190" s="233"/>
    </row>
    <row r="191" spans="1:43" x14ac:dyDescent="0.2">
      <c r="A191" s="201"/>
      <c r="B191" s="201" t="s">
        <v>1661</v>
      </c>
      <c r="C191" s="201">
        <v>185</v>
      </c>
      <c r="D191" s="201" t="s">
        <v>1979</v>
      </c>
      <c r="E191" s="202">
        <v>34409442</v>
      </c>
      <c r="F191" s="203"/>
      <c r="G191" s="205">
        <v>52</v>
      </c>
      <c r="H191" s="205">
        <v>60</v>
      </c>
      <c r="I191" s="205" t="s">
        <v>360</v>
      </c>
      <c r="J191" s="205"/>
      <c r="K191" s="201"/>
      <c r="L191" s="201"/>
      <c r="M191" s="201"/>
      <c r="N191" s="201"/>
      <c r="O191" s="201"/>
      <c r="P191" s="201"/>
      <c r="Q191" s="201"/>
      <c r="R191" s="201"/>
      <c r="S191" s="201"/>
      <c r="T191" s="205"/>
      <c r="U191" s="201"/>
      <c r="V191" s="201"/>
      <c r="W191" s="201"/>
      <c r="X191" s="201"/>
      <c r="Y191" s="201"/>
      <c r="Z191" s="201"/>
      <c r="AA191" s="201"/>
      <c r="AB191" s="201"/>
      <c r="AC191" s="201"/>
      <c r="AD191" s="201"/>
      <c r="AE191" s="201"/>
      <c r="AF191" s="201"/>
      <c r="AG191" s="201" t="str">
        <f>IF(E191="","",IF(E191&gt;='Reference Tab - Do not Delete'!$E$35,'Reference Tab - Do not Delete'!$D$35,IF(AND(E191&gt;='Reference Tab - Do not Delete'!$E$36,E191&lt;'Reference Tab - Do not Delete'!$E$35),'Reference Tab - Do not Delete'!$D$36,IF(AND(E191&gt;='Reference Tab - Do not Delete'!$E$37,E191&lt;'Reference Tab - Do not Delete'!$E$36),'Reference Tab - Do not Delete'!$D$37,IF(AND(E191&gt;='Reference Tab - Do not Delete'!$E$38,E191&lt;'Reference Tab - Do not Delete'!$E$37),'Reference Tab - Do not Delete'!$D$38,'Reference Tab - Do not Delete'!$D$39)))))</f>
        <v>$500M - $M</v>
      </c>
      <c r="AH191" s="205" t="str">
        <f t="shared" si="4"/>
        <v>Above 50</v>
      </c>
      <c r="AI191" s="205" t="str">
        <f t="shared" si="5"/>
        <v/>
      </c>
      <c r="AJ191" s="202">
        <v>0</v>
      </c>
      <c r="AK191" s="201"/>
      <c r="AL191" s="205"/>
      <c r="AM191" s="201"/>
      <c r="AN191" s="201"/>
      <c r="AO191" s="201"/>
      <c r="AP191" s="205"/>
      <c r="AQ191" s="233"/>
    </row>
    <row r="192" spans="1:43" x14ac:dyDescent="0.2">
      <c r="A192" s="201"/>
      <c r="B192" s="201" t="s">
        <v>1662</v>
      </c>
      <c r="C192" s="201">
        <v>186</v>
      </c>
      <c r="D192" s="201" t="s">
        <v>1979</v>
      </c>
      <c r="E192" s="202">
        <v>34000000</v>
      </c>
      <c r="F192" s="203"/>
      <c r="G192" s="205" t="s">
        <v>1707</v>
      </c>
      <c r="H192" s="205">
        <v>61</v>
      </c>
      <c r="I192" s="205" t="s">
        <v>360</v>
      </c>
      <c r="J192" s="205"/>
      <c r="K192" s="201"/>
      <c r="L192" s="201"/>
      <c r="M192" s="201"/>
      <c r="N192" s="201"/>
      <c r="O192" s="201"/>
      <c r="P192" s="201"/>
      <c r="Q192" s="201"/>
      <c r="R192" s="201"/>
      <c r="S192" s="201"/>
      <c r="T192" s="205"/>
      <c r="U192" s="201"/>
      <c r="V192" s="201"/>
      <c r="W192" s="201"/>
      <c r="X192" s="201"/>
      <c r="Y192" s="201"/>
      <c r="Z192" s="201"/>
      <c r="AA192" s="201"/>
      <c r="AB192" s="201"/>
      <c r="AC192" s="201"/>
      <c r="AD192" s="201"/>
      <c r="AE192" s="201"/>
      <c r="AF192" s="201"/>
      <c r="AG192" s="201" t="str">
        <f>IF(E192="","",IF(E192&gt;='Reference Tab - Do not Delete'!$E$35,'Reference Tab - Do not Delete'!$D$35,IF(AND(E192&gt;='Reference Tab - Do not Delete'!$E$36,E192&lt;'Reference Tab - Do not Delete'!$E$35),'Reference Tab - Do not Delete'!$D$36,IF(AND(E192&gt;='Reference Tab - Do not Delete'!$E$37,E192&lt;'Reference Tab - Do not Delete'!$E$36),'Reference Tab - Do not Delete'!$D$37,IF(AND(E192&gt;='Reference Tab - Do not Delete'!$E$38,E192&lt;'Reference Tab - Do not Delete'!$E$37),'Reference Tab - Do not Delete'!$D$38,'Reference Tab - Do not Delete'!$D$39)))))</f>
        <v>$500M - $M</v>
      </c>
      <c r="AH192" s="205" t="str">
        <f t="shared" si="4"/>
        <v>Above 50</v>
      </c>
      <c r="AI192" s="205" t="str">
        <f t="shared" si="5"/>
        <v/>
      </c>
      <c r="AJ192" s="202">
        <v>0</v>
      </c>
      <c r="AK192" s="201"/>
      <c r="AL192" s="205"/>
      <c r="AM192" s="201"/>
      <c r="AN192" s="201"/>
      <c r="AO192" s="201"/>
      <c r="AP192" s="205"/>
      <c r="AQ192" s="233"/>
    </row>
    <row r="193" spans="1:43" x14ac:dyDescent="0.2">
      <c r="A193" s="201"/>
      <c r="B193" s="201" t="s">
        <v>1663</v>
      </c>
      <c r="C193" s="201">
        <v>187</v>
      </c>
      <c r="D193" s="201" t="s">
        <v>1979</v>
      </c>
      <c r="E193" s="202">
        <v>32795256</v>
      </c>
      <c r="F193" s="203"/>
      <c r="G193" s="205">
        <v>65</v>
      </c>
      <c r="H193" s="205">
        <v>62</v>
      </c>
      <c r="I193" s="205" t="s">
        <v>360</v>
      </c>
      <c r="J193" s="205"/>
      <c r="K193" s="201"/>
      <c r="L193" s="201"/>
      <c r="M193" s="201"/>
      <c r="N193" s="201"/>
      <c r="O193" s="201"/>
      <c r="P193" s="201"/>
      <c r="Q193" s="201"/>
      <c r="R193" s="201"/>
      <c r="S193" s="201"/>
      <c r="T193" s="205"/>
      <c r="U193" s="201"/>
      <c r="V193" s="201"/>
      <c r="W193" s="201"/>
      <c r="X193" s="201"/>
      <c r="Y193" s="201"/>
      <c r="Z193" s="201"/>
      <c r="AA193" s="201"/>
      <c r="AB193" s="201"/>
      <c r="AC193" s="201"/>
      <c r="AD193" s="201"/>
      <c r="AE193" s="201"/>
      <c r="AF193" s="201"/>
      <c r="AG193" s="201" t="str">
        <f>IF(E193="","",IF(E193&gt;='Reference Tab - Do not Delete'!$E$35,'Reference Tab - Do not Delete'!$D$35,IF(AND(E193&gt;='Reference Tab - Do not Delete'!$E$36,E193&lt;'Reference Tab - Do not Delete'!$E$35),'Reference Tab - Do not Delete'!$D$36,IF(AND(E193&gt;='Reference Tab - Do not Delete'!$E$37,E193&lt;'Reference Tab - Do not Delete'!$E$36),'Reference Tab - Do not Delete'!$D$37,IF(AND(E193&gt;='Reference Tab - Do not Delete'!$E$38,E193&lt;'Reference Tab - Do not Delete'!$E$37),'Reference Tab - Do not Delete'!$D$38,'Reference Tab - Do not Delete'!$D$39)))))</f>
        <v>$500M - $M</v>
      </c>
      <c r="AH193" s="205" t="str">
        <f t="shared" si="4"/>
        <v>Above 50</v>
      </c>
      <c r="AI193" s="205" t="str">
        <f t="shared" si="5"/>
        <v/>
      </c>
      <c r="AJ193" s="202">
        <v>0</v>
      </c>
      <c r="AK193" s="201"/>
      <c r="AL193" s="205"/>
      <c r="AM193" s="201"/>
      <c r="AN193" s="201"/>
      <c r="AO193" s="201"/>
      <c r="AP193" s="205"/>
      <c r="AQ193" s="233"/>
    </row>
    <row r="194" spans="1:43" x14ac:dyDescent="0.2">
      <c r="A194" s="201"/>
      <c r="B194" s="201" t="s">
        <v>1702</v>
      </c>
      <c r="C194" s="201">
        <v>188</v>
      </c>
      <c r="D194" s="201" t="s">
        <v>1979</v>
      </c>
      <c r="E194" s="202">
        <v>32196000</v>
      </c>
      <c r="F194" s="203"/>
      <c r="G194" s="205" t="s">
        <v>1707</v>
      </c>
      <c r="H194" s="205">
        <v>63</v>
      </c>
      <c r="I194" s="205" t="s">
        <v>360</v>
      </c>
      <c r="J194" s="205"/>
      <c r="K194" s="201"/>
      <c r="L194" s="201"/>
      <c r="M194" s="201"/>
      <c r="N194" s="201"/>
      <c r="O194" s="201"/>
      <c r="P194" s="201"/>
      <c r="Q194" s="201"/>
      <c r="R194" s="201"/>
      <c r="S194" s="201"/>
      <c r="T194" s="205"/>
      <c r="U194" s="201"/>
      <c r="V194" s="201"/>
      <c r="W194" s="201"/>
      <c r="X194" s="201"/>
      <c r="Y194" s="201"/>
      <c r="Z194" s="201"/>
      <c r="AA194" s="201"/>
      <c r="AB194" s="201"/>
      <c r="AC194" s="201"/>
      <c r="AD194" s="201"/>
      <c r="AE194" s="201"/>
      <c r="AF194" s="201"/>
      <c r="AG194" s="201" t="str">
        <f>IF(E194="","",IF(E194&gt;='Reference Tab - Do not Delete'!$E$35,'Reference Tab - Do not Delete'!$D$35,IF(AND(E194&gt;='Reference Tab - Do not Delete'!$E$36,E194&lt;'Reference Tab - Do not Delete'!$E$35),'Reference Tab - Do not Delete'!$D$36,IF(AND(E194&gt;='Reference Tab - Do not Delete'!$E$37,E194&lt;'Reference Tab - Do not Delete'!$E$36),'Reference Tab - Do not Delete'!$D$37,IF(AND(E194&gt;='Reference Tab - Do not Delete'!$E$38,E194&lt;'Reference Tab - Do not Delete'!$E$37),'Reference Tab - Do not Delete'!$D$38,'Reference Tab - Do not Delete'!$D$39)))))</f>
        <v>$500M - $M</v>
      </c>
      <c r="AH194" s="205" t="str">
        <f t="shared" si="4"/>
        <v>Above 50</v>
      </c>
      <c r="AI194" s="205" t="str">
        <f t="shared" si="5"/>
        <v/>
      </c>
      <c r="AJ194" s="202">
        <v>0</v>
      </c>
      <c r="AK194" s="201"/>
      <c r="AL194" s="205"/>
      <c r="AM194" s="201"/>
      <c r="AN194" s="201"/>
      <c r="AO194" s="201"/>
      <c r="AP194" s="205"/>
      <c r="AQ194" s="233"/>
    </row>
    <row r="195" spans="1:43" x14ac:dyDescent="0.2">
      <c r="A195" s="201"/>
      <c r="B195" s="201" t="s">
        <v>1664</v>
      </c>
      <c r="C195" s="201">
        <v>189</v>
      </c>
      <c r="D195" s="201" t="s">
        <v>1979</v>
      </c>
      <c r="E195" s="202">
        <v>31842000</v>
      </c>
      <c r="F195" s="203"/>
      <c r="G195" s="205">
        <v>47</v>
      </c>
      <c r="H195" s="205">
        <v>64</v>
      </c>
      <c r="I195" s="205" t="s">
        <v>360</v>
      </c>
      <c r="J195" s="205"/>
      <c r="K195" s="201"/>
      <c r="L195" s="201"/>
      <c r="M195" s="201"/>
      <c r="N195" s="201"/>
      <c r="O195" s="201"/>
      <c r="P195" s="201"/>
      <c r="Q195" s="201"/>
      <c r="R195" s="201"/>
      <c r="S195" s="201"/>
      <c r="T195" s="205"/>
      <c r="U195" s="201"/>
      <c r="V195" s="201"/>
      <c r="W195" s="201"/>
      <c r="X195" s="201"/>
      <c r="Y195" s="201"/>
      <c r="Z195" s="201"/>
      <c r="AA195" s="201"/>
      <c r="AB195" s="201"/>
      <c r="AC195" s="201"/>
      <c r="AD195" s="201"/>
      <c r="AE195" s="201"/>
      <c r="AF195" s="201"/>
      <c r="AG195" s="201" t="str">
        <f>IF(E195="","",IF(E195&gt;='Reference Tab - Do not Delete'!$E$35,'Reference Tab - Do not Delete'!$D$35,IF(AND(E195&gt;='Reference Tab - Do not Delete'!$E$36,E195&lt;'Reference Tab - Do not Delete'!$E$35),'Reference Tab - Do not Delete'!$D$36,IF(AND(E195&gt;='Reference Tab - Do not Delete'!$E$37,E195&lt;'Reference Tab - Do not Delete'!$E$36),'Reference Tab - Do not Delete'!$D$37,IF(AND(E195&gt;='Reference Tab - Do not Delete'!$E$38,E195&lt;'Reference Tab - Do not Delete'!$E$37),'Reference Tab - Do not Delete'!$D$38,'Reference Tab - Do not Delete'!$D$39)))))</f>
        <v>$500M - $M</v>
      </c>
      <c r="AH195" s="205" t="str">
        <f t="shared" si="4"/>
        <v>Above 50</v>
      </c>
      <c r="AI195" s="205" t="str">
        <f t="shared" si="5"/>
        <v/>
      </c>
      <c r="AJ195" s="202">
        <v>0</v>
      </c>
      <c r="AK195" s="201"/>
      <c r="AL195" s="205"/>
      <c r="AM195" s="201"/>
      <c r="AN195" s="201"/>
      <c r="AO195" s="201"/>
      <c r="AP195" s="205"/>
      <c r="AQ195" s="233"/>
    </row>
    <row r="196" spans="1:43" x14ac:dyDescent="0.2">
      <c r="A196" s="201"/>
      <c r="B196" s="201" t="s">
        <v>1703</v>
      </c>
      <c r="C196" s="201">
        <v>190</v>
      </c>
      <c r="D196" s="201" t="s">
        <v>1979</v>
      </c>
      <c r="E196" s="202">
        <v>31289600</v>
      </c>
      <c r="F196" s="203"/>
      <c r="G196" s="205">
        <v>78</v>
      </c>
      <c r="H196" s="205">
        <v>65</v>
      </c>
      <c r="I196" s="205" t="s">
        <v>360</v>
      </c>
      <c r="J196" s="205"/>
      <c r="K196" s="201"/>
      <c r="L196" s="201"/>
      <c r="M196" s="201"/>
      <c r="N196" s="201"/>
      <c r="O196" s="201"/>
      <c r="P196" s="201"/>
      <c r="Q196" s="201"/>
      <c r="R196" s="201"/>
      <c r="S196" s="201"/>
      <c r="T196" s="205"/>
      <c r="U196" s="201"/>
      <c r="V196" s="201"/>
      <c r="W196" s="201"/>
      <c r="X196" s="201"/>
      <c r="Y196" s="201"/>
      <c r="Z196" s="201"/>
      <c r="AA196" s="201"/>
      <c r="AB196" s="201"/>
      <c r="AC196" s="201"/>
      <c r="AD196" s="201"/>
      <c r="AE196" s="201"/>
      <c r="AF196" s="201"/>
      <c r="AG196" s="201" t="str">
        <f>IF(E196="","",IF(E196&gt;='Reference Tab - Do not Delete'!$E$35,'Reference Tab - Do not Delete'!$D$35,IF(AND(E196&gt;='Reference Tab - Do not Delete'!$E$36,E196&lt;'Reference Tab - Do not Delete'!$E$35),'Reference Tab - Do not Delete'!$D$36,IF(AND(E196&gt;='Reference Tab - Do not Delete'!$E$37,E196&lt;'Reference Tab - Do not Delete'!$E$36),'Reference Tab - Do not Delete'!$D$37,IF(AND(E196&gt;='Reference Tab - Do not Delete'!$E$38,E196&lt;'Reference Tab - Do not Delete'!$E$37),'Reference Tab - Do not Delete'!$D$38,'Reference Tab - Do not Delete'!$D$39)))))</f>
        <v>$500M - $M</v>
      </c>
      <c r="AH196" s="205" t="str">
        <f t="shared" ref="AH196:AH231" si="6">IF(H196="","DNA",IF(H196&lt;=10,"Top 10",IF(AND(H196&lt;=25,H196&gt;10),"11 - 25",IF(AND(H196&lt;=50,H196&gt;25),"26 - 50","Above 50"))))</f>
        <v>Above 50</v>
      </c>
      <c r="AI196" s="205" t="str">
        <f t="shared" si="5"/>
        <v/>
      </c>
      <c r="AJ196" s="202">
        <v>0</v>
      </c>
      <c r="AK196" s="201"/>
      <c r="AL196" s="205"/>
      <c r="AM196" s="201"/>
      <c r="AN196" s="201"/>
      <c r="AO196" s="201"/>
      <c r="AP196" s="205"/>
      <c r="AQ196" s="233"/>
    </row>
    <row r="197" spans="1:43" x14ac:dyDescent="0.2">
      <c r="A197" s="201"/>
      <c r="B197" s="201" t="s">
        <v>1704</v>
      </c>
      <c r="C197" s="201">
        <v>191</v>
      </c>
      <c r="D197" s="201" t="s">
        <v>1979</v>
      </c>
      <c r="E197" s="202">
        <v>30984905</v>
      </c>
      <c r="F197" s="203"/>
      <c r="G197" s="205" t="s">
        <v>1707</v>
      </c>
      <c r="H197" s="205">
        <v>66</v>
      </c>
      <c r="I197" s="205" t="s">
        <v>360</v>
      </c>
      <c r="J197" s="205"/>
      <c r="K197" s="201"/>
      <c r="L197" s="201"/>
      <c r="M197" s="201"/>
      <c r="N197" s="201"/>
      <c r="O197" s="201"/>
      <c r="P197" s="201"/>
      <c r="Q197" s="201"/>
      <c r="R197" s="201"/>
      <c r="S197" s="201"/>
      <c r="T197" s="205"/>
      <c r="U197" s="201"/>
      <c r="V197" s="201"/>
      <c r="W197" s="201"/>
      <c r="X197" s="201"/>
      <c r="Y197" s="201"/>
      <c r="Z197" s="201"/>
      <c r="AA197" s="201"/>
      <c r="AB197" s="201"/>
      <c r="AC197" s="201"/>
      <c r="AD197" s="201"/>
      <c r="AE197" s="201"/>
      <c r="AF197" s="201"/>
      <c r="AG197" s="201" t="str">
        <f>IF(E197="","",IF(E197&gt;='Reference Tab - Do not Delete'!$E$35,'Reference Tab - Do not Delete'!$D$35,IF(AND(E197&gt;='Reference Tab - Do not Delete'!$E$36,E197&lt;'Reference Tab - Do not Delete'!$E$35),'Reference Tab - Do not Delete'!$D$36,IF(AND(E197&gt;='Reference Tab - Do not Delete'!$E$37,E197&lt;'Reference Tab - Do not Delete'!$E$36),'Reference Tab - Do not Delete'!$D$37,IF(AND(E197&gt;='Reference Tab - Do not Delete'!$E$38,E197&lt;'Reference Tab - Do not Delete'!$E$37),'Reference Tab - Do not Delete'!$D$38,'Reference Tab - Do not Delete'!$D$39)))))</f>
        <v>$500M - $M</v>
      </c>
      <c r="AH197" s="205" t="str">
        <f t="shared" si="6"/>
        <v>Above 50</v>
      </c>
      <c r="AI197" s="205" t="str">
        <f t="shared" si="5"/>
        <v/>
      </c>
      <c r="AJ197" s="202">
        <v>0</v>
      </c>
      <c r="AK197" s="201"/>
      <c r="AL197" s="205"/>
      <c r="AM197" s="201"/>
      <c r="AN197" s="201"/>
      <c r="AO197" s="201"/>
      <c r="AP197" s="205"/>
      <c r="AQ197" s="233"/>
    </row>
    <row r="198" spans="1:43" x14ac:dyDescent="0.2">
      <c r="A198" s="201"/>
      <c r="B198" s="201" t="s">
        <v>1665</v>
      </c>
      <c r="C198" s="201">
        <v>192</v>
      </c>
      <c r="D198" s="201" t="s">
        <v>1979</v>
      </c>
      <c r="E198" s="202">
        <v>30505000</v>
      </c>
      <c r="F198" s="203"/>
      <c r="G198" s="205">
        <v>64</v>
      </c>
      <c r="H198" s="205">
        <v>67</v>
      </c>
      <c r="I198" s="205" t="s">
        <v>360</v>
      </c>
      <c r="J198" s="205"/>
      <c r="K198" s="201"/>
      <c r="L198" s="201"/>
      <c r="M198" s="201"/>
      <c r="N198" s="201"/>
      <c r="O198" s="201"/>
      <c r="P198" s="201"/>
      <c r="Q198" s="201"/>
      <c r="R198" s="201"/>
      <c r="S198" s="201"/>
      <c r="T198" s="205"/>
      <c r="U198" s="201"/>
      <c r="V198" s="201"/>
      <c r="W198" s="201"/>
      <c r="X198" s="201"/>
      <c r="Y198" s="201"/>
      <c r="Z198" s="201"/>
      <c r="AA198" s="201"/>
      <c r="AB198" s="201"/>
      <c r="AC198" s="201"/>
      <c r="AD198" s="201"/>
      <c r="AE198" s="201"/>
      <c r="AF198" s="201"/>
      <c r="AG198" s="201" t="str">
        <f>IF(E198="","",IF(E198&gt;='Reference Tab - Do not Delete'!$E$35,'Reference Tab - Do not Delete'!$D$35,IF(AND(E198&gt;='Reference Tab - Do not Delete'!$E$36,E198&lt;'Reference Tab - Do not Delete'!$E$35),'Reference Tab - Do not Delete'!$D$36,IF(AND(E198&gt;='Reference Tab - Do not Delete'!$E$37,E198&lt;'Reference Tab - Do not Delete'!$E$36),'Reference Tab - Do not Delete'!$D$37,IF(AND(E198&gt;='Reference Tab - Do not Delete'!$E$38,E198&lt;'Reference Tab - Do not Delete'!$E$37),'Reference Tab - Do not Delete'!$D$38,'Reference Tab - Do not Delete'!$D$39)))))</f>
        <v>$500M - $M</v>
      </c>
      <c r="AH198" s="205" t="str">
        <f t="shared" si="6"/>
        <v>Above 50</v>
      </c>
      <c r="AI198" s="205" t="str">
        <f t="shared" si="5"/>
        <v/>
      </c>
      <c r="AJ198" s="202">
        <v>0</v>
      </c>
      <c r="AK198" s="201"/>
      <c r="AL198" s="205"/>
      <c r="AM198" s="201"/>
      <c r="AN198" s="201"/>
      <c r="AO198" s="201"/>
      <c r="AP198" s="205"/>
      <c r="AQ198" s="233"/>
    </row>
    <row r="199" spans="1:43" x14ac:dyDescent="0.2">
      <c r="A199" s="201"/>
      <c r="B199" s="201" t="s">
        <v>1705</v>
      </c>
      <c r="C199" s="201">
        <v>193</v>
      </c>
      <c r="D199" s="201" t="s">
        <v>1979</v>
      </c>
      <c r="E199" s="202">
        <v>30500000</v>
      </c>
      <c r="F199" s="203"/>
      <c r="G199" s="205" t="s">
        <v>1707</v>
      </c>
      <c r="H199" s="205">
        <v>68</v>
      </c>
      <c r="I199" s="205" t="s">
        <v>360</v>
      </c>
      <c r="J199" s="205"/>
      <c r="K199" s="201"/>
      <c r="L199" s="201"/>
      <c r="M199" s="201"/>
      <c r="N199" s="201"/>
      <c r="O199" s="201"/>
      <c r="P199" s="201"/>
      <c r="Q199" s="201"/>
      <c r="R199" s="201"/>
      <c r="S199" s="201"/>
      <c r="T199" s="205"/>
      <c r="U199" s="201"/>
      <c r="V199" s="201"/>
      <c r="W199" s="201"/>
      <c r="X199" s="201"/>
      <c r="Y199" s="201"/>
      <c r="Z199" s="201"/>
      <c r="AA199" s="201"/>
      <c r="AB199" s="201"/>
      <c r="AC199" s="201"/>
      <c r="AD199" s="201"/>
      <c r="AE199" s="201"/>
      <c r="AF199" s="201"/>
      <c r="AG199" s="201" t="str">
        <f>IF(E199="","",IF(E199&gt;='Reference Tab - Do not Delete'!$E$35,'Reference Tab - Do not Delete'!$D$35,IF(AND(E199&gt;='Reference Tab - Do not Delete'!$E$36,E199&lt;'Reference Tab - Do not Delete'!$E$35),'Reference Tab - Do not Delete'!$D$36,IF(AND(E199&gt;='Reference Tab - Do not Delete'!$E$37,E199&lt;'Reference Tab - Do not Delete'!$E$36),'Reference Tab - Do not Delete'!$D$37,IF(AND(E199&gt;='Reference Tab - Do not Delete'!$E$38,E199&lt;'Reference Tab - Do not Delete'!$E$37),'Reference Tab - Do not Delete'!$D$38,'Reference Tab - Do not Delete'!$D$39)))))</f>
        <v>$500M - $M</v>
      </c>
      <c r="AH199" s="205" t="str">
        <f t="shared" si="6"/>
        <v>Above 50</v>
      </c>
      <c r="AI199" s="205" t="str">
        <f t="shared" si="5"/>
        <v/>
      </c>
      <c r="AJ199" s="202">
        <v>0</v>
      </c>
      <c r="AK199" s="201"/>
      <c r="AL199" s="205"/>
      <c r="AM199" s="201"/>
      <c r="AN199" s="201"/>
      <c r="AO199" s="201"/>
      <c r="AP199" s="205"/>
      <c r="AQ199" s="233"/>
    </row>
    <row r="200" spans="1:43" x14ac:dyDescent="0.2">
      <c r="A200" s="201"/>
      <c r="B200" s="201" t="s">
        <v>1666</v>
      </c>
      <c r="C200" s="201">
        <v>194</v>
      </c>
      <c r="D200" s="201" t="s">
        <v>1979</v>
      </c>
      <c r="E200" s="202">
        <v>30036254</v>
      </c>
      <c r="F200" s="203"/>
      <c r="G200" s="205" t="s">
        <v>1707</v>
      </c>
      <c r="H200" s="205">
        <v>69</v>
      </c>
      <c r="I200" s="205" t="s">
        <v>360</v>
      </c>
      <c r="J200" s="205"/>
      <c r="K200" s="201"/>
      <c r="L200" s="201"/>
      <c r="M200" s="201"/>
      <c r="N200" s="201"/>
      <c r="O200" s="201"/>
      <c r="P200" s="201"/>
      <c r="Q200" s="201"/>
      <c r="R200" s="201"/>
      <c r="S200" s="201"/>
      <c r="T200" s="205"/>
      <c r="U200" s="201"/>
      <c r="V200" s="201"/>
      <c r="W200" s="201"/>
      <c r="X200" s="201"/>
      <c r="Y200" s="201"/>
      <c r="Z200" s="201"/>
      <c r="AA200" s="201"/>
      <c r="AB200" s="201"/>
      <c r="AC200" s="201"/>
      <c r="AD200" s="201"/>
      <c r="AE200" s="201"/>
      <c r="AF200" s="201"/>
      <c r="AG200" s="201" t="str">
        <f>IF(E200="","",IF(E200&gt;='Reference Tab - Do not Delete'!$E$35,'Reference Tab - Do not Delete'!$D$35,IF(AND(E200&gt;='Reference Tab - Do not Delete'!$E$36,E200&lt;'Reference Tab - Do not Delete'!$E$35),'Reference Tab - Do not Delete'!$D$36,IF(AND(E200&gt;='Reference Tab - Do not Delete'!$E$37,E200&lt;'Reference Tab - Do not Delete'!$E$36),'Reference Tab - Do not Delete'!$D$37,IF(AND(E200&gt;='Reference Tab - Do not Delete'!$E$38,E200&lt;'Reference Tab - Do not Delete'!$E$37),'Reference Tab - Do not Delete'!$D$38,'Reference Tab - Do not Delete'!$D$39)))))</f>
        <v>$500M - $M</v>
      </c>
      <c r="AH200" s="205" t="str">
        <f t="shared" si="6"/>
        <v>Above 50</v>
      </c>
      <c r="AI200" s="205" t="str">
        <f t="shared" ref="AI200:AI231" si="7">IF(AJ200&gt;0,"Yes","")</f>
        <v/>
      </c>
      <c r="AJ200" s="202">
        <v>0</v>
      </c>
      <c r="AK200" s="201"/>
      <c r="AL200" s="205"/>
      <c r="AM200" s="201"/>
      <c r="AN200" s="201"/>
      <c r="AO200" s="201"/>
      <c r="AP200" s="205"/>
      <c r="AQ200" s="233"/>
    </row>
    <row r="201" spans="1:43" x14ac:dyDescent="0.2">
      <c r="A201" s="201"/>
      <c r="B201" s="201" t="s">
        <v>1667</v>
      </c>
      <c r="C201" s="201">
        <v>195</v>
      </c>
      <c r="D201" s="201" t="s">
        <v>1979</v>
      </c>
      <c r="E201" s="202">
        <v>29713476</v>
      </c>
      <c r="F201" s="203"/>
      <c r="G201" s="205">
        <v>66</v>
      </c>
      <c r="H201" s="205">
        <v>70</v>
      </c>
      <c r="I201" s="205" t="s">
        <v>360</v>
      </c>
      <c r="J201" s="205"/>
      <c r="K201" s="201"/>
      <c r="L201" s="201"/>
      <c r="M201" s="201"/>
      <c r="N201" s="201"/>
      <c r="O201" s="201"/>
      <c r="P201" s="201"/>
      <c r="Q201" s="201"/>
      <c r="R201" s="201"/>
      <c r="S201" s="201"/>
      <c r="T201" s="205"/>
      <c r="U201" s="201"/>
      <c r="V201" s="201"/>
      <c r="W201" s="201"/>
      <c r="X201" s="201"/>
      <c r="Y201" s="201"/>
      <c r="Z201" s="201"/>
      <c r="AA201" s="201"/>
      <c r="AB201" s="201"/>
      <c r="AC201" s="201"/>
      <c r="AD201" s="201"/>
      <c r="AE201" s="201"/>
      <c r="AF201" s="201"/>
      <c r="AG201" s="201" t="str">
        <f>IF(E201="","",IF(E201&gt;='Reference Tab - Do not Delete'!$E$35,'Reference Tab - Do not Delete'!$D$35,IF(AND(E201&gt;='Reference Tab - Do not Delete'!$E$36,E201&lt;'Reference Tab - Do not Delete'!$E$35),'Reference Tab - Do not Delete'!$D$36,IF(AND(E201&gt;='Reference Tab - Do not Delete'!$E$37,E201&lt;'Reference Tab - Do not Delete'!$E$36),'Reference Tab - Do not Delete'!$D$37,IF(AND(E201&gt;='Reference Tab - Do not Delete'!$E$38,E201&lt;'Reference Tab - Do not Delete'!$E$37),'Reference Tab - Do not Delete'!$D$38,'Reference Tab - Do not Delete'!$D$39)))))</f>
        <v>$500M - $M</v>
      </c>
      <c r="AH201" s="205" t="str">
        <f t="shared" si="6"/>
        <v>Above 50</v>
      </c>
      <c r="AI201" s="205" t="str">
        <f t="shared" si="7"/>
        <v/>
      </c>
      <c r="AJ201" s="202">
        <v>0</v>
      </c>
      <c r="AK201" s="201"/>
      <c r="AL201" s="205"/>
      <c r="AM201" s="201"/>
      <c r="AN201" s="201"/>
      <c r="AO201" s="201"/>
      <c r="AP201" s="205"/>
      <c r="AQ201" s="233"/>
    </row>
    <row r="202" spans="1:43" x14ac:dyDescent="0.2">
      <c r="A202" s="201"/>
      <c r="B202" s="201" t="s">
        <v>1668</v>
      </c>
      <c r="C202" s="201">
        <v>196</v>
      </c>
      <c r="D202" s="201" t="s">
        <v>1979</v>
      </c>
      <c r="E202" s="202">
        <v>29616846</v>
      </c>
      <c r="F202" s="203"/>
      <c r="G202" s="205">
        <v>74</v>
      </c>
      <c r="H202" s="205">
        <v>71</v>
      </c>
      <c r="I202" s="205" t="s">
        <v>360</v>
      </c>
      <c r="J202" s="205"/>
      <c r="K202" s="201"/>
      <c r="L202" s="201"/>
      <c r="M202" s="201"/>
      <c r="N202" s="201"/>
      <c r="O202" s="201"/>
      <c r="P202" s="201"/>
      <c r="Q202" s="201"/>
      <c r="R202" s="201"/>
      <c r="S202" s="201"/>
      <c r="T202" s="205"/>
      <c r="U202" s="201"/>
      <c r="V202" s="201"/>
      <c r="W202" s="201"/>
      <c r="X202" s="201"/>
      <c r="Y202" s="201"/>
      <c r="Z202" s="201"/>
      <c r="AA202" s="201"/>
      <c r="AB202" s="201"/>
      <c r="AC202" s="201"/>
      <c r="AD202" s="201"/>
      <c r="AE202" s="201"/>
      <c r="AF202" s="201"/>
      <c r="AG202" s="201" t="str">
        <f>IF(E202="","",IF(E202&gt;='Reference Tab - Do not Delete'!$E$35,'Reference Tab - Do not Delete'!$D$35,IF(AND(E202&gt;='Reference Tab - Do not Delete'!$E$36,E202&lt;'Reference Tab - Do not Delete'!$E$35),'Reference Tab - Do not Delete'!$D$36,IF(AND(E202&gt;='Reference Tab - Do not Delete'!$E$37,E202&lt;'Reference Tab - Do not Delete'!$E$36),'Reference Tab - Do not Delete'!$D$37,IF(AND(E202&gt;='Reference Tab - Do not Delete'!$E$38,E202&lt;'Reference Tab - Do not Delete'!$E$37),'Reference Tab - Do not Delete'!$D$38,'Reference Tab - Do not Delete'!$D$39)))))</f>
        <v>$500M - $M</v>
      </c>
      <c r="AH202" s="205" t="str">
        <f t="shared" si="6"/>
        <v>Above 50</v>
      </c>
      <c r="AI202" s="205" t="str">
        <f t="shared" si="7"/>
        <v/>
      </c>
      <c r="AJ202" s="202">
        <v>0</v>
      </c>
      <c r="AK202" s="201"/>
      <c r="AL202" s="205"/>
      <c r="AM202" s="201"/>
      <c r="AN202" s="201"/>
      <c r="AO202" s="201"/>
      <c r="AP202" s="205"/>
      <c r="AQ202" s="233"/>
    </row>
    <row r="203" spans="1:43" x14ac:dyDescent="0.2">
      <c r="A203" s="201"/>
      <c r="B203" s="201" t="s">
        <v>1669</v>
      </c>
      <c r="C203" s="201">
        <v>197</v>
      </c>
      <c r="D203" s="201" t="s">
        <v>1979</v>
      </c>
      <c r="E203" s="202">
        <v>29050000</v>
      </c>
      <c r="F203" s="203"/>
      <c r="G203" s="205">
        <v>77</v>
      </c>
      <c r="H203" s="205">
        <v>72</v>
      </c>
      <c r="I203" s="205" t="s">
        <v>360</v>
      </c>
      <c r="J203" s="205"/>
      <c r="K203" s="201"/>
      <c r="L203" s="201"/>
      <c r="M203" s="201"/>
      <c r="N203" s="201"/>
      <c r="O203" s="201"/>
      <c r="P203" s="201"/>
      <c r="Q203" s="201"/>
      <c r="R203" s="201"/>
      <c r="S203" s="201"/>
      <c r="T203" s="205"/>
      <c r="U203" s="201"/>
      <c r="V203" s="201"/>
      <c r="W203" s="201"/>
      <c r="X203" s="201"/>
      <c r="Y203" s="201"/>
      <c r="Z203" s="201"/>
      <c r="AA203" s="201"/>
      <c r="AB203" s="201"/>
      <c r="AC203" s="201"/>
      <c r="AD203" s="201"/>
      <c r="AE203" s="201"/>
      <c r="AF203" s="201"/>
      <c r="AG203" s="201" t="str">
        <f>IF(E203="","",IF(E203&gt;='Reference Tab - Do not Delete'!$E$35,'Reference Tab - Do not Delete'!$D$35,IF(AND(E203&gt;='Reference Tab - Do not Delete'!$E$36,E203&lt;'Reference Tab - Do not Delete'!$E$35),'Reference Tab - Do not Delete'!$D$36,IF(AND(E203&gt;='Reference Tab - Do not Delete'!$E$37,E203&lt;'Reference Tab - Do not Delete'!$E$36),'Reference Tab - Do not Delete'!$D$37,IF(AND(E203&gt;='Reference Tab - Do not Delete'!$E$38,E203&lt;'Reference Tab - Do not Delete'!$E$37),'Reference Tab - Do not Delete'!$D$38,'Reference Tab - Do not Delete'!$D$39)))))</f>
        <v>$500M - $M</v>
      </c>
      <c r="AH203" s="205" t="str">
        <f t="shared" si="6"/>
        <v>Above 50</v>
      </c>
      <c r="AI203" s="205" t="str">
        <f t="shared" si="7"/>
        <v/>
      </c>
      <c r="AJ203" s="202">
        <v>0</v>
      </c>
      <c r="AK203" s="201"/>
      <c r="AL203" s="205"/>
      <c r="AM203" s="201"/>
      <c r="AN203" s="201"/>
      <c r="AO203" s="201"/>
      <c r="AP203" s="205"/>
      <c r="AQ203" s="233"/>
    </row>
    <row r="204" spans="1:43" x14ac:dyDescent="0.2">
      <c r="A204" s="201"/>
      <c r="B204" s="201" t="s">
        <v>1670</v>
      </c>
      <c r="C204" s="201">
        <v>198</v>
      </c>
      <c r="D204" s="201" t="s">
        <v>1979</v>
      </c>
      <c r="E204" s="202">
        <v>28983000</v>
      </c>
      <c r="F204" s="203"/>
      <c r="G204" s="205">
        <v>57</v>
      </c>
      <c r="H204" s="205">
        <v>73</v>
      </c>
      <c r="I204" s="205" t="s">
        <v>360</v>
      </c>
      <c r="J204" s="205"/>
      <c r="K204" s="201"/>
      <c r="L204" s="201"/>
      <c r="M204" s="201"/>
      <c r="N204" s="201"/>
      <c r="O204" s="201"/>
      <c r="P204" s="201"/>
      <c r="Q204" s="201"/>
      <c r="R204" s="201"/>
      <c r="S204" s="201"/>
      <c r="T204" s="205"/>
      <c r="U204" s="201"/>
      <c r="V204" s="201"/>
      <c r="W204" s="201"/>
      <c r="X204" s="201"/>
      <c r="Y204" s="201"/>
      <c r="Z204" s="201"/>
      <c r="AA204" s="201"/>
      <c r="AB204" s="201"/>
      <c r="AC204" s="201"/>
      <c r="AD204" s="201"/>
      <c r="AE204" s="201"/>
      <c r="AF204" s="201"/>
      <c r="AG204" s="201" t="str">
        <f>IF(E204="","",IF(E204&gt;='Reference Tab - Do not Delete'!$E$35,'Reference Tab - Do not Delete'!$D$35,IF(AND(E204&gt;='Reference Tab - Do not Delete'!$E$36,E204&lt;'Reference Tab - Do not Delete'!$E$35),'Reference Tab - Do not Delete'!$D$36,IF(AND(E204&gt;='Reference Tab - Do not Delete'!$E$37,E204&lt;'Reference Tab - Do not Delete'!$E$36),'Reference Tab - Do not Delete'!$D$37,IF(AND(E204&gt;='Reference Tab - Do not Delete'!$E$38,E204&lt;'Reference Tab - Do not Delete'!$E$37),'Reference Tab - Do not Delete'!$D$38,'Reference Tab - Do not Delete'!$D$39)))))</f>
        <v>$500M - $M</v>
      </c>
      <c r="AH204" s="205" t="str">
        <f t="shared" si="6"/>
        <v>Above 50</v>
      </c>
      <c r="AI204" s="205" t="str">
        <f t="shared" si="7"/>
        <v/>
      </c>
      <c r="AJ204" s="202">
        <v>0</v>
      </c>
      <c r="AK204" s="201"/>
      <c r="AL204" s="205"/>
      <c r="AM204" s="201"/>
      <c r="AN204" s="201"/>
      <c r="AO204" s="201"/>
      <c r="AP204" s="205"/>
      <c r="AQ204" s="233"/>
    </row>
    <row r="205" spans="1:43" x14ac:dyDescent="0.2">
      <c r="A205" s="201"/>
      <c r="B205" s="201" t="s">
        <v>1671</v>
      </c>
      <c r="C205" s="201">
        <v>199</v>
      </c>
      <c r="D205" s="201" t="s">
        <v>1979</v>
      </c>
      <c r="E205" s="202">
        <v>28973093</v>
      </c>
      <c r="F205" s="203"/>
      <c r="G205" s="205">
        <v>70</v>
      </c>
      <c r="H205" s="205">
        <v>74</v>
      </c>
      <c r="I205" s="205" t="s">
        <v>360</v>
      </c>
      <c r="J205" s="205"/>
      <c r="K205" s="201"/>
      <c r="L205" s="201"/>
      <c r="M205" s="201"/>
      <c r="N205" s="201"/>
      <c r="O205" s="201"/>
      <c r="P205" s="201"/>
      <c r="Q205" s="201"/>
      <c r="R205" s="201"/>
      <c r="S205" s="201"/>
      <c r="T205" s="205"/>
      <c r="U205" s="201"/>
      <c r="V205" s="201"/>
      <c r="W205" s="201"/>
      <c r="X205" s="201"/>
      <c r="Y205" s="201"/>
      <c r="Z205" s="201"/>
      <c r="AA205" s="201"/>
      <c r="AB205" s="201"/>
      <c r="AC205" s="201"/>
      <c r="AD205" s="201"/>
      <c r="AE205" s="201"/>
      <c r="AF205" s="201"/>
      <c r="AG205" s="201" t="str">
        <f>IF(E205="","",IF(E205&gt;='Reference Tab - Do not Delete'!$E$35,'Reference Tab - Do not Delete'!$D$35,IF(AND(E205&gt;='Reference Tab - Do not Delete'!$E$36,E205&lt;'Reference Tab - Do not Delete'!$E$35),'Reference Tab - Do not Delete'!$D$36,IF(AND(E205&gt;='Reference Tab - Do not Delete'!$E$37,E205&lt;'Reference Tab - Do not Delete'!$E$36),'Reference Tab - Do not Delete'!$D$37,IF(AND(E205&gt;='Reference Tab - Do not Delete'!$E$38,E205&lt;'Reference Tab - Do not Delete'!$E$37),'Reference Tab - Do not Delete'!$D$38,'Reference Tab - Do not Delete'!$D$39)))))</f>
        <v>$500M - $M</v>
      </c>
      <c r="AH205" s="205" t="str">
        <f t="shared" si="6"/>
        <v>Above 50</v>
      </c>
      <c r="AI205" s="205" t="str">
        <f t="shared" si="7"/>
        <v/>
      </c>
      <c r="AJ205" s="202">
        <v>0</v>
      </c>
      <c r="AK205" s="201"/>
      <c r="AL205" s="205"/>
      <c r="AM205" s="201"/>
      <c r="AN205" s="201"/>
      <c r="AO205" s="201"/>
      <c r="AP205" s="205"/>
      <c r="AQ205" s="233"/>
    </row>
    <row r="206" spans="1:43" x14ac:dyDescent="0.2">
      <c r="A206" s="201"/>
      <c r="B206" s="201" t="s">
        <v>1672</v>
      </c>
      <c r="C206" s="201">
        <v>200</v>
      </c>
      <c r="D206" s="201" t="s">
        <v>1979</v>
      </c>
      <c r="E206" s="202">
        <v>28584000</v>
      </c>
      <c r="F206" s="203"/>
      <c r="G206" s="205">
        <v>60</v>
      </c>
      <c r="H206" s="205">
        <v>75</v>
      </c>
      <c r="I206" s="205" t="s">
        <v>360</v>
      </c>
      <c r="J206" s="205"/>
      <c r="K206" s="201"/>
      <c r="L206" s="201"/>
      <c r="M206" s="201"/>
      <c r="N206" s="201"/>
      <c r="O206" s="201"/>
      <c r="P206" s="201"/>
      <c r="Q206" s="201"/>
      <c r="R206" s="201"/>
      <c r="S206" s="201"/>
      <c r="T206" s="205"/>
      <c r="U206" s="201"/>
      <c r="V206" s="201"/>
      <c r="W206" s="201"/>
      <c r="X206" s="201"/>
      <c r="Y206" s="201"/>
      <c r="Z206" s="201"/>
      <c r="AA206" s="201"/>
      <c r="AB206" s="201"/>
      <c r="AC206" s="201"/>
      <c r="AD206" s="201"/>
      <c r="AE206" s="201"/>
      <c r="AF206" s="201"/>
      <c r="AG206" s="201" t="str">
        <f>IF(E206="","",IF(E206&gt;='Reference Tab - Do not Delete'!$E$35,'Reference Tab - Do not Delete'!$D$35,IF(AND(E206&gt;='Reference Tab - Do not Delete'!$E$36,E206&lt;'Reference Tab - Do not Delete'!$E$35),'Reference Tab - Do not Delete'!$D$36,IF(AND(E206&gt;='Reference Tab - Do not Delete'!$E$37,E206&lt;'Reference Tab - Do not Delete'!$E$36),'Reference Tab - Do not Delete'!$D$37,IF(AND(E206&gt;='Reference Tab - Do not Delete'!$E$38,E206&lt;'Reference Tab - Do not Delete'!$E$37),'Reference Tab - Do not Delete'!$D$38,'Reference Tab - Do not Delete'!$D$39)))))</f>
        <v>$500M - $M</v>
      </c>
      <c r="AH206" s="205" t="str">
        <f t="shared" si="6"/>
        <v>Above 50</v>
      </c>
      <c r="AI206" s="205" t="str">
        <f t="shared" si="7"/>
        <v/>
      </c>
      <c r="AJ206" s="202">
        <v>0</v>
      </c>
      <c r="AK206" s="201"/>
      <c r="AL206" s="205"/>
      <c r="AM206" s="201"/>
      <c r="AN206" s="201"/>
      <c r="AO206" s="201"/>
      <c r="AP206" s="205"/>
      <c r="AQ206" s="233"/>
    </row>
    <row r="207" spans="1:43" x14ac:dyDescent="0.2">
      <c r="A207" s="201"/>
      <c r="B207" s="201" t="s">
        <v>1673</v>
      </c>
      <c r="C207" s="201">
        <v>201</v>
      </c>
      <c r="D207" s="201" t="s">
        <v>1979</v>
      </c>
      <c r="E207" s="202">
        <v>28453000</v>
      </c>
      <c r="F207" s="203"/>
      <c r="G207" s="205">
        <v>68</v>
      </c>
      <c r="H207" s="205">
        <v>76</v>
      </c>
      <c r="I207" s="205" t="s">
        <v>360</v>
      </c>
      <c r="J207" s="205"/>
      <c r="K207" s="201"/>
      <c r="L207" s="201"/>
      <c r="M207" s="201"/>
      <c r="N207" s="201"/>
      <c r="O207" s="201"/>
      <c r="P207" s="201"/>
      <c r="Q207" s="201"/>
      <c r="R207" s="201"/>
      <c r="S207" s="201"/>
      <c r="T207" s="205"/>
      <c r="U207" s="201"/>
      <c r="V207" s="201"/>
      <c r="W207" s="201"/>
      <c r="X207" s="201"/>
      <c r="Y207" s="201"/>
      <c r="Z207" s="201"/>
      <c r="AA207" s="201"/>
      <c r="AB207" s="201"/>
      <c r="AC207" s="201"/>
      <c r="AD207" s="201"/>
      <c r="AE207" s="201"/>
      <c r="AF207" s="201"/>
      <c r="AG207" s="201" t="str">
        <f>IF(E207="","",IF(E207&gt;='Reference Tab - Do not Delete'!$E$35,'Reference Tab - Do not Delete'!$D$35,IF(AND(E207&gt;='Reference Tab - Do not Delete'!$E$36,E207&lt;'Reference Tab - Do not Delete'!$E$35),'Reference Tab - Do not Delete'!$D$36,IF(AND(E207&gt;='Reference Tab - Do not Delete'!$E$37,E207&lt;'Reference Tab - Do not Delete'!$E$36),'Reference Tab - Do not Delete'!$D$37,IF(AND(E207&gt;='Reference Tab - Do not Delete'!$E$38,E207&lt;'Reference Tab - Do not Delete'!$E$37),'Reference Tab - Do not Delete'!$D$38,'Reference Tab - Do not Delete'!$D$39)))))</f>
        <v>$500M - $M</v>
      </c>
      <c r="AH207" s="205" t="str">
        <f t="shared" si="6"/>
        <v>Above 50</v>
      </c>
      <c r="AI207" s="205" t="str">
        <f t="shared" si="7"/>
        <v/>
      </c>
      <c r="AJ207" s="202">
        <v>0</v>
      </c>
      <c r="AK207" s="201"/>
      <c r="AL207" s="205"/>
      <c r="AM207" s="201"/>
      <c r="AN207" s="201"/>
      <c r="AO207" s="201"/>
      <c r="AP207" s="205"/>
      <c r="AQ207" s="233"/>
    </row>
    <row r="208" spans="1:43" x14ac:dyDescent="0.2">
      <c r="A208" s="201"/>
      <c r="B208" s="201" t="s">
        <v>1674</v>
      </c>
      <c r="C208" s="201">
        <v>202</v>
      </c>
      <c r="D208" s="201" t="s">
        <v>1979</v>
      </c>
      <c r="E208" s="202">
        <v>28380664</v>
      </c>
      <c r="F208" s="203"/>
      <c r="G208" s="205">
        <v>97</v>
      </c>
      <c r="H208" s="205">
        <v>77</v>
      </c>
      <c r="I208" s="205" t="s">
        <v>360</v>
      </c>
      <c r="J208" s="205"/>
      <c r="K208" s="201"/>
      <c r="L208" s="201"/>
      <c r="M208" s="201"/>
      <c r="N208" s="201"/>
      <c r="O208" s="201"/>
      <c r="P208" s="201"/>
      <c r="Q208" s="201"/>
      <c r="R208" s="201"/>
      <c r="S208" s="201"/>
      <c r="T208" s="205"/>
      <c r="U208" s="201"/>
      <c r="V208" s="201"/>
      <c r="W208" s="201"/>
      <c r="X208" s="201"/>
      <c r="Y208" s="201"/>
      <c r="Z208" s="201"/>
      <c r="AA208" s="201"/>
      <c r="AB208" s="201"/>
      <c r="AC208" s="201"/>
      <c r="AD208" s="201"/>
      <c r="AE208" s="201"/>
      <c r="AF208" s="201"/>
      <c r="AG208" s="201" t="str">
        <f>IF(E208="","",IF(E208&gt;='Reference Tab - Do not Delete'!$E$35,'Reference Tab - Do not Delete'!$D$35,IF(AND(E208&gt;='Reference Tab - Do not Delete'!$E$36,E208&lt;'Reference Tab - Do not Delete'!$E$35),'Reference Tab - Do not Delete'!$D$36,IF(AND(E208&gt;='Reference Tab - Do not Delete'!$E$37,E208&lt;'Reference Tab - Do not Delete'!$E$36),'Reference Tab - Do not Delete'!$D$37,IF(AND(E208&gt;='Reference Tab - Do not Delete'!$E$38,E208&lt;'Reference Tab - Do not Delete'!$E$37),'Reference Tab - Do not Delete'!$D$38,'Reference Tab - Do not Delete'!$D$39)))))</f>
        <v>$500M - $M</v>
      </c>
      <c r="AH208" s="205" t="str">
        <f t="shared" si="6"/>
        <v>Above 50</v>
      </c>
      <c r="AI208" s="205" t="str">
        <f t="shared" si="7"/>
        <v/>
      </c>
      <c r="AJ208" s="202">
        <v>0</v>
      </c>
      <c r="AK208" s="201"/>
      <c r="AL208" s="205"/>
      <c r="AM208" s="201"/>
      <c r="AN208" s="201"/>
      <c r="AO208" s="201"/>
      <c r="AP208" s="205"/>
      <c r="AQ208" s="233"/>
    </row>
    <row r="209" spans="1:43" x14ac:dyDescent="0.2">
      <c r="A209" s="201"/>
      <c r="B209" s="201" t="s">
        <v>1675</v>
      </c>
      <c r="C209" s="201">
        <v>203</v>
      </c>
      <c r="D209" s="201" t="s">
        <v>1979</v>
      </c>
      <c r="E209" s="202">
        <v>27057580</v>
      </c>
      <c r="F209" s="203"/>
      <c r="G209" s="205">
        <v>73</v>
      </c>
      <c r="H209" s="205">
        <v>78</v>
      </c>
      <c r="I209" s="205" t="s">
        <v>360</v>
      </c>
      <c r="J209" s="205"/>
      <c r="K209" s="201"/>
      <c r="L209" s="201"/>
      <c r="M209" s="201"/>
      <c r="N209" s="201"/>
      <c r="O209" s="201"/>
      <c r="P209" s="201"/>
      <c r="Q209" s="201"/>
      <c r="R209" s="201"/>
      <c r="S209" s="201"/>
      <c r="T209" s="205"/>
      <c r="U209" s="201"/>
      <c r="V209" s="201"/>
      <c r="W209" s="201"/>
      <c r="X209" s="201"/>
      <c r="Y209" s="201"/>
      <c r="Z209" s="201"/>
      <c r="AA209" s="201"/>
      <c r="AB209" s="201"/>
      <c r="AC209" s="201"/>
      <c r="AD209" s="201"/>
      <c r="AE209" s="201"/>
      <c r="AF209" s="201"/>
      <c r="AG209" s="201" t="str">
        <f>IF(E209="","",IF(E209&gt;='Reference Tab - Do not Delete'!$E$35,'Reference Tab - Do not Delete'!$D$35,IF(AND(E209&gt;='Reference Tab - Do not Delete'!$E$36,E209&lt;'Reference Tab - Do not Delete'!$E$35),'Reference Tab - Do not Delete'!$D$36,IF(AND(E209&gt;='Reference Tab - Do not Delete'!$E$37,E209&lt;'Reference Tab - Do not Delete'!$E$36),'Reference Tab - Do not Delete'!$D$37,IF(AND(E209&gt;='Reference Tab - Do not Delete'!$E$38,E209&lt;'Reference Tab - Do not Delete'!$E$37),'Reference Tab - Do not Delete'!$D$38,'Reference Tab - Do not Delete'!$D$39)))))</f>
        <v>$500M - $M</v>
      </c>
      <c r="AH209" s="205" t="str">
        <f t="shared" si="6"/>
        <v>Above 50</v>
      </c>
      <c r="AI209" s="205" t="str">
        <f t="shared" si="7"/>
        <v/>
      </c>
      <c r="AJ209" s="202">
        <v>0</v>
      </c>
      <c r="AK209" s="201"/>
      <c r="AL209" s="205"/>
      <c r="AM209" s="201"/>
      <c r="AN209" s="201"/>
      <c r="AO209" s="201"/>
      <c r="AP209" s="205"/>
      <c r="AQ209" s="233"/>
    </row>
    <row r="210" spans="1:43" x14ac:dyDescent="0.2">
      <c r="A210" s="201"/>
      <c r="B210" s="201" t="s">
        <v>1676</v>
      </c>
      <c r="C210" s="201">
        <v>204</v>
      </c>
      <c r="D210" s="201" t="s">
        <v>1979</v>
      </c>
      <c r="E210" s="202">
        <v>26165525</v>
      </c>
      <c r="F210" s="203"/>
      <c r="G210" s="205">
        <v>67</v>
      </c>
      <c r="H210" s="205">
        <v>79</v>
      </c>
      <c r="I210" s="205" t="s">
        <v>360</v>
      </c>
      <c r="J210" s="205"/>
      <c r="K210" s="201"/>
      <c r="L210" s="201"/>
      <c r="M210" s="201"/>
      <c r="N210" s="201"/>
      <c r="O210" s="201"/>
      <c r="P210" s="201"/>
      <c r="Q210" s="201"/>
      <c r="R210" s="201"/>
      <c r="S210" s="201"/>
      <c r="T210" s="205"/>
      <c r="U210" s="201"/>
      <c r="V210" s="201"/>
      <c r="W210" s="201"/>
      <c r="X210" s="201"/>
      <c r="Y210" s="201"/>
      <c r="Z210" s="201"/>
      <c r="AA210" s="201"/>
      <c r="AB210" s="201"/>
      <c r="AC210" s="201"/>
      <c r="AD210" s="201"/>
      <c r="AE210" s="201"/>
      <c r="AF210" s="201"/>
      <c r="AG210" s="201" t="str">
        <f>IF(E210="","",IF(E210&gt;='Reference Tab - Do not Delete'!$E$35,'Reference Tab - Do not Delete'!$D$35,IF(AND(E210&gt;='Reference Tab - Do not Delete'!$E$36,E210&lt;'Reference Tab - Do not Delete'!$E$35),'Reference Tab - Do not Delete'!$D$36,IF(AND(E210&gt;='Reference Tab - Do not Delete'!$E$37,E210&lt;'Reference Tab - Do not Delete'!$E$36),'Reference Tab - Do not Delete'!$D$37,IF(AND(E210&gt;='Reference Tab - Do not Delete'!$E$38,E210&lt;'Reference Tab - Do not Delete'!$E$37),'Reference Tab - Do not Delete'!$D$38,'Reference Tab - Do not Delete'!$D$39)))))</f>
        <v>$500M - $M</v>
      </c>
      <c r="AH210" s="205" t="str">
        <f t="shared" si="6"/>
        <v>Above 50</v>
      </c>
      <c r="AI210" s="205" t="str">
        <f t="shared" si="7"/>
        <v/>
      </c>
      <c r="AJ210" s="202">
        <v>0</v>
      </c>
      <c r="AK210" s="201"/>
      <c r="AL210" s="205"/>
      <c r="AM210" s="201"/>
      <c r="AN210" s="201"/>
      <c r="AO210" s="201"/>
      <c r="AP210" s="205"/>
      <c r="AQ210" s="233"/>
    </row>
    <row r="211" spans="1:43" x14ac:dyDescent="0.2">
      <c r="A211" s="201"/>
      <c r="B211" s="201" t="s">
        <v>1677</v>
      </c>
      <c r="C211" s="201">
        <v>205</v>
      </c>
      <c r="D211" s="201" t="s">
        <v>1979</v>
      </c>
      <c r="E211" s="202">
        <v>25935009</v>
      </c>
      <c r="F211" s="203"/>
      <c r="G211" s="205">
        <v>81</v>
      </c>
      <c r="H211" s="205">
        <v>80</v>
      </c>
      <c r="I211" s="205" t="s">
        <v>360</v>
      </c>
      <c r="J211" s="205"/>
      <c r="K211" s="201"/>
      <c r="L211" s="201"/>
      <c r="M211" s="201"/>
      <c r="N211" s="201"/>
      <c r="O211" s="201"/>
      <c r="P211" s="201"/>
      <c r="Q211" s="201"/>
      <c r="R211" s="201"/>
      <c r="S211" s="201"/>
      <c r="T211" s="205"/>
      <c r="U211" s="201"/>
      <c r="V211" s="201"/>
      <c r="W211" s="201"/>
      <c r="X211" s="201"/>
      <c r="Y211" s="201"/>
      <c r="Z211" s="201"/>
      <c r="AA211" s="201"/>
      <c r="AB211" s="201"/>
      <c r="AC211" s="201"/>
      <c r="AD211" s="201"/>
      <c r="AE211" s="201"/>
      <c r="AF211" s="201"/>
      <c r="AG211" s="201" t="str">
        <f>IF(E211="","",IF(E211&gt;='Reference Tab - Do not Delete'!$E$35,'Reference Tab - Do not Delete'!$D$35,IF(AND(E211&gt;='Reference Tab - Do not Delete'!$E$36,E211&lt;'Reference Tab - Do not Delete'!$E$35),'Reference Tab - Do not Delete'!$D$36,IF(AND(E211&gt;='Reference Tab - Do not Delete'!$E$37,E211&lt;'Reference Tab - Do not Delete'!$E$36),'Reference Tab - Do not Delete'!$D$37,IF(AND(E211&gt;='Reference Tab - Do not Delete'!$E$38,E211&lt;'Reference Tab - Do not Delete'!$E$37),'Reference Tab - Do not Delete'!$D$38,'Reference Tab - Do not Delete'!$D$39)))))</f>
        <v>$500M - $M</v>
      </c>
      <c r="AH211" s="205" t="str">
        <f t="shared" si="6"/>
        <v>Above 50</v>
      </c>
      <c r="AI211" s="205" t="str">
        <f t="shared" si="7"/>
        <v/>
      </c>
      <c r="AJ211" s="202">
        <v>0</v>
      </c>
      <c r="AK211" s="201"/>
      <c r="AL211" s="205"/>
      <c r="AM211" s="201"/>
      <c r="AN211" s="201"/>
      <c r="AO211" s="201"/>
      <c r="AP211" s="205"/>
      <c r="AQ211" s="233"/>
    </row>
    <row r="212" spans="1:43" x14ac:dyDescent="0.2">
      <c r="A212" s="201"/>
      <c r="B212" s="201" t="s">
        <v>1678</v>
      </c>
      <c r="C212" s="201">
        <v>206</v>
      </c>
      <c r="D212" s="201" t="s">
        <v>1979</v>
      </c>
      <c r="E212" s="202">
        <v>25861000</v>
      </c>
      <c r="F212" s="203"/>
      <c r="G212" s="205">
        <v>85</v>
      </c>
      <c r="H212" s="205">
        <v>81</v>
      </c>
      <c r="I212" s="205" t="s">
        <v>360</v>
      </c>
      <c r="J212" s="205"/>
      <c r="K212" s="201"/>
      <c r="L212" s="201"/>
      <c r="M212" s="201"/>
      <c r="N212" s="201"/>
      <c r="O212" s="201"/>
      <c r="P212" s="201"/>
      <c r="Q212" s="201"/>
      <c r="R212" s="201"/>
      <c r="S212" s="201"/>
      <c r="T212" s="205"/>
      <c r="U212" s="201"/>
      <c r="V212" s="201"/>
      <c r="W212" s="201"/>
      <c r="X212" s="201"/>
      <c r="Y212" s="201"/>
      <c r="Z212" s="201"/>
      <c r="AA212" s="201"/>
      <c r="AB212" s="201"/>
      <c r="AC212" s="201"/>
      <c r="AD212" s="201"/>
      <c r="AE212" s="201"/>
      <c r="AF212" s="201"/>
      <c r="AG212" s="201" t="str">
        <f>IF(E212="","",IF(E212&gt;='Reference Tab - Do not Delete'!$E$35,'Reference Tab - Do not Delete'!$D$35,IF(AND(E212&gt;='Reference Tab - Do not Delete'!$E$36,E212&lt;'Reference Tab - Do not Delete'!$E$35),'Reference Tab - Do not Delete'!$D$36,IF(AND(E212&gt;='Reference Tab - Do not Delete'!$E$37,E212&lt;'Reference Tab - Do not Delete'!$E$36),'Reference Tab - Do not Delete'!$D$37,IF(AND(E212&gt;='Reference Tab - Do not Delete'!$E$38,E212&lt;'Reference Tab - Do not Delete'!$E$37),'Reference Tab - Do not Delete'!$D$38,'Reference Tab - Do not Delete'!$D$39)))))</f>
        <v>$500M - $M</v>
      </c>
      <c r="AH212" s="205" t="str">
        <f t="shared" si="6"/>
        <v>Above 50</v>
      </c>
      <c r="AI212" s="205" t="str">
        <f t="shared" si="7"/>
        <v/>
      </c>
      <c r="AJ212" s="202">
        <v>0</v>
      </c>
      <c r="AK212" s="201"/>
      <c r="AL212" s="205"/>
      <c r="AM212" s="201"/>
      <c r="AN212" s="201"/>
      <c r="AO212" s="201"/>
      <c r="AP212" s="205"/>
      <c r="AQ212" s="233"/>
    </row>
    <row r="213" spans="1:43" x14ac:dyDescent="0.2">
      <c r="A213" s="201"/>
      <c r="B213" s="201" t="s">
        <v>1679</v>
      </c>
      <c r="C213" s="201">
        <v>207</v>
      </c>
      <c r="D213" s="201" t="s">
        <v>1979</v>
      </c>
      <c r="E213" s="202">
        <v>25725165</v>
      </c>
      <c r="F213" s="203"/>
      <c r="G213" s="205">
        <v>82</v>
      </c>
      <c r="H213" s="205">
        <v>82</v>
      </c>
      <c r="I213" s="205" t="s">
        <v>360</v>
      </c>
      <c r="J213" s="205"/>
      <c r="K213" s="201"/>
      <c r="L213" s="201"/>
      <c r="M213" s="201"/>
      <c r="N213" s="201"/>
      <c r="O213" s="201"/>
      <c r="P213" s="201"/>
      <c r="Q213" s="201"/>
      <c r="R213" s="201"/>
      <c r="S213" s="201"/>
      <c r="T213" s="205"/>
      <c r="U213" s="201"/>
      <c r="V213" s="201"/>
      <c r="W213" s="201"/>
      <c r="X213" s="201"/>
      <c r="Y213" s="201"/>
      <c r="Z213" s="201"/>
      <c r="AA213" s="201"/>
      <c r="AB213" s="201"/>
      <c r="AC213" s="201"/>
      <c r="AD213" s="201"/>
      <c r="AE213" s="201"/>
      <c r="AF213" s="201"/>
      <c r="AG213" s="201" t="str">
        <f>IF(E213="","",IF(E213&gt;='Reference Tab - Do not Delete'!$E$35,'Reference Tab - Do not Delete'!$D$35,IF(AND(E213&gt;='Reference Tab - Do not Delete'!$E$36,E213&lt;'Reference Tab - Do not Delete'!$E$35),'Reference Tab - Do not Delete'!$D$36,IF(AND(E213&gt;='Reference Tab - Do not Delete'!$E$37,E213&lt;'Reference Tab - Do not Delete'!$E$36),'Reference Tab - Do not Delete'!$D$37,IF(AND(E213&gt;='Reference Tab - Do not Delete'!$E$38,E213&lt;'Reference Tab - Do not Delete'!$E$37),'Reference Tab - Do not Delete'!$D$38,'Reference Tab - Do not Delete'!$D$39)))))</f>
        <v>$500M - $M</v>
      </c>
      <c r="AH213" s="205" t="str">
        <f t="shared" si="6"/>
        <v>Above 50</v>
      </c>
      <c r="AI213" s="205" t="str">
        <f t="shared" si="7"/>
        <v/>
      </c>
      <c r="AJ213" s="202">
        <v>0</v>
      </c>
      <c r="AK213" s="201"/>
      <c r="AL213" s="205"/>
      <c r="AM213" s="201"/>
      <c r="AN213" s="201"/>
      <c r="AO213" s="201"/>
      <c r="AP213" s="205"/>
      <c r="AQ213" s="233"/>
    </row>
    <row r="214" spans="1:43" x14ac:dyDescent="0.2">
      <c r="A214" s="201"/>
      <c r="B214" s="201" t="s">
        <v>1680</v>
      </c>
      <c r="C214" s="201">
        <v>208</v>
      </c>
      <c r="D214" s="201" t="s">
        <v>1979</v>
      </c>
      <c r="E214" s="202">
        <v>24971000</v>
      </c>
      <c r="F214" s="203"/>
      <c r="G214" s="205">
        <v>72</v>
      </c>
      <c r="H214" s="205">
        <v>83</v>
      </c>
      <c r="I214" s="205" t="s">
        <v>360</v>
      </c>
      <c r="J214" s="205"/>
      <c r="K214" s="201"/>
      <c r="L214" s="201"/>
      <c r="M214" s="201"/>
      <c r="N214" s="201"/>
      <c r="O214" s="201"/>
      <c r="P214" s="201"/>
      <c r="Q214" s="201"/>
      <c r="R214" s="201"/>
      <c r="S214" s="201"/>
      <c r="T214" s="205"/>
      <c r="U214" s="201"/>
      <c r="V214" s="201"/>
      <c r="W214" s="201"/>
      <c r="X214" s="201"/>
      <c r="Y214" s="201"/>
      <c r="Z214" s="201"/>
      <c r="AA214" s="201"/>
      <c r="AB214" s="201"/>
      <c r="AC214" s="201"/>
      <c r="AD214" s="201"/>
      <c r="AE214" s="201"/>
      <c r="AF214" s="201"/>
      <c r="AG214" s="201" t="str">
        <f>IF(E214="","",IF(E214&gt;='Reference Tab - Do not Delete'!$E$35,'Reference Tab - Do not Delete'!$D$35,IF(AND(E214&gt;='Reference Tab - Do not Delete'!$E$36,E214&lt;'Reference Tab - Do not Delete'!$E$35),'Reference Tab - Do not Delete'!$D$36,IF(AND(E214&gt;='Reference Tab - Do not Delete'!$E$37,E214&lt;'Reference Tab - Do not Delete'!$E$36),'Reference Tab - Do not Delete'!$D$37,IF(AND(E214&gt;='Reference Tab - Do not Delete'!$E$38,E214&lt;'Reference Tab - Do not Delete'!$E$37),'Reference Tab - Do not Delete'!$D$38,'Reference Tab - Do not Delete'!$D$39)))))</f>
        <v>$500M - $M</v>
      </c>
      <c r="AH214" s="205" t="str">
        <f t="shared" si="6"/>
        <v>Above 50</v>
      </c>
      <c r="AI214" s="205" t="str">
        <f t="shared" si="7"/>
        <v/>
      </c>
      <c r="AJ214" s="202">
        <v>0</v>
      </c>
      <c r="AK214" s="201"/>
      <c r="AL214" s="205"/>
      <c r="AM214" s="201"/>
      <c r="AN214" s="201"/>
      <c r="AO214" s="201"/>
      <c r="AP214" s="205"/>
      <c r="AQ214" s="233"/>
    </row>
    <row r="215" spans="1:43" x14ac:dyDescent="0.2">
      <c r="A215" s="201"/>
      <c r="B215" s="201" t="s">
        <v>1681</v>
      </c>
      <c r="C215" s="201">
        <v>209</v>
      </c>
      <c r="D215" s="201" t="s">
        <v>1979</v>
      </c>
      <c r="E215" s="202">
        <v>24702538</v>
      </c>
      <c r="F215" s="203"/>
      <c r="G215" s="205">
        <v>76</v>
      </c>
      <c r="H215" s="205">
        <v>84</v>
      </c>
      <c r="I215" s="205" t="s">
        <v>360</v>
      </c>
      <c r="J215" s="205"/>
      <c r="K215" s="201"/>
      <c r="L215" s="201"/>
      <c r="M215" s="201"/>
      <c r="N215" s="201"/>
      <c r="O215" s="201"/>
      <c r="P215" s="201"/>
      <c r="Q215" s="201"/>
      <c r="R215" s="201"/>
      <c r="S215" s="201"/>
      <c r="T215" s="205"/>
      <c r="U215" s="201"/>
      <c r="V215" s="201"/>
      <c r="W215" s="201"/>
      <c r="X215" s="201"/>
      <c r="Y215" s="201"/>
      <c r="Z215" s="201"/>
      <c r="AA215" s="201"/>
      <c r="AB215" s="201"/>
      <c r="AC215" s="201"/>
      <c r="AD215" s="201"/>
      <c r="AE215" s="201"/>
      <c r="AF215" s="201"/>
      <c r="AG215" s="201" t="str">
        <f>IF(E215="","",IF(E215&gt;='Reference Tab - Do not Delete'!$E$35,'Reference Tab - Do not Delete'!$D$35,IF(AND(E215&gt;='Reference Tab - Do not Delete'!$E$36,E215&lt;'Reference Tab - Do not Delete'!$E$35),'Reference Tab - Do not Delete'!$D$36,IF(AND(E215&gt;='Reference Tab - Do not Delete'!$E$37,E215&lt;'Reference Tab - Do not Delete'!$E$36),'Reference Tab - Do not Delete'!$D$37,IF(AND(E215&gt;='Reference Tab - Do not Delete'!$E$38,E215&lt;'Reference Tab - Do not Delete'!$E$37),'Reference Tab - Do not Delete'!$D$38,'Reference Tab - Do not Delete'!$D$39)))))</f>
        <v>$500M - $M</v>
      </c>
      <c r="AH215" s="205" t="str">
        <f t="shared" si="6"/>
        <v>Above 50</v>
      </c>
      <c r="AI215" s="205" t="str">
        <f t="shared" si="7"/>
        <v/>
      </c>
      <c r="AJ215" s="202">
        <v>0</v>
      </c>
      <c r="AK215" s="201"/>
      <c r="AL215" s="205"/>
      <c r="AM215" s="201"/>
      <c r="AN215" s="201"/>
      <c r="AO215" s="201"/>
      <c r="AP215" s="205"/>
      <c r="AQ215" s="233"/>
    </row>
    <row r="216" spans="1:43" x14ac:dyDescent="0.2">
      <c r="A216" s="201"/>
      <c r="B216" s="201" t="s">
        <v>1682</v>
      </c>
      <c r="C216" s="201">
        <v>210</v>
      </c>
      <c r="D216" s="201" t="s">
        <v>1979</v>
      </c>
      <c r="E216" s="202">
        <v>24496827</v>
      </c>
      <c r="F216" s="203"/>
      <c r="G216" s="205">
        <v>79</v>
      </c>
      <c r="H216" s="205">
        <v>85</v>
      </c>
      <c r="I216" s="205" t="s">
        <v>360</v>
      </c>
      <c r="J216" s="205"/>
      <c r="K216" s="201"/>
      <c r="L216" s="201"/>
      <c r="M216" s="201"/>
      <c r="N216" s="201"/>
      <c r="O216" s="201"/>
      <c r="P216" s="201"/>
      <c r="Q216" s="201"/>
      <c r="R216" s="201"/>
      <c r="S216" s="201"/>
      <c r="T216" s="205"/>
      <c r="U216" s="201"/>
      <c r="V216" s="201"/>
      <c r="W216" s="201"/>
      <c r="X216" s="201"/>
      <c r="Y216" s="201"/>
      <c r="Z216" s="201"/>
      <c r="AA216" s="201"/>
      <c r="AB216" s="201"/>
      <c r="AC216" s="201"/>
      <c r="AD216" s="201"/>
      <c r="AE216" s="201"/>
      <c r="AF216" s="201"/>
      <c r="AG216" s="201" t="str">
        <f>IF(E216="","",IF(E216&gt;='Reference Tab - Do not Delete'!$E$35,'Reference Tab - Do not Delete'!$D$35,IF(AND(E216&gt;='Reference Tab - Do not Delete'!$E$36,E216&lt;'Reference Tab - Do not Delete'!$E$35),'Reference Tab - Do not Delete'!$D$36,IF(AND(E216&gt;='Reference Tab - Do not Delete'!$E$37,E216&lt;'Reference Tab - Do not Delete'!$E$36),'Reference Tab - Do not Delete'!$D$37,IF(AND(E216&gt;='Reference Tab - Do not Delete'!$E$38,E216&lt;'Reference Tab - Do not Delete'!$E$37),'Reference Tab - Do not Delete'!$D$38,'Reference Tab - Do not Delete'!$D$39)))))</f>
        <v>$500M - $M</v>
      </c>
      <c r="AH216" s="205" t="str">
        <f t="shared" si="6"/>
        <v>Above 50</v>
      </c>
      <c r="AI216" s="205" t="str">
        <f t="shared" si="7"/>
        <v/>
      </c>
      <c r="AJ216" s="202">
        <v>0</v>
      </c>
      <c r="AK216" s="201"/>
      <c r="AL216" s="205"/>
      <c r="AM216" s="201"/>
      <c r="AN216" s="201"/>
      <c r="AO216" s="201"/>
      <c r="AP216" s="205"/>
      <c r="AQ216" s="233"/>
    </row>
    <row r="217" spans="1:43" x14ac:dyDescent="0.2">
      <c r="A217" s="201"/>
      <c r="B217" s="201" t="s">
        <v>1683</v>
      </c>
      <c r="C217" s="201">
        <v>211</v>
      </c>
      <c r="D217" s="201" t="s">
        <v>1979</v>
      </c>
      <c r="E217" s="202">
        <v>24369575</v>
      </c>
      <c r="F217" s="203"/>
      <c r="G217" s="205">
        <v>88</v>
      </c>
      <c r="H217" s="205">
        <v>86</v>
      </c>
      <c r="I217" s="205" t="s">
        <v>360</v>
      </c>
      <c r="J217" s="205"/>
      <c r="K217" s="201"/>
      <c r="L217" s="201"/>
      <c r="M217" s="201"/>
      <c r="N217" s="201"/>
      <c r="O217" s="201"/>
      <c r="P217" s="201"/>
      <c r="Q217" s="201"/>
      <c r="R217" s="201"/>
      <c r="S217" s="201"/>
      <c r="T217" s="205"/>
      <c r="U217" s="201"/>
      <c r="V217" s="201"/>
      <c r="W217" s="201"/>
      <c r="X217" s="201"/>
      <c r="Y217" s="201"/>
      <c r="Z217" s="201"/>
      <c r="AA217" s="201"/>
      <c r="AB217" s="201"/>
      <c r="AC217" s="201"/>
      <c r="AD217" s="201"/>
      <c r="AE217" s="201"/>
      <c r="AF217" s="201"/>
      <c r="AG217" s="201" t="str">
        <f>IF(E217="","",IF(E217&gt;='Reference Tab - Do not Delete'!$E$35,'Reference Tab - Do not Delete'!$D$35,IF(AND(E217&gt;='Reference Tab - Do not Delete'!$E$36,E217&lt;'Reference Tab - Do not Delete'!$E$35),'Reference Tab - Do not Delete'!$D$36,IF(AND(E217&gt;='Reference Tab - Do not Delete'!$E$37,E217&lt;'Reference Tab - Do not Delete'!$E$36),'Reference Tab - Do not Delete'!$D$37,IF(AND(E217&gt;='Reference Tab - Do not Delete'!$E$38,E217&lt;'Reference Tab - Do not Delete'!$E$37),'Reference Tab - Do not Delete'!$D$38,'Reference Tab - Do not Delete'!$D$39)))))</f>
        <v>$500M - $M</v>
      </c>
      <c r="AH217" s="205" t="str">
        <f t="shared" si="6"/>
        <v>Above 50</v>
      </c>
      <c r="AI217" s="205" t="str">
        <f t="shared" si="7"/>
        <v/>
      </c>
      <c r="AJ217" s="202">
        <v>0</v>
      </c>
      <c r="AK217" s="201"/>
      <c r="AL217" s="205"/>
      <c r="AM217" s="201"/>
      <c r="AN217" s="201"/>
      <c r="AO217" s="201"/>
      <c r="AP217" s="205"/>
      <c r="AQ217" s="233"/>
    </row>
    <row r="218" spans="1:43" x14ac:dyDescent="0.2">
      <c r="A218" s="201"/>
      <c r="B218" s="201" t="s">
        <v>1706</v>
      </c>
      <c r="C218" s="201">
        <v>212</v>
      </c>
      <c r="D218" s="201" t="s">
        <v>1979</v>
      </c>
      <c r="E218" s="202">
        <v>24066983</v>
      </c>
      <c r="F218" s="203"/>
      <c r="G218" s="205">
        <v>84</v>
      </c>
      <c r="H218" s="205">
        <v>87</v>
      </c>
      <c r="I218" s="205" t="s">
        <v>360</v>
      </c>
      <c r="J218" s="205"/>
      <c r="K218" s="201"/>
      <c r="L218" s="201"/>
      <c r="M218" s="201"/>
      <c r="N218" s="201"/>
      <c r="O218" s="201"/>
      <c r="P218" s="201"/>
      <c r="Q218" s="201"/>
      <c r="R218" s="201"/>
      <c r="S218" s="201"/>
      <c r="T218" s="205"/>
      <c r="U218" s="201"/>
      <c r="V218" s="201"/>
      <c r="W218" s="201"/>
      <c r="X218" s="201"/>
      <c r="Y218" s="201"/>
      <c r="Z218" s="201"/>
      <c r="AA218" s="201"/>
      <c r="AB218" s="201"/>
      <c r="AC218" s="201"/>
      <c r="AD218" s="201"/>
      <c r="AE218" s="201"/>
      <c r="AF218" s="201"/>
      <c r="AG218" s="201" t="str">
        <f>IF(E218="","",IF(E218&gt;='Reference Tab - Do not Delete'!$E$35,'Reference Tab - Do not Delete'!$D$35,IF(AND(E218&gt;='Reference Tab - Do not Delete'!$E$36,E218&lt;'Reference Tab - Do not Delete'!$E$35),'Reference Tab - Do not Delete'!$D$36,IF(AND(E218&gt;='Reference Tab - Do not Delete'!$E$37,E218&lt;'Reference Tab - Do not Delete'!$E$36),'Reference Tab - Do not Delete'!$D$37,IF(AND(E218&gt;='Reference Tab - Do not Delete'!$E$38,E218&lt;'Reference Tab - Do not Delete'!$E$37),'Reference Tab - Do not Delete'!$D$38,'Reference Tab - Do not Delete'!$D$39)))))</f>
        <v>$500M - $M</v>
      </c>
      <c r="AH218" s="205" t="str">
        <f t="shared" si="6"/>
        <v>Above 50</v>
      </c>
      <c r="AI218" s="205" t="str">
        <f t="shared" si="7"/>
        <v/>
      </c>
      <c r="AJ218" s="202">
        <v>0</v>
      </c>
      <c r="AK218" s="201"/>
      <c r="AL218" s="205"/>
      <c r="AM218" s="201"/>
      <c r="AN218" s="201"/>
      <c r="AO218" s="201"/>
      <c r="AP218" s="205"/>
      <c r="AQ218" s="233"/>
    </row>
    <row r="219" spans="1:43" x14ac:dyDescent="0.2">
      <c r="A219" s="201"/>
      <c r="B219" s="201" t="s">
        <v>1684</v>
      </c>
      <c r="C219" s="201">
        <v>213</v>
      </c>
      <c r="D219" s="201" t="s">
        <v>1979</v>
      </c>
      <c r="E219" s="202">
        <v>23815891</v>
      </c>
      <c r="F219" s="203"/>
      <c r="G219" s="205">
        <v>87</v>
      </c>
      <c r="H219" s="205">
        <v>88</v>
      </c>
      <c r="I219" s="205" t="s">
        <v>360</v>
      </c>
      <c r="J219" s="205"/>
      <c r="K219" s="201"/>
      <c r="L219" s="201"/>
      <c r="M219" s="201"/>
      <c r="N219" s="201"/>
      <c r="O219" s="201"/>
      <c r="P219" s="201"/>
      <c r="Q219" s="201"/>
      <c r="R219" s="201"/>
      <c r="S219" s="201"/>
      <c r="T219" s="205"/>
      <c r="U219" s="201"/>
      <c r="V219" s="201"/>
      <c r="W219" s="201"/>
      <c r="X219" s="201"/>
      <c r="Y219" s="201"/>
      <c r="Z219" s="201"/>
      <c r="AA219" s="201"/>
      <c r="AB219" s="201"/>
      <c r="AC219" s="201"/>
      <c r="AD219" s="201"/>
      <c r="AE219" s="201"/>
      <c r="AF219" s="201"/>
      <c r="AG219" s="201" t="str">
        <f>IF(E219="","",IF(E219&gt;='Reference Tab - Do not Delete'!$E$35,'Reference Tab - Do not Delete'!$D$35,IF(AND(E219&gt;='Reference Tab - Do not Delete'!$E$36,E219&lt;'Reference Tab - Do not Delete'!$E$35),'Reference Tab - Do not Delete'!$D$36,IF(AND(E219&gt;='Reference Tab - Do not Delete'!$E$37,E219&lt;'Reference Tab - Do not Delete'!$E$36),'Reference Tab - Do not Delete'!$D$37,IF(AND(E219&gt;='Reference Tab - Do not Delete'!$E$38,E219&lt;'Reference Tab - Do not Delete'!$E$37),'Reference Tab - Do not Delete'!$D$38,'Reference Tab - Do not Delete'!$D$39)))))</f>
        <v>$500M - $M</v>
      </c>
      <c r="AH219" s="205" t="str">
        <f t="shared" si="6"/>
        <v>Above 50</v>
      </c>
      <c r="AI219" s="205" t="str">
        <f t="shared" si="7"/>
        <v/>
      </c>
      <c r="AJ219" s="202">
        <v>0</v>
      </c>
      <c r="AK219" s="201"/>
      <c r="AL219" s="205"/>
      <c r="AM219" s="201"/>
      <c r="AN219" s="201"/>
      <c r="AO219" s="201"/>
      <c r="AP219" s="205"/>
      <c r="AQ219" s="233"/>
    </row>
    <row r="220" spans="1:43" x14ac:dyDescent="0.2">
      <c r="A220" s="201"/>
      <c r="B220" s="201" t="s">
        <v>1685</v>
      </c>
      <c r="C220" s="201">
        <v>214</v>
      </c>
      <c r="D220" s="201" t="s">
        <v>1979</v>
      </c>
      <c r="E220" s="202">
        <v>23696935</v>
      </c>
      <c r="F220" s="203"/>
      <c r="G220" s="205">
        <v>90</v>
      </c>
      <c r="H220" s="205">
        <v>89</v>
      </c>
      <c r="I220" s="205" t="s">
        <v>360</v>
      </c>
      <c r="J220" s="205"/>
      <c r="K220" s="201"/>
      <c r="L220" s="201"/>
      <c r="M220" s="201"/>
      <c r="N220" s="201"/>
      <c r="O220" s="201"/>
      <c r="P220" s="201"/>
      <c r="Q220" s="201"/>
      <c r="R220" s="201"/>
      <c r="S220" s="201"/>
      <c r="T220" s="205"/>
      <c r="U220" s="201"/>
      <c r="V220" s="201"/>
      <c r="W220" s="201"/>
      <c r="X220" s="201"/>
      <c r="Y220" s="201"/>
      <c r="Z220" s="201"/>
      <c r="AA220" s="201"/>
      <c r="AB220" s="201"/>
      <c r="AC220" s="201"/>
      <c r="AD220" s="201"/>
      <c r="AE220" s="201"/>
      <c r="AF220" s="201"/>
      <c r="AG220" s="201" t="str">
        <f>IF(E220="","",IF(E220&gt;='Reference Tab - Do not Delete'!$E$35,'Reference Tab - Do not Delete'!$D$35,IF(AND(E220&gt;='Reference Tab - Do not Delete'!$E$36,E220&lt;'Reference Tab - Do not Delete'!$E$35),'Reference Tab - Do not Delete'!$D$36,IF(AND(E220&gt;='Reference Tab - Do not Delete'!$E$37,E220&lt;'Reference Tab - Do not Delete'!$E$36),'Reference Tab - Do not Delete'!$D$37,IF(AND(E220&gt;='Reference Tab - Do not Delete'!$E$38,E220&lt;'Reference Tab - Do not Delete'!$E$37),'Reference Tab - Do not Delete'!$D$38,'Reference Tab - Do not Delete'!$D$39)))))</f>
        <v>$500M - $M</v>
      </c>
      <c r="AH220" s="205" t="str">
        <f t="shared" si="6"/>
        <v>Above 50</v>
      </c>
      <c r="AI220" s="205" t="str">
        <f t="shared" si="7"/>
        <v/>
      </c>
      <c r="AJ220" s="202">
        <v>0</v>
      </c>
      <c r="AK220" s="201"/>
      <c r="AL220" s="205"/>
      <c r="AM220" s="201"/>
      <c r="AN220" s="201"/>
      <c r="AO220" s="201"/>
      <c r="AP220" s="205"/>
      <c r="AQ220" s="233"/>
    </row>
    <row r="221" spans="1:43" x14ac:dyDescent="0.2">
      <c r="A221" s="201"/>
      <c r="B221" s="201" t="s">
        <v>1686</v>
      </c>
      <c r="C221" s="201">
        <v>215</v>
      </c>
      <c r="D221" s="201" t="s">
        <v>1979</v>
      </c>
      <c r="E221" s="202">
        <v>23432531</v>
      </c>
      <c r="F221" s="203"/>
      <c r="G221" s="205">
        <v>80</v>
      </c>
      <c r="H221" s="205">
        <v>90</v>
      </c>
      <c r="I221" s="205" t="s">
        <v>360</v>
      </c>
      <c r="J221" s="205"/>
      <c r="K221" s="201"/>
      <c r="L221" s="201"/>
      <c r="M221" s="201"/>
      <c r="N221" s="201"/>
      <c r="O221" s="201"/>
      <c r="P221" s="201"/>
      <c r="Q221" s="201"/>
      <c r="R221" s="201"/>
      <c r="S221" s="201"/>
      <c r="T221" s="205"/>
      <c r="U221" s="201"/>
      <c r="V221" s="201"/>
      <c r="W221" s="201"/>
      <c r="X221" s="201"/>
      <c r="Y221" s="201"/>
      <c r="Z221" s="201"/>
      <c r="AA221" s="201"/>
      <c r="AB221" s="201"/>
      <c r="AC221" s="201"/>
      <c r="AD221" s="201"/>
      <c r="AE221" s="201"/>
      <c r="AF221" s="201"/>
      <c r="AG221" s="201" t="str">
        <f>IF(E221="","",IF(E221&gt;='Reference Tab - Do not Delete'!$E$35,'Reference Tab - Do not Delete'!$D$35,IF(AND(E221&gt;='Reference Tab - Do not Delete'!$E$36,E221&lt;'Reference Tab - Do not Delete'!$E$35),'Reference Tab - Do not Delete'!$D$36,IF(AND(E221&gt;='Reference Tab - Do not Delete'!$E$37,E221&lt;'Reference Tab - Do not Delete'!$E$36),'Reference Tab - Do not Delete'!$D$37,IF(AND(E221&gt;='Reference Tab - Do not Delete'!$E$38,E221&lt;'Reference Tab - Do not Delete'!$E$37),'Reference Tab - Do not Delete'!$D$38,'Reference Tab - Do not Delete'!$D$39)))))</f>
        <v>$500M - $M</v>
      </c>
      <c r="AH221" s="205" t="str">
        <f t="shared" si="6"/>
        <v>Above 50</v>
      </c>
      <c r="AI221" s="205" t="str">
        <f t="shared" si="7"/>
        <v/>
      </c>
      <c r="AJ221" s="202">
        <v>0</v>
      </c>
      <c r="AK221" s="201"/>
      <c r="AL221" s="205"/>
      <c r="AM221" s="201"/>
      <c r="AN221" s="201"/>
      <c r="AO221" s="201"/>
      <c r="AP221" s="205"/>
      <c r="AQ221" s="233"/>
    </row>
    <row r="222" spans="1:43" x14ac:dyDescent="0.2">
      <c r="A222" s="201"/>
      <c r="B222" s="201" t="s">
        <v>1687</v>
      </c>
      <c r="C222" s="201">
        <v>216</v>
      </c>
      <c r="D222" s="201" t="s">
        <v>1979</v>
      </c>
      <c r="E222" s="202">
        <v>23176417</v>
      </c>
      <c r="F222" s="203"/>
      <c r="G222" s="205" t="s">
        <v>1707</v>
      </c>
      <c r="H222" s="205">
        <v>91</v>
      </c>
      <c r="I222" s="205" t="s">
        <v>360</v>
      </c>
      <c r="J222" s="205"/>
      <c r="K222" s="201"/>
      <c r="L222" s="201"/>
      <c r="M222" s="201"/>
      <c r="N222" s="201"/>
      <c r="O222" s="201"/>
      <c r="P222" s="201"/>
      <c r="Q222" s="201"/>
      <c r="R222" s="201"/>
      <c r="S222" s="201"/>
      <c r="T222" s="205"/>
      <c r="U222" s="201"/>
      <c r="V222" s="201"/>
      <c r="W222" s="201"/>
      <c r="X222" s="201"/>
      <c r="Y222" s="201"/>
      <c r="Z222" s="201"/>
      <c r="AA222" s="201"/>
      <c r="AB222" s="201"/>
      <c r="AC222" s="201"/>
      <c r="AD222" s="201"/>
      <c r="AE222" s="201"/>
      <c r="AF222" s="201"/>
      <c r="AG222" s="201" t="str">
        <f>IF(E222="","",IF(E222&gt;='Reference Tab - Do not Delete'!$E$35,'Reference Tab - Do not Delete'!$D$35,IF(AND(E222&gt;='Reference Tab - Do not Delete'!$E$36,E222&lt;'Reference Tab - Do not Delete'!$E$35),'Reference Tab - Do not Delete'!$D$36,IF(AND(E222&gt;='Reference Tab - Do not Delete'!$E$37,E222&lt;'Reference Tab - Do not Delete'!$E$36),'Reference Tab - Do not Delete'!$D$37,IF(AND(E222&gt;='Reference Tab - Do not Delete'!$E$38,E222&lt;'Reference Tab - Do not Delete'!$E$37),'Reference Tab - Do not Delete'!$D$38,'Reference Tab - Do not Delete'!$D$39)))))</f>
        <v>$500M - $M</v>
      </c>
      <c r="AH222" s="205" t="str">
        <f t="shared" si="6"/>
        <v>Above 50</v>
      </c>
      <c r="AI222" s="205" t="str">
        <f t="shared" si="7"/>
        <v/>
      </c>
      <c r="AJ222" s="202">
        <v>0</v>
      </c>
      <c r="AK222" s="201"/>
      <c r="AL222" s="205"/>
      <c r="AM222" s="201"/>
      <c r="AN222" s="201"/>
      <c r="AO222" s="201"/>
      <c r="AP222" s="205"/>
      <c r="AQ222" s="233"/>
    </row>
    <row r="223" spans="1:43" x14ac:dyDescent="0.2">
      <c r="A223" s="201"/>
      <c r="B223" s="201" t="s">
        <v>1688</v>
      </c>
      <c r="C223" s="201">
        <v>217</v>
      </c>
      <c r="D223" s="201" t="s">
        <v>1979</v>
      </c>
      <c r="E223" s="202">
        <v>23050000</v>
      </c>
      <c r="F223" s="203"/>
      <c r="G223" s="205">
        <v>83</v>
      </c>
      <c r="H223" s="205">
        <v>92</v>
      </c>
      <c r="I223" s="205" t="s">
        <v>360</v>
      </c>
      <c r="J223" s="205"/>
      <c r="K223" s="201"/>
      <c r="L223" s="201"/>
      <c r="M223" s="201"/>
      <c r="N223" s="201"/>
      <c r="O223" s="201"/>
      <c r="P223" s="201"/>
      <c r="Q223" s="201"/>
      <c r="R223" s="201"/>
      <c r="S223" s="201"/>
      <c r="T223" s="205"/>
      <c r="U223" s="201"/>
      <c r="V223" s="201"/>
      <c r="W223" s="201"/>
      <c r="X223" s="201"/>
      <c r="Y223" s="201"/>
      <c r="Z223" s="201"/>
      <c r="AA223" s="201"/>
      <c r="AB223" s="201"/>
      <c r="AC223" s="201"/>
      <c r="AD223" s="201"/>
      <c r="AE223" s="201"/>
      <c r="AF223" s="201"/>
      <c r="AG223" s="201" t="str">
        <f>IF(E223="","",IF(E223&gt;='Reference Tab - Do not Delete'!$E$35,'Reference Tab - Do not Delete'!$D$35,IF(AND(E223&gt;='Reference Tab - Do not Delete'!$E$36,E223&lt;'Reference Tab - Do not Delete'!$E$35),'Reference Tab - Do not Delete'!$D$36,IF(AND(E223&gt;='Reference Tab - Do not Delete'!$E$37,E223&lt;'Reference Tab - Do not Delete'!$E$36),'Reference Tab - Do not Delete'!$D$37,IF(AND(E223&gt;='Reference Tab - Do not Delete'!$E$38,E223&lt;'Reference Tab - Do not Delete'!$E$37),'Reference Tab - Do not Delete'!$D$38,'Reference Tab - Do not Delete'!$D$39)))))</f>
        <v>$500M - $M</v>
      </c>
      <c r="AH223" s="205" t="str">
        <f t="shared" si="6"/>
        <v>Above 50</v>
      </c>
      <c r="AI223" s="205" t="str">
        <f t="shared" si="7"/>
        <v/>
      </c>
      <c r="AJ223" s="202">
        <v>0</v>
      </c>
      <c r="AK223" s="201"/>
      <c r="AL223" s="205"/>
      <c r="AM223" s="201"/>
      <c r="AN223" s="201"/>
      <c r="AO223" s="201"/>
      <c r="AP223" s="205"/>
      <c r="AQ223" s="233"/>
    </row>
    <row r="224" spans="1:43" x14ac:dyDescent="0.2">
      <c r="A224" s="201"/>
      <c r="B224" s="201" t="s">
        <v>1689</v>
      </c>
      <c r="C224" s="201">
        <v>218</v>
      </c>
      <c r="D224" s="201" t="s">
        <v>1979</v>
      </c>
      <c r="E224" s="202">
        <v>21916804</v>
      </c>
      <c r="F224" s="203"/>
      <c r="G224" s="205">
        <v>89</v>
      </c>
      <c r="H224" s="205">
        <v>93</v>
      </c>
      <c r="I224" s="205" t="s">
        <v>360</v>
      </c>
      <c r="J224" s="205"/>
      <c r="K224" s="201"/>
      <c r="L224" s="201"/>
      <c r="M224" s="201"/>
      <c r="N224" s="201"/>
      <c r="O224" s="201"/>
      <c r="P224" s="201"/>
      <c r="Q224" s="201"/>
      <c r="R224" s="201"/>
      <c r="S224" s="201"/>
      <c r="T224" s="205"/>
      <c r="U224" s="201"/>
      <c r="V224" s="201"/>
      <c r="W224" s="201"/>
      <c r="X224" s="201"/>
      <c r="Y224" s="201"/>
      <c r="Z224" s="201"/>
      <c r="AA224" s="201"/>
      <c r="AB224" s="201"/>
      <c r="AC224" s="201"/>
      <c r="AD224" s="201"/>
      <c r="AE224" s="201"/>
      <c r="AF224" s="201"/>
      <c r="AG224" s="201" t="str">
        <f>IF(E224="","",IF(E224&gt;='Reference Tab - Do not Delete'!$E$35,'Reference Tab - Do not Delete'!$D$35,IF(AND(E224&gt;='Reference Tab - Do not Delete'!$E$36,E224&lt;'Reference Tab - Do not Delete'!$E$35),'Reference Tab - Do not Delete'!$D$36,IF(AND(E224&gt;='Reference Tab - Do not Delete'!$E$37,E224&lt;'Reference Tab - Do not Delete'!$E$36),'Reference Tab - Do not Delete'!$D$37,IF(AND(E224&gt;='Reference Tab - Do not Delete'!$E$38,E224&lt;'Reference Tab - Do not Delete'!$E$37),'Reference Tab - Do not Delete'!$D$38,'Reference Tab - Do not Delete'!$D$39)))))</f>
        <v>$500M - $M</v>
      </c>
      <c r="AH224" s="205" t="str">
        <f t="shared" si="6"/>
        <v>Above 50</v>
      </c>
      <c r="AI224" s="205" t="str">
        <f t="shared" si="7"/>
        <v/>
      </c>
      <c r="AJ224" s="202">
        <v>0</v>
      </c>
      <c r="AK224" s="201"/>
      <c r="AL224" s="205"/>
      <c r="AM224" s="201"/>
      <c r="AN224" s="201"/>
      <c r="AO224" s="201"/>
      <c r="AP224" s="205"/>
      <c r="AQ224" s="233"/>
    </row>
    <row r="225" spans="1:43" x14ac:dyDescent="0.2">
      <c r="A225" s="201"/>
      <c r="B225" s="201" t="s">
        <v>1690</v>
      </c>
      <c r="C225" s="201">
        <v>219</v>
      </c>
      <c r="D225" s="201" t="s">
        <v>1979</v>
      </c>
      <c r="E225" s="202">
        <v>21336977</v>
      </c>
      <c r="F225" s="203"/>
      <c r="G225" s="205">
        <v>86</v>
      </c>
      <c r="H225" s="205">
        <v>94</v>
      </c>
      <c r="I225" s="205" t="s">
        <v>360</v>
      </c>
      <c r="J225" s="205"/>
      <c r="K225" s="201"/>
      <c r="L225" s="201"/>
      <c r="M225" s="201"/>
      <c r="N225" s="201"/>
      <c r="O225" s="201"/>
      <c r="P225" s="201"/>
      <c r="Q225" s="201"/>
      <c r="R225" s="201"/>
      <c r="S225" s="201"/>
      <c r="T225" s="205"/>
      <c r="U225" s="201"/>
      <c r="V225" s="201"/>
      <c r="W225" s="201"/>
      <c r="X225" s="201"/>
      <c r="Y225" s="201"/>
      <c r="Z225" s="201"/>
      <c r="AA225" s="201"/>
      <c r="AB225" s="201"/>
      <c r="AC225" s="201"/>
      <c r="AD225" s="201"/>
      <c r="AE225" s="201"/>
      <c r="AF225" s="201"/>
      <c r="AG225" s="201" t="str">
        <f>IF(E225="","",IF(E225&gt;='Reference Tab - Do not Delete'!$E$35,'Reference Tab - Do not Delete'!$D$35,IF(AND(E225&gt;='Reference Tab - Do not Delete'!$E$36,E225&lt;'Reference Tab - Do not Delete'!$E$35),'Reference Tab - Do not Delete'!$D$36,IF(AND(E225&gt;='Reference Tab - Do not Delete'!$E$37,E225&lt;'Reference Tab - Do not Delete'!$E$36),'Reference Tab - Do not Delete'!$D$37,IF(AND(E225&gt;='Reference Tab - Do not Delete'!$E$38,E225&lt;'Reference Tab - Do not Delete'!$E$37),'Reference Tab - Do not Delete'!$D$38,'Reference Tab - Do not Delete'!$D$39)))))</f>
        <v>$500M - $M</v>
      </c>
      <c r="AH225" s="205" t="str">
        <f t="shared" si="6"/>
        <v>Above 50</v>
      </c>
      <c r="AI225" s="205" t="str">
        <f t="shared" si="7"/>
        <v/>
      </c>
      <c r="AJ225" s="202">
        <v>0</v>
      </c>
      <c r="AK225" s="201"/>
      <c r="AL225" s="205"/>
      <c r="AM225" s="201"/>
      <c r="AN225" s="201"/>
      <c r="AO225" s="201"/>
      <c r="AP225" s="205"/>
      <c r="AQ225" s="233"/>
    </row>
    <row r="226" spans="1:43" x14ac:dyDescent="0.2">
      <c r="A226" s="201"/>
      <c r="B226" s="201" t="s">
        <v>1691</v>
      </c>
      <c r="C226" s="201">
        <v>220</v>
      </c>
      <c r="D226" s="201" t="s">
        <v>1979</v>
      </c>
      <c r="E226" s="202">
        <v>21097000</v>
      </c>
      <c r="F226" s="203"/>
      <c r="G226" s="205">
        <v>92</v>
      </c>
      <c r="H226" s="205">
        <v>95</v>
      </c>
      <c r="I226" s="205" t="s">
        <v>360</v>
      </c>
      <c r="J226" s="205"/>
      <c r="K226" s="201"/>
      <c r="L226" s="201"/>
      <c r="M226" s="201"/>
      <c r="N226" s="201"/>
      <c r="O226" s="201"/>
      <c r="P226" s="201"/>
      <c r="Q226" s="201"/>
      <c r="R226" s="201"/>
      <c r="S226" s="201"/>
      <c r="T226" s="205"/>
      <c r="U226" s="201"/>
      <c r="V226" s="201"/>
      <c r="W226" s="201"/>
      <c r="X226" s="201"/>
      <c r="Y226" s="201"/>
      <c r="Z226" s="201"/>
      <c r="AA226" s="201"/>
      <c r="AB226" s="201"/>
      <c r="AC226" s="201"/>
      <c r="AD226" s="201"/>
      <c r="AE226" s="201"/>
      <c r="AF226" s="201"/>
      <c r="AG226" s="201" t="str">
        <f>IF(E226="","",IF(E226&gt;='Reference Tab - Do not Delete'!$E$35,'Reference Tab - Do not Delete'!$D$35,IF(AND(E226&gt;='Reference Tab - Do not Delete'!$E$36,E226&lt;'Reference Tab - Do not Delete'!$E$35),'Reference Tab - Do not Delete'!$D$36,IF(AND(E226&gt;='Reference Tab - Do not Delete'!$E$37,E226&lt;'Reference Tab - Do not Delete'!$E$36),'Reference Tab - Do not Delete'!$D$37,IF(AND(E226&gt;='Reference Tab - Do not Delete'!$E$38,E226&lt;'Reference Tab - Do not Delete'!$E$37),'Reference Tab - Do not Delete'!$D$38,'Reference Tab - Do not Delete'!$D$39)))))</f>
        <v>$500M - $M</v>
      </c>
      <c r="AH226" s="205" t="str">
        <f t="shared" si="6"/>
        <v>Above 50</v>
      </c>
      <c r="AI226" s="205" t="str">
        <f t="shared" si="7"/>
        <v/>
      </c>
      <c r="AJ226" s="202">
        <v>0</v>
      </c>
      <c r="AK226" s="201"/>
      <c r="AL226" s="205"/>
      <c r="AM226" s="201"/>
      <c r="AN226" s="201"/>
      <c r="AO226" s="201"/>
      <c r="AP226" s="205"/>
      <c r="AQ226" s="233"/>
    </row>
    <row r="227" spans="1:43" x14ac:dyDescent="0.2">
      <c r="A227" s="201"/>
      <c r="B227" s="201" t="s">
        <v>1692</v>
      </c>
      <c r="C227" s="201">
        <v>221</v>
      </c>
      <c r="D227" s="201" t="s">
        <v>1979</v>
      </c>
      <c r="E227" s="202">
        <v>20655286</v>
      </c>
      <c r="F227" s="203"/>
      <c r="G227" s="205">
        <v>93</v>
      </c>
      <c r="H227" s="205">
        <v>96</v>
      </c>
      <c r="I227" s="205" t="s">
        <v>360</v>
      </c>
      <c r="J227" s="205"/>
      <c r="K227" s="201"/>
      <c r="L227" s="201"/>
      <c r="M227" s="201"/>
      <c r="N227" s="201"/>
      <c r="O227" s="201"/>
      <c r="P227" s="201"/>
      <c r="Q227" s="201"/>
      <c r="R227" s="201"/>
      <c r="S227" s="201"/>
      <c r="T227" s="205"/>
      <c r="U227" s="201"/>
      <c r="V227" s="201"/>
      <c r="W227" s="201"/>
      <c r="X227" s="201"/>
      <c r="Y227" s="201"/>
      <c r="Z227" s="201"/>
      <c r="AA227" s="201"/>
      <c r="AB227" s="201"/>
      <c r="AC227" s="201"/>
      <c r="AD227" s="201"/>
      <c r="AE227" s="201"/>
      <c r="AF227" s="201"/>
      <c r="AG227" s="201" t="str">
        <f>IF(E227="","",IF(E227&gt;='Reference Tab - Do not Delete'!$E$35,'Reference Tab - Do not Delete'!$D$35,IF(AND(E227&gt;='Reference Tab - Do not Delete'!$E$36,E227&lt;'Reference Tab - Do not Delete'!$E$35),'Reference Tab - Do not Delete'!$D$36,IF(AND(E227&gt;='Reference Tab - Do not Delete'!$E$37,E227&lt;'Reference Tab - Do not Delete'!$E$36),'Reference Tab - Do not Delete'!$D$37,IF(AND(E227&gt;='Reference Tab - Do not Delete'!$E$38,E227&lt;'Reference Tab - Do not Delete'!$E$37),'Reference Tab - Do not Delete'!$D$38,'Reference Tab - Do not Delete'!$D$39)))))</f>
        <v>$500M - $M</v>
      </c>
      <c r="AH227" s="205" t="str">
        <f t="shared" si="6"/>
        <v>Above 50</v>
      </c>
      <c r="AI227" s="205" t="str">
        <f t="shared" si="7"/>
        <v/>
      </c>
      <c r="AJ227" s="202">
        <v>0</v>
      </c>
      <c r="AK227" s="201"/>
      <c r="AL227" s="205"/>
      <c r="AM227" s="201"/>
      <c r="AN227" s="201"/>
      <c r="AO227" s="201"/>
      <c r="AP227" s="205"/>
      <c r="AQ227" s="233"/>
    </row>
    <row r="228" spans="1:43" x14ac:dyDescent="0.2">
      <c r="A228" s="201"/>
      <c r="B228" s="201" t="s">
        <v>1693</v>
      </c>
      <c r="C228" s="201">
        <v>222</v>
      </c>
      <c r="D228" s="201" t="s">
        <v>1979</v>
      </c>
      <c r="E228" s="202">
        <v>20429000</v>
      </c>
      <c r="F228" s="203"/>
      <c r="G228" s="205">
        <v>91</v>
      </c>
      <c r="H228" s="205">
        <v>97</v>
      </c>
      <c r="I228" s="205" t="s">
        <v>360</v>
      </c>
      <c r="J228" s="205"/>
      <c r="K228" s="201"/>
      <c r="L228" s="201"/>
      <c r="M228" s="201"/>
      <c r="N228" s="201"/>
      <c r="O228" s="201"/>
      <c r="P228" s="201"/>
      <c r="Q228" s="201"/>
      <c r="R228" s="201"/>
      <c r="S228" s="201"/>
      <c r="T228" s="205"/>
      <c r="U228" s="201"/>
      <c r="V228" s="201"/>
      <c r="W228" s="201"/>
      <c r="X228" s="201"/>
      <c r="Y228" s="201"/>
      <c r="Z228" s="201"/>
      <c r="AA228" s="201"/>
      <c r="AB228" s="201"/>
      <c r="AC228" s="201"/>
      <c r="AD228" s="201"/>
      <c r="AE228" s="201"/>
      <c r="AF228" s="201"/>
      <c r="AG228" s="201" t="str">
        <f>IF(E228="","",IF(E228&gt;='Reference Tab - Do not Delete'!$E$35,'Reference Tab - Do not Delete'!$D$35,IF(AND(E228&gt;='Reference Tab - Do not Delete'!$E$36,E228&lt;'Reference Tab - Do not Delete'!$E$35),'Reference Tab - Do not Delete'!$D$36,IF(AND(E228&gt;='Reference Tab - Do not Delete'!$E$37,E228&lt;'Reference Tab - Do not Delete'!$E$36),'Reference Tab - Do not Delete'!$D$37,IF(AND(E228&gt;='Reference Tab - Do not Delete'!$E$38,E228&lt;'Reference Tab - Do not Delete'!$E$37),'Reference Tab - Do not Delete'!$D$38,'Reference Tab - Do not Delete'!$D$39)))))</f>
        <v>$500M - $M</v>
      </c>
      <c r="AH228" s="205" t="str">
        <f t="shared" si="6"/>
        <v>Above 50</v>
      </c>
      <c r="AI228" s="205" t="str">
        <f t="shared" si="7"/>
        <v/>
      </c>
      <c r="AJ228" s="202">
        <v>0</v>
      </c>
      <c r="AK228" s="201"/>
      <c r="AL228" s="205"/>
      <c r="AM228" s="201"/>
      <c r="AN228" s="201"/>
      <c r="AO228" s="201"/>
      <c r="AP228" s="205"/>
      <c r="AQ228" s="233"/>
    </row>
    <row r="229" spans="1:43" x14ac:dyDescent="0.2">
      <c r="A229" s="201"/>
      <c r="B229" s="201" t="s">
        <v>1694</v>
      </c>
      <c r="C229" s="201">
        <v>223</v>
      </c>
      <c r="D229" s="201" t="s">
        <v>1979</v>
      </c>
      <c r="E229" s="202">
        <v>19711707</v>
      </c>
      <c r="F229" s="203"/>
      <c r="G229" s="205" t="s">
        <v>1707</v>
      </c>
      <c r="H229" s="205">
        <v>98</v>
      </c>
      <c r="I229" s="205" t="s">
        <v>360</v>
      </c>
      <c r="J229" s="205"/>
      <c r="K229" s="201"/>
      <c r="L229" s="201"/>
      <c r="M229" s="201"/>
      <c r="N229" s="201"/>
      <c r="O229" s="201"/>
      <c r="P229" s="201"/>
      <c r="Q229" s="201"/>
      <c r="R229" s="201"/>
      <c r="S229" s="201"/>
      <c r="T229" s="205"/>
      <c r="U229" s="201"/>
      <c r="V229" s="201"/>
      <c r="W229" s="201"/>
      <c r="X229" s="201"/>
      <c r="Y229" s="201"/>
      <c r="Z229" s="201"/>
      <c r="AA229" s="201"/>
      <c r="AB229" s="201"/>
      <c r="AC229" s="201"/>
      <c r="AD229" s="201"/>
      <c r="AE229" s="201"/>
      <c r="AF229" s="201"/>
      <c r="AG229" s="201" t="str">
        <f>IF(E229="","",IF(E229&gt;='Reference Tab - Do not Delete'!$E$35,'Reference Tab - Do not Delete'!$D$35,IF(AND(E229&gt;='Reference Tab - Do not Delete'!$E$36,E229&lt;'Reference Tab - Do not Delete'!$E$35),'Reference Tab - Do not Delete'!$D$36,IF(AND(E229&gt;='Reference Tab - Do not Delete'!$E$37,E229&lt;'Reference Tab - Do not Delete'!$E$36),'Reference Tab - Do not Delete'!$D$37,IF(AND(E229&gt;='Reference Tab - Do not Delete'!$E$38,E229&lt;'Reference Tab - Do not Delete'!$E$37),'Reference Tab - Do not Delete'!$D$38,'Reference Tab - Do not Delete'!$D$39)))))</f>
        <v>$500M - $M</v>
      </c>
      <c r="AH229" s="205" t="str">
        <f t="shared" si="6"/>
        <v>Above 50</v>
      </c>
      <c r="AI229" s="205" t="str">
        <f t="shared" si="7"/>
        <v/>
      </c>
      <c r="AJ229" s="202">
        <v>0</v>
      </c>
      <c r="AK229" s="201"/>
      <c r="AL229" s="205"/>
      <c r="AM229" s="201"/>
      <c r="AN229" s="201"/>
      <c r="AO229" s="201"/>
      <c r="AP229" s="205"/>
      <c r="AQ229" s="233"/>
    </row>
    <row r="230" spans="1:43" x14ac:dyDescent="0.2">
      <c r="A230" s="201"/>
      <c r="B230" s="201" t="s">
        <v>1695</v>
      </c>
      <c r="C230" s="201">
        <v>224</v>
      </c>
      <c r="D230" s="201" t="s">
        <v>1979</v>
      </c>
      <c r="E230" s="202">
        <v>19505319</v>
      </c>
      <c r="F230" s="203"/>
      <c r="G230" s="205">
        <v>98</v>
      </c>
      <c r="H230" s="205">
        <v>99</v>
      </c>
      <c r="I230" s="205" t="s">
        <v>360</v>
      </c>
      <c r="J230" s="205"/>
      <c r="K230" s="201"/>
      <c r="L230" s="201"/>
      <c r="M230" s="201"/>
      <c r="N230" s="201"/>
      <c r="O230" s="201"/>
      <c r="P230" s="201"/>
      <c r="Q230" s="201"/>
      <c r="R230" s="201"/>
      <c r="S230" s="201"/>
      <c r="T230" s="205"/>
      <c r="U230" s="201"/>
      <c r="V230" s="201"/>
      <c r="W230" s="201"/>
      <c r="X230" s="201"/>
      <c r="Y230" s="201"/>
      <c r="Z230" s="201"/>
      <c r="AA230" s="201"/>
      <c r="AB230" s="201"/>
      <c r="AC230" s="201"/>
      <c r="AD230" s="201"/>
      <c r="AE230" s="201"/>
      <c r="AF230" s="201"/>
      <c r="AG230" s="201" t="str">
        <f>IF(E230="","",IF(E230&gt;='Reference Tab - Do not Delete'!$E$35,'Reference Tab - Do not Delete'!$D$35,IF(AND(E230&gt;='Reference Tab - Do not Delete'!$E$36,E230&lt;'Reference Tab - Do not Delete'!$E$35),'Reference Tab - Do not Delete'!$D$36,IF(AND(E230&gt;='Reference Tab - Do not Delete'!$E$37,E230&lt;'Reference Tab - Do not Delete'!$E$36),'Reference Tab - Do not Delete'!$D$37,IF(AND(E230&gt;='Reference Tab - Do not Delete'!$E$38,E230&lt;'Reference Tab - Do not Delete'!$E$37),'Reference Tab - Do not Delete'!$D$38,'Reference Tab - Do not Delete'!$D$39)))))</f>
        <v>$500M - $M</v>
      </c>
      <c r="AH230" s="205" t="str">
        <f t="shared" si="6"/>
        <v>Above 50</v>
      </c>
      <c r="AI230" s="205" t="str">
        <f t="shared" si="7"/>
        <v/>
      </c>
      <c r="AJ230" s="202">
        <v>0</v>
      </c>
      <c r="AK230" s="201"/>
      <c r="AL230" s="205"/>
      <c r="AM230" s="201"/>
      <c r="AN230" s="201"/>
      <c r="AO230" s="201"/>
      <c r="AP230" s="205"/>
      <c r="AQ230" s="233"/>
    </row>
    <row r="231" spans="1:43" x14ac:dyDescent="0.2">
      <c r="A231" s="201"/>
      <c r="B231" s="201" t="s">
        <v>1696</v>
      </c>
      <c r="C231" s="201">
        <v>225</v>
      </c>
      <c r="D231" s="201" t="s">
        <v>1979</v>
      </c>
      <c r="E231" s="202">
        <v>18803908</v>
      </c>
      <c r="F231" s="203"/>
      <c r="G231" s="205">
        <v>100</v>
      </c>
      <c r="H231" s="205">
        <v>100</v>
      </c>
      <c r="I231" s="205" t="s">
        <v>360</v>
      </c>
      <c r="J231" s="205"/>
      <c r="K231" s="201"/>
      <c r="L231" s="201"/>
      <c r="M231" s="201"/>
      <c r="N231" s="201"/>
      <c r="O231" s="201"/>
      <c r="P231" s="201"/>
      <c r="Q231" s="201"/>
      <c r="R231" s="201"/>
      <c r="S231" s="201"/>
      <c r="T231" s="205"/>
      <c r="U231" s="201"/>
      <c r="V231" s="201"/>
      <c r="W231" s="201"/>
      <c r="X231" s="201"/>
      <c r="Y231" s="201"/>
      <c r="Z231" s="201"/>
      <c r="AA231" s="201"/>
      <c r="AB231" s="201"/>
      <c r="AC231" s="201"/>
      <c r="AD231" s="201"/>
      <c r="AE231" s="201"/>
      <c r="AF231" s="201"/>
      <c r="AG231" s="201" t="str">
        <f>IF(E231="","",IF(E231&gt;='Reference Tab - Do not Delete'!$E$35,'Reference Tab - Do not Delete'!$D$35,IF(AND(E231&gt;='Reference Tab - Do not Delete'!$E$36,E231&lt;'Reference Tab - Do not Delete'!$E$35),'Reference Tab - Do not Delete'!$D$36,IF(AND(E231&gt;='Reference Tab - Do not Delete'!$E$37,E231&lt;'Reference Tab - Do not Delete'!$E$36),'Reference Tab - Do not Delete'!$D$37,IF(AND(E231&gt;='Reference Tab - Do not Delete'!$E$38,E231&lt;'Reference Tab - Do not Delete'!$E$37),'Reference Tab - Do not Delete'!$D$38,'Reference Tab - Do not Delete'!$D$39)))))</f>
        <v>$500M - $M</v>
      </c>
      <c r="AH231" s="205" t="str">
        <f t="shared" si="6"/>
        <v>Above 50</v>
      </c>
      <c r="AI231" s="205" t="str">
        <f t="shared" si="7"/>
        <v/>
      </c>
      <c r="AJ231" s="202">
        <v>0</v>
      </c>
      <c r="AK231" s="201"/>
      <c r="AL231" s="205"/>
      <c r="AM231" s="201"/>
      <c r="AN231" s="201"/>
      <c r="AO231" s="201"/>
      <c r="AP231" s="205"/>
      <c r="AQ231" s="233"/>
    </row>
  </sheetData>
  <autoFilter ref="A6:AQ231" xr:uid="{00000000-0009-0000-0000-000003000000}"/>
  <mergeCells count="6">
    <mergeCell ref="C5:I5"/>
    <mergeCell ref="J5:O5"/>
    <mergeCell ref="AI5:AJ5"/>
    <mergeCell ref="AK5:AQ5"/>
    <mergeCell ref="A1:Q2"/>
    <mergeCell ref="A3:Q4"/>
  </mergeCells>
  <dataValidations count="3">
    <dataValidation type="list" allowBlank="1" showInputMessage="1" showErrorMessage="1" sqref="AO7:AO231" xr:uid="{00000000-0002-0000-0300-000000000000}">
      <formula1>"0 - 12 months,12 - 24 months, &gt;24 months"</formula1>
    </dataValidation>
    <dataValidation type="list" allowBlank="1" showInputMessage="1" showErrorMessage="1" sqref="AP7:AP231" xr:uid="{00000000-0002-0000-0300-000001000000}">
      <formula1>"$M - $5M,$5M - $10M,&gt;$10M"</formula1>
    </dataValidation>
    <dataValidation type="list" allowBlank="1" showInputMessage="1" showErrorMessage="1" sqref="A7:A231" xr:uid="{00000000-0002-0000-0300-000002000000}">
      <formula1>"Sean, Saju, Roopak,Nikhil,Mohit"</formula1>
    </dataValidation>
  </dataValidations>
  <hyperlinks>
    <hyperlink ref="C5" r:id="rId1" xr:uid="{00000000-0004-0000-0300-000000000000}"/>
    <hyperlink ref="J5" r:id="rId2" xr:uid="{00000000-0004-0000-0300-000001000000}"/>
    <hyperlink ref="A5" location="Home!A1" display="Home" xr:uid="{00000000-0004-0000-0300-000002000000}"/>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W109"/>
  <sheetViews>
    <sheetView showGridLines="0" workbookViewId="0">
      <pane xSplit="2" ySplit="6" topLeftCell="C26" activePane="bottomRight" state="frozen"/>
      <selection activeCell="AO10" sqref="AO10"/>
      <selection pane="topRight" activeCell="AO10" sqref="AO10"/>
      <selection pane="bottomLeft" activeCell="AO10" sqref="AO10"/>
      <selection pane="bottomRight" activeCell="X34" sqref="X34"/>
    </sheetView>
  </sheetViews>
  <sheetFormatPr defaultColWidth="9.1796875" defaultRowHeight="10" x14ac:dyDescent="0.2"/>
  <cols>
    <col min="1" max="1" width="13.453125" style="183" bestFit="1" customWidth="1"/>
    <col min="2" max="2" width="16.81640625" style="183" bestFit="1" customWidth="1"/>
    <col min="3" max="3" width="12.54296875" style="183" bestFit="1" customWidth="1"/>
    <col min="4" max="4" width="7.7265625" style="189" bestFit="1" customWidth="1"/>
    <col min="5" max="5" width="7.81640625" style="365" bestFit="1" customWidth="1"/>
    <col min="6" max="6" width="10.54296875" style="224" bestFit="1" customWidth="1"/>
    <col min="7" max="7" width="32.7265625" style="336" bestFit="1" customWidth="1"/>
    <col min="8" max="8" width="60" style="340" bestFit="1" customWidth="1"/>
    <col min="9" max="9" width="13.81640625" style="183" bestFit="1" customWidth="1"/>
    <col min="10" max="10" width="23.453125" style="183" hidden="1" customWidth="1"/>
    <col min="11" max="11" width="11.7265625" style="183" bestFit="1" customWidth="1"/>
    <col min="12" max="12" width="66.26953125" style="183" bestFit="1" customWidth="1"/>
    <col min="13" max="13" width="15.7265625" style="183" bestFit="1" customWidth="1"/>
    <col min="14" max="19" width="7.7265625" style="183" customWidth="1"/>
    <col min="20" max="20" width="11.7265625" style="183" customWidth="1"/>
    <col min="21" max="22" width="7.7265625" style="183" customWidth="1"/>
    <col min="23" max="23" width="8.1796875" style="183" customWidth="1"/>
    <col min="24" max="24" width="66.26953125" style="183" customWidth="1"/>
    <col min="25" max="47" width="7.7265625" style="183" customWidth="1"/>
    <col min="48" max="48" width="6.81640625" style="183" customWidth="1"/>
    <col min="49" max="49" width="2.7265625" style="183" customWidth="1"/>
    <col min="50" max="50" width="7.7265625" style="183" customWidth="1"/>
    <col min="51" max="51" width="6.81640625" style="183" customWidth="1"/>
    <col min="52" max="52" width="2.7265625" style="183" customWidth="1"/>
    <col min="53" max="16384" width="9.1796875" style="183"/>
  </cols>
  <sheetData>
    <row r="1" spans="1:49" ht="20" x14ac:dyDescent="0.3">
      <c r="A1" s="513" t="s">
        <v>2153</v>
      </c>
      <c r="B1" s="513"/>
      <c r="C1" s="513"/>
      <c r="D1" s="513"/>
      <c r="E1" s="513"/>
      <c r="F1" s="513"/>
      <c r="G1" s="513"/>
      <c r="H1" s="513"/>
      <c r="I1" s="513"/>
      <c r="J1" s="513"/>
      <c r="K1" s="513"/>
      <c r="L1" s="513"/>
      <c r="M1" s="216"/>
    </row>
    <row r="2" spans="1:49" ht="14" x14ac:dyDescent="0.3">
      <c r="A2" s="516" t="s">
        <v>2136</v>
      </c>
      <c r="B2" s="516"/>
      <c r="C2" s="516"/>
      <c r="D2" s="516"/>
      <c r="E2" s="516"/>
      <c r="F2" s="516"/>
      <c r="G2" s="516"/>
      <c r="H2" s="516"/>
      <c r="I2" s="516"/>
      <c r="J2" s="516"/>
      <c r="K2" s="516"/>
      <c r="L2" s="516"/>
      <c r="M2" s="422"/>
    </row>
    <row r="3" spans="1:49" ht="14" x14ac:dyDescent="0.3">
      <c r="A3" s="516"/>
      <c r="B3" s="516"/>
      <c r="C3" s="516"/>
      <c r="D3" s="516"/>
      <c r="E3" s="516"/>
      <c r="F3" s="516"/>
      <c r="G3" s="516"/>
      <c r="H3" s="516"/>
      <c r="I3" s="516"/>
      <c r="J3" s="516"/>
      <c r="K3" s="516"/>
      <c r="L3" s="516"/>
      <c r="M3" s="422"/>
    </row>
    <row r="4" spans="1:49" ht="14" x14ac:dyDescent="0.3">
      <c r="A4" s="516"/>
      <c r="B4" s="516"/>
      <c r="C4" s="516"/>
      <c r="D4" s="516"/>
      <c r="E4" s="516"/>
      <c r="F4" s="516"/>
      <c r="G4" s="516"/>
      <c r="H4" s="516"/>
      <c r="I4" s="516"/>
      <c r="J4" s="516"/>
      <c r="K4" s="516"/>
      <c r="L4" s="516"/>
      <c r="M4" s="422"/>
    </row>
    <row r="5" spans="1:49" ht="13" x14ac:dyDescent="0.25">
      <c r="A5" s="229" t="s">
        <v>1709</v>
      </c>
      <c r="F5" s="514" t="s">
        <v>1425</v>
      </c>
      <c r="G5" s="514"/>
      <c r="H5" s="514"/>
      <c r="I5" s="212" t="s">
        <v>1426</v>
      </c>
      <c r="J5" s="515" t="s">
        <v>1427</v>
      </c>
      <c r="K5" s="515"/>
      <c r="L5" s="515"/>
      <c r="M5" s="217"/>
      <c r="N5" s="18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row>
    <row r="6" spans="1:49" s="186" customFormat="1" ht="10.5" x14ac:dyDescent="0.25">
      <c r="A6" s="215" t="s">
        <v>1080</v>
      </c>
      <c r="B6" s="215" t="s">
        <v>1329</v>
      </c>
      <c r="C6" s="215" t="s">
        <v>1417</v>
      </c>
      <c r="D6" s="215" t="s">
        <v>1330</v>
      </c>
      <c r="E6" s="366" t="s">
        <v>1977</v>
      </c>
      <c r="F6" s="332" t="s">
        <v>1457</v>
      </c>
      <c r="G6" s="332" t="s">
        <v>1331</v>
      </c>
      <c r="H6" s="215" t="s">
        <v>1332</v>
      </c>
      <c r="I6" s="215" t="s">
        <v>1479</v>
      </c>
      <c r="J6" s="215" t="s">
        <v>1813</v>
      </c>
      <c r="K6" s="215" t="s">
        <v>1438</v>
      </c>
      <c r="L6" s="215" t="s">
        <v>1978</v>
      </c>
      <c r="M6" s="215" t="s">
        <v>1477</v>
      </c>
      <c r="T6" s="186" t="s">
        <v>1438</v>
      </c>
    </row>
    <row r="7" spans="1:49" x14ac:dyDescent="0.2">
      <c r="A7" s="210" t="s">
        <v>1269</v>
      </c>
      <c r="B7" s="210" t="s">
        <v>1084</v>
      </c>
      <c r="C7" s="210" t="str">
        <f>IF(A7="","",INDEX('Top Insurers and Brokers'!$B$7:$AF$231,(VLOOKUP(A7,'Top Insurers and Brokers'!$B$7:$C$231,2,0)),VLOOKUP(B7,$AV$9:$AW$15,2,0)))</f>
        <v>Alan Schnitzer</v>
      </c>
      <c r="D7" s="211" t="str">
        <f>IF(A7="","",VLOOKUP(A7,'Top Insurers and Brokers'!$B$7:$I$131,8,0))</f>
        <v>US</v>
      </c>
      <c r="E7" s="367" t="str">
        <f>IF(A7="","",VLOOKUP(A7,'Top Insurers and Brokers'!$B$7:$AB$131,11,0))</f>
        <v>Sean</v>
      </c>
      <c r="F7" s="333" t="s">
        <v>1458</v>
      </c>
      <c r="G7" s="334" t="s">
        <v>1419</v>
      </c>
      <c r="H7" s="339" t="s">
        <v>1422</v>
      </c>
      <c r="I7" s="210"/>
      <c r="J7" s="210"/>
      <c r="K7" s="210"/>
      <c r="L7" s="210"/>
      <c r="M7" s="210" t="s">
        <v>1478</v>
      </c>
      <c r="N7" s="210"/>
      <c r="T7" s="183" t="s">
        <v>222</v>
      </c>
      <c r="W7" s="183" t="s">
        <v>222</v>
      </c>
      <c r="X7" s="183" t="s">
        <v>282</v>
      </c>
    </row>
    <row r="8" spans="1:49" x14ac:dyDescent="0.2">
      <c r="A8" s="201" t="s">
        <v>1269</v>
      </c>
      <c r="B8" s="201" t="s">
        <v>1084</v>
      </c>
      <c r="C8" s="201" t="str">
        <f>IF(A8="","",INDEX('Top Insurers and Brokers'!$B$7:$AF$231,(VLOOKUP(A8,'Top Insurers and Brokers'!$B$7:$C$231,2,0)),VLOOKUP(B8,$AV$9:$AW$15,2,0)))</f>
        <v>Alan Schnitzer</v>
      </c>
      <c r="D8" s="205" t="str">
        <f>IF(A8="","",VLOOKUP(A8,'Top Insurers and Brokers'!$B$7:$I$131,8,0))</f>
        <v>US</v>
      </c>
      <c r="E8" s="368" t="str">
        <f>IF(A8="","",VLOOKUP(A8,'Top Insurers and Brokers'!$B$7:$AB$131,11,0))</f>
        <v>Sean</v>
      </c>
      <c r="F8" s="333" t="s">
        <v>1458</v>
      </c>
      <c r="G8" s="335" t="s">
        <v>1420</v>
      </c>
      <c r="H8" s="337" t="s">
        <v>1423</v>
      </c>
      <c r="I8" s="201"/>
      <c r="J8" s="210"/>
      <c r="K8" s="210"/>
      <c r="L8" s="210"/>
      <c r="M8" s="210" t="s">
        <v>1478</v>
      </c>
      <c r="N8" s="201"/>
      <c r="T8" s="183" t="s">
        <v>1428</v>
      </c>
      <c r="W8" s="183" t="s">
        <v>222</v>
      </c>
      <c r="X8" s="183" t="s">
        <v>286</v>
      </c>
    </row>
    <row r="9" spans="1:49" x14ac:dyDescent="0.2">
      <c r="A9" s="201" t="s">
        <v>1269</v>
      </c>
      <c r="B9" s="201" t="s">
        <v>1084</v>
      </c>
      <c r="C9" s="201" t="str">
        <f>IF(A9="","",INDEX('Top Insurers and Brokers'!$B$7:$AF$231,(VLOOKUP(A9,'Top Insurers and Brokers'!$B$7:$C$231,2,0)),VLOOKUP(B9,$AV$9:$AW$15,2,0)))</f>
        <v>Alan Schnitzer</v>
      </c>
      <c r="D9" s="205" t="str">
        <f>IF(A9="","",VLOOKUP(A9,'Top Insurers and Brokers'!$B$7:$I$131,8,0))</f>
        <v>US</v>
      </c>
      <c r="E9" s="368" t="str">
        <f>IF(A9="","",VLOOKUP(A9,'Top Insurers and Brokers'!$B$7:$AB$131,11,0))</f>
        <v>Sean</v>
      </c>
      <c r="F9" s="333" t="s">
        <v>1458</v>
      </c>
      <c r="G9" s="335" t="s">
        <v>1420</v>
      </c>
      <c r="H9" s="337" t="s">
        <v>1424</v>
      </c>
      <c r="I9" s="201"/>
      <c r="J9" s="210"/>
      <c r="K9" s="210" t="s">
        <v>222</v>
      </c>
      <c r="L9" s="210" t="s">
        <v>318</v>
      </c>
      <c r="M9" s="210" t="s">
        <v>1478</v>
      </c>
      <c r="N9" s="201"/>
      <c r="T9" s="183" t="s">
        <v>1429</v>
      </c>
      <c r="W9" s="183" t="s">
        <v>222</v>
      </c>
      <c r="X9" s="183" t="s">
        <v>290</v>
      </c>
      <c r="AV9" s="183" t="s">
        <v>1084</v>
      </c>
      <c r="AW9" s="183">
        <v>12</v>
      </c>
    </row>
    <row r="10" spans="1:49" x14ac:dyDescent="0.2">
      <c r="A10" s="201" t="s">
        <v>1269</v>
      </c>
      <c r="B10" s="201" t="s">
        <v>1084</v>
      </c>
      <c r="C10" s="201" t="str">
        <f>IF(A10="","",INDEX('Top Insurers and Brokers'!$B$7:$AF$231,(VLOOKUP(A10,'Top Insurers and Brokers'!$B$7:$C$231,2,0)),VLOOKUP(B10,$AV$9:$AW$15,2,0)))</f>
        <v>Alan Schnitzer</v>
      </c>
      <c r="D10" s="205" t="str">
        <f>IF(A10="","",VLOOKUP(A10,'Top Insurers and Brokers'!$B$7:$I$131,8,0))</f>
        <v>US</v>
      </c>
      <c r="E10" s="368" t="str">
        <f>IF(A10="","",VLOOKUP(A10,'Top Insurers and Brokers'!$B$7:$AB$131,11,0))</f>
        <v>Sean</v>
      </c>
      <c r="F10" s="333" t="s">
        <v>1458</v>
      </c>
      <c r="G10" s="335" t="s">
        <v>1421</v>
      </c>
      <c r="H10" s="337"/>
      <c r="I10" s="201"/>
      <c r="J10" s="210"/>
      <c r="K10" s="210"/>
      <c r="L10" s="210"/>
      <c r="M10" s="210"/>
      <c r="N10" s="201"/>
      <c r="T10" s="183" t="s">
        <v>1430</v>
      </c>
      <c r="W10" s="183" t="s">
        <v>222</v>
      </c>
      <c r="X10" s="183" t="s">
        <v>297</v>
      </c>
      <c r="AV10" s="183" t="s">
        <v>1085</v>
      </c>
      <c r="AW10" s="183">
        <v>13</v>
      </c>
    </row>
    <row r="11" spans="1:49" x14ac:dyDescent="0.2">
      <c r="A11" s="201" t="s">
        <v>1269</v>
      </c>
      <c r="B11" s="201"/>
      <c r="C11" s="201" t="e">
        <f>IF(A11="","",INDEX('Top Insurers and Brokers'!$B$7:$AF$231,(VLOOKUP(A11,'Top Insurers and Brokers'!$B$7:$C$231,2,0)),VLOOKUP(B11,$AV$9:$AW$15,2,0)))</f>
        <v>#N/A</v>
      </c>
      <c r="D11" s="205" t="str">
        <f>IF(A11="","",VLOOKUP(A11,'Top Insurers and Brokers'!$B$7:$I$131,8,0))</f>
        <v>US</v>
      </c>
      <c r="E11" s="368" t="str">
        <f>IF(A11="","",VLOOKUP(A11,'Top Insurers and Brokers'!$B$7:$AB$131,11,0))</f>
        <v>Sean</v>
      </c>
      <c r="F11" s="333" t="s">
        <v>1460</v>
      </c>
      <c r="G11" s="335" t="s">
        <v>1419</v>
      </c>
      <c r="H11" s="337" t="s">
        <v>1422</v>
      </c>
      <c r="I11" s="201"/>
      <c r="J11" s="210"/>
      <c r="K11" s="210" t="s">
        <v>1452</v>
      </c>
      <c r="L11" s="210" t="s">
        <v>725</v>
      </c>
      <c r="M11" s="210" t="s">
        <v>1478</v>
      </c>
      <c r="N11" s="201"/>
      <c r="T11" s="183" t="s">
        <v>1431</v>
      </c>
      <c r="W11" s="183" t="s">
        <v>222</v>
      </c>
      <c r="X11" s="183" t="s">
        <v>300</v>
      </c>
      <c r="AV11" s="183" t="s">
        <v>1086</v>
      </c>
      <c r="AW11" s="183">
        <v>14</v>
      </c>
    </row>
    <row r="12" spans="1:49" x14ac:dyDescent="0.2">
      <c r="A12" s="201" t="s">
        <v>1269</v>
      </c>
      <c r="B12" s="201"/>
      <c r="C12" s="201" t="e">
        <f>IF(A12="","",INDEX('Top Insurers and Brokers'!$B$7:$AF$231,(VLOOKUP(A12,'Top Insurers and Brokers'!$B$7:$C$231,2,0)),VLOOKUP(B12,$AV$9:$AW$15,2,0)))</f>
        <v>#N/A</v>
      </c>
      <c r="D12" s="205" t="str">
        <f>IF(A12="","",VLOOKUP(A12,'Top Insurers and Brokers'!$B$7:$I$131,8,0))</f>
        <v>US</v>
      </c>
      <c r="E12" s="368" t="str">
        <f>IF(A12="","",VLOOKUP(A12,'Top Insurers and Brokers'!$B$7:$AB$131,11,0))</f>
        <v>Sean</v>
      </c>
      <c r="F12" s="333" t="s">
        <v>1460</v>
      </c>
      <c r="G12" s="335" t="s">
        <v>1419</v>
      </c>
      <c r="H12" s="337" t="s">
        <v>1422</v>
      </c>
      <c r="I12" s="201"/>
      <c r="J12" s="210"/>
      <c r="K12" s="210" t="s">
        <v>1452</v>
      </c>
      <c r="L12" s="210" t="s">
        <v>726</v>
      </c>
      <c r="M12" s="210" t="s">
        <v>1478</v>
      </c>
      <c r="N12" s="201"/>
      <c r="T12" s="183" t="s">
        <v>1432</v>
      </c>
      <c r="W12" s="183" t="s">
        <v>222</v>
      </c>
      <c r="X12" s="183" t="s">
        <v>304</v>
      </c>
      <c r="AV12" s="183" t="s">
        <v>1087</v>
      </c>
      <c r="AW12" s="183">
        <v>15</v>
      </c>
    </row>
    <row r="13" spans="1:49" x14ac:dyDescent="0.2">
      <c r="A13" s="201" t="s">
        <v>1269</v>
      </c>
      <c r="B13" s="201"/>
      <c r="C13" s="201" t="e">
        <f>IF(A13="","",INDEX('Top Insurers and Brokers'!$B$7:$AF$231,(VLOOKUP(A13,'Top Insurers and Brokers'!$B$7:$C$231,2,0)),VLOOKUP(B13,$AV$9:$AW$15,2,0)))</f>
        <v>#N/A</v>
      </c>
      <c r="D13" s="205" t="str">
        <f>IF(A13="","",VLOOKUP(A13,'Top Insurers and Brokers'!$B$7:$I$131,8,0))</f>
        <v>US</v>
      </c>
      <c r="E13" s="368" t="str">
        <f>IF(A13="","",VLOOKUP(A13,'Top Insurers and Brokers'!$B$7:$AB$131,11,0))</f>
        <v>Sean</v>
      </c>
      <c r="F13" s="333" t="s">
        <v>1460</v>
      </c>
      <c r="G13" s="335" t="s">
        <v>1419</v>
      </c>
      <c r="H13" s="337" t="s">
        <v>1422</v>
      </c>
      <c r="I13" s="201"/>
      <c r="J13" s="210"/>
      <c r="K13" s="210" t="s">
        <v>1452</v>
      </c>
      <c r="L13" s="210" t="s">
        <v>978</v>
      </c>
      <c r="M13" s="210" t="s">
        <v>1478</v>
      </c>
      <c r="N13" s="201"/>
      <c r="T13" s="183" t="s">
        <v>1433</v>
      </c>
      <c r="W13" s="183" t="s">
        <v>1428</v>
      </c>
      <c r="X13" s="183" t="s">
        <v>307</v>
      </c>
      <c r="AV13" s="183" t="s">
        <v>1088</v>
      </c>
      <c r="AW13" s="183">
        <v>16</v>
      </c>
    </row>
    <row r="14" spans="1:49" x14ac:dyDescent="0.2">
      <c r="A14" s="201" t="s">
        <v>1269</v>
      </c>
      <c r="B14" s="201"/>
      <c r="C14" s="201" t="e">
        <f>IF(A14="","",INDEX('Top Insurers and Brokers'!$B$7:$AF$231,(VLOOKUP(A14,'Top Insurers and Brokers'!$B$7:$C$231,2,0)),VLOOKUP(B14,$AV$9:$AW$15,2,0)))</f>
        <v>#N/A</v>
      </c>
      <c r="D14" s="205" t="str">
        <f>IF(A14="","",VLOOKUP(A14,'Top Insurers and Brokers'!$B$7:$I$131,8,0))</f>
        <v>US</v>
      </c>
      <c r="E14" s="368" t="str">
        <f>IF(A14="","",VLOOKUP(A14,'Top Insurers and Brokers'!$B$7:$AB$131,11,0))</f>
        <v>Sean</v>
      </c>
      <c r="F14" s="333" t="s">
        <v>1460</v>
      </c>
      <c r="G14" s="335" t="s">
        <v>1420</v>
      </c>
      <c r="H14" s="337" t="s">
        <v>1424</v>
      </c>
      <c r="I14" s="201"/>
      <c r="J14" s="210"/>
      <c r="K14" s="210" t="s">
        <v>1453</v>
      </c>
      <c r="L14" s="210" t="s">
        <v>737</v>
      </c>
      <c r="M14" s="210" t="s">
        <v>1478</v>
      </c>
      <c r="N14" s="201"/>
      <c r="T14" s="183" t="s">
        <v>1434</v>
      </c>
      <c r="W14" s="183" t="s">
        <v>1428</v>
      </c>
      <c r="X14" s="183" t="s">
        <v>310</v>
      </c>
      <c r="AV14" s="183" t="s">
        <v>1089</v>
      </c>
      <c r="AW14" s="183">
        <v>17</v>
      </c>
    </row>
    <row r="15" spans="1:49" x14ac:dyDescent="0.2">
      <c r="A15" s="201" t="s">
        <v>1269</v>
      </c>
      <c r="B15" s="201"/>
      <c r="C15" s="201" t="e">
        <f>IF(A15="","",INDEX('Top Insurers and Brokers'!$B$7:$AF$231,(VLOOKUP(A15,'Top Insurers and Brokers'!$B$7:$C$231,2,0)),VLOOKUP(B15,$AV$9:$AW$15,2,0)))</f>
        <v>#N/A</v>
      </c>
      <c r="D15" s="205" t="str">
        <f>IF(A15="","",VLOOKUP(A15,'Top Insurers and Brokers'!$B$7:$I$131,8,0))</f>
        <v>US</v>
      </c>
      <c r="E15" s="368" t="str">
        <f>IF(A15="","",VLOOKUP(A15,'Top Insurers and Brokers'!$B$7:$AB$131,11,0))</f>
        <v>Sean</v>
      </c>
      <c r="F15" s="333" t="s">
        <v>1460</v>
      </c>
      <c r="G15" s="335" t="s">
        <v>1420</v>
      </c>
      <c r="H15" s="337" t="s">
        <v>1423</v>
      </c>
      <c r="I15" s="201"/>
      <c r="J15" s="210"/>
      <c r="K15" s="210" t="s">
        <v>222</v>
      </c>
      <c r="L15" s="210" t="s">
        <v>282</v>
      </c>
      <c r="M15" s="210" t="s">
        <v>1478</v>
      </c>
      <c r="N15" s="201"/>
      <c r="T15" s="183" t="s">
        <v>1435</v>
      </c>
      <c r="W15" s="183" t="s">
        <v>1428</v>
      </c>
      <c r="X15" s="183" t="s">
        <v>313</v>
      </c>
      <c r="AV15" s="183" t="s">
        <v>1090</v>
      </c>
      <c r="AW15" s="183">
        <v>18</v>
      </c>
    </row>
    <row r="16" spans="1:49" x14ac:dyDescent="0.2">
      <c r="A16" s="201" t="s">
        <v>1269</v>
      </c>
      <c r="B16" s="201"/>
      <c r="C16" s="201" t="e">
        <f>IF(A16="","",INDEX('Top Insurers and Brokers'!$B$7:$AF$231,(VLOOKUP(A16,'Top Insurers and Brokers'!$B$7:$C$231,2,0)),VLOOKUP(B16,$AV$9:$AW$15,2,0)))</f>
        <v>#N/A</v>
      </c>
      <c r="D16" s="205" t="str">
        <f>IF(A16="","",VLOOKUP(A16,'Top Insurers and Brokers'!$B$7:$I$131,8,0))</f>
        <v>US</v>
      </c>
      <c r="E16" s="368" t="str">
        <f>IF(A16="","",VLOOKUP(A16,'Top Insurers and Brokers'!$B$7:$AB$131,11,0))</f>
        <v>Sean</v>
      </c>
      <c r="F16" s="333" t="s">
        <v>1460</v>
      </c>
      <c r="G16" s="335" t="s">
        <v>1420</v>
      </c>
      <c r="H16" s="337" t="s">
        <v>1423</v>
      </c>
      <c r="I16" s="201"/>
      <c r="J16" s="210"/>
      <c r="K16" s="210" t="s">
        <v>222</v>
      </c>
      <c r="L16" s="210" t="s">
        <v>286</v>
      </c>
      <c r="M16" s="210" t="s">
        <v>1478</v>
      </c>
      <c r="N16" s="201"/>
      <c r="T16" s="183" t="s">
        <v>1436</v>
      </c>
      <c r="W16" s="183" t="s">
        <v>1428</v>
      </c>
      <c r="X16" s="183" t="s">
        <v>318</v>
      </c>
    </row>
    <row r="17" spans="1:24" x14ac:dyDescent="0.2">
      <c r="A17" s="201" t="s">
        <v>1269</v>
      </c>
      <c r="B17" s="201"/>
      <c r="C17" s="201" t="e">
        <f>IF(A17="","",INDEX('Top Insurers and Brokers'!$B$7:$AF$231,(VLOOKUP(A17,'Top Insurers and Brokers'!$B$7:$C$231,2,0)),VLOOKUP(B17,$AV$9:$AW$15,2,0)))</f>
        <v>#N/A</v>
      </c>
      <c r="D17" s="205" t="str">
        <f>IF(A17="","",VLOOKUP(A17,'Top Insurers and Brokers'!$B$7:$I$131,8,0))</f>
        <v>US</v>
      </c>
      <c r="E17" s="368" t="str">
        <f>IF(A17="","",VLOOKUP(A17,'Top Insurers and Brokers'!$B$7:$AB$131,11,0))</f>
        <v>Sean</v>
      </c>
      <c r="F17" s="333" t="s">
        <v>1460</v>
      </c>
      <c r="G17" s="335" t="s">
        <v>1419</v>
      </c>
      <c r="H17" s="337" t="s">
        <v>1422</v>
      </c>
      <c r="I17" s="201"/>
      <c r="J17" s="210"/>
      <c r="K17" s="210" t="s">
        <v>222</v>
      </c>
      <c r="L17" s="210" t="s">
        <v>297</v>
      </c>
      <c r="M17" s="210" t="s">
        <v>1478</v>
      </c>
      <c r="N17" s="201"/>
      <c r="T17" s="183" t="s">
        <v>1437</v>
      </c>
      <c r="W17" s="183" t="s">
        <v>1429</v>
      </c>
      <c r="X17" s="183" t="s">
        <v>322</v>
      </c>
    </row>
    <row r="18" spans="1:24" x14ac:dyDescent="0.2">
      <c r="A18" s="201" t="s">
        <v>1269</v>
      </c>
      <c r="B18" s="201"/>
      <c r="C18" s="201" t="e">
        <f>IF(A18="","",INDEX('Top Insurers and Brokers'!$B$7:$AF$231,(VLOOKUP(A18,'Top Insurers and Brokers'!$B$7:$C$231,2,0)),VLOOKUP(B18,$AV$9:$AW$15,2,0)))</f>
        <v>#N/A</v>
      </c>
      <c r="D18" s="205" t="str">
        <f>IF(A18="","",VLOOKUP(A18,'Top Insurers and Brokers'!$B$7:$I$131,8,0))</f>
        <v>US</v>
      </c>
      <c r="E18" s="368" t="str">
        <f>IF(A18="","",VLOOKUP(A18,'Top Insurers and Brokers'!$B$7:$AB$131,11,0))</f>
        <v>Sean</v>
      </c>
      <c r="F18" s="333" t="s">
        <v>1460</v>
      </c>
      <c r="G18" s="335" t="s">
        <v>1420</v>
      </c>
      <c r="H18" s="337" t="s">
        <v>1423</v>
      </c>
      <c r="I18" s="201"/>
      <c r="J18" s="210"/>
      <c r="K18" s="210" t="s">
        <v>222</v>
      </c>
      <c r="L18" s="210" t="s">
        <v>302</v>
      </c>
      <c r="M18" s="210" t="s">
        <v>1478</v>
      </c>
      <c r="N18" s="201"/>
      <c r="W18" s="183" t="s">
        <v>1429</v>
      </c>
      <c r="X18" s="183" t="s">
        <v>325</v>
      </c>
    </row>
    <row r="19" spans="1:24" x14ac:dyDescent="0.2">
      <c r="A19" s="201" t="s">
        <v>1269</v>
      </c>
      <c r="B19" s="201"/>
      <c r="C19" s="201" t="e">
        <f>IF(A19="","",INDEX('Top Insurers and Brokers'!$B$7:$AF$231,(VLOOKUP(A19,'Top Insurers and Brokers'!$B$7:$C$231,2,0)),VLOOKUP(B19,$AV$9:$AW$15,2,0)))</f>
        <v>#N/A</v>
      </c>
      <c r="D19" s="205" t="str">
        <f>IF(A19="","",VLOOKUP(A19,'Top Insurers and Brokers'!$B$7:$I$131,8,0))</f>
        <v>US</v>
      </c>
      <c r="E19" s="368" t="str">
        <f>IF(A19="","",VLOOKUP(A19,'Top Insurers and Brokers'!$B$7:$AB$131,11,0))</f>
        <v>Sean</v>
      </c>
      <c r="F19" s="333" t="s">
        <v>1460</v>
      </c>
      <c r="G19" s="335" t="s">
        <v>1420</v>
      </c>
      <c r="H19" s="337" t="s">
        <v>1424</v>
      </c>
      <c r="I19" s="201"/>
      <c r="J19" s="210"/>
      <c r="K19" s="210" t="s">
        <v>1454</v>
      </c>
      <c r="L19" s="210" t="s">
        <v>758</v>
      </c>
      <c r="M19" s="210" t="s">
        <v>1478</v>
      </c>
      <c r="N19" s="201"/>
      <c r="W19" s="183" t="s">
        <v>1429</v>
      </c>
      <c r="X19" s="183" t="s">
        <v>329</v>
      </c>
    </row>
    <row r="20" spans="1:24" x14ac:dyDescent="0.2">
      <c r="A20" s="201" t="s">
        <v>1269</v>
      </c>
      <c r="B20" s="201"/>
      <c r="C20" s="201" t="e">
        <f>IF(A20="","",INDEX('Top Insurers and Brokers'!$B$7:$AF$231,(VLOOKUP(A20,'Top Insurers and Brokers'!$B$7:$C$231,2,0)),VLOOKUP(B20,$AV$9:$AW$15,2,0)))</f>
        <v>#N/A</v>
      </c>
      <c r="D20" s="205" t="str">
        <f>IF(A20="","",VLOOKUP(A20,'Top Insurers and Brokers'!$B$7:$I$131,8,0))</f>
        <v>US</v>
      </c>
      <c r="E20" s="368" t="str">
        <f>IF(A20="","",VLOOKUP(A20,'Top Insurers and Brokers'!$B$7:$AB$131,11,0))</f>
        <v>Sean</v>
      </c>
      <c r="F20" s="333" t="s">
        <v>1460</v>
      </c>
      <c r="G20" s="335" t="s">
        <v>1420</v>
      </c>
      <c r="H20" s="337" t="s">
        <v>1424</v>
      </c>
      <c r="I20" s="201"/>
      <c r="J20" s="210"/>
      <c r="K20" s="210" t="s">
        <v>1454</v>
      </c>
      <c r="L20" s="210" t="s">
        <v>761</v>
      </c>
      <c r="M20" s="210" t="s">
        <v>1478</v>
      </c>
      <c r="N20" s="201"/>
      <c r="W20" s="183" t="s">
        <v>1429</v>
      </c>
      <c r="X20" s="183" t="s">
        <v>332</v>
      </c>
    </row>
    <row r="21" spans="1:24" x14ac:dyDescent="0.2">
      <c r="A21" s="201" t="s">
        <v>1267</v>
      </c>
      <c r="B21" s="201"/>
      <c r="C21" s="201" t="e">
        <f>IF(A21="","",INDEX('Top Insurers and Brokers'!$B$7:$AF$231,(VLOOKUP(A21,'Top Insurers and Brokers'!$B$7:$C$231,2,0)),VLOOKUP(B21,$AV$9:$AW$15,2,0)))</f>
        <v>#N/A</v>
      </c>
      <c r="D21" s="205" t="str">
        <f>IF(A21="","",VLOOKUP(A21,'Top Insurers and Brokers'!$B$7:$I$131,8,0))</f>
        <v>US</v>
      </c>
      <c r="E21" s="368" t="str">
        <f>IF(A21="","",VLOOKUP(A21,'Top Insurers and Brokers'!$B$7:$AB$131,11,0))</f>
        <v>Amit Gaba</v>
      </c>
      <c r="F21" s="333" t="s">
        <v>274</v>
      </c>
      <c r="G21" s="335" t="s">
        <v>1836</v>
      </c>
      <c r="H21" s="337" t="s">
        <v>1837</v>
      </c>
      <c r="I21" s="201"/>
      <c r="J21" s="210"/>
      <c r="K21" s="210"/>
      <c r="L21" s="210"/>
      <c r="M21" s="210"/>
      <c r="N21" s="201"/>
      <c r="W21" s="183" t="s">
        <v>1429</v>
      </c>
      <c r="X21" s="183" t="s">
        <v>335</v>
      </c>
    </row>
    <row r="22" spans="1:24" x14ac:dyDescent="0.2">
      <c r="A22" s="201" t="s">
        <v>1267</v>
      </c>
      <c r="B22" s="201"/>
      <c r="C22" s="201" t="e">
        <f>IF(A22="","",INDEX('Top Insurers and Brokers'!$B$7:$AF$231,(VLOOKUP(A22,'Top Insurers and Brokers'!$B$7:$C$231,2,0)),VLOOKUP(B22,$AV$9:$AW$15,2,0)))</f>
        <v>#N/A</v>
      </c>
      <c r="D22" s="205" t="str">
        <f>IF(A22="","",VLOOKUP(A22,'Top Insurers and Brokers'!$B$7:$I$131,8,0))</f>
        <v>US</v>
      </c>
      <c r="E22" s="368" t="str">
        <f>IF(A22="","",VLOOKUP(A22,'Top Insurers and Brokers'!$B$7:$AB$131,11,0))</f>
        <v>Amit Gaba</v>
      </c>
      <c r="F22" s="333" t="s">
        <v>274</v>
      </c>
      <c r="G22" s="335" t="s">
        <v>1836</v>
      </c>
      <c r="H22" s="337" t="s">
        <v>1838</v>
      </c>
      <c r="I22" s="201"/>
      <c r="J22" s="210"/>
      <c r="K22" s="210"/>
      <c r="L22" s="210"/>
      <c r="M22" s="210"/>
      <c r="N22" s="201"/>
      <c r="W22" s="183" t="s">
        <v>1429</v>
      </c>
      <c r="X22" s="183" t="s">
        <v>338</v>
      </c>
    </row>
    <row r="23" spans="1:24" x14ac:dyDescent="0.2">
      <c r="A23" s="201" t="s">
        <v>1267</v>
      </c>
      <c r="B23" s="201"/>
      <c r="C23" s="201" t="e">
        <f>IF(A23="","",INDEX('Top Insurers and Brokers'!$B$7:$AF$231,(VLOOKUP(A23,'Top Insurers and Brokers'!$B$7:$C$231,2,0)),VLOOKUP(B23,$AV$9:$AW$15,2,0)))</f>
        <v>#N/A</v>
      </c>
      <c r="D23" s="205" t="str">
        <f>IF(A23="","",VLOOKUP(A23,'Top Insurers and Brokers'!$B$7:$I$131,8,0))</f>
        <v>US</v>
      </c>
      <c r="E23" s="368" t="str">
        <f>IF(A23="","",VLOOKUP(A23,'Top Insurers and Brokers'!$B$7:$AB$131,11,0))</f>
        <v>Amit Gaba</v>
      </c>
      <c r="F23" s="333" t="s">
        <v>274</v>
      </c>
      <c r="G23" s="335" t="s">
        <v>1836</v>
      </c>
      <c r="H23" s="337" t="s">
        <v>1839</v>
      </c>
      <c r="I23" s="201"/>
      <c r="J23" s="210"/>
      <c r="K23" s="210"/>
      <c r="L23" s="210"/>
      <c r="M23" s="210"/>
      <c r="N23" s="201"/>
      <c r="W23" s="183" t="s">
        <v>1429</v>
      </c>
      <c r="X23" s="183" t="s">
        <v>341</v>
      </c>
    </row>
    <row r="24" spans="1:24" x14ac:dyDescent="0.2">
      <c r="A24" s="201" t="s">
        <v>1267</v>
      </c>
      <c r="B24" s="201"/>
      <c r="C24" s="201" t="e">
        <f>IF(A24="","",INDEX('Top Insurers and Brokers'!$B$7:$AF$231,(VLOOKUP(A24,'Top Insurers and Brokers'!$B$7:$C$231,2,0)),VLOOKUP(B24,$AV$9:$AW$15,2,0)))</f>
        <v>#N/A</v>
      </c>
      <c r="D24" s="205" t="str">
        <f>IF(A24="","",VLOOKUP(A24,'Top Insurers and Brokers'!$B$7:$I$131,8,0))</f>
        <v>US</v>
      </c>
      <c r="E24" s="368" t="str">
        <f>IF(A24="","",VLOOKUP(A24,'Top Insurers and Brokers'!$B$7:$AB$131,11,0))</f>
        <v>Amit Gaba</v>
      </c>
      <c r="F24" s="333" t="s">
        <v>274</v>
      </c>
      <c r="G24" s="335" t="s">
        <v>1840</v>
      </c>
      <c r="H24" s="337" t="s">
        <v>1841</v>
      </c>
      <c r="I24" s="201"/>
      <c r="J24" s="210"/>
      <c r="K24" s="210"/>
      <c r="L24" s="210"/>
      <c r="M24" s="210"/>
      <c r="N24" s="201"/>
      <c r="W24" s="183" t="s">
        <v>1430</v>
      </c>
      <c r="X24" s="183" t="s">
        <v>978</v>
      </c>
    </row>
    <row r="25" spans="1:24" x14ac:dyDescent="0.2">
      <c r="A25" s="201" t="s">
        <v>1267</v>
      </c>
      <c r="B25" s="201"/>
      <c r="C25" s="201" t="e">
        <f>IF(A25="","",INDEX('Top Insurers and Brokers'!$B$7:$AF$231,(VLOOKUP(A25,'Top Insurers and Brokers'!$B$7:$C$231,2,0)),VLOOKUP(B25,$AV$9:$AW$15,2,0)))</f>
        <v>#N/A</v>
      </c>
      <c r="D25" s="205" t="str">
        <f>IF(A25="","",VLOOKUP(A25,'Top Insurers and Brokers'!$B$7:$I$131,8,0))</f>
        <v>US</v>
      </c>
      <c r="E25" s="368" t="str">
        <f>IF(A25="","",VLOOKUP(A25,'Top Insurers and Brokers'!$B$7:$AB$131,11,0))</f>
        <v>Amit Gaba</v>
      </c>
      <c r="F25" s="333" t="s">
        <v>274</v>
      </c>
      <c r="G25" s="335" t="s">
        <v>1840</v>
      </c>
      <c r="H25" s="337" t="s">
        <v>2157</v>
      </c>
      <c r="I25" s="201"/>
      <c r="J25" s="210"/>
      <c r="K25" s="210"/>
      <c r="L25" s="210"/>
      <c r="M25" s="210"/>
      <c r="N25" s="201"/>
      <c r="W25" s="183" t="s">
        <v>1430</v>
      </c>
      <c r="X25" s="183" t="s">
        <v>725</v>
      </c>
    </row>
    <row r="26" spans="1:24" ht="20" x14ac:dyDescent="0.2">
      <c r="A26" s="201" t="s">
        <v>1351</v>
      </c>
      <c r="B26" s="201"/>
      <c r="C26" s="201" t="e">
        <f>IF(A26="","",INDEX('Top Insurers and Brokers'!$B$7:$AF$231,(VLOOKUP(A26,'Top Insurers and Brokers'!$B$7:$C$231,2,0)),VLOOKUP(B26,$AV$9:$AW$15,2,0)))</f>
        <v>#N/A</v>
      </c>
      <c r="D26" s="205" t="str">
        <f>IF(A26="","",VLOOKUP(A26,'Top Insurers and Brokers'!$B$7:$I$131,8,0))</f>
        <v>US</v>
      </c>
      <c r="E26" s="368" t="s">
        <v>1976</v>
      </c>
      <c r="F26" s="333" t="s">
        <v>1458</v>
      </c>
      <c r="G26" s="335" t="s">
        <v>1842</v>
      </c>
      <c r="H26" s="338" t="s">
        <v>1844</v>
      </c>
      <c r="I26" s="201"/>
      <c r="J26" s="210"/>
      <c r="K26" s="210"/>
      <c r="L26" s="210"/>
      <c r="M26" s="210"/>
      <c r="N26" s="201"/>
      <c r="W26" s="183" t="s">
        <v>1430</v>
      </c>
      <c r="X26" s="183" t="s">
        <v>726</v>
      </c>
    </row>
    <row r="27" spans="1:24" ht="20" x14ac:dyDescent="0.2">
      <c r="A27" s="201" t="s">
        <v>1351</v>
      </c>
      <c r="B27" s="201"/>
      <c r="C27" s="201" t="e">
        <f>IF(A27="","",INDEX('Top Insurers and Brokers'!$B$7:$AF$231,(VLOOKUP(A27,'Top Insurers and Brokers'!$B$7:$C$231,2,0)),VLOOKUP(B27,$AV$9:$AW$15,2,0)))</f>
        <v>#N/A</v>
      </c>
      <c r="D27" s="205" t="str">
        <f>IF(A27="","",VLOOKUP(A27,'Top Insurers and Brokers'!$B$7:$I$131,8,0))</f>
        <v>US</v>
      </c>
      <c r="E27" s="368" t="s">
        <v>1976</v>
      </c>
      <c r="F27" s="333" t="s">
        <v>1458</v>
      </c>
      <c r="G27" s="335" t="s">
        <v>1843</v>
      </c>
      <c r="H27" s="338" t="s">
        <v>1845</v>
      </c>
      <c r="I27" s="201"/>
      <c r="J27" s="210"/>
      <c r="K27" s="210"/>
      <c r="L27" s="210"/>
      <c r="M27" s="210"/>
      <c r="N27" s="201"/>
      <c r="W27" s="183" t="str">
        <f>T10</f>
        <v>NB-PaaS</v>
      </c>
      <c r="X27" s="183" t="s">
        <v>737</v>
      </c>
    </row>
    <row r="28" spans="1:24" ht="20" x14ac:dyDescent="0.2">
      <c r="A28" s="201" t="s">
        <v>1351</v>
      </c>
      <c r="B28" s="201"/>
      <c r="C28" s="201" t="e">
        <f>IF(A28="","",INDEX('Top Insurers and Brokers'!$B$7:$AF$231,(VLOOKUP(A28,'Top Insurers and Brokers'!$B$7:$C$231,2,0)),VLOOKUP(B28,$AV$9:$AW$15,2,0)))</f>
        <v>#N/A</v>
      </c>
      <c r="D28" s="205" t="str">
        <f>IF(A28="","",VLOOKUP(A28,'Top Insurers and Brokers'!$B$7:$I$131,8,0))</f>
        <v>US</v>
      </c>
      <c r="E28" s="368" t="s">
        <v>1976</v>
      </c>
      <c r="F28" s="333" t="s">
        <v>1458</v>
      </c>
      <c r="G28" s="335" t="s">
        <v>1846</v>
      </c>
      <c r="H28" s="337" t="s">
        <v>1847</v>
      </c>
      <c r="I28" s="201"/>
      <c r="J28" s="210"/>
      <c r="K28" s="210"/>
      <c r="L28" s="210"/>
      <c r="M28" s="210"/>
      <c r="N28" s="201"/>
      <c r="W28" s="183" t="s">
        <v>1432</v>
      </c>
      <c r="X28" s="183" t="s">
        <v>773</v>
      </c>
    </row>
    <row r="29" spans="1:24" ht="20" x14ac:dyDescent="0.2">
      <c r="A29" s="201" t="s">
        <v>1351</v>
      </c>
      <c r="B29" s="201"/>
      <c r="C29" s="201" t="e">
        <f>IF(A29="","",INDEX('Top Insurers and Brokers'!$B$7:$AF$231,(VLOOKUP(A29,'Top Insurers and Brokers'!$B$7:$C$231,2,0)),VLOOKUP(B29,$AV$9:$AW$15,2,0)))</f>
        <v>#N/A</v>
      </c>
      <c r="D29" s="205" t="str">
        <f>IF(A29="","",VLOOKUP(A29,'Top Insurers and Brokers'!$B$7:$I$131,8,0))</f>
        <v>US</v>
      </c>
      <c r="E29" s="368" t="s">
        <v>1976</v>
      </c>
      <c r="F29" s="333" t="s">
        <v>1458</v>
      </c>
      <c r="G29" s="335" t="s">
        <v>1848</v>
      </c>
      <c r="H29" s="338" t="s">
        <v>1849</v>
      </c>
      <c r="I29" s="201"/>
      <c r="J29" s="210"/>
      <c r="K29" s="210"/>
      <c r="L29" s="210"/>
      <c r="M29" s="210"/>
      <c r="N29" s="201"/>
      <c r="W29" s="183" t="s">
        <v>1432</v>
      </c>
      <c r="X29" s="183" t="s">
        <v>749</v>
      </c>
    </row>
    <row r="30" spans="1:24" x14ac:dyDescent="0.2">
      <c r="A30" s="201"/>
      <c r="B30" s="201"/>
      <c r="C30" s="201" t="str">
        <f>IF(A30="","",INDEX('Top Insurers and Brokers'!$B$7:$AF$231,(VLOOKUP(A30,'Top Insurers and Brokers'!$B$7:$C$231,2,0)),VLOOKUP(B30,$AV$9:$AW$15,2,0)))</f>
        <v/>
      </c>
      <c r="D30" s="205" t="str">
        <f>IF(A30="","",VLOOKUP(A30,'Top Insurers and Brokers'!$B$7:$I$131,8,0))</f>
        <v/>
      </c>
      <c r="E30" s="368" t="str">
        <f>IF(A30="","",VLOOKUP(A30,'Top Insurers and Brokers'!$B$7:$AB$131,11,0))</f>
        <v/>
      </c>
      <c r="F30" s="333"/>
      <c r="G30" s="335"/>
      <c r="H30" s="337"/>
      <c r="I30" s="201"/>
      <c r="J30" s="210"/>
      <c r="K30" s="210"/>
      <c r="L30" s="210"/>
      <c r="M30" s="210"/>
      <c r="N30" s="201"/>
      <c r="W30" s="183" t="s">
        <v>1432</v>
      </c>
      <c r="X30" s="183" t="s">
        <v>751</v>
      </c>
    </row>
    <row r="31" spans="1:24" x14ac:dyDescent="0.2">
      <c r="A31" s="201"/>
      <c r="B31" s="201"/>
      <c r="C31" s="201" t="str">
        <f>IF(A31="","",INDEX('Top Insurers and Brokers'!$B$7:$AF$231,(VLOOKUP(A31,'Top Insurers and Brokers'!$B$7:$C$231,2,0)),VLOOKUP(B31,$AV$9:$AW$15,2,0)))</f>
        <v/>
      </c>
      <c r="D31" s="205" t="str">
        <f>IF(A31="","",VLOOKUP(A31,'Top Insurers and Brokers'!$B$7:$I$131,8,0))</f>
        <v/>
      </c>
      <c r="E31" s="368" t="str">
        <f>IF(A31="","",VLOOKUP(A31,'Top Insurers and Brokers'!$B$7:$AB$131,11,0))</f>
        <v/>
      </c>
      <c r="F31" s="333"/>
      <c r="G31" s="335"/>
      <c r="H31" s="337"/>
      <c r="I31" s="201"/>
      <c r="J31" s="210"/>
      <c r="K31" s="210"/>
      <c r="L31" s="210"/>
      <c r="M31" s="210"/>
      <c r="N31" s="201"/>
      <c r="W31" s="183" t="s">
        <v>1433</v>
      </c>
      <c r="X31" s="183" t="s">
        <v>758</v>
      </c>
    </row>
    <row r="32" spans="1:24" x14ac:dyDescent="0.2">
      <c r="A32" s="201"/>
      <c r="B32" s="201"/>
      <c r="C32" s="201" t="str">
        <f>IF(A32="","",INDEX('Top Insurers and Brokers'!$B$7:$AF$231,(VLOOKUP(A32,'Top Insurers and Brokers'!$B$7:$C$231,2,0)),VLOOKUP(B32,$AV$9:$AW$15,2,0)))</f>
        <v/>
      </c>
      <c r="D32" s="205" t="str">
        <f>IF(A32="","",VLOOKUP(A32,'Top Insurers and Brokers'!$B$7:$I$131,8,0))</f>
        <v/>
      </c>
      <c r="E32" s="368" t="str">
        <f>IF(A32="","",VLOOKUP(A32,'Top Insurers and Brokers'!$B$7:$AB$131,11,0))</f>
        <v/>
      </c>
      <c r="F32" s="333"/>
      <c r="G32" s="335"/>
      <c r="H32" s="337"/>
      <c r="I32" s="201"/>
      <c r="J32" s="210"/>
      <c r="K32" s="210"/>
      <c r="L32" s="210"/>
      <c r="M32" s="210"/>
      <c r="N32" s="201"/>
      <c r="W32" s="183" t="s">
        <v>1433</v>
      </c>
      <c r="X32" s="183" t="s">
        <v>1800</v>
      </c>
    </row>
    <row r="33" spans="1:24" x14ac:dyDescent="0.2">
      <c r="A33" s="201"/>
      <c r="B33" s="201"/>
      <c r="C33" s="201" t="str">
        <f>IF(A33="","",INDEX('Top Insurers and Brokers'!$B$7:$AF$231,(VLOOKUP(A33,'Top Insurers and Brokers'!$B$7:$C$231,2,0)),VLOOKUP(B33,$AV$9:$AW$15,2,0)))</f>
        <v/>
      </c>
      <c r="D33" s="205" t="str">
        <f>IF(A33="","",VLOOKUP(A33,'Top Insurers and Brokers'!$B$7:$I$131,8,0))</f>
        <v/>
      </c>
      <c r="E33" s="368" t="str">
        <f>IF(A33="","",VLOOKUP(A33,'Top Insurers and Brokers'!$B$7:$AB$131,11,0))</f>
        <v/>
      </c>
      <c r="F33" s="333"/>
      <c r="G33" s="335"/>
      <c r="H33" s="337"/>
      <c r="I33" s="201"/>
      <c r="J33" s="210"/>
      <c r="K33" s="210"/>
      <c r="L33" s="210"/>
      <c r="M33" s="210"/>
      <c r="N33" s="201"/>
      <c r="W33" s="183" t="s">
        <v>1433</v>
      </c>
      <c r="X33" s="183" t="s">
        <v>761</v>
      </c>
    </row>
    <row r="34" spans="1:24" x14ac:dyDescent="0.2">
      <c r="A34" s="201"/>
      <c r="B34" s="201"/>
      <c r="C34" s="201" t="str">
        <f>IF(A34="","",INDEX('Top Insurers and Brokers'!$B$7:$AF$231,(VLOOKUP(A34,'Top Insurers and Brokers'!$B$7:$C$231,2,0)),VLOOKUP(B34,$AV$9:$AW$15,2,0)))</f>
        <v/>
      </c>
      <c r="D34" s="205" t="str">
        <f>IF(A34="","",VLOOKUP(A34,'Top Insurers and Brokers'!$B$7:$I$131,8,0))</f>
        <v/>
      </c>
      <c r="E34" s="368" t="str">
        <f>IF(A34="","",VLOOKUP(A34,'Top Insurers and Brokers'!$B$7:$AB$131,11,0))</f>
        <v/>
      </c>
      <c r="F34" s="333"/>
      <c r="G34" s="335"/>
      <c r="H34" s="337"/>
      <c r="I34" s="201"/>
      <c r="J34" s="210"/>
      <c r="K34" s="210"/>
      <c r="L34" s="210"/>
      <c r="M34" s="210"/>
      <c r="N34" s="201"/>
      <c r="W34" s="183" t="s">
        <v>1433</v>
      </c>
      <c r="X34" s="183" t="s">
        <v>1801</v>
      </c>
    </row>
    <row r="35" spans="1:24" x14ac:dyDescent="0.2">
      <c r="A35" s="201"/>
      <c r="B35" s="201"/>
      <c r="C35" s="201" t="str">
        <f>IF(A35="","",INDEX('Top Insurers and Brokers'!$B$7:$AF$231,(VLOOKUP(A35,'Top Insurers and Brokers'!$B$7:$C$231,2,0)),VLOOKUP(B35,$AV$9:$AW$15,2,0)))</f>
        <v/>
      </c>
      <c r="D35" s="205" t="str">
        <f>IF(A35="","",VLOOKUP(A35,'Top Insurers and Brokers'!$B$7:$I$131,8,0))</f>
        <v/>
      </c>
      <c r="E35" s="368" t="str">
        <f>IF(A35="","",VLOOKUP(A35,'Top Insurers and Brokers'!$B$7:$AB$131,11,0))</f>
        <v/>
      </c>
      <c r="F35" s="333"/>
      <c r="G35" s="335"/>
      <c r="H35" s="337"/>
      <c r="I35" s="201"/>
      <c r="J35" s="210"/>
      <c r="K35" s="210"/>
      <c r="L35" s="210"/>
      <c r="M35" s="210"/>
      <c r="N35" s="201"/>
      <c r="W35" s="183" t="s">
        <v>1433</v>
      </c>
      <c r="X35" s="183" t="s">
        <v>764</v>
      </c>
    </row>
    <row r="36" spans="1:24" x14ac:dyDescent="0.2">
      <c r="A36" s="201"/>
      <c r="B36" s="201"/>
      <c r="C36" s="201" t="str">
        <f>IF(A36="","",INDEX('Top Insurers and Brokers'!$B$7:$AF$231,(VLOOKUP(A36,'Top Insurers and Brokers'!$B$7:$C$231,2,0)),VLOOKUP(B36,$AV$9:$AW$15,2,0)))</f>
        <v/>
      </c>
      <c r="D36" s="205" t="str">
        <f>IF(A36="","",VLOOKUP(A36,'Top Insurers and Brokers'!$B$7:$I$131,8,0))</f>
        <v/>
      </c>
      <c r="E36" s="368" t="str">
        <f>IF(A36="","",VLOOKUP(A36,'Top Insurers and Brokers'!$B$7:$AB$131,11,0))</f>
        <v/>
      </c>
      <c r="F36" s="333"/>
      <c r="G36" s="335"/>
      <c r="H36" s="337"/>
      <c r="I36" s="201"/>
      <c r="J36" s="210"/>
      <c r="K36" s="210"/>
      <c r="L36" s="210"/>
      <c r="M36" s="210"/>
      <c r="N36" s="201"/>
      <c r="W36" s="183" t="s">
        <v>1434</v>
      </c>
      <c r="X36" s="183" t="s">
        <v>782</v>
      </c>
    </row>
    <row r="37" spans="1:24" x14ac:dyDescent="0.2">
      <c r="A37" s="201"/>
      <c r="B37" s="201"/>
      <c r="C37" s="201" t="str">
        <f>IF(A37="","",INDEX('Top Insurers and Brokers'!$B$7:$AF$231,(VLOOKUP(A37,'Top Insurers and Brokers'!$B$7:$C$231,2,0)),VLOOKUP(B37,$AV$9:$AW$15,2,0)))</f>
        <v/>
      </c>
      <c r="D37" s="205" t="str">
        <f>IF(A37="","",VLOOKUP(A37,'Top Insurers and Brokers'!$B$7:$I$131,8,0))</f>
        <v/>
      </c>
      <c r="E37" s="368" t="str">
        <f>IF(A37="","",VLOOKUP(A37,'Top Insurers and Brokers'!$B$7:$AB$131,11,0))</f>
        <v/>
      </c>
      <c r="F37" s="333"/>
      <c r="G37" s="335"/>
      <c r="H37" s="337"/>
      <c r="I37" s="201"/>
      <c r="J37" s="210"/>
      <c r="K37" s="210"/>
      <c r="L37" s="210"/>
      <c r="M37" s="210"/>
      <c r="N37" s="201"/>
      <c r="W37" s="183" t="s">
        <v>1434</v>
      </c>
      <c r="X37" s="183" t="s">
        <v>783</v>
      </c>
    </row>
    <row r="38" spans="1:24" x14ac:dyDescent="0.2">
      <c r="A38" s="201"/>
      <c r="B38" s="201"/>
      <c r="C38" s="201" t="str">
        <f>IF(A38="","",INDEX('Top Insurers and Brokers'!$B$7:$AF$231,(VLOOKUP(A38,'Top Insurers and Brokers'!$B$7:$C$231,2,0)),VLOOKUP(B38,$AV$9:$AW$15,2,0)))</f>
        <v/>
      </c>
      <c r="D38" s="205" t="str">
        <f>IF(A38="","",VLOOKUP(A38,'Top Insurers and Brokers'!$B$7:$I$131,8,0))</f>
        <v/>
      </c>
      <c r="E38" s="368" t="str">
        <f>IF(A38="","",VLOOKUP(A38,'Top Insurers and Brokers'!$B$7:$AB$131,11,0))</f>
        <v/>
      </c>
      <c r="F38" s="333"/>
      <c r="G38" s="335"/>
      <c r="H38" s="337"/>
      <c r="I38" s="201"/>
      <c r="J38" s="210"/>
      <c r="K38" s="210"/>
      <c r="L38" s="210"/>
      <c r="M38" s="210"/>
      <c r="N38" s="201"/>
      <c r="W38" s="183" t="s">
        <v>1434</v>
      </c>
      <c r="X38" s="183" t="s">
        <v>784</v>
      </c>
    </row>
    <row r="39" spans="1:24" x14ac:dyDescent="0.2">
      <c r="A39" s="201"/>
      <c r="B39" s="201"/>
      <c r="C39" s="201" t="str">
        <f>IF(A39="","",INDEX('Top Insurers and Brokers'!$B$7:$AF$231,(VLOOKUP(A39,'Top Insurers and Brokers'!$B$7:$C$231,2,0)),VLOOKUP(B39,$AV$9:$AW$15,2,0)))</f>
        <v/>
      </c>
      <c r="D39" s="205" t="str">
        <f>IF(A39="","",VLOOKUP(A39,'Top Insurers and Brokers'!$B$7:$I$131,8,0))</f>
        <v/>
      </c>
      <c r="E39" s="368" t="str">
        <f>IF(A39="","",VLOOKUP(A39,'Top Insurers and Brokers'!$B$7:$AB$131,11,0))</f>
        <v/>
      </c>
      <c r="F39" s="333"/>
      <c r="G39" s="335"/>
      <c r="H39" s="337"/>
      <c r="I39" s="201"/>
      <c r="J39" s="210"/>
      <c r="K39" s="210"/>
      <c r="L39" s="210"/>
      <c r="M39" s="210"/>
      <c r="N39" s="201"/>
      <c r="W39" s="183" t="s">
        <v>1435</v>
      </c>
      <c r="X39" s="183" t="s">
        <v>792</v>
      </c>
    </row>
    <row r="40" spans="1:24" x14ac:dyDescent="0.2">
      <c r="A40" s="201"/>
      <c r="B40" s="201"/>
      <c r="C40" s="201" t="str">
        <f>IF(A40="","",INDEX('Top Insurers and Brokers'!$B$7:$AF$231,(VLOOKUP(A40,'Top Insurers and Brokers'!$B$7:$C$231,2,0)),VLOOKUP(B40,$AV$9:$AW$15,2,0)))</f>
        <v/>
      </c>
      <c r="D40" s="205" t="str">
        <f>IF(A40="","",VLOOKUP(A40,'Top Insurers and Brokers'!$B$7:$I$131,8,0))</f>
        <v/>
      </c>
      <c r="E40" s="368" t="str">
        <f>IF(A40="","",VLOOKUP(A40,'Top Insurers and Brokers'!$B$7:$AB$131,11,0))</f>
        <v/>
      </c>
      <c r="F40" s="333"/>
      <c r="G40" s="335"/>
      <c r="H40" s="337"/>
      <c r="I40" s="201"/>
      <c r="J40" s="210"/>
      <c r="K40" s="210"/>
      <c r="L40" s="210"/>
      <c r="M40" s="210"/>
      <c r="N40" s="201"/>
      <c r="W40" s="183" t="s">
        <v>1435</v>
      </c>
      <c r="X40" s="183" t="s">
        <v>793</v>
      </c>
    </row>
    <row r="41" spans="1:24" x14ac:dyDescent="0.2">
      <c r="A41" s="201"/>
      <c r="B41" s="201"/>
      <c r="C41" s="201" t="str">
        <f>IF(A41="","",INDEX('Top Insurers and Brokers'!$B$7:$AF$231,(VLOOKUP(A41,'Top Insurers and Brokers'!$B$7:$C$231,2,0)),VLOOKUP(B41,$AV$9:$AW$15,2,0)))</f>
        <v/>
      </c>
      <c r="D41" s="205" t="str">
        <f>IF(A41="","",VLOOKUP(A41,'Top Insurers and Brokers'!$B$7:$I$131,8,0))</f>
        <v/>
      </c>
      <c r="E41" s="368" t="str">
        <f>IF(A41="","",VLOOKUP(A41,'Top Insurers and Brokers'!$B$7:$AB$131,11,0))</f>
        <v/>
      </c>
      <c r="F41" s="333"/>
      <c r="G41" s="335"/>
      <c r="H41" s="337"/>
      <c r="I41" s="201"/>
      <c r="J41" s="210"/>
      <c r="K41" s="210"/>
      <c r="L41" s="210"/>
      <c r="M41" s="210"/>
      <c r="N41" s="201"/>
      <c r="W41" s="183" t="s">
        <v>1435</v>
      </c>
      <c r="X41" s="183" t="s">
        <v>795</v>
      </c>
    </row>
    <row r="42" spans="1:24" x14ac:dyDescent="0.2">
      <c r="A42" s="201"/>
      <c r="B42" s="201"/>
      <c r="C42" s="201" t="str">
        <f>IF(A42="","",INDEX('Top Insurers and Brokers'!$B$7:$AF$231,(VLOOKUP(A42,'Top Insurers and Brokers'!$B$7:$C$231,2,0)),VLOOKUP(B42,$AV$9:$AW$15,2,0)))</f>
        <v/>
      </c>
      <c r="D42" s="205" t="str">
        <f>IF(A42="","",VLOOKUP(A42,'Top Insurers and Brokers'!$B$7:$I$131,8,0))</f>
        <v/>
      </c>
      <c r="E42" s="368" t="str">
        <f>IF(A42="","",VLOOKUP(A42,'Top Insurers and Brokers'!$B$7:$AB$131,11,0))</f>
        <v/>
      </c>
      <c r="F42" s="333"/>
      <c r="G42" s="335"/>
      <c r="H42" s="337"/>
      <c r="I42" s="201"/>
      <c r="J42" s="210"/>
      <c r="K42" s="210"/>
      <c r="L42" s="210"/>
      <c r="M42" s="210"/>
      <c r="N42" s="201"/>
      <c r="W42" s="183" t="s">
        <v>1435</v>
      </c>
      <c r="X42" s="183" t="s">
        <v>797</v>
      </c>
    </row>
    <row r="43" spans="1:24" x14ac:dyDescent="0.2">
      <c r="A43" s="201"/>
      <c r="B43" s="201"/>
      <c r="C43" s="201" t="str">
        <f>IF(A43="","",INDEX('Top Insurers and Brokers'!$B$7:$AF$231,(VLOOKUP(A43,'Top Insurers and Brokers'!$B$7:$C$231,2,0)),VLOOKUP(B43,$AV$9:$AW$15,2,0)))</f>
        <v/>
      </c>
      <c r="D43" s="205" t="str">
        <f>IF(A43="","",VLOOKUP(A43,'Top Insurers and Brokers'!$B$7:$I$131,8,0))</f>
        <v/>
      </c>
      <c r="E43" s="368" t="str">
        <f>IF(A43="","",VLOOKUP(A43,'Top Insurers and Brokers'!$B$7:$AB$131,11,0))</f>
        <v/>
      </c>
      <c r="F43" s="333"/>
      <c r="G43" s="335"/>
      <c r="H43" s="337"/>
      <c r="I43" s="201"/>
      <c r="J43" s="210"/>
      <c r="K43" s="210"/>
      <c r="L43" s="210"/>
      <c r="M43" s="210"/>
      <c r="N43" s="201"/>
      <c r="W43" s="183" t="s">
        <v>1435</v>
      </c>
      <c r="X43" s="183" t="s">
        <v>799</v>
      </c>
    </row>
    <row r="44" spans="1:24" x14ac:dyDescent="0.2">
      <c r="A44" s="201"/>
      <c r="B44" s="201"/>
      <c r="C44" s="201" t="str">
        <f>IF(A44="","",INDEX('Top Insurers and Brokers'!$B$7:$AF$231,(VLOOKUP(A44,'Top Insurers and Brokers'!$B$7:$C$231,2,0)),VLOOKUP(B44,$AV$9:$AW$15,2,0)))</f>
        <v/>
      </c>
      <c r="D44" s="205" t="str">
        <f>IF(A44="","",VLOOKUP(A44,'Top Insurers and Brokers'!$B$7:$I$131,8,0))</f>
        <v/>
      </c>
      <c r="E44" s="368" t="str">
        <f>IF(A44="","",VLOOKUP(A44,'Top Insurers and Brokers'!$B$7:$AB$131,11,0))</f>
        <v/>
      </c>
      <c r="F44" s="333"/>
      <c r="G44" s="335"/>
      <c r="H44" s="337"/>
      <c r="I44" s="201"/>
      <c r="J44" s="210"/>
      <c r="K44" s="210"/>
      <c r="L44" s="210"/>
      <c r="M44" s="210"/>
      <c r="N44" s="201"/>
      <c r="W44" s="183" t="str">
        <f>T16</f>
        <v>Fin-Auto</v>
      </c>
      <c r="X44" s="183" t="s">
        <v>805</v>
      </c>
    </row>
    <row r="45" spans="1:24" x14ac:dyDescent="0.2">
      <c r="A45" s="201"/>
      <c r="B45" s="201"/>
      <c r="C45" s="201" t="str">
        <f>IF(A45="","",INDEX('Top Insurers and Brokers'!$B$7:$AF$231,(VLOOKUP(A45,'Top Insurers and Brokers'!$B$7:$C$231,2,0)),VLOOKUP(B45,$AV$9:$AW$15,2,0)))</f>
        <v/>
      </c>
      <c r="D45" s="205" t="str">
        <f>IF(A45="","",VLOOKUP(A45,'Top Insurers and Brokers'!$B$7:$I$131,8,0))</f>
        <v/>
      </c>
      <c r="E45" s="368" t="str">
        <f>IF(A45="","",VLOOKUP(A45,'Top Insurers and Brokers'!$B$7:$AB$131,11,0))</f>
        <v/>
      </c>
      <c r="F45" s="333"/>
      <c r="G45" s="335"/>
      <c r="H45" s="337"/>
      <c r="I45" s="201"/>
      <c r="J45" s="210"/>
      <c r="K45" s="210"/>
      <c r="L45" s="210"/>
      <c r="M45" s="210"/>
      <c r="N45" s="201"/>
      <c r="W45" s="183" t="str">
        <f>T17</f>
        <v>TrRFF</v>
      </c>
      <c r="X45" s="183" t="s">
        <v>812</v>
      </c>
    </row>
    <row r="46" spans="1:24" x14ac:dyDescent="0.2">
      <c r="A46" s="201"/>
      <c r="B46" s="201"/>
      <c r="C46" s="201" t="str">
        <f>IF(A46="","",INDEX('Top Insurers and Brokers'!$B$7:$AF$231,(VLOOKUP(A46,'Top Insurers and Brokers'!$B$7:$C$231,2,0)),VLOOKUP(B46,$AV$9:$AW$15,2,0)))</f>
        <v/>
      </c>
      <c r="D46" s="205" t="str">
        <f>IF(A46="","",VLOOKUP(A46,'Top Insurers and Brokers'!$B$7:$I$131,8,0))</f>
        <v/>
      </c>
      <c r="E46" s="368" t="str">
        <f>IF(A46="","",VLOOKUP(A46,'Top Insurers and Brokers'!$B$7:$AB$131,11,0))</f>
        <v/>
      </c>
      <c r="F46" s="333"/>
      <c r="G46" s="335"/>
      <c r="H46" s="337"/>
      <c r="I46" s="201"/>
      <c r="J46" s="210"/>
      <c r="K46" s="210"/>
      <c r="L46" s="210"/>
      <c r="M46" s="210"/>
      <c r="N46" s="201"/>
    </row>
    <row r="47" spans="1:24" x14ac:dyDescent="0.2">
      <c r="A47" s="201"/>
      <c r="B47" s="201"/>
      <c r="C47" s="201" t="str">
        <f>IF(A47="","",INDEX('Top Insurers and Brokers'!$B$7:$AF$231,(VLOOKUP(A47,'Top Insurers and Brokers'!$B$7:$C$231,2,0)),VLOOKUP(B47,$AV$9:$AW$15,2,0)))</f>
        <v/>
      </c>
      <c r="D47" s="205" t="str">
        <f>IF(A47="","",VLOOKUP(A47,'Top Insurers and Brokers'!$B$7:$I$131,8,0))</f>
        <v/>
      </c>
      <c r="E47" s="368" t="str">
        <f>IF(A47="","",VLOOKUP(A47,'Top Insurers and Brokers'!$B$7:$AB$131,11,0))</f>
        <v/>
      </c>
      <c r="F47" s="333"/>
      <c r="G47" s="335"/>
      <c r="H47" s="337"/>
      <c r="I47" s="201"/>
      <c r="J47" s="210"/>
      <c r="K47" s="210"/>
      <c r="L47" s="210"/>
      <c r="M47" s="210"/>
      <c r="N47" s="201"/>
    </row>
    <row r="48" spans="1:24" x14ac:dyDescent="0.2">
      <c r="A48" s="201"/>
      <c r="B48" s="201"/>
      <c r="C48" s="201" t="str">
        <f>IF(A48="","",INDEX('Top Insurers and Brokers'!$B$7:$AF$231,(VLOOKUP(A48,'Top Insurers and Brokers'!$B$7:$C$231,2,0)),VLOOKUP(B48,$AV$9:$AW$15,2,0)))</f>
        <v/>
      </c>
      <c r="D48" s="205" t="str">
        <f>IF(A48="","",VLOOKUP(A48,'Top Insurers and Brokers'!$B$7:$I$131,8,0))</f>
        <v/>
      </c>
      <c r="E48" s="368" t="str">
        <f>IF(A48="","",VLOOKUP(A48,'Top Insurers and Brokers'!$B$7:$AB$131,11,0))</f>
        <v/>
      </c>
      <c r="F48" s="333"/>
      <c r="G48" s="335"/>
      <c r="H48" s="337"/>
      <c r="I48" s="201"/>
      <c r="J48" s="210"/>
      <c r="K48" s="210"/>
      <c r="L48" s="210"/>
      <c r="M48" s="210"/>
      <c r="N48" s="201"/>
    </row>
    <row r="49" spans="1:14" x14ac:dyDescent="0.2">
      <c r="A49" s="201"/>
      <c r="B49" s="201"/>
      <c r="C49" s="201" t="str">
        <f>IF(A49="","",INDEX('Top Insurers and Brokers'!$B$7:$AF$231,(VLOOKUP(A49,'Top Insurers and Brokers'!$B$7:$C$231,2,0)),VLOOKUP(B49,$AV$9:$AW$15,2,0)))</f>
        <v/>
      </c>
      <c r="D49" s="205" t="str">
        <f>IF(A49="","",VLOOKUP(A49,'Top Insurers and Brokers'!$B$7:$I$131,8,0))</f>
        <v/>
      </c>
      <c r="E49" s="368" t="str">
        <f>IF(A49="","",VLOOKUP(A49,'Top Insurers and Brokers'!$B$7:$AB$131,11,0))</f>
        <v/>
      </c>
      <c r="F49" s="333"/>
      <c r="G49" s="335"/>
      <c r="H49" s="337"/>
      <c r="I49" s="201"/>
      <c r="J49" s="210"/>
      <c r="K49" s="210"/>
      <c r="L49" s="210"/>
      <c r="M49" s="210"/>
      <c r="N49" s="201"/>
    </row>
    <row r="50" spans="1:14" x14ac:dyDescent="0.2">
      <c r="A50" s="201"/>
      <c r="B50" s="201"/>
      <c r="C50" s="201" t="str">
        <f>IF(A50="","",INDEX('Top Insurers and Brokers'!$B$7:$AF$231,(VLOOKUP(A50,'Top Insurers and Brokers'!$B$7:$C$231,2,0)),VLOOKUP(B50,$AV$9:$AW$15,2,0)))</f>
        <v/>
      </c>
      <c r="D50" s="205" t="str">
        <f>IF(A50="","",VLOOKUP(A50,'Top Insurers and Brokers'!$B$7:$I$131,8,0))</f>
        <v/>
      </c>
      <c r="E50" s="368" t="str">
        <f>IF(A50="","",VLOOKUP(A50,'Top Insurers and Brokers'!$B$7:$AB$131,11,0))</f>
        <v/>
      </c>
      <c r="F50" s="333"/>
      <c r="G50" s="335"/>
      <c r="H50" s="337"/>
      <c r="I50" s="201"/>
      <c r="J50" s="210"/>
      <c r="K50" s="210"/>
      <c r="L50" s="210"/>
      <c r="M50" s="210"/>
      <c r="N50" s="201"/>
    </row>
    <row r="51" spans="1:14" x14ac:dyDescent="0.2">
      <c r="A51" s="201"/>
      <c r="B51" s="201"/>
      <c r="C51" s="201" t="str">
        <f>IF(A51="","",INDEX('Top Insurers and Brokers'!$B$7:$AF$231,(VLOOKUP(A51,'Top Insurers and Brokers'!$B$7:$C$231,2,0)),VLOOKUP(B51,$AV$9:$AW$15,2,0)))</f>
        <v/>
      </c>
      <c r="D51" s="205" t="str">
        <f>IF(A51="","",VLOOKUP(A51,'Top Insurers and Brokers'!$B$7:$I$131,8,0))</f>
        <v/>
      </c>
      <c r="E51" s="368" t="str">
        <f>IF(A51="","",VLOOKUP(A51,'Top Insurers and Brokers'!$B$7:$AB$131,11,0))</f>
        <v/>
      </c>
      <c r="F51" s="333"/>
      <c r="G51" s="335"/>
      <c r="H51" s="337"/>
      <c r="I51" s="201"/>
      <c r="J51" s="210"/>
      <c r="K51" s="210"/>
      <c r="L51" s="210"/>
      <c r="M51" s="210"/>
      <c r="N51" s="201"/>
    </row>
    <row r="52" spans="1:14" x14ac:dyDescent="0.2">
      <c r="A52" s="201"/>
      <c r="B52" s="201"/>
      <c r="C52" s="201" t="str">
        <f>IF(A52="","",INDEX('Top Insurers and Brokers'!$B$7:$AF$231,(VLOOKUP(A52,'Top Insurers and Brokers'!$B$7:$C$231,2,0)),VLOOKUP(B52,$AV$9:$AW$15,2,0)))</f>
        <v/>
      </c>
      <c r="D52" s="205" t="str">
        <f>IF(A52="","",VLOOKUP(A52,'Top Insurers and Brokers'!$B$7:$I$131,8,0))</f>
        <v/>
      </c>
      <c r="E52" s="368" t="str">
        <f>IF(A52="","",VLOOKUP(A52,'Top Insurers and Brokers'!$B$7:$AB$131,11,0))</f>
        <v/>
      </c>
      <c r="F52" s="333"/>
      <c r="G52" s="335"/>
      <c r="H52" s="337"/>
      <c r="I52" s="201"/>
      <c r="J52" s="210"/>
      <c r="K52" s="210"/>
      <c r="L52" s="210"/>
      <c r="M52" s="210"/>
      <c r="N52" s="201"/>
    </row>
    <row r="53" spans="1:14" x14ac:dyDescent="0.2">
      <c r="A53" s="201"/>
      <c r="B53" s="201"/>
      <c r="C53" s="201" t="str">
        <f>IF(A53="","",INDEX('Top Insurers and Brokers'!$B$7:$AF$231,(VLOOKUP(A53,'Top Insurers and Brokers'!$B$7:$C$231,2,0)),VLOOKUP(B53,$AV$9:$AW$15,2,0)))</f>
        <v/>
      </c>
      <c r="D53" s="205" t="str">
        <f>IF(A53="","",VLOOKUP(A53,'Top Insurers and Brokers'!$B$7:$I$131,8,0))</f>
        <v/>
      </c>
      <c r="E53" s="368" t="str">
        <f>IF(A53="","",VLOOKUP(A53,'Top Insurers and Brokers'!$B$7:$AB$131,11,0))</f>
        <v/>
      </c>
      <c r="F53" s="333"/>
      <c r="G53" s="335"/>
      <c r="H53" s="337"/>
      <c r="I53" s="201"/>
      <c r="J53" s="210"/>
      <c r="K53" s="210"/>
      <c r="L53" s="210"/>
      <c r="M53" s="210"/>
      <c r="N53" s="201"/>
    </row>
    <row r="54" spans="1:14" x14ac:dyDescent="0.2">
      <c r="A54" s="201"/>
      <c r="B54" s="201"/>
      <c r="C54" s="201" t="str">
        <f>IF(A54="","",INDEX('Top Insurers and Brokers'!$B$7:$AF$231,(VLOOKUP(A54,'Top Insurers and Brokers'!$B$7:$C$231,2,0)),VLOOKUP(B54,$AV$9:$AW$15,2,0)))</f>
        <v/>
      </c>
      <c r="D54" s="205" t="str">
        <f>IF(A54="","",VLOOKUP(A54,'Top Insurers and Brokers'!$B$7:$I$131,8,0))</f>
        <v/>
      </c>
      <c r="E54" s="368" t="str">
        <f>IF(A54="","",VLOOKUP(A54,'Top Insurers and Brokers'!$B$7:$AB$131,11,0))</f>
        <v/>
      </c>
      <c r="F54" s="333"/>
      <c r="G54" s="335"/>
      <c r="H54" s="337"/>
      <c r="I54" s="201"/>
      <c r="J54" s="210"/>
      <c r="K54" s="210"/>
      <c r="L54" s="210"/>
      <c r="M54" s="210"/>
      <c r="N54" s="201"/>
    </row>
    <row r="55" spans="1:14" x14ac:dyDescent="0.2">
      <c r="A55" s="201"/>
      <c r="B55" s="201"/>
      <c r="C55" s="201" t="str">
        <f>IF(A55="","",INDEX('Top Insurers and Brokers'!$B$7:$AF$231,(VLOOKUP(A55,'Top Insurers and Brokers'!$B$7:$C$231,2,0)),VLOOKUP(B55,$AV$9:$AW$15,2,0)))</f>
        <v/>
      </c>
      <c r="D55" s="205" t="str">
        <f>IF(A55="","",VLOOKUP(A55,'Top Insurers and Brokers'!$B$7:$I$131,8,0))</f>
        <v/>
      </c>
      <c r="E55" s="368" t="str">
        <f>IF(A55="","",VLOOKUP(A55,'Top Insurers and Brokers'!$B$7:$AB$131,11,0))</f>
        <v/>
      </c>
      <c r="F55" s="333"/>
      <c r="G55" s="335"/>
      <c r="H55" s="337"/>
      <c r="I55" s="201"/>
      <c r="J55" s="210"/>
      <c r="K55" s="210"/>
      <c r="L55" s="210"/>
      <c r="M55" s="210"/>
      <c r="N55" s="201"/>
    </row>
    <row r="56" spans="1:14" x14ac:dyDescent="0.2">
      <c r="A56" s="201"/>
      <c r="B56" s="201"/>
      <c r="C56" s="201" t="str">
        <f>IF(A56="","",INDEX('Top Insurers and Brokers'!$B$7:$AF$231,(VLOOKUP(A56,'Top Insurers and Brokers'!$B$7:$C$231,2,0)),VLOOKUP(B56,$AV$9:$AW$15,2,0)))</f>
        <v/>
      </c>
      <c r="D56" s="205" t="str">
        <f>IF(A56="","",VLOOKUP(A56,'Top Insurers and Brokers'!$B$7:$I$131,8,0))</f>
        <v/>
      </c>
      <c r="E56" s="368" t="str">
        <f>IF(A56="","",VLOOKUP(A56,'Top Insurers and Brokers'!$B$7:$AB$131,11,0))</f>
        <v/>
      </c>
      <c r="F56" s="333"/>
      <c r="G56" s="335"/>
      <c r="H56" s="337"/>
      <c r="I56" s="201"/>
      <c r="J56" s="210"/>
      <c r="K56" s="210"/>
      <c r="L56" s="210"/>
      <c r="M56" s="210"/>
      <c r="N56" s="201"/>
    </row>
    <row r="57" spans="1:14" x14ac:dyDescent="0.2">
      <c r="A57" s="201"/>
      <c r="B57" s="201"/>
      <c r="C57" s="201" t="str">
        <f>IF(A57="","",INDEX('Top Insurers and Brokers'!$B$7:$AF$231,(VLOOKUP(A57,'Top Insurers and Brokers'!$B$7:$C$231,2,0)),VLOOKUP(B57,$AV$9:$AW$15,2,0)))</f>
        <v/>
      </c>
      <c r="D57" s="205" t="str">
        <f>IF(A57="","",VLOOKUP(A57,'Top Insurers and Brokers'!$B$7:$I$131,8,0))</f>
        <v/>
      </c>
      <c r="E57" s="368" t="str">
        <f>IF(A57="","",VLOOKUP(A57,'Top Insurers and Brokers'!$B$7:$AB$131,11,0))</f>
        <v/>
      </c>
      <c r="F57" s="333"/>
      <c r="G57" s="335"/>
      <c r="H57" s="337"/>
      <c r="I57" s="201"/>
      <c r="J57" s="210"/>
      <c r="K57" s="210"/>
      <c r="L57" s="210"/>
      <c r="M57" s="210"/>
      <c r="N57" s="201"/>
    </row>
    <row r="58" spans="1:14" x14ac:dyDescent="0.2">
      <c r="A58" s="201"/>
      <c r="B58" s="201"/>
      <c r="C58" s="201" t="str">
        <f>IF(A58="","",INDEX('Top Insurers and Brokers'!$B$7:$AF$231,(VLOOKUP(A58,'Top Insurers and Brokers'!$B$7:$C$231,2,0)),VLOOKUP(B58,$AV$9:$AW$15,2,0)))</f>
        <v/>
      </c>
      <c r="D58" s="205" t="str">
        <f>IF(A58="","",VLOOKUP(A58,'Top Insurers and Brokers'!$B$7:$I$131,8,0))</f>
        <v/>
      </c>
      <c r="E58" s="368" t="str">
        <f>IF(A58="","",VLOOKUP(A58,'Top Insurers and Brokers'!$B$7:$AB$131,11,0))</f>
        <v/>
      </c>
      <c r="F58" s="333"/>
      <c r="G58" s="335"/>
      <c r="H58" s="337"/>
      <c r="I58" s="201"/>
      <c r="J58" s="210"/>
      <c r="K58" s="210"/>
      <c r="L58" s="210"/>
      <c r="M58" s="210"/>
      <c r="N58" s="201"/>
    </row>
    <row r="59" spans="1:14" x14ac:dyDescent="0.2">
      <c r="A59" s="201"/>
      <c r="B59" s="201"/>
      <c r="C59" s="201" t="str">
        <f>IF(A59="","",INDEX('Top Insurers and Brokers'!$B$7:$AF$231,(VLOOKUP(A59,'Top Insurers and Brokers'!$B$7:$C$231,2,0)),VLOOKUP(B59,$AV$9:$AW$15,2,0)))</f>
        <v/>
      </c>
      <c r="D59" s="205" t="str">
        <f>IF(A59="","",VLOOKUP(A59,'Top Insurers and Brokers'!$B$7:$I$131,8,0))</f>
        <v/>
      </c>
      <c r="E59" s="368" t="str">
        <f>IF(A59="","",VLOOKUP(A59,'Top Insurers and Brokers'!$B$7:$AB$131,11,0))</f>
        <v/>
      </c>
      <c r="F59" s="333"/>
      <c r="G59" s="335"/>
      <c r="H59" s="337"/>
      <c r="I59" s="201"/>
      <c r="J59" s="210"/>
      <c r="K59" s="210"/>
      <c r="L59" s="210"/>
      <c r="M59" s="210"/>
      <c r="N59" s="201"/>
    </row>
    <row r="60" spans="1:14" x14ac:dyDescent="0.2">
      <c r="A60" s="201"/>
      <c r="B60" s="201"/>
      <c r="C60" s="201" t="str">
        <f>IF(A60="","",INDEX('Top Insurers and Brokers'!$B$7:$AF$231,(VLOOKUP(A60,'Top Insurers and Brokers'!$B$7:$C$231,2,0)),VLOOKUP(B60,$AV$9:$AW$15,2,0)))</f>
        <v/>
      </c>
      <c r="D60" s="205" t="str">
        <f>IF(A60="","",VLOOKUP(A60,'Top Insurers and Brokers'!$B$7:$I$131,8,0))</f>
        <v/>
      </c>
      <c r="E60" s="368" t="str">
        <f>IF(A60="","",VLOOKUP(A60,'Top Insurers and Brokers'!$B$7:$AB$131,11,0))</f>
        <v/>
      </c>
      <c r="F60" s="333"/>
      <c r="G60" s="335"/>
      <c r="H60" s="337"/>
      <c r="I60" s="201"/>
      <c r="J60" s="210"/>
      <c r="K60" s="210"/>
      <c r="L60" s="210"/>
      <c r="M60" s="210"/>
      <c r="N60" s="201"/>
    </row>
    <row r="61" spans="1:14" x14ac:dyDescent="0.2">
      <c r="A61" s="201"/>
      <c r="B61" s="201"/>
      <c r="C61" s="201" t="str">
        <f>IF(A61="","",INDEX('Top Insurers and Brokers'!$B$7:$AF$231,(VLOOKUP(A61,'Top Insurers and Brokers'!$B$7:$C$231,2,0)),VLOOKUP(B61,$AV$9:$AW$15,2,0)))</f>
        <v/>
      </c>
      <c r="D61" s="205" t="str">
        <f>IF(A61="","",VLOOKUP(A61,'Top Insurers and Brokers'!$B$7:$I$131,8,0))</f>
        <v/>
      </c>
      <c r="E61" s="368" t="str">
        <f>IF(A61="","",VLOOKUP(A61,'Top Insurers and Brokers'!$B$7:$AB$131,11,0))</f>
        <v/>
      </c>
      <c r="F61" s="333"/>
      <c r="G61" s="335"/>
      <c r="H61" s="337"/>
      <c r="I61" s="201"/>
      <c r="J61" s="210"/>
      <c r="K61" s="210"/>
      <c r="L61" s="210"/>
      <c r="M61" s="210"/>
      <c r="N61" s="201"/>
    </row>
    <row r="62" spans="1:14" x14ac:dyDescent="0.2">
      <c r="A62" s="201"/>
      <c r="B62" s="201"/>
      <c r="C62" s="201" t="str">
        <f>IF(A62="","",INDEX('Top Insurers and Brokers'!$B$7:$AF$231,(VLOOKUP(A62,'Top Insurers and Brokers'!$B$7:$C$231,2,0)),VLOOKUP(B62,$AV$9:$AW$15,2,0)))</f>
        <v/>
      </c>
      <c r="D62" s="205" t="str">
        <f>IF(A62="","",VLOOKUP(A62,'Top Insurers and Brokers'!$B$7:$I$131,8,0))</f>
        <v/>
      </c>
      <c r="E62" s="368" t="str">
        <f>IF(A62="","",VLOOKUP(A62,'Top Insurers and Brokers'!$B$7:$AB$131,11,0))</f>
        <v/>
      </c>
      <c r="F62" s="333"/>
      <c r="G62" s="335"/>
      <c r="H62" s="337"/>
      <c r="I62" s="201"/>
      <c r="J62" s="210"/>
      <c r="K62" s="210"/>
      <c r="L62" s="210"/>
      <c r="M62" s="210"/>
      <c r="N62" s="201"/>
    </row>
    <row r="63" spans="1:14" x14ac:dyDescent="0.2">
      <c r="A63" s="201"/>
      <c r="B63" s="201"/>
      <c r="C63" s="201" t="str">
        <f>IF(A63="","",INDEX('Top Insurers and Brokers'!$B$7:$AF$231,(VLOOKUP(A63,'Top Insurers and Brokers'!$B$7:$C$231,2,0)),VLOOKUP(B63,$AV$9:$AW$15,2,0)))</f>
        <v/>
      </c>
      <c r="D63" s="205" t="str">
        <f>IF(A63="","",VLOOKUP(A63,'Top Insurers and Brokers'!$B$7:$I$131,8,0))</f>
        <v/>
      </c>
      <c r="E63" s="368" t="str">
        <f>IF(A63="","",VLOOKUP(A63,'Top Insurers and Brokers'!$B$7:$AB$131,11,0))</f>
        <v/>
      </c>
      <c r="F63" s="333"/>
      <c r="G63" s="335"/>
      <c r="H63" s="337"/>
      <c r="I63" s="201"/>
      <c r="J63" s="210"/>
      <c r="K63" s="210"/>
      <c r="L63" s="210"/>
      <c r="M63" s="210"/>
      <c r="N63" s="201"/>
    </row>
    <row r="64" spans="1:14" x14ac:dyDescent="0.2">
      <c r="A64" s="201"/>
      <c r="B64" s="201"/>
      <c r="C64" s="201" t="str">
        <f>IF(A64="","",INDEX('Top Insurers and Brokers'!$B$7:$AF$231,(VLOOKUP(A64,'Top Insurers and Brokers'!$B$7:$C$231,2,0)),VLOOKUP(B64,$AV$9:$AW$15,2,0)))</f>
        <v/>
      </c>
      <c r="D64" s="205" t="str">
        <f>IF(A64="","",VLOOKUP(A64,'Top Insurers and Brokers'!$B$7:$I$131,8,0))</f>
        <v/>
      </c>
      <c r="E64" s="368" t="str">
        <f>IF(A64="","",VLOOKUP(A64,'Top Insurers and Brokers'!$B$7:$AB$131,11,0))</f>
        <v/>
      </c>
      <c r="F64" s="333"/>
      <c r="G64" s="335"/>
      <c r="H64" s="337"/>
      <c r="I64" s="201"/>
      <c r="J64" s="210"/>
      <c r="K64" s="210"/>
      <c r="L64" s="210"/>
      <c r="M64" s="210"/>
      <c r="N64" s="201"/>
    </row>
    <row r="65" spans="1:14" x14ac:dyDescent="0.2">
      <c r="A65" s="201"/>
      <c r="B65" s="201"/>
      <c r="C65" s="201" t="str">
        <f>IF(A65="","",INDEX('Top Insurers and Brokers'!$B$7:$AF$231,(VLOOKUP(A65,'Top Insurers and Brokers'!$B$7:$C$231,2,0)),VLOOKUP(B65,$AV$9:$AW$15,2,0)))</f>
        <v/>
      </c>
      <c r="D65" s="205" t="str">
        <f>IF(A65="","",VLOOKUP(A65,'Top Insurers and Brokers'!$B$7:$I$131,8,0))</f>
        <v/>
      </c>
      <c r="E65" s="368" t="str">
        <f>IF(A65="","",VLOOKUP(A65,'Top Insurers and Brokers'!$B$7:$AB$131,11,0))</f>
        <v/>
      </c>
      <c r="F65" s="333"/>
      <c r="G65" s="335"/>
      <c r="H65" s="337"/>
      <c r="I65" s="201"/>
      <c r="J65" s="210"/>
      <c r="K65" s="210"/>
      <c r="L65" s="210"/>
      <c r="M65" s="210"/>
      <c r="N65" s="201"/>
    </row>
    <row r="66" spans="1:14" x14ac:dyDescent="0.2">
      <c r="A66" s="201"/>
      <c r="B66" s="201"/>
      <c r="C66" s="201" t="str">
        <f>IF(A66="","",INDEX('Top Insurers and Brokers'!$B$7:$AF$231,(VLOOKUP(A66,'Top Insurers and Brokers'!$B$7:$C$231,2,0)),VLOOKUP(B66,$AV$9:$AW$15,2,0)))</f>
        <v/>
      </c>
      <c r="D66" s="205" t="str">
        <f>IF(A66="","",VLOOKUP(A66,'Top Insurers and Brokers'!$B$7:$I$131,8,0))</f>
        <v/>
      </c>
      <c r="E66" s="368" t="str">
        <f>IF(A66="","",VLOOKUP(A66,'Top Insurers and Brokers'!$B$7:$AB$131,11,0))</f>
        <v/>
      </c>
      <c r="F66" s="333"/>
      <c r="G66" s="335"/>
      <c r="H66" s="337"/>
      <c r="I66" s="201"/>
      <c r="J66" s="210"/>
      <c r="K66" s="210"/>
      <c r="L66" s="210"/>
      <c r="M66" s="210"/>
      <c r="N66" s="201"/>
    </row>
    <row r="67" spans="1:14" x14ac:dyDescent="0.2">
      <c r="A67" s="201"/>
      <c r="B67" s="201"/>
      <c r="C67" s="201" t="str">
        <f>IF(A67="","",INDEX('Top Insurers and Brokers'!$B$7:$AF$231,(VLOOKUP(A67,'Top Insurers and Brokers'!$B$7:$C$231,2,0)),VLOOKUP(B67,$AV$9:$AW$15,2,0)))</f>
        <v/>
      </c>
      <c r="D67" s="205" t="str">
        <f>IF(A67="","",VLOOKUP(A67,'Top Insurers and Brokers'!$B$7:$I$131,8,0))</f>
        <v/>
      </c>
      <c r="E67" s="368" t="str">
        <f>IF(A67="","",VLOOKUP(A67,'Top Insurers and Brokers'!$B$7:$AB$131,11,0))</f>
        <v/>
      </c>
      <c r="F67" s="333"/>
      <c r="G67" s="335"/>
      <c r="H67" s="337"/>
      <c r="I67" s="201"/>
      <c r="J67" s="210"/>
      <c r="K67" s="210"/>
      <c r="L67" s="210"/>
      <c r="M67" s="210"/>
      <c r="N67" s="201"/>
    </row>
    <row r="68" spans="1:14" x14ac:dyDescent="0.2">
      <c r="A68" s="201"/>
      <c r="B68" s="201"/>
      <c r="C68" s="201" t="str">
        <f>IF(A68="","",INDEX('Top Insurers and Brokers'!$B$7:$AF$231,(VLOOKUP(A68,'Top Insurers and Brokers'!$B$7:$C$231,2,0)),VLOOKUP(B68,$AV$9:$AW$15,2,0)))</f>
        <v/>
      </c>
      <c r="D68" s="205" t="str">
        <f>IF(A68="","",VLOOKUP(A68,'Top Insurers and Brokers'!$B$7:$I$131,8,0))</f>
        <v/>
      </c>
      <c r="E68" s="368" t="str">
        <f>IF(A68="","",VLOOKUP(A68,'Top Insurers and Brokers'!$B$7:$AB$131,11,0))</f>
        <v/>
      </c>
      <c r="F68" s="333"/>
      <c r="G68" s="335"/>
      <c r="H68" s="337"/>
      <c r="I68" s="201"/>
      <c r="J68" s="210"/>
      <c r="K68" s="210"/>
      <c r="L68" s="210"/>
      <c r="M68" s="210"/>
      <c r="N68" s="201"/>
    </row>
    <row r="69" spans="1:14" x14ac:dyDescent="0.2">
      <c r="A69" s="201"/>
      <c r="B69" s="201"/>
      <c r="C69" s="201" t="str">
        <f>IF(A69="","",INDEX('Top Insurers and Brokers'!$B$7:$AF$231,(VLOOKUP(A69,'Top Insurers and Brokers'!$B$7:$C$231,2,0)),VLOOKUP(B69,$AV$9:$AW$15,2,0)))</f>
        <v/>
      </c>
      <c r="D69" s="205" t="str">
        <f>IF(A69="","",VLOOKUP(A69,'Top Insurers and Brokers'!$B$7:$I$131,8,0))</f>
        <v/>
      </c>
      <c r="E69" s="368" t="str">
        <f>IF(A69="","",VLOOKUP(A69,'Top Insurers and Brokers'!$B$7:$AB$131,11,0))</f>
        <v/>
      </c>
      <c r="F69" s="333"/>
      <c r="G69" s="335"/>
      <c r="H69" s="337"/>
      <c r="I69" s="201"/>
      <c r="J69" s="210"/>
      <c r="K69" s="210"/>
      <c r="L69" s="210"/>
      <c r="M69" s="210"/>
      <c r="N69" s="201"/>
    </row>
    <row r="70" spans="1:14" x14ac:dyDescent="0.2">
      <c r="A70" s="201"/>
      <c r="B70" s="201"/>
      <c r="C70" s="201" t="str">
        <f>IF(A70="","",INDEX('Top Insurers and Brokers'!$B$7:$AF$231,(VLOOKUP(A70,'Top Insurers and Brokers'!$B$7:$C$231,2,0)),VLOOKUP(B70,$AV$9:$AW$15,2,0)))</f>
        <v/>
      </c>
      <c r="D70" s="205" t="str">
        <f>IF(A70="","",VLOOKUP(A70,'Top Insurers and Brokers'!$B$7:$I$131,8,0))</f>
        <v/>
      </c>
      <c r="E70" s="368" t="str">
        <f>IF(A70="","",VLOOKUP(A70,'Top Insurers and Brokers'!$B$7:$AB$131,11,0))</f>
        <v/>
      </c>
      <c r="F70" s="333"/>
      <c r="G70" s="335"/>
      <c r="H70" s="337"/>
      <c r="I70" s="201"/>
      <c r="J70" s="210"/>
      <c r="K70" s="210"/>
      <c r="L70" s="210"/>
      <c r="M70" s="210"/>
      <c r="N70" s="201"/>
    </row>
    <row r="71" spans="1:14" x14ac:dyDescent="0.2">
      <c r="A71" s="201"/>
      <c r="B71" s="201"/>
      <c r="C71" s="201" t="str">
        <f>IF(A71="","",INDEX('Top Insurers and Brokers'!$B$7:$AF$231,(VLOOKUP(A71,'Top Insurers and Brokers'!$B$7:$C$231,2,0)),VLOOKUP(B71,$AV$9:$AW$15,2,0)))</f>
        <v/>
      </c>
      <c r="D71" s="205" t="str">
        <f>IF(A71="","",VLOOKUP(A71,'Top Insurers and Brokers'!$B$7:$I$131,8,0))</f>
        <v/>
      </c>
      <c r="E71" s="368" t="str">
        <f>IF(A71="","",VLOOKUP(A71,'Top Insurers and Brokers'!$B$7:$AB$131,11,0))</f>
        <v/>
      </c>
      <c r="F71" s="333"/>
      <c r="G71" s="335"/>
      <c r="H71" s="337"/>
      <c r="I71" s="201"/>
      <c r="J71" s="210"/>
      <c r="K71" s="210"/>
      <c r="L71" s="210"/>
      <c r="M71" s="210"/>
      <c r="N71" s="201"/>
    </row>
    <row r="72" spans="1:14" x14ac:dyDescent="0.2">
      <c r="A72" s="201"/>
      <c r="B72" s="201"/>
      <c r="C72" s="201" t="str">
        <f>IF(A72="","",INDEX('Top Insurers and Brokers'!$B$7:$AF$231,(VLOOKUP(A72,'Top Insurers and Brokers'!$B$7:$C$231,2,0)),VLOOKUP(B72,$AV$9:$AW$15,2,0)))</f>
        <v/>
      </c>
      <c r="D72" s="205" t="str">
        <f>IF(A72="","",VLOOKUP(A72,'Top Insurers and Brokers'!$B$7:$I$131,8,0))</f>
        <v/>
      </c>
      <c r="E72" s="368" t="str">
        <f>IF(A72="","",VLOOKUP(A72,'Top Insurers and Brokers'!$B$7:$AB$131,11,0))</f>
        <v/>
      </c>
      <c r="F72" s="333"/>
      <c r="G72" s="335"/>
      <c r="H72" s="337"/>
      <c r="I72" s="201"/>
      <c r="J72" s="210"/>
      <c r="K72" s="210"/>
      <c r="L72" s="210"/>
      <c r="M72" s="210"/>
      <c r="N72" s="201"/>
    </row>
    <row r="73" spans="1:14" x14ac:dyDescent="0.2">
      <c r="A73" s="201"/>
      <c r="B73" s="201"/>
      <c r="C73" s="201" t="str">
        <f>IF(A73="","",INDEX('Top Insurers and Brokers'!$B$7:$AF$231,(VLOOKUP(A73,'Top Insurers and Brokers'!$B$7:$C$231,2,0)),VLOOKUP(B73,$AV$9:$AW$15,2,0)))</f>
        <v/>
      </c>
      <c r="D73" s="205" t="str">
        <f>IF(A73="","",VLOOKUP(A73,'Top Insurers and Brokers'!$B$7:$I$131,8,0))</f>
        <v/>
      </c>
      <c r="E73" s="368" t="str">
        <f>IF(A73="","",VLOOKUP(A73,'Top Insurers and Brokers'!$B$7:$AB$131,11,0))</f>
        <v/>
      </c>
      <c r="F73" s="333"/>
      <c r="G73" s="335"/>
      <c r="H73" s="337"/>
      <c r="I73" s="201"/>
      <c r="J73" s="210"/>
      <c r="K73" s="210"/>
      <c r="L73" s="210"/>
      <c r="M73" s="210"/>
      <c r="N73" s="201"/>
    </row>
    <row r="74" spans="1:14" x14ac:dyDescent="0.2">
      <c r="A74" s="201"/>
      <c r="B74" s="201"/>
      <c r="C74" s="201" t="str">
        <f>IF(A74="","",INDEX('Top Insurers and Brokers'!$B$7:$AF$231,(VLOOKUP(A74,'Top Insurers and Brokers'!$B$7:$C$231,2,0)),VLOOKUP(B74,$AV$9:$AW$15,2,0)))</f>
        <v/>
      </c>
      <c r="D74" s="205" t="str">
        <f>IF(A74="","",VLOOKUP(A74,'Top Insurers and Brokers'!$B$7:$I$131,8,0))</f>
        <v/>
      </c>
      <c r="E74" s="368" t="str">
        <f>IF(A74="","",VLOOKUP(A74,'Top Insurers and Brokers'!$B$7:$AB$131,11,0))</f>
        <v/>
      </c>
      <c r="F74" s="333"/>
      <c r="G74" s="335"/>
      <c r="H74" s="337"/>
      <c r="I74" s="201"/>
      <c r="J74" s="210"/>
      <c r="K74" s="210"/>
      <c r="L74" s="210"/>
      <c r="M74" s="210"/>
      <c r="N74" s="201"/>
    </row>
    <row r="75" spans="1:14" x14ac:dyDescent="0.2">
      <c r="A75" s="201"/>
      <c r="B75" s="201"/>
      <c r="C75" s="201" t="str">
        <f>IF(A75="","",INDEX('Top Insurers and Brokers'!$B$7:$AF$231,(VLOOKUP(A75,'Top Insurers and Brokers'!$B$7:$C$231,2,0)),VLOOKUP(B75,$AV$9:$AW$15,2,0)))</f>
        <v/>
      </c>
      <c r="D75" s="205" t="str">
        <f>IF(A75="","",VLOOKUP(A75,'Top Insurers and Brokers'!$B$7:$I$131,8,0))</f>
        <v/>
      </c>
      <c r="E75" s="368" t="str">
        <f>IF(A75="","",VLOOKUP(A75,'Top Insurers and Brokers'!$B$7:$AB$131,11,0))</f>
        <v/>
      </c>
      <c r="F75" s="333"/>
      <c r="G75" s="335"/>
      <c r="H75" s="337"/>
      <c r="I75" s="201"/>
      <c r="J75" s="210"/>
      <c r="K75" s="210"/>
      <c r="L75" s="210"/>
      <c r="M75" s="210"/>
      <c r="N75" s="201"/>
    </row>
    <row r="76" spans="1:14" x14ac:dyDescent="0.2">
      <c r="A76" s="201"/>
      <c r="B76" s="201"/>
      <c r="C76" s="201" t="str">
        <f>IF(A76="","",INDEX('Top Insurers and Brokers'!$B$7:$AF$231,(VLOOKUP(A76,'Top Insurers and Brokers'!$B$7:$C$231,2,0)),VLOOKUP(B76,$AV$9:$AW$15,2,0)))</f>
        <v/>
      </c>
      <c r="D76" s="205" t="str">
        <f>IF(A76="","",VLOOKUP(A76,'Top Insurers and Brokers'!$B$7:$I$131,8,0))</f>
        <v/>
      </c>
      <c r="E76" s="368" t="str">
        <f>IF(A76="","",VLOOKUP(A76,'Top Insurers and Brokers'!$B$7:$AB$131,11,0))</f>
        <v/>
      </c>
      <c r="F76" s="333"/>
      <c r="G76" s="335"/>
      <c r="H76" s="337"/>
      <c r="I76" s="201"/>
      <c r="J76" s="210"/>
      <c r="K76" s="210"/>
      <c r="L76" s="210"/>
      <c r="M76" s="210"/>
      <c r="N76" s="201"/>
    </row>
    <row r="77" spans="1:14" x14ac:dyDescent="0.2">
      <c r="A77" s="201"/>
      <c r="B77" s="201"/>
      <c r="C77" s="201" t="str">
        <f>IF(A77="","",INDEX('Top Insurers and Brokers'!$B$7:$AF$231,(VLOOKUP(A77,'Top Insurers and Brokers'!$B$7:$C$231,2,0)),VLOOKUP(B77,$AV$9:$AW$15,2,0)))</f>
        <v/>
      </c>
      <c r="D77" s="205" t="str">
        <f>IF(A77="","",VLOOKUP(A77,'Top Insurers and Brokers'!$B$7:$I$131,8,0))</f>
        <v/>
      </c>
      <c r="E77" s="368" t="str">
        <f>IF(A77="","",VLOOKUP(A77,'Top Insurers and Brokers'!$B$7:$AB$131,11,0))</f>
        <v/>
      </c>
      <c r="F77" s="333"/>
      <c r="G77" s="335"/>
      <c r="H77" s="337"/>
      <c r="I77" s="201"/>
      <c r="J77" s="210"/>
      <c r="K77" s="210"/>
      <c r="L77" s="210"/>
      <c r="M77" s="210"/>
      <c r="N77" s="201"/>
    </row>
    <row r="78" spans="1:14" x14ac:dyDescent="0.2">
      <c r="A78" s="201"/>
      <c r="B78" s="201"/>
      <c r="C78" s="201" t="str">
        <f>IF(A78="","",INDEX('Top Insurers and Brokers'!$B$7:$AF$231,(VLOOKUP(A78,'Top Insurers and Brokers'!$B$7:$C$231,2,0)),VLOOKUP(B78,$AV$9:$AW$15,2,0)))</f>
        <v/>
      </c>
      <c r="D78" s="205" t="str">
        <f>IF(A78="","",VLOOKUP(A78,'Top Insurers and Brokers'!$B$7:$I$131,8,0))</f>
        <v/>
      </c>
      <c r="E78" s="368" t="str">
        <f>IF(A78="","",VLOOKUP(A78,'Top Insurers and Brokers'!$B$7:$AB$131,11,0))</f>
        <v/>
      </c>
      <c r="F78" s="333"/>
      <c r="G78" s="335"/>
      <c r="H78" s="337"/>
      <c r="I78" s="201"/>
      <c r="J78" s="210"/>
      <c r="K78" s="210"/>
      <c r="L78" s="210"/>
      <c r="M78" s="210"/>
      <c r="N78" s="201"/>
    </row>
    <row r="79" spans="1:14" x14ac:dyDescent="0.2">
      <c r="A79" s="201"/>
      <c r="B79" s="201"/>
      <c r="C79" s="201" t="str">
        <f>IF(A79="","",INDEX('Top Insurers and Brokers'!$B$7:$AF$231,(VLOOKUP(A79,'Top Insurers and Brokers'!$B$7:$C$231,2,0)),VLOOKUP(B79,$AV$9:$AW$15,2,0)))</f>
        <v/>
      </c>
      <c r="D79" s="205" t="str">
        <f>IF(A79="","",VLOOKUP(A79,'Top Insurers and Brokers'!$B$7:$I$131,8,0))</f>
        <v/>
      </c>
      <c r="E79" s="368" t="str">
        <f>IF(A79="","",VLOOKUP(A79,'Top Insurers and Brokers'!$B$7:$AB$131,11,0))</f>
        <v/>
      </c>
      <c r="F79" s="333"/>
      <c r="G79" s="335"/>
      <c r="H79" s="337"/>
      <c r="I79" s="201"/>
      <c r="J79" s="210"/>
      <c r="K79" s="210"/>
      <c r="L79" s="210"/>
      <c r="M79" s="210"/>
      <c r="N79" s="201"/>
    </row>
    <row r="80" spans="1:14" x14ac:dyDescent="0.2">
      <c r="A80" s="201"/>
      <c r="B80" s="201"/>
      <c r="C80" s="201" t="str">
        <f>IF(A80="","",INDEX('Top Insurers and Brokers'!$B$7:$AF$231,(VLOOKUP(A80,'Top Insurers and Brokers'!$B$7:$C$231,2,0)),VLOOKUP(B80,$AV$9:$AW$15,2,0)))</f>
        <v/>
      </c>
      <c r="D80" s="205" t="str">
        <f>IF(A80="","",VLOOKUP(A80,'Top Insurers and Brokers'!$B$7:$I$131,8,0))</f>
        <v/>
      </c>
      <c r="E80" s="368" t="str">
        <f>IF(A80="","",VLOOKUP(A80,'Top Insurers and Brokers'!$B$7:$AB$131,11,0))</f>
        <v/>
      </c>
      <c r="F80" s="333"/>
      <c r="G80" s="335"/>
      <c r="H80" s="337"/>
      <c r="I80" s="201"/>
      <c r="J80" s="210"/>
      <c r="K80" s="210"/>
      <c r="L80" s="210"/>
      <c r="M80" s="210"/>
      <c r="N80" s="201"/>
    </row>
    <row r="81" spans="1:14" x14ac:dyDescent="0.2">
      <c r="A81" s="201"/>
      <c r="B81" s="201"/>
      <c r="C81" s="201" t="str">
        <f>IF(A81="","",INDEX('Top Insurers and Brokers'!$B$7:$AF$231,(VLOOKUP(A81,'Top Insurers and Brokers'!$B$7:$C$231,2,0)),VLOOKUP(B81,$AV$9:$AW$15,2,0)))</f>
        <v/>
      </c>
      <c r="D81" s="205" t="str">
        <f>IF(A81="","",VLOOKUP(A81,'Top Insurers and Brokers'!$B$7:$I$131,8,0))</f>
        <v/>
      </c>
      <c r="E81" s="368" t="str">
        <f>IF(A81="","",VLOOKUP(A81,'Top Insurers and Brokers'!$B$7:$AB$131,11,0))</f>
        <v/>
      </c>
      <c r="F81" s="333"/>
      <c r="G81" s="335"/>
      <c r="H81" s="337"/>
      <c r="I81" s="201"/>
      <c r="J81" s="210"/>
      <c r="K81" s="210"/>
      <c r="L81" s="210"/>
      <c r="M81" s="210"/>
      <c r="N81" s="201"/>
    </row>
    <row r="82" spans="1:14" x14ac:dyDescent="0.2">
      <c r="A82" s="201"/>
      <c r="B82" s="201"/>
      <c r="C82" s="201" t="str">
        <f>IF(A82="","",INDEX('Top Insurers and Brokers'!$B$7:$AF$231,(VLOOKUP(A82,'Top Insurers and Brokers'!$B$7:$C$231,2,0)),VLOOKUP(B82,$AV$9:$AW$15,2,0)))</f>
        <v/>
      </c>
      <c r="D82" s="205" t="str">
        <f>IF(A82="","",VLOOKUP(A82,'Top Insurers and Brokers'!$B$7:$I$131,8,0))</f>
        <v/>
      </c>
      <c r="E82" s="368" t="str">
        <f>IF(A82="","",VLOOKUP(A82,'Top Insurers and Brokers'!$B$7:$AB$131,11,0))</f>
        <v/>
      </c>
      <c r="F82" s="333"/>
      <c r="G82" s="335"/>
      <c r="H82" s="337"/>
      <c r="I82" s="201"/>
      <c r="J82" s="210"/>
      <c r="K82" s="210"/>
      <c r="L82" s="210"/>
      <c r="M82" s="210"/>
      <c r="N82" s="201"/>
    </row>
    <row r="83" spans="1:14" x14ac:dyDescent="0.2">
      <c r="A83" s="201"/>
      <c r="B83" s="201"/>
      <c r="C83" s="201" t="str">
        <f>IF(A83="","",INDEX('Top Insurers and Brokers'!$B$7:$AF$231,(VLOOKUP(A83,'Top Insurers and Brokers'!$B$7:$C$231,2,0)),VLOOKUP(B83,$AV$9:$AW$15,2,0)))</f>
        <v/>
      </c>
      <c r="D83" s="205" t="str">
        <f>IF(A83="","",VLOOKUP(A83,'Top Insurers and Brokers'!$B$7:$I$131,8,0))</f>
        <v/>
      </c>
      <c r="E83" s="368" t="str">
        <f>IF(A83="","",VLOOKUP(A83,'Top Insurers and Brokers'!$B$7:$AB$131,11,0))</f>
        <v/>
      </c>
      <c r="F83" s="333"/>
      <c r="G83" s="335"/>
      <c r="H83" s="337"/>
      <c r="I83" s="201"/>
      <c r="J83" s="210"/>
      <c r="K83" s="210"/>
      <c r="L83" s="210"/>
      <c r="M83" s="210"/>
      <c r="N83" s="201"/>
    </row>
    <row r="84" spans="1:14" x14ac:dyDescent="0.2">
      <c r="A84" s="201"/>
      <c r="B84" s="201"/>
      <c r="C84" s="201" t="str">
        <f>IF(A84="","",INDEX('Top Insurers and Brokers'!$B$7:$AF$231,(VLOOKUP(A84,'Top Insurers and Brokers'!$B$7:$C$231,2,0)),VLOOKUP(B84,$AV$9:$AW$15,2,0)))</f>
        <v/>
      </c>
      <c r="D84" s="205" t="str">
        <f>IF(A84="","",VLOOKUP(A84,'Top Insurers and Brokers'!$B$7:$I$131,8,0))</f>
        <v/>
      </c>
      <c r="E84" s="368" t="str">
        <f>IF(A84="","",VLOOKUP(A84,'Top Insurers and Brokers'!$B$7:$AB$131,11,0))</f>
        <v/>
      </c>
      <c r="F84" s="333"/>
      <c r="G84" s="335"/>
      <c r="H84" s="337"/>
      <c r="I84" s="201"/>
      <c r="J84" s="210"/>
      <c r="K84" s="210"/>
      <c r="L84" s="210"/>
      <c r="M84" s="210"/>
      <c r="N84" s="201"/>
    </row>
    <row r="85" spans="1:14" x14ac:dyDescent="0.2">
      <c r="A85" s="201"/>
      <c r="B85" s="201"/>
      <c r="C85" s="201" t="str">
        <f>IF(A85="","",INDEX('Top Insurers and Brokers'!$B$7:$AF$231,(VLOOKUP(A85,'Top Insurers and Brokers'!$B$7:$C$231,2,0)),VLOOKUP(B85,$AV$9:$AW$15,2,0)))</f>
        <v/>
      </c>
      <c r="D85" s="205" t="str">
        <f>IF(A85="","",VLOOKUP(A85,'Top Insurers and Brokers'!$B$7:$I$131,8,0))</f>
        <v/>
      </c>
      <c r="E85" s="368" t="str">
        <f>IF(A85="","",VLOOKUP(A85,'Top Insurers and Brokers'!$B$7:$AB$131,11,0))</f>
        <v/>
      </c>
      <c r="F85" s="333"/>
      <c r="G85" s="335"/>
      <c r="H85" s="337"/>
      <c r="I85" s="201"/>
      <c r="J85" s="210"/>
      <c r="K85" s="210"/>
      <c r="L85" s="210"/>
      <c r="M85" s="210"/>
      <c r="N85" s="201"/>
    </row>
    <row r="86" spans="1:14" x14ac:dyDescent="0.2">
      <c r="A86" s="201"/>
      <c r="B86" s="201"/>
      <c r="C86" s="201" t="str">
        <f>IF(A86="","",INDEX('Top Insurers and Brokers'!$B$7:$AF$231,(VLOOKUP(A86,'Top Insurers and Brokers'!$B$7:$C$231,2,0)),VLOOKUP(B86,$AV$9:$AW$15,2,0)))</f>
        <v/>
      </c>
      <c r="D86" s="205" t="str">
        <f>IF(A86="","",VLOOKUP(A86,'Top Insurers and Brokers'!$B$7:$I$131,8,0))</f>
        <v/>
      </c>
      <c r="E86" s="368" t="str">
        <f>IF(A86="","",VLOOKUP(A86,'Top Insurers and Brokers'!$B$7:$AB$131,11,0))</f>
        <v/>
      </c>
      <c r="F86" s="333"/>
      <c r="G86" s="335"/>
      <c r="H86" s="337"/>
      <c r="I86" s="201"/>
      <c r="J86" s="210"/>
      <c r="K86" s="210"/>
      <c r="L86" s="210"/>
      <c r="M86" s="210"/>
      <c r="N86" s="201"/>
    </row>
    <row r="87" spans="1:14" x14ac:dyDescent="0.2">
      <c r="A87" s="201"/>
      <c r="B87" s="201"/>
      <c r="C87" s="201" t="str">
        <f>IF(A87="","",INDEX('Top Insurers and Brokers'!$B$7:$AF$231,(VLOOKUP(A87,'Top Insurers and Brokers'!$B$7:$C$231,2,0)),VLOOKUP(B87,$AV$9:$AW$15,2,0)))</f>
        <v/>
      </c>
      <c r="D87" s="205" t="str">
        <f>IF(A87="","",VLOOKUP(A87,'Top Insurers and Brokers'!$B$7:$I$131,8,0))</f>
        <v/>
      </c>
      <c r="E87" s="368" t="str">
        <f>IF(A87="","",VLOOKUP(A87,'Top Insurers and Brokers'!$B$7:$AB$131,11,0))</f>
        <v/>
      </c>
      <c r="F87" s="333"/>
      <c r="G87" s="335"/>
      <c r="H87" s="337"/>
      <c r="I87" s="201"/>
      <c r="J87" s="210"/>
      <c r="K87" s="210"/>
      <c r="L87" s="210"/>
      <c r="M87" s="210"/>
      <c r="N87" s="201"/>
    </row>
    <row r="88" spans="1:14" x14ac:dyDescent="0.2">
      <c r="A88" s="201"/>
      <c r="B88" s="201"/>
      <c r="C88" s="201" t="str">
        <f>IF(A88="","",INDEX('Top Insurers and Brokers'!$B$7:$AF$231,(VLOOKUP(A88,'Top Insurers and Brokers'!$B$7:$C$231,2,0)),VLOOKUP(B88,$AV$9:$AW$15,2,0)))</f>
        <v/>
      </c>
      <c r="D88" s="205" t="str">
        <f>IF(A88="","",VLOOKUP(A88,'Top Insurers and Brokers'!$B$7:$I$131,8,0))</f>
        <v/>
      </c>
      <c r="E88" s="368" t="str">
        <f>IF(A88="","",VLOOKUP(A88,'Top Insurers and Brokers'!$B$7:$AB$131,11,0))</f>
        <v/>
      </c>
      <c r="F88" s="333"/>
      <c r="G88" s="335"/>
      <c r="H88" s="337"/>
      <c r="I88" s="201"/>
      <c r="J88" s="210"/>
      <c r="K88" s="210"/>
      <c r="L88" s="210"/>
      <c r="M88" s="210"/>
      <c r="N88" s="201"/>
    </row>
    <row r="89" spans="1:14" x14ac:dyDescent="0.2">
      <c r="A89" s="201"/>
      <c r="B89" s="201"/>
      <c r="C89" s="201" t="str">
        <f>IF(A89="","",INDEX('Top Insurers and Brokers'!$B$7:$AF$231,(VLOOKUP(A89,'Top Insurers and Brokers'!$B$7:$C$231,2,0)),VLOOKUP(B89,$AV$9:$AW$15,2,0)))</f>
        <v/>
      </c>
      <c r="D89" s="205" t="str">
        <f>IF(A89="","",VLOOKUP(A89,'Top Insurers and Brokers'!$B$7:$I$131,8,0))</f>
        <v/>
      </c>
      <c r="E89" s="368" t="str">
        <f>IF(A89="","",VLOOKUP(A89,'Top Insurers and Brokers'!$B$7:$AB$131,11,0))</f>
        <v/>
      </c>
      <c r="F89" s="333"/>
      <c r="G89" s="335"/>
      <c r="H89" s="337"/>
      <c r="I89" s="201"/>
      <c r="J89" s="210"/>
      <c r="K89" s="210"/>
      <c r="L89" s="210"/>
      <c r="M89" s="210"/>
      <c r="N89" s="201"/>
    </row>
    <row r="90" spans="1:14" x14ac:dyDescent="0.2">
      <c r="A90" s="201"/>
      <c r="B90" s="201"/>
      <c r="C90" s="201" t="str">
        <f>IF(A90="","",INDEX('Top Insurers and Brokers'!$B$7:$AF$231,(VLOOKUP(A90,'Top Insurers and Brokers'!$B$7:$C$231,2,0)),VLOOKUP(B90,$AV$9:$AW$15,2,0)))</f>
        <v/>
      </c>
      <c r="D90" s="205" t="str">
        <f>IF(A90="","",VLOOKUP(A90,'Top Insurers and Brokers'!$B$7:$I$131,8,0))</f>
        <v/>
      </c>
      <c r="E90" s="368" t="str">
        <f>IF(A90="","",VLOOKUP(A90,'Top Insurers and Brokers'!$B$7:$AB$131,11,0))</f>
        <v/>
      </c>
      <c r="F90" s="333"/>
      <c r="G90" s="335"/>
      <c r="H90" s="337"/>
      <c r="I90" s="201"/>
      <c r="J90" s="210"/>
      <c r="K90" s="210"/>
      <c r="L90" s="210"/>
      <c r="M90" s="210"/>
      <c r="N90" s="201"/>
    </row>
    <row r="91" spans="1:14" x14ac:dyDescent="0.2">
      <c r="A91" s="201"/>
      <c r="B91" s="201"/>
      <c r="C91" s="201" t="str">
        <f>IF(A91="","",INDEX('Top Insurers and Brokers'!$B$7:$AF$231,(VLOOKUP(A91,'Top Insurers and Brokers'!$B$7:$C$231,2,0)),VLOOKUP(B91,$AV$9:$AW$15,2,0)))</f>
        <v/>
      </c>
      <c r="D91" s="205" t="str">
        <f>IF(A91="","",VLOOKUP(A91,'Top Insurers and Brokers'!$B$7:$I$131,8,0))</f>
        <v/>
      </c>
      <c r="E91" s="368" t="str">
        <f>IF(A91="","",VLOOKUP(A91,'Top Insurers and Brokers'!$B$7:$AB$131,11,0))</f>
        <v/>
      </c>
      <c r="F91" s="333"/>
      <c r="G91" s="335"/>
      <c r="H91" s="337"/>
      <c r="I91" s="201"/>
      <c r="J91" s="210"/>
      <c r="K91" s="210"/>
      <c r="L91" s="210"/>
      <c r="M91" s="210"/>
      <c r="N91" s="201"/>
    </row>
    <row r="92" spans="1:14" x14ac:dyDescent="0.2">
      <c r="A92" s="201"/>
      <c r="B92" s="201"/>
      <c r="C92" s="201" t="str">
        <f>IF(A92="","",INDEX('Top Insurers and Brokers'!$B$7:$AF$231,(VLOOKUP(A92,'Top Insurers and Brokers'!$B$7:$C$231,2,0)),VLOOKUP(B92,$AV$9:$AW$15,2,0)))</f>
        <v/>
      </c>
      <c r="D92" s="205" t="str">
        <f>IF(A92="","",VLOOKUP(A92,'Top Insurers and Brokers'!$B$7:$I$131,8,0))</f>
        <v/>
      </c>
      <c r="E92" s="368" t="str">
        <f>IF(A92="","",VLOOKUP(A92,'Top Insurers and Brokers'!$B$7:$AB$131,11,0))</f>
        <v/>
      </c>
      <c r="F92" s="333"/>
      <c r="G92" s="335"/>
      <c r="H92" s="337"/>
      <c r="I92" s="201"/>
      <c r="J92" s="210"/>
      <c r="K92" s="210"/>
      <c r="L92" s="210"/>
      <c r="M92" s="210"/>
      <c r="N92" s="201"/>
    </row>
    <row r="93" spans="1:14" x14ac:dyDescent="0.2">
      <c r="A93" s="201"/>
      <c r="B93" s="201"/>
      <c r="C93" s="201" t="str">
        <f>IF(A93="","",INDEX('Top Insurers and Brokers'!$B$7:$AF$231,(VLOOKUP(A93,'Top Insurers and Brokers'!$B$7:$C$231,2,0)),VLOOKUP(B93,$AV$9:$AW$15,2,0)))</f>
        <v/>
      </c>
      <c r="D93" s="205" t="str">
        <f>IF(A93="","",VLOOKUP(A93,'Top Insurers and Brokers'!$B$7:$I$131,8,0))</f>
        <v/>
      </c>
      <c r="E93" s="368" t="str">
        <f>IF(A93="","",VLOOKUP(A93,'Top Insurers and Brokers'!$B$7:$AB$131,11,0))</f>
        <v/>
      </c>
      <c r="F93" s="333"/>
      <c r="G93" s="335"/>
      <c r="H93" s="337"/>
      <c r="I93" s="201"/>
      <c r="J93" s="210"/>
      <c r="K93" s="210"/>
      <c r="L93" s="210"/>
      <c r="M93" s="210"/>
      <c r="N93" s="201"/>
    </row>
    <row r="94" spans="1:14" x14ac:dyDescent="0.2">
      <c r="A94" s="201"/>
      <c r="B94" s="201"/>
      <c r="C94" s="201" t="str">
        <f>IF(A94="","",INDEX('Top Insurers and Brokers'!$B$7:$AF$231,(VLOOKUP(A94,'Top Insurers and Brokers'!$B$7:$C$231,2,0)),VLOOKUP(B94,$AV$9:$AW$15,2,0)))</f>
        <v/>
      </c>
      <c r="D94" s="205" t="str">
        <f>IF(A94="","",VLOOKUP(A94,'Top Insurers and Brokers'!$B$7:$I$131,8,0))</f>
        <v/>
      </c>
      <c r="E94" s="368" t="str">
        <f>IF(A94="","",VLOOKUP(A94,'Top Insurers and Brokers'!$B$7:$AB$131,11,0))</f>
        <v/>
      </c>
      <c r="F94" s="333"/>
      <c r="G94" s="335"/>
      <c r="H94" s="337"/>
      <c r="I94" s="201"/>
      <c r="J94" s="210"/>
      <c r="K94" s="210"/>
      <c r="L94" s="210"/>
      <c r="M94" s="210"/>
      <c r="N94" s="201"/>
    </row>
    <row r="95" spans="1:14" x14ac:dyDescent="0.2">
      <c r="A95" s="201"/>
      <c r="B95" s="201"/>
      <c r="C95" s="201" t="str">
        <f>IF(A95="","",INDEX('Top Insurers and Brokers'!$B$7:$AF$231,(VLOOKUP(A95,'Top Insurers and Brokers'!$B$7:$C$231,2,0)),VLOOKUP(B95,$AV$9:$AW$15,2,0)))</f>
        <v/>
      </c>
      <c r="D95" s="205" t="str">
        <f>IF(A95="","",VLOOKUP(A95,'Top Insurers and Brokers'!$B$7:$I$131,8,0))</f>
        <v/>
      </c>
      <c r="E95" s="368" t="str">
        <f>IF(A95="","",VLOOKUP(A95,'Top Insurers and Brokers'!$B$7:$AB$131,11,0))</f>
        <v/>
      </c>
      <c r="F95" s="333"/>
      <c r="G95" s="335"/>
      <c r="H95" s="337"/>
      <c r="I95" s="201"/>
      <c r="J95" s="210"/>
      <c r="K95" s="210"/>
      <c r="L95" s="210"/>
      <c r="M95" s="210"/>
      <c r="N95" s="201"/>
    </row>
    <row r="96" spans="1:14" x14ac:dyDescent="0.2">
      <c r="A96" s="201"/>
      <c r="B96" s="201"/>
      <c r="C96" s="201" t="str">
        <f>IF(A96="","",INDEX('Top Insurers and Brokers'!$B$7:$AF$231,(VLOOKUP(A96,'Top Insurers and Brokers'!$B$7:$C$231,2,0)),VLOOKUP(B96,$AV$9:$AW$15,2,0)))</f>
        <v/>
      </c>
      <c r="D96" s="205" t="str">
        <f>IF(A96="","",VLOOKUP(A96,'Top Insurers and Brokers'!$B$7:$I$131,8,0))</f>
        <v/>
      </c>
      <c r="E96" s="368" t="str">
        <f>IF(A96="","",VLOOKUP(A96,'Top Insurers and Brokers'!$B$7:$AB$131,11,0))</f>
        <v/>
      </c>
      <c r="F96" s="333"/>
      <c r="G96" s="335"/>
      <c r="H96" s="337"/>
      <c r="I96" s="201"/>
      <c r="J96" s="210"/>
      <c r="K96" s="210"/>
      <c r="L96" s="210"/>
      <c r="M96" s="210"/>
      <c r="N96" s="201"/>
    </row>
    <row r="97" spans="1:14" x14ac:dyDescent="0.2">
      <c r="A97" s="201"/>
      <c r="B97" s="201"/>
      <c r="C97" s="201" t="str">
        <f>IF(A97="","",INDEX('Top Insurers and Brokers'!$B$7:$AF$231,(VLOOKUP(A97,'Top Insurers and Brokers'!$B$7:$C$231,2,0)),VLOOKUP(B97,$AV$9:$AW$15,2,0)))</f>
        <v/>
      </c>
      <c r="D97" s="205" t="str">
        <f>IF(A97="","",VLOOKUP(A97,'Top Insurers and Brokers'!$B$7:$I$131,8,0))</f>
        <v/>
      </c>
      <c r="E97" s="368" t="str">
        <f>IF(A97="","",VLOOKUP(A97,'Top Insurers and Brokers'!$B$7:$AB$131,11,0))</f>
        <v/>
      </c>
      <c r="F97" s="333"/>
      <c r="G97" s="335"/>
      <c r="H97" s="337"/>
      <c r="I97" s="201"/>
      <c r="J97" s="210"/>
      <c r="K97" s="210"/>
      <c r="L97" s="210"/>
      <c r="M97" s="210"/>
      <c r="N97" s="201"/>
    </row>
    <row r="98" spans="1:14" x14ac:dyDescent="0.2">
      <c r="A98" s="201"/>
      <c r="B98" s="201"/>
      <c r="C98" s="201" t="str">
        <f>IF(A98="","",INDEX('Top Insurers and Brokers'!$B$7:$AF$231,(VLOOKUP(A98,'Top Insurers and Brokers'!$B$7:$C$231,2,0)),VLOOKUP(B98,$AV$9:$AW$15,2,0)))</f>
        <v/>
      </c>
      <c r="D98" s="205" t="str">
        <f>IF(A98="","",VLOOKUP(A98,'Top Insurers and Brokers'!$B$7:$I$131,8,0))</f>
        <v/>
      </c>
      <c r="E98" s="368" t="str">
        <f>IF(A98="","",VLOOKUP(A98,'Top Insurers and Brokers'!$B$7:$AB$131,11,0))</f>
        <v/>
      </c>
      <c r="F98" s="333"/>
      <c r="G98" s="335"/>
      <c r="H98" s="337"/>
      <c r="I98" s="201"/>
      <c r="J98" s="210"/>
      <c r="K98" s="210"/>
      <c r="L98" s="210"/>
      <c r="M98" s="210"/>
      <c r="N98" s="201"/>
    </row>
    <row r="99" spans="1:14" x14ac:dyDescent="0.2">
      <c r="A99" s="201"/>
      <c r="B99" s="201"/>
      <c r="C99" s="201" t="str">
        <f>IF(A99="","",INDEX('Top Insurers and Brokers'!$B$7:$AF$231,(VLOOKUP(A99,'Top Insurers and Brokers'!$B$7:$C$231,2,0)),VLOOKUP(B99,$AV$9:$AW$15,2,0)))</f>
        <v/>
      </c>
      <c r="D99" s="205" t="str">
        <f>IF(A99="","",VLOOKUP(A99,'Top Insurers and Brokers'!$B$7:$I$131,8,0))</f>
        <v/>
      </c>
      <c r="E99" s="368" t="str">
        <f>IF(A99="","",VLOOKUP(A99,'Top Insurers and Brokers'!$B$7:$AB$131,11,0))</f>
        <v/>
      </c>
      <c r="F99" s="333"/>
      <c r="G99" s="335"/>
      <c r="H99" s="337"/>
      <c r="I99" s="201"/>
      <c r="J99" s="210"/>
      <c r="K99" s="210"/>
      <c r="L99" s="210"/>
      <c r="M99" s="210"/>
      <c r="N99" s="201"/>
    </row>
    <row r="100" spans="1:14" x14ac:dyDescent="0.2">
      <c r="A100" s="201"/>
      <c r="B100" s="201"/>
      <c r="C100" s="201" t="str">
        <f>IF(A100="","",INDEX('Top Insurers and Brokers'!$B$7:$AF$231,(VLOOKUP(A100,'Top Insurers and Brokers'!$B$7:$C$231,2,0)),VLOOKUP(B100,$AV$9:$AW$15,2,0)))</f>
        <v/>
      </c>
      <c r="D100" s="205" t="str">
        <f>IF(A100="","",VLOOKUP(A100,'Top Insurers and Brokers'!$B$7:$I$131,8,0))</f>
        <v/>
      </c>
      <c r="E100" s="368" t="str">
        <f>IF(A100="","",VLOOKUP(A100,'Top Insurers and Brokers'!$B$7:$AB$131,11,0))</f>
        <v/>
      </c>
      <c r="F100" s="333"/>
      <c r="G100" s="335"/>
      <c r="H100" s="337"/>
      <c r="I100" s="201"/>
      <c r="J100" s="210"/>
      <c r="K100" s="210"/>
      <c r="L100" s="210"/>
      <c r="M100" s="210"/>
      <c r="N100" s="201"/>
    </row>
    <row r="101" spans="1:14" x14ac:dyDescent="0.2">
      <c r="A101" s="201"/>
      <c r="B101" s="201"/>
      <c r="C101" s="201" t="str">
        <f>IF(A101="","",INDEX('Top Insurers and Brokers'!$B$7:$AF$231,(VLOOKUP(A101,'Top Insurers and Brokers'!$B$7:$C$231,2,0)),VLOOKUP(B101,$AV$9:$AW$15,2,0)))</f>
        <v/>
      </c>
      <c r="D101" s="205" t="str">
        <f>IF(A101="","",VLOOKUP(A101,'Top Insurers and Brokers'!$B$7:$I$131,8,0))</f>
        <v/>
      </c>
      <c r="E101" s="368" t="str">
        <f>IF(A101="","",VLOOKUP(A101,'Top Insurers and Brokers'!$B$7:$AB$131,11,0))</f>
        <v/>
      </c>
      <c r="F101" s="333"/>
      <c r="G101" s="335"/>
      <c r="H101" s="337"/>
      <c r="I101" s="201"/>
      <c r="J101" s="210"/>
      <c r="K101" s="210"/>
      <c r="L101" s="210"/>
      <c r="M101" s="210"/>
      <c r="N101" s="201"/>
    </row>
    <row r="102" spans="1:14" x14ac:dyDescent="0.2">
      <c r="A102" s="201"/>
      <c r="B102" s="201"/>
      <c r="C102" s="201" t="str">
        <f>IF(A102="","",INDEX('Top Insurers and Brokers'!$B$7:$AF$231,(VLOOKUP(A102,'Top Insurers and Brokers'!$B$7:$C$231,2,0)),VLOOKUP(B102,$AV$9:$AW$15,2,0)))</f>
        <v/>
      </c>
      <c r="D102" s="205" t="str">
        <f>IF(A102="","",VLOOKUP(A102,'Top Insurers and Brokers'!$B$7:$I$131,8,0))</f>
        <v/>
      </c>
      <c r="E102" s="368" t="str">
        <f>IF(A102="","",VLOOKUP(A102,'Top Insurers and Brokers'!$B$7:$AB$131,11,0))</f>
        <v/>
      </c>
      <c r="F102" s="333"/>
      <c r="G102" s="335"/>
      <c r="H102" s="337"/>
      <c r="I102" s="201"/>
      <c r="J102" s="210"/>
      <c r="K102" s="210"/>
      <c r="L102" s="210"/>
      <c r="M102" s="210"/>
      <c r="N102" s="201"/>
    </row>
    <row r="103" spans="1:14" x14ac:dyDescent="0.2">
      <c r="A103" s="201"/>
      <c r="B103" s="201"/>
      <c r="C103" s="201" t="str">
        <f>IF(A103="","",INDEX('Top Insurers and Brokers'!$B$7:$AF$231,(VLOOKUP(A103,'Top Insurers and Brokers'!$B$7:$C$231,2,0)),VLOOKUP(B103,$AV$9:$AW$15,2,0)))</f>
        <v/>
      </c>
      <c r="D103" s="205" t="str">
        <f>IF(A103="","",VLOOKUP(A103,'Top Insurers and Brokers'!$B$7:$I$131,8,0))</f>
        <v/>
      </c>
      <c r="E103" s="368" t="str">
        <f>IF(A103="","",VLOOKUP(A103,'Top Insurers and Brokers'!$B$7:$AB$131,11,0))</f>
        <v/>
      </c>
      <c r="F103" s="333"/>
      <c r="G103" s="335"/>
      <c r="H103" s="337"/>
      <c r="I103" s="201"/>
      <c r="J103" s="210"/>
      <c r="K103" s="210"/>
      <c r="L103" s="210"/>
      <c r="M103" s="210"/>
      <c r="N103" s="201"/>
    </row>
    <row r="104" spans="1:14" x14ac:dyDescent="0.2">
      <c r="A104" s="201"/>
      <c r="B104" s="201"/>
      <c r="C104" s="201" t="str">
        <f>IF(A104="","",INDEX('Top Insurers and Brokers'!$B$7:$AF$231,(VLOOKUP(A104,'Top Insurers and Brokers'!$B$7:$C$231,2,0)),VLOOKUP(B104,$AV$9:$AW$15,2,0)))</f>
        <v/>
      </c>
      <c r="D104" s="205" t="str">
        <f>IF(A104="","",VLOOKUP(A104,'Top Insurers and Brokers'!$B$7:$I$131,8,0))</f>
        <v/>
      </c>
      <c r="E104" s="368" t="str">
        <f>IF(A104="","",VLOOKUP(A104,'Top Insurers and Brokers'!$B$7:$AB$131,11,0))</f>
        <v/>
      </c>
      <c r="F104" s="333"/>
      <c r="G104" s="335"/>
      <c r="H104" s="337"/>
      <c r="I104" s="201"/>
      <c r="J104" s="210"/>
      <c r="K104" s="210"/>
      <c r="L104" s="210"/>
      <c r="M104" s="210"/>
      <c r="N104" s="201"/>
    </row>
    <row r="105" spans="1:14" x14ac:dyDescent="0.2">
      <c r="A105" s="201"/>
      <c r="B105" s="201"/>
      <c r="C105" s="201" t="str">
        <f>IF(A105="","",INDEX('Top Insurers and Brokers'!$B$7:$AF$231,(VLOOKUP(A105,'Top Insurers and Brokers'!$B$7:$C$231,2,0)),VLOOKUP(B105,$AV$9:$AW$15,2,0)))</f>
        <v/>
      </c>
      <c r="D105" s="205" t="str">
        <f>IF(A105="","",VLOOKUP(A105,'Top Insurers and Brokers'!$B$7:$I$131,8,0))</f>
        <v/>
      </c>
      <c r="E105" s="368" t="str">
        <f>IF(A105="","",VLOOKUP(A105,'Top Insurers and Brokers'!$B$7:$AB$131,11,0))</f>
        <v/>
      </c>
      <c r="F105" s="333"/>
      <c r="G105" s="335"/>
      <c r="H105" s="337"/>
      <c r="I105" s="201"/>
      <c r="J105" s="210"/>
      <c r="K105" s="210"/>
      <c r="L105" s="210"/>
      <c r="M105" s="210"/>
      <c r="N105" s="201"/>
    </row>
    <row r="106" spans="1:14" x14ac:dyDescent="0.2">
      <c r="A106" s="201"/>
      <c r="B106" s="201"/>
      <c r="C106" s="201" t="str">
        <f>IF(A106="","",INDEX('Top Insurers and Brokers'!$B$7:$AF$231,(VLOOKUP(A106,'Top Insurers and Brokers'!$B$7:$C$231,2,0)),VLOOKUP(B106,$AV$9:$AW$15,2,0)))</f>
        <v/>
      </c>
      <c r="D106" s="205" t="str">
        <f>IF(A106="","",VLOOKUP(A106,'Top Insurers and Brokers'!$B$7:$I$131,8,0))</f>
        <v/>
      </c>
      <c r="E106" s="368" t="str">
        <f>IF(A106="","",VLOOKUP(A106,'Top Insurers and Brokers'!$B$7:$AB$131,11,0))</f>
        <v/>
      </c>
      <c r="F106" s="333"/>
      <c r="G106" s="335"/>
      <c r="H106" s="337"/>
      <c r="I106" s="201"/>
      <c r="J106" s="210"/>
      <c r="K106" s="210"/>
      <c r="L106" s="210"/>
      <c r="M106" s="210"/>
      <c r="N106" s="201"/>
    </row>
    <row r="107" spans="1:14" x14ac:dyDescent="0.2">
      <c r="A107" s="201"/>
      <c r="B107" s="201"/>
      <c r="C107" s="201" t="str">
        <f>IF(A107="","",INDEX('Top Insurers and Brokers'!$B$7:$AF$231,(VLOOKUP(A107,'Top Insurers and Brokers'!$B$7:$C$231,2,0)),VLOOKUP(B107,$AV$9:$AW$15,2,0)))</f>
        <v/>
      </c>
      <c r="D107" s="205" t="str">
        <f>IF(A107="","",VLOOKUP(A107,'Top Insurers and Brokers'!$B$7:$I$131,8,0))</f>
        <v/>
      </c>
      <c r="E107" s="368" t="str">
        <f>IF(A107="","",VLOOKUP(A107,'Top Insurers and Brokers'!$B$7:$AB$131,11,0))</f>
        <v/>
      </c>
      <c r="F107" s="333"/>
      <c r="G107" s="335"/>
      <c r="H107" s="337"/>
      <c r="I107" s="201"/>
      <c r="J107" s="210"/>
      <c r="K107" s="210"/>
      <c r="L107" s="210"/>
      <c r="M107" s="210"/>
      <c r="N107" s="201"/>
    </row>
    <row r="108" spans="1:14" x14ac:dyDescent="0.2">
      <c r="A108" s="201"/>
      <c r="B108" s="201"/>
      <c r="C108" s="201" t="str">
        <f>IF(A108="","",INDEX('Top Insurers and Brokers'!$B$7:$AF$231,(VLOOKUP(A108,'Top Insurers and Brokers'!$B$7:$C$231,2,0)),VLOOKUP(B108,$AV$9:$AW$15,2,0)))</f>
        <v/>
      </c>
      <c r="D108" s="205" t="str">
        <f>IF(A108="","",VLOOKUP(A108,'Top Insurers and Brokers'!$B$7:$I$131,8,0))</f>
        <v/>
      </c>
      <c r="E108" s="368" t="str">
        <f>IF(A108="","",VLOOKUP(A108,'Top Insurers and Brokers'!$B$7:$AB$131,11,0))</f>
        <v/>
      </c>
      <c r="F108" s="333"/>
      <c r="G108" s="335"/>
      <c r="H108" s="337"/>
      <c r="I108" s="201"/>
      <c r="J108" s="210"/>
      <c r="K108" s="210"/>
      <c r="L108" s="210"/>
      <c r="M108" s="210"/>
      <c r="N108" s="201"/>
    </row>
    <row r="109" spans="1:14" x14ac:dyDescent="0.2">
      <c r="C109" s="183" t="str">
        <f>IF(A109="","",INDEX('Top Insurers and Brokers'!$B$7:$AF$131,(VLOOKUP(A109,'Top Insurers and Brokers'!$B$7:$C$131,2,0)),VLOOKUP(B109,$AV$9:$AW$15,2,0)))</f>
        <v/>
      </c>
      <c r="D109" s="189" t="str">
        <f>IF(A109="","",VLOOKUP(A109,'Top Insurers and Brokers'!$B$7:$I$131,8,0))</f>
        <v/>
      </c>
      <c r="E109" s="365" t="str">
        <f>IF(A109="","",VLOOKUP(A109,'Top Insurers and Brokers'!$B$7:$AB$131,11,0))</f>
        <v/>
      </c>
      <c r="L109" s="210"/>
    </row>
  </sheetData>
  <mergeCells count="4">
    <mergeCell ref="A1:L1"/>
    <mergeCell ref="F5:H5"/>
    <mergeCell ref="J5:L5"/>
    <mergeCell ref="A2:L4"/>
  </mergeCells>
  <dataValidations count="5">
    <dataValidation type="list" allowBlank="1" showInputMessage="1" showErrorMessage="1" sqref="B7:B109" xr:uid="{00000000-0002-0000-0400-000000000000}">
      <formula1>$AV$9:$AV$15</formula1>
    </dataValidation>
    <dataValidation type="list" allowBlank="1" showInputMessage="1" showErrorMessage="1" sqref="L7:L109 M109" xr:uid="{00000000-0002-0000-0400-000001000000}">
      <formula1>INDIRECT(K7)</formula1>
    </dataValidation>
    <dataValidation type="list" allowBlank="1" showInputMessage="1" showErrorMessage="1" sqref="F7:F108" xr:uid="{00000000-0002-0000-0400-000002000000}">
      <formula1>VOC_Source</formula1>
    </dataValidation>
    <dataValidation type="list" allowBlank="1" showInputMessage="1" showErrorMessage="1" sqref="J7:J108" xr:uid="{00000000-0002-0000-0400-000003000000}">
      <formula1>Sign_Off___Next_Steps</formula1>
    </dataValidation>
    <dataValidation type="list" allowBlank="1" showInputMessage="1" showErrorMessage="1" sqref="M7:M108" xr:uid="{00000000-0002-0000-0400-000004000000}">
      <formula1>Life_Cycle</formula1>
    </dataValidation>
  </dataValidations>
  <hyperlinks>
    <hyperlink ref="A5" location="Home!A1" display="Home" xr:uid="{00000000-0004-0000-0400-00000000000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5000000}">
          <x14:formula1>
            <xm:f>'Top Insurers and Brokers'!$B$7:$B$131</xm:f>
          </x14:formula1>
          <xm:sqref>A8:A109</xm:sqref>
        </x14:dataValidation>
        <x14:dataValidation type="list" allowBlank="1" showInputMessage="1" showErrorMessage="1" xr:uid="{00000000-0002-0000-0400-000006000000}">
          <x14:formula1>
            <xm:f>'Reference Tab - Do not Delete'!$B$20:$L$20</xm:f>
          </x14:formula1>
          <xm:sqref>K7:K108</xm:sqref>
        </x14:dataValidation>
        <x14:dataValidation type="list" allowBlank="1" showInputMessage="1" showErrorMessage="1" xr:uid="{00000000-0002-0000-0400-000007000000}">
          <x14:formula1>
            <xm:f>'Top Insurers and Brokers'!$B$7:$B$231</xm:f>
          </x14:formula1>
          <xm:sqref>A7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S76"/>
  <sheetViews>
    <sheetView showGridLines="0" zoomScale="85" zoomScaleNormal="85" workbookViewId="0">
      <pane ySplit="4" topLeftCell="A5" activePane="bottomLeft" state="frozen"/>
      <selection activeCell="AO10" sqref="AO10"/>
      <selection pane="bottomLeft" sqref="A1:N1"/>
    </sheetView>
  </sheetViews>
  <sheetFormatPr defaultColWidth="9.1796875" defaultRowHeight="14" x14ac:dyDescent="0.3"/>
  <cols>
    <col min="1" max="1" width="7.81640625" style="219" customWidth="1"/>
    <col min="2" max="2" width="33.81640625" style="219" customWidth="1"/>
    <col min="3" max="3" width="15" style="219" bestFit="1" customWidth="1"/>
    <col min="4" max="4" width="17" style="219" bestFit="1" customWidth="1"/>
    <col min="5" max="5" width="11.1796875" style="219" bestFit="1" customWidth="1"/>
    <col min="6" max="6" width="17.1796875" style="219" bestFit="1" customWidth="1"/>
    <col min="7" max="7" width="16.7265625" style="219" bestFit="1" customWidth="1"/>
    <col min="8" max="8" width="6.81640625" style="219" bestFit="1" customWidth="1"/>
    <col min="9" max="9" width="4.453125" style="219" bestFit="1" customWidth="1"/>
    <col min="10" max="10" width="14.54296875" style="219" bestFit="1" customWidth="1"/>
    <col min="11" max="11" width="4.81640625" style="219" bestFit="1" customWidth="1"/>
    <col min="12" max="12" width="8.7265625" style="219" bestFit="1" customWidth="1"/>
    <col min="13" max="13" width="5.81640625" style="219" bestFit="1" customWidth="1"/>
    <col min="14" max="14" width="68.7265625" style="219" customWidth="1"/>
    <col min="15" max="18" width="9.1796875" style="219"/>
    <col min="19" max="19" width="0" style="219" hidden="1" customWidth="1"/>
    <col min="20" max="16384" width="9.1796875" style="219"/>
  </cols>
  <sheetData>
    <row r="1" spans="1:19" ht="25" x14ac:dyDescent="0.5">
      <c r="A1" s="517" t="s">
        <v>2137</v>
      </c>
      <c r="B1" s="517"/>
      <c r="C1" s="517"/>
      <c r="D1" s="517"/>
      <c r="E1" s="517"/>
      <c r="F1" s="517"/>
      <c r="G1" s="517"/>
      <c r="H1" s="517"/>
      <c r="I1" s="517"/>
      <c r="J1" s="517"/>
      <c r="K1" s="517"/>
      <c r="L1" s="517"/>
      <c r="M1" s="517"/>
      <c r="N1" s="517"/>
    </row>
    <row r="2" spans="1:19" x14ac:dyDescent="0.3">
      <c r="A2" s="518" t="s">
        <v>2138</v>
      </c>
      <c r="B2" s="518"/>
      <c r="C2" s="518"/>
      <c r="D2" s="518"/>
      <c r="E2" s="518"/>
      <c r="F2" s="518"/>
      <c r="G2" s="518"/>
      <c r="H2" s="518"/>
      <c r="I2" s="518"/>
      <c r="J2" s="518"/>
      <c r="K2" s="518"/>
      <c r="L2" s="518"/>
      <c r="M2" s="518"/>
      <c r="N2" s="518"/>
    </row>
    <row r="3" spans="1:19" ht="14.5" thickBot="1" x14ac:dyDescent="0.35">
      <c r="A3" s="466" t="s">
        <v>1709</v>
      </c>
    </row>
    <row r="4" spans="1:19" ht="24.75" customHeight="1" x14ac:dyDescent="0.3">
      <c r="A4" s="467" t="s">
        <v>1508</v>
      </c>
      <c r="B4" s="468" t="s">
        <v>1509</v>
      </c>
      <c r="C4" s="469" t="s">
        <v>955</v>
      </c>
      <c r="D4" s="469" t="s">
        <v>1510</v>
      </c>
      <c r="E4" s="469" t="s">
        <v>1511</v>
      </c>
      <c r="F4" s="469" t="s">
        <v>1512</v>
      </c>
      <c r="G4" s="469" t="s">
        <v>1513</v>
      </c>
      <c r="H4" s="469" t="s">
        <v>957</v>
      </c>
      <c r="I4" s="469" t="s">
        <v>345</v>
      </c>
      <c r="J4" s="469" t="s">
        <v>243</v>
      </c>
      <c r="K4" s="469" t="s">
        <v>1514</v>
      </c>
      <c r="L4" s="469" t="s">
        <v>259</v>
      </c>
      <c r="M4" s="469" t="s">
        <v>1515</v>
      </c>
      <c r="N4" s="470" t="s">
        <v>1516</v>
      </c>
      <c r="P4" s="471"/>
      <c r="Q4" s="472" t="s">
        <v>1517</v>
      </c>
      <c r="S4" s="219" t="s">
        <v>1518</v>
      </c>
    </row>
    <row r="5" spans="1:19" x14ac:dyDescent="0.3">
      <c r="A5" s="473">
        <v>1</v>
      </c>
      <c r="B5" s="474" t="s">
        <v>1519</v>
      </c>
      <c r="C5" s="475" t="s">
        <v>1520</v>
      </c>
      <c r="D5" s="475" t="s">
        <v>1099</v>
      </c>
      <c r="E5" s="475"/>
      <c r="F5" s="475" t="s">
        <v>1521</v>
      </c>
      <c r="G5" s="475"/>
      <c r="H5" s="475" t="s">
        <v>289</v>
      </c>
      <c r="I5" s="475"/>
      <c r="J5" s="475"/>
      <c r="K5" s="475"/>
      <c r="L5" s="475"/>
      <c r="M5" s="475" t="s">
        <v>664</v>
      </c>
      <c r="N5" s="476" t="s">
        <v>1522</v>
      </c>
      <c r="S5" s="219" t="s">
        <v>1523</v>
      </c>
    </row>
    <row r="6" spans="1:19" x14ac:dyDescent="0.3">
      <c r="A6" s="473">
        <v>2</v>
      </c>
      <c r="B6" s="474" t="s">
        <v>1103</v>
      </c>
      <c r="C6" s="475" t="s">
        <v>1524</v>
      </c>
      <c r="D6" s="475" t="s">
        <v>1154</v>
      </c>
      <c r="E6" s="475"/>
      <c r="F6" s="475" t="s">
        <v>1525</v>
      </c>
      <c r="G6" s="475"/>
      <c r="H6" s="475" t="s">
        <v>289</v>
      </c>
      <c r="I6" s="475"/>
      <c r="J6" s="475"/>
      <c r="K6" s="475"/>
      <c r="L6" s="475"/>
      <c r="M6" s="475">
        <v>100</v>
      </c>
      <c r="N6" s="477" t="s">
        <v>1526</v>
      </c>
      <c r="S6" s="219" t="s">
        <v>1527</v>
      </c>
    </row>
    <row r="7" spans="1:19" x14ac:dyDescent="0.3">
      <c r="A7" s="473">
        <v>3</v>
      </c>
      <c r="B7" s="474" t="s">
        <v>1103</v>
      </c>
      <c r="C7" s="475"/>
      <c r="D7" s="475"/>
      <c r="E7" s="475"/>
      <c r="F7" s="475" t="s">
        <v>1525</v>
      </c>
      <c r="G7" s="475"/>
      <c r="H7" s="475"/>
      <c r="I7" s="475" t="s">
        <v>289</v>
      </c>
      <c r="J7" s="475"/>
      <c r="K7" s="475"/>
      <c r="L7" s="475"/>
      <c r="M7" s="475">
        <v>200</v>
      </c>
      <c r="N7" s="477" t="s">
        <v>1528</v>
      </c>
      <c r="S7" s="219" t="s">
        <v>1529</v>
      </c>
    </row>
    <row r="8" spans="1:19" ht="28" x14ac:dyDescent="0.3">
      <c r="A8" s="473">
        <v>4</v>
      </c>
      <c r="B8" s="478" t="s">
        <v>1530</v>
      </c>
      <c r="C8" s="475" t="s">
        <v>1520</v>
      </c>
      <c r="D8" s="475" t="s">
        <v>1531</v>
      </c>
      <c r="E8" s="475"/>
      <c r="F8" s="479" t="s">
        <v>1525</v>
      </c>
      <c r="G8" s="475" t="s">
        <v>1518</v>
      </c>
      <c r="H8" s="475" t="s">
        <v>289</v>
      </c>
      <c r="I8" s="475" t="s">
        <v>289</v>
      </c>
      <c r="J8" s="475"/>
      <c r="K8" s="475"/>
      <c r="L8" s="475"/>
      <c r="M8" s="475">
        <v>450</v>
      </c>
      <c r="N8" s="477" t="s">
        <v>1532</v>
      </c>
    </row>
    <row r="9" spans="1:19" x14ac:dyDescent="0.3">
      <c r="A9" s="473">
        <v>5</v>
      </c>
      <c r="B9" s="478" t="s">
        <v>1530</v>
      </c>
      <c r="C9" s="475"/>
      <c r="D9" s="475"/>
      <c r="E9" s="475"/>
      <c r="F9" s="479" t="s">
        <v>1525</v>
      </c>
      <c r="G9" s="475" t="s">
        <v>1518</v>
      </c>
      <c r="H9" s="475" t="s">
        <v>289</v>
      </c>
      <c r="I9" s="475"/>
      <c r="J9" s="475"/>
      <c r="K9" s="475"/>
      <c r="L9" s="475"/>
      <c r="M9" s="475">
        <v>100</v>
      </c>
      <c r="N9" s="477" t="s">
        <v>1533</v>
      </c>
    </row>
    <row r="10" spans="1:19" x14ac:dyDescent="0.3">
      <c r="A10" s="473">
        <v>6</v>
      </c>
      <c r="B10" s="478" t="s">
        <v>1530</v>
      </c>
      <c r="C10" s="475"/>
      <c r="D10" s="475"/>
      <c r="E10" s="475"/>
      <c r="F10" s="479" t="s">
        <v>1525</v>
      </c>
      <c r="G10" s="475" t="s">
        <v>1518</v>
      </c>
      <c r="H10" s="475"/>
      <c r="I10" s="475" t="s">
        <v>289</v>
      </c>
      <c r="J10" s="475"/>
      <c r="K10" s="475"/>
      <c r="L10" s="475"/>
      <c r="M10" s="475">
        <v>200</v>
      </c>
      <c r="N10" s="477" t="s">
        <v>1534</v>
      </c>
    </row>
    <row r="11" spans="1:19" x14ac:dyDescent="0.3">
      <c r="A11" s="473">
        <v>7</v>
      </c>
      <c r="B11" s="478" t="s">
        <v>1530</v>
      </c>
      <c r="C11" s="475"/>
      <c r="D11" s="475"/>
      <c r="E11" s="475"/>
      <c r="F11" s="479" t="s">
        <v>1525</v>
      </c>
      <c r="G11" s="475" t="s">
        <v>1518</v>
      </c>
      <c r="H11" s="475" t="s">
        <v>289</v>
      </c>
      <c r="I11" s="475"/>
      <c r="J11" s="475"/>
      <c r="K11" s="475"/>
      <c r="L11" s="475"/>
      <c r="M11" s="475">
        <v>100</v>
      </c>
      <c r="N11" s="477" t="s">
        <v>1535</v>
      </c>
    </row>
    <row r="12" spans="1:19" ht="28" x14ac:dyDescent="0.3">
      <c r="A12" s="473">
        <v>8</v>
      </c>
      <c r="B12" s="478" t="s">
        <v>1530</v>
      </c>
      <c r="C12" s="475"/>
      <c r="D12" s="475"/>
      <c r="E12" s="475"/>
      <c r="F12" s="479" t="s">
        <v>1525</v>
      </c>
      <c r="G12" s="475" t="s">
        <v>1518</v>
      </c>
      <c r="H12" s="475"/>
      <c r="I12" s="475"/>
      <c r="J12" s="475"/>
      <c r="K12" s="475" t="s">
        <v>289</v>
      </c>
      <c r="L12" s="475"/>
      <c r="M12" s="475">
        <v>150</v>
      </c>
      <c r="N12" s="477" t="s">
        <v>1536</v>
      </c>
    </row>
    <row r="13" spans="1:19" ht="42" x14ac:dyDescent="0.3">
      <c r="A13" s="473">
        <v>9</v>
      </c>
      <c r="B13" s="478" t="s">
        <v>1537</v>
      </c>
      <c r="C13" s="475"/>
      <c r="D13" s="475"/>
      <c r="E13" s="475"/>
      <c r="F13" s="479" t="s">
        <v>1525</v>
      </c>
      <c r="G13" s="475"/>
      <c r="H13" s="475"/>
      <c r="I13" s="475"/>
      <c r="J13" s="475"/>
      <c r="K13" s="475" t="s">
        <v>289</v>
      </c>
      <c r="L13" s="475"/>
      <c r="M13" s="475">
        <v>180</v>
      </c>
      <c r="N13" s="477" t="s">
        <v>1538</v>
      </c>
    </row>
    <row r="14" spans="1:19" ht="28" x14ac:dyDescent="0.3">
      <c r="A14" s="473">
        <v>10</v>
      </c>
      <c r="B14" s="478" t="s">
        <v>1537</v>
      </c>
      <c r="C14" s="475"/>
      <c r="D14" s="475"/>
      <c r="E14" s="475"/>
      <c r="F14" s="479" t="s">
        <v>1525</v>
      </c>
      <c r="G14" s="475"/>
      <c r="H14" s="475" t="s">
        <v>289</v>
      </c>
      <c r="I14" s="475"/>
      <c r="J14" s="475"/>
      <c r="K14" s="475"/>
      <c r="L14" s="475"/>
      <c r="M14" s="475">
        <v>1000</v>
      </c>
      <c r="N14" s="477" t="s">
        <v>1539</v>
      </c>
    </row>
    <row r="15" spans="1:19" x14ac:dyDescent="0.3">
      <c r="A15" s="473">
        <v>11</v>
      </c>
      <c r="B15" s="478" t="s">
        <v>1540</v>
      </c>
      <c r="C15" s="475" t="s">
        <v>1524</v>
      </c>
      <c r="D15" s="475" t="s">
        <v>1154</v>
      </c>
      <c r="E15" s="475"/>
      <c r="F15" s="479" t="s">
        <v>1525</v>
      </c>
      <c r="G15" s="475"/>
      <c r="H15" s="475"/>
      <c r="I15" s="475" t="s">
        <v>289</v>
      </c>
      <c r="J15" s="475"/>
      <c r="K15" s="475"/>
      <c r="L15" s="475"/>
      <c r="M15" s="475">
        <v>200</v>
      </c>
      <c r="N15" s="477" t="s">
        <v>1528</v>
      </c>
    </row>
    <row r="16" spans="1:19" x14ac:dyDescent="0.3">
      <c r="A16" s="473">
        <v>12</v>
      </c>
      <c r="B16" s="478" t="s">
        <v>1541</v>
      </c>
      <c r="C16" s="475" t="s">
        <v>1520</v>
      </c>
      <c r="D16" s="475" t="s">
        <v>1099</v>
      </c>
      <c r="E16" s="475"/>
      <c r="F16" s="479" t="s">
        <v>1525</v>
      </c>
      <c r="G16" s="475"/>
      <c r="H16" s="475"/>
      <c r="I16" s="475" t="s">
        <v>289</v>
      </c>
      <c r="J16" s="475"/>
      <c r="K16" s="475" t="s">
        <v>289</v>
      </c>
      <c r="L16" s="475"/>
      <c r="M16" s="475">
        <v>760</v>
      </c>
      <c r="N16" s="477" t="s">
        <v>1542</v>
      </c>
    </row>
    <row r="17" spans="1:14" x14ac:dyDescent="0.3">
      <c r="A17" s="473">
        <v>13</v>
      </c>
      <c r="B17" s="478" t="s">
        <v>1541</v>
      </c>
      <c r="C17" s="475"/>
      <c r="D17" s="475"/>
      <c r="E17" s="475"/>
      <c r="F17" s="479" t="s">
        <v>1525</v>
      </c>
      <c r="G17" s="475"/>
      <c r="H17" s="475"/>
      <c r="I17" s="475"/>
      <c r="J17" s="475"/>
      <c r="K17" s="475" t="s">
        <v>289</v>
      </c>
      <c r="L17" s="475"/>
      <c r="M17" s="475">
        <v>100</v>
      </c>
      <c r="N17" s="477" t="s">
        <v>252</v>
      </c>
    </row>
    <row r="18" spans="1:14" x14ac:dyDescent="0.3">
      <c r="A18" s="473">
        <v>14</v>
      </c>
      <c r="B18" s="474" t="s">
        <v>1543</v>
      </c>
      <c r="C18" s="475" t="s">
        <v>1520</v>
      </c>
      <c r="D18" s="475" t="s">
        <v>1099</v>
      </c>
      <c r="E18" s="475"/>
      <c r="F18" s="479" t="s">
        <v>1525</v>
      </c>
      <c r="G18" s="475"/>
      <c r="H18" s="475" t="s">
        <v>289</v>
      </c>
      <c r="I18" s="475" t="s">
        <v>289</v>
      </c>
      <c r="J18" s="475"/>
      <c r="K18" s="475"/>
      <c r="L18" s="475"/>
      <c r="M18" s="475">
        <v>350</v>
      </c>
      <c r="N18" s="477" t="s">
        <v>1544</v>
      </c>
    </row>
    <row r="19" spans="1:14" x14ac:dyDescent="0.3">
      <c r="A19" s="473">
        <v>15</v>
      </c>
      <c r="B19" s="474" t="s">
        <v>1543</v>
      </c>
      <c r="C19" s="475"/>
      <c r="D19" s="475"/>
      <c r="E19" s="475"/>
      <c r="F19" s="479" t="s">
        <v>1525</v>
      </c>
      <c r="G19" s="475"/>
      <c r="H19" s="475" t="s">
        <v>289</v>
      </c>
      <c r="I19" s="475"/>
      <c r="J19" s="475"/>
      <c r="K19" s="475"/>
      <c r="L19" s="475"/>
      <c r="M19" s="475">
        <v>117</v>
      </c>
      <c r="N19" s="477" t="s">
        <v>1545</v>
      </c>
    </row>
    <row r="20" spans="1:14" x14ac:dyDescent="0.3">
      <c r="A20" s="473">
        <v>16</v>
      </c>
      <c r="B20" s="474" t="s">
        <v>1543</v>
      </c>
      <c r="C20" s="475"/>
      <c r="D20" s="475"/>
      <c r="E20" s="475"/>
      <c r="F20" s="479" t="s">
        <v>1525</v>
      </c>
      <c r="G20" s="475"/>
      <c r="H20" s="475"/>
      <c r="I20" s="475"/>
      <c r="J20" s="475"/>
      <c r="K20" s="475"/>
      <c r="L20" s="475"/>
      <c r="M20" s="475">
        <v>50</v>
      </c>
      <c r="N20" s="477" t="s">
        <v>1546</v>
      </c>
    </row>
    <row r="21" spans="1:14" x14ac:dyDescent="0.3">
      <c r="A21" s="473">
        <v>17</v>
      </c>
      <c r="B21" s="474" t="s">
        <v>1543</v>
      </c>
      <c r="C21" s="475"/>
      <c r="D21" s="475"/>
      <c r="E21" s="475"/>
      <c r="F21" s="475" t="s">
        <v>1525</v>
      </c>
      <c r="G21" s="475"/>
      <c r="H21" s="475"/>
      <c r="I21" s="475"/>
      <c r="J21" s="475"/>
      <c r="K21" s="475" t="s">
        <v>289</v>
      </c>
      <c r="L21" s="475"/>
      <c r="M21" s="475">
        <v>163</v>
      </c>
      <c r="N21" s="477" t="s">
        <v>1547</v>
      </c>
    </row>
    <row r="22" spans="1:14" x14ac:dyDescent="0.3">
      <c r="A22" s="473">
        <v>18</v>
      </c>
      <c r="B22" s="474" t="s">
        <v>1548</v>
      </c>
      <c r="C22" s="475" t="s">
        <v>1520</v>
      </c>
      <c r="D22" s="475" t="s">
        <v>1099</v>
      </c>
      <c r="E22" s="475"/>
      <c r="F22" s="475" t="s">
        <v>1525</v>
      </c>
      <c r="G22" s="475"/>
      <c r="H22" s="475" t="s">
        <v>289</v>
      </c>
      <c r="I22" s="475"/>
      <c r="J22" s="475"/>
      <c r="K22" s="475"/>
      <c r="L22" s="475"/>
      <c r="M22" s="475">
        <v>100</v>
      </c>
      <c r="N22" s="476" t="s">
        <v>1549</v>
      </c>
    </row>
    <row r="23" spans="1:14" x14ac:dyDescent="0.3">
      <c r="A23" s="473">
        <v>19</v>
      </c>
      <c r="B23" s="474" t="s">
        <v>1519</v>
      </c>
      <c r="C23" s="475" t="s">
        <v>1520</v>
      </c>
      <c r="D23" s="475" t="s">
        <v>1099</v>
      </c>
      <c r="E23" s="475"/>
      <c r="F23" s="475" t="s">
        <v>1525</v>
      </c>
      <c r="G23" s="475"/>
      <c r="H23" s="475" t="s">
        <v>289</v>
      </c>
      <c r="I23" s="475"/>
      <c r="J23" s="475"/>
      <c r="K23" s="475"/>
      <c r="L23" s="475" t="s">
        <v>289</v>
      </c>
      <c r="M23" s="475" t="s">
        <v>664</v>
      </c>
      <c r="N23" s="476" t="s">
        <v>1550</v>
      </c>
    </row>
    <row r="24" spans="1:14" x14ac:dyDescent="0.3">
      <c r="A24" s="473">
        <v>20</v>
      </c>
      <c r="B24" s="480" t="s">
        <v>1551</v>
      </c>
      <c r="C24" s="475" t="s">
        <v>1552</v>
      </c>
      <c r="D24" s="475"/>
      <c r="E24" s="475"/>
      <c r="F24" s="475" t="s">
        <v>1525</v>
      </c>
      <c r="G24" s="475"/>
      <c r="H24" s="475"/>
      <c r="I24" s="475"/>
      <c r="J24" s="475"/>
      <c r="K24" s="475"/>
      <c r="L24" s="475"/>
      <c r="M24" s="475"/>
      <c r="N24" s="476"/>
    </row>
    <row r="25" spans="1:14" x14ac:dyDescent="0.3">
      <c r="A25" s="473">
        <v>21</v>
      </c>
      <c r="B25" s="480" t="s">
        <v>1553</v>
      </c>
      <c r="C25" s="475"/>
      <c r="D25" s="475"/>
      <c r="E25" s="475"/>
      <c r="F25" s="475" t="s">
        <v>1525</v>
      </c>
      <c r="G25" s="475"/>
      <c r="H25" s="475"/>
      <c r="I25" s="475"/>
      <c r="J25" s="475"/>
      <c r="K25" s="475"/>
      <c r="L25" s="475"/>
      <c r="M25" s="475"/>
      <c r="N25" s="476"/>
    </row>
    <row r="26" spans="1:14" x14ac:dyDescent="0.3">
      <c r="A26" s="473">
        <v>22</v>
      </c>
      <c r="B26" s="480" t="s">
        <v>1554</v>
      </c>
      <c r="C26" s="475"/>
      <c r="D26" s="475"/>
      <c r="E26" s="475"/>
      <c r="F26" s="475" t="s">
        <v>1525</v>
      </c>
      <c r="G26" s="475"/>
      <c r="H26" s="475"/>
      <c r="I26" s="475"/>
      <c r="J26" s="475"/>
      <c r="K26" s="475"/>
      <c r="L26" s="475"/>
      <c r="M26" s="475"/>
      <c r="N26" s="476"/>
    </row>
    <row r="27" spans="1:14" x14ac:dyDescent="0.3">
      <c r="A27" s="473">
        <v>23</v>
      </c>
      <c r="B27" s="474" t="s">
        <v>1555</v>
      </c>
      <c r="C27" s="475"/>
      <c r="D27" s="475"/>
      <c r="E27" s="475"/>
      <c r="F27" s="475" t="s">
        <v>1525</v>
      </c>
      <c r="G27" s="475"/>
      <c r="H27" s="475" t="s">
        <v>289</v>
      </c>
      <c r="I27" s="475"/>
      <c r="J27" s="475"/>
      <c r="K27" s="475"/>
      <c r="L27" s="475"/>
      <c r="M27" s="475"/>
      <c r="N27" s="476"/>
    </row>
    <row r="28" spans="1:14" x14ac:dyDescent="0.3">
      <c r="A28" s="473">
        <v>24</v>
      </c>
      <c r="B28" s="478" t="s">
        <v>1556</v>
      </c>
      <c r="C28" s="475"/>
      <c r="D28" s="475"/>
      <c r="E28" s="475"/>
      <c r="F28" s="475" t="s">
        <v>1525</v>
      </c>
      <c r="G28" s="475"/>
      <c r="H28" s="475"/>
      <c r="I28" s="475"/>
      <c r="J28" s="475"/>
      <c r="K28" s="475"/>
      <c r="L28" s="475"/>
      <c r="M28" s="475"/>
      <c r="N28" s="476"/>
    </row>
    <row r="29" spans="1:14" x14ac:dyDescent="0.3">
      <c r="A29" s="473">
        <v>25</v>
      </c>
      <c r="B29" s="478" t="s">
        <v>1557</v>
      </c>
      <c r="C29" s="475"/>
      <c r="D29" s="475"/>
      <c r="E29" s="475"/>
      <c r="F29" s="475" t="s">
        <v>1525</v>
      </c>
      <c r="G29" s="475"/>
      <c r="H29" s="475"/>
      <c r="I29" s="475"/>
      <c r="J29" s="475"/>
      <c r="K29" s="475"/>
      <c r="L29" s="475"/>
      <c r="M29" s="475"/>
      <c r="N29" s="476"/>
    </row>
    <row r="30" spans="1:14" x14ac:dyDescent="0.3">
      <c r="A30" s="473">
        <v>26</v>
      </c>
      <c r="B30" s="478" t="s">
        <v>1558</v>
      </c>
      <c r="C30" s="475"/>
      <c r="D30" s="475"/>
      <c r="E30" s="475"/>
      <c r="F30" s="475" t="s">
        <v>1525</v>
      </c>
      <c r="G30" s="475"/>
      <c r="H30" s="475"/>
      <c r="I30" s="475"/>
      <c r="J30" s="475"/>
      <c r="K30" s="475"/>
      <c r="L30" s="475"/>
      <c r="M30" s="475"/>
      <c r="N30" s="476"/>
    </row>
    <row r="31" spans="1:14" x14ac:dyDescent="0.3">
      <c r="A31" s="473">
        <v>27</v>
      </c>
      <c r="B31" s="478" t="s">
        <v>1551</v>
      </c>
      <c r="C31" s="475"/>
      <c r="D31" s="475"/>
      <c r="E31" s="475"/>
      <c r="F31" s="475" t="s">
        <v>1525</v>
      </c>
      <c r="G31" s="475"/>
      <c r="H31" s="475"/>
      <c r="I31" s="475"/>
      <c r="J31" s="475"/>
      <c r="K31" s="475"/>
      <c r="L31" s="475"/>
      <c r="M31" s="475"/>
      <c r="N31" s="476"/>
    </row>
    <row r="32" spans="1:14" x14ac:dyDescent="0.3">
      <c r="A32" s="473">
        <v>28</v>
      </c>
      <c r="B32" s="474" t="s">
        <v>1105</v>
      </c>
      <c r="C32" s="475"/>
      <c r="D32" s="475"/>
      <c r="E32" s="475"/>
      <c r="F32" s="475" t="s">
        <v>1525</v>
      </c>
      <c r="G32" s="475"/>
      <c r="H32" s="475"/>
      <c r="I32" s="475"/>
      <c r="J32" s="475"/>
      <c r="K32" s="475"/>
      <c r="L32" s="475"/>
      <c r="M32" s="475"/>
      <c r="N32" s="476"/>
    </row>
    <row r="33" spans="1:14" x14ac:dyDescent="0.3">
      <c r="A33" s="473">
        <v>29</v>
      </c>
      <c r="B33" s="474" t="s">
        <v>1559</v>
      </c>
      <c r="C33" s="475" t="s">
        <v>1520</v>
      </c>
      <c r="D33" s="475" t="s">
        <v>1099</v>
      </c>
      <c r="E33" s="475"/>
      <c r="F33" s="475" t="s">
        <v>275</v>
      </c>
      <c r="G33" s="475"/>
      <c r="H33" s="475"/>
      <c r="I33" s="475"/>
      <c r="J33" s="475"/>
      <c r="K33" s="475"/>
      <c r="L33" s="475"/>
      <c r="M33" s="475"/>
      <c r="N33" s="477"/>
    </row>
    <row r="34" spans="1:14" x14ac:dyDescent="0.3">
      <c r="A34" s="473">
        <v>30</v>
      </c>
      <c r="B34" s="481" t="s">
        <v>1103</v>
      </c>
      <c r="C34" s="475"/>
      <c r="D34" s="475"/>
      <c r="E34" s="475"/>
      <c r="F34" s="475" t="s">
        <v>275</v>
      </c>
      <c r="G34" s="475"/>
      <c r="H34" s="475"/>
      <c r="I34" s="475"/>
      <c r="J34" s="475"/>
      <c r="K34" s="475"/>
      <c r="L34" s="475"/>
      <c r="M34" s="475"/>
      <c r="N34" s="477"/>
    </row>
    <row r="35" spans="1:14" x14ac:dyDescent="0.3">
      <c r="A35" s="473">
        <v>31</v>
      </c>
      <c r="B35" s="481" t="s">
        <v>1560</v>
      </c>
      <c r="C35" s="475"/>
      <c r="D35" s="475"/>
      <c r="E35" s="475"/>
      <c r="F35" s="475" t="s">
        <v>275</v>
      </c>
      <c r="G35" s="475"/>
      <c r="H35" s="475"/>
      <c r="I35" s="475"/>
      <c r="J35" s="475"/>
      <c r="K35" s="475"/>
      <c r="L35" s="475"/>
      <c r="M35" s="475"/>
      <c r="N35" s="477"/>
    </row>
    <row r="36" spans="1:14" x14ac:dyDescent="0.3">
      <c r="A36" s="473">
        <v>32</v>
      </c>
      <c r="B36" s="481" t="s">
        <v>1561</v>
      </c>
      <c r="C36" s="475"/>
      <c r="D36" s="475"/>
      <c r="E36" s="475"/>
      <c r="F36" s="475" t="s">
        <v>275</v>
      </c>
      <c r="G36" s="475"/>
      <c r="H36" s="475"/>
      <c r="I36" s="475"/>
      <c r="J36" s="475"/>
      <c r="K36" s="475"/>
      <c r="L36" s="475"/>
      <c r="M36" s="475"/>
      <c r="N36" s="477"/>
    </row>
    <row r="37" spans="1:14" x14ac:dyDescent="0.3">
      <c r="A37" s="473">
        <v>33</v>
      </c>
      <c r="B37" s="481" t="s">
        <v>1559</v>
      </c>
      <c r="C37" s="475"/>
      <c r="D37" s="475"/>
      <c r="E37" s="475"/>
      <c r="F37" s="475" t="s">
        <v>275</v>
      </c>
      <c r="G37" s="475"/>
      <c r="H37" s="475"/>
      <c r="I37" s="475"/>
      <c r="J37" s="475"/>
      <c r="K37" s="475"/>
      <c r="L37" s="475"/>
      <c r="M37" s="475"/>
      <c r="N37" s="477"/>
    </row>
    <row r="38" spans="1:14" x14ac:dyDescent="0.3">
      <c r="A38" s="473">
        <v>34</v>
      </c>
      <c r="B38" s="481" t="s">
        <v>1562</v>
      </c>
      <c r="C38" s="475"/>
      <c r="D38" s="475"/>
      <c r="E38" s="475"/>
      <c r="F38" s="475" t="s">
        <v>275</v>
      </c>
      <c r="G38" s="475"/>
      <c r="H38" s="475"/>
      <c r="I38" s="475"/>
      <c r="J38" s="475"/>
      <c r="K38" s="475"/>
      <c r="L38" s="475"/>
      <c r="M38" s="475"/>
      <c r="N38" s="477"/>
    </row>
    <row r="39" spans="1:14" x14ac:dyDescent="0.3">
      <c r="A39" s="473">
        <v>35</v>
      </c>
      <c r="B39" s="478" t="s">
        <v>1530</v>
      </c>
      <c r="C39" s="475"/>
      <c r="D39" s="475"/>
      <c r="E39" s="475"/>
      <c r="F39" s="475" t="s">
        <v>275</v>
      </c>
      <c r="G39" s="475"/>
      <c r="H39" s="475"/>
      <c r="I39" s="475" t="s">
        <v>289</v>
      </c>
      <c r="J39" s="475"/>
      <c r="K39" s="475"/>
      <c r="L39" s="475"/>
      <c r="M39" s="475">
        <v>60</v>
      </c>
      <c r="N39" s="477" t="s">
        <v>1563</v>
      </c>
    </row>
    <row r="40" spans="1:14" x14ac:dyDescent="0.3">
      <c r="A40" s="473">
        <v>36</v>
      </c>
      <c r="B40" s="478" t="s">
        <v>1530</v>
      </c>
      <c r="C40" s="475"/>
      <c r="D40" s="475"/>
      <c r="E40" s="475"/>
      <c r="F40" s="475" t="s">
        <v>275</v>
      </c>
      <c r="G40" s="475"/>
      <c r="H40" s="475" t="s">
        <v>289</v>
      </c>
      <c r="I40" s="475"/>
      <c r="J40" s="475"/>
      <c r="K40" s="475"/>
      <c r="L40" s="475"/>
      <c r="M40" s="475">
        <v>50</v>
      </c>
      <c r="N40" s="477" t="s">
        <v>957</v>
      </c>
    </row>
    <row r="41" spans="1:14" x14ac:dyDescent="0.3">
      <c r="A41" s="473">
        <v>37</v>
      </c>
      <c r="B41" s="478" t="s">
        <v>1530</v>
      </c>
      <c r="C41" s="475"/>
      <c r="D41" s="475"/>
      <c r="E41" s="475"/>
      <c r="F41" s="475" t="s">
        <v>275</v>
      </c>
      <c r="G41" s="475"/>
      <c r="H41" s="475"/>
      <c r="I41" s="475"/>
      <c r="J41" s="475"/>
      <c r="K41" s="475" t="s">
        <v>289</v>
      </c>
      <c r="L41" s="475"/>
      <c r="M41" s="475">
        <v>100</v>
      </c>
      <c r="N41" s="477" t="s">
        <v>1564</v>
      </c>
    </row>
    <row r="42" spans="1:14" x14ac:dyDescent="0.3">
      <c r="A42" s="473">
        <v>38</v>
      </c>
      <c r="B42" s="478" t="s">
        <v>1565</v>
      </c>
      <c r="C42" s="475" t="s">
        <v>1520</v>
      </c>
      <c r="D42" s="475"/>
      <c r="E42" s="475"/>
      <c r="F42" s="475" t="s">
        <v>275</v>
      </c>
      <c r="G42" s="475"/>
      <c r="H42" s="475"/>
      <c r="I42" s="475" t="s">
        <v>289</v>
      </c>
      <c r="J42" s="475"/>
      <c r="K42" s="475"/>
      <c r="L42" s="475"/>
      <c r="M42" s="475">
        <v>100</v>
      </c>
      <c r="N42" s="476" t="s">
        <v>1566</v>
      </c>
    </row>
    <row r="43" spans="1:14" x14ac:dyDescent="0.3">
      <c r="A43" s="473">
        <v>39</v>
      </c>
      <c r="B43" s="478" t="s">
        <v>1565</v>
      </c>
      <c r="C43" s="475"/>
      <c r="D43" s="475"/>
      <c r="E43" s="475"/>
      <c r="F43" s="475" t="s">
        <v>275</v>
      </c>
      <c r="G43" s="475"/>
      <c r="H43" s="475"/>
      <c r="I43" s="475" t="s">
        <v>289</v>
      </c>
      <c r="J43" s="475"/>
      <c r="K43" s="475"/>
      <c r="L43" s="475"/>
      <c r="M43" s="475">
        <v>250</v>
      </c>
      <c r="N43" s="476" t="s">
        <v>1563</v>
      </c>
    </row>
    <row r="44" spans="1:14" x14ac:dyDescent="0.3">
      <c r="A44" s="473">
        <v>40</v>
      </c>
      <c r="B44" s="478" t="s">
        <v>1567</v>
      </c>
      <c r="C44" s="475" t="s">
        <v>1520</v>
      </c>
      <c r="D44" s="475"/>
      <c r="E44" s="475"/>
      <c r="F44" s="475" t="s">
        <v>275</v>
      </c>
      <c r="G44" s="475"/>
      <c r="H44" s="475"/>
      <c r="I44" s="475" t="s">
        <v>289</v>
      </c>
      <c r="J44" s="475"/>
      <c r="K44" s="475"/>
      <c r="L44" s="475"/>
      <c r="M44" s="475">
        <v>240</v>
      </c>
      <c r="N44" s="476" t="s">
        <v>1568</v>
      </c>
    </row>
    <row r="45" spans="1:14" x14ac:dyDescent="0.3">
      <c r="A45" s="473">
        <v>41</v>
      </c>
      <c r="B45" s="478" t="s">
        <v>1567</v>
      </c>
      <c r="C45" s="475" t="s">
        <v>1520</v>
      </c>
      <c r="D45" s="475"/>
      <c r="E45" s="475"/>
      <c r="F45" s="475" t="s">
        <v>275</v>
      </c>
      <c r="G45" s="475"/>
      <c r="H45" s="475" t="s">
        <v>289</v>
      </c>
      <c r="I45" s="475"/>
      <c r="J45" s="475"/>
      <c r="K45" s="475"/>
      <c r="L45" s="475"/>
      <c r="M45" s="475">
        <v>60</v>
      </c>
      <c r="N45" s="476" t="s">
        <v>957</v>
      </c>
    </row>
    <row r="46" spans="1:14" x14ac:dyDescent="0.3">
      <c r="A46" s="473">
        <v>42</v>
      </c>
      <c r="B46" s="478" t="s">
        <v>1569</v>
      </c>
      <c r="C46" s="475"/>
      <c r="D46" s="475"/>
      <c r="E46" s="475"/>
      <c r="F46" s="475" t="s">
        <v>275</v>
      </c>
      <c r="G46" s="475"/>
      <c r="H46" s="475"/>
      <c r="I46" s="475" t="s">
        <v>289</v>
      </c>
      <c r="J46" s="475"/>
      <c r="K46" s="475"/>
      <c r="L46" s="475"/>
      <c r="M46" s="475">
        <v>40</v>
      </c>
      <c r="N46" s="476" t="s">
        <v>1570</v>
      </c>
    </row>
    <row r="47" spans="1:14" x14ac:dyDescent="0.3">
      <c r="A47" s="473">
        <v>43</v>
      </c>
      <c r="B47" s="478" t="s">
        <v>1569</v>
      </c>
      <c r="C47" s="475"/>
      <c r="D47" s="475"/>
      <c r="E47" s="475"/>
      <c r="F47" s="475" t="s">
        <v>275</v>
      </c>
      <c r="G47" s="475"/>
      <c r="H47" s="475"/>
      <c r="I47" s="475" t="s">
        <v>289</v>
      </c>
      <c r="J47" s="475"/>
      <c r="K47" s="475"/>
      <c r="L47" s="475"/>
      <c r="M47" s="475">
        <v>100</v>
      </c>
      <c r="N47" s="476" t="s">
        <v>1571</v>
      </c>
    </row>
    <row r="48" spans="1:14" x14ac:dyDescent="0.3">
      <c r="A48" s="473">
        <v>44</v>
      </c>
      <c r="B48" s="478" t="s">
        <v>1569</v>
      </c>
      <c r="C48" s="475"/>
      <c r="D48" s="475"/>
      <c r="E48" s="475"/>
      <c r="F48" s="475" t="s">
        <v>275</v>
      </c>
      <c r="G48" s="475"/>
      <c r="H48" s="475"/>
      <c r="I48" s="475" t="s">
        <v>289</v>
      </c>
      <c r="J48" s="475"/>
      <c r="K48" s="475"/>
      <c r="L48" s="475"/>
      <c r="M48" s="475">
        <v>150</v>
      </c>
      <c r="N48" s="476" t="s">
        <v>1572</v>
      </c>
    </row>
    <row r="49" spans="1:14" x14ac:dyDescent="0.3">
      <c r="A49" s="473">
        <v>45</v>
      </c>
      <c r="B49" s="478" t="s">
        <v>1569</v>
      </c>
      <c r="C49" s="475"/>
      <c r="D49" s="475"/>
      <c r="E49" s="475"/>
      <c r="F49" s="475" t="s">
        <v>275</v>
      </c>
      <c r="G49" s="475"/>
      <c r="H49" s="475"/>
      <c r="I49" s="475" t="s">
        <v>289</v>
      </c>
      <c r="J49" s="475"/>
      <c r="K49" s="475"/>
      <c r="L49" s="475"/>
      <c r="M49" s="475">
        <v>100</v>
      </c>
      <c r="N49" s="476" t="s">
        <v>1573</v>
      </c>
    </row>
    <row r="50" spans="1:14" x14ac:dyDescent="0.3">
      <c r="A50" s="473">
        <v>46</v>
      </c>
      <c r="B50" s="478" t="s">
        <v>1574</v>
      </c>
      <c r="C50" s="475"/>
      <c r="D50" s="475"/>
      <c r="E50" s="475"/>
      <c r="F50" s="475" t="s">
        <v>275</v>
      </c>
      <c r="G50" s="475"/>
      <c r="H50" s="475"/>
      <c r="I50" s="475" t="s">
        <v>289</v>
      </c>
      <c r="J50" s="475"/>
      <c r="K50" s="475"/>
      <c r="L50" s="475"/>
      <c r="M50" s="475">
        <v>100</v>
      </c>
      <c r="N50" s="476" t="s">
        <v>1573</v>
      </c>
    </row>
    <row r="51" spans="1:14" x14ac:dyDescent="0.3">
      <c r="A51" s="473">
        <v>47</v>
      </c>
      <c r="B51" s="482" t="s">
        <v>127</v>
      </c>
      <c r="C51" s="475"/>
      <c r="D51" s="475"/>
      <c r="E51" s="475"/>
      <c r="F51" s="475" t="s">
        <v>275</v>
      </c>
      <c r="G51" s="475"/>
      <c r="H51" s="475" t="s">
        <v>289</v>
      </c>
      <c r="I51" s="475"/>
      <c r="J51" s="475"/>
      <c r="K51" s="475"/>
      <c r="L51" s="475"/>
      <c r="M51" s="475"/>
      <c r="N51" s="483" t="s">
        <v>1575</v>
      </c>
    </row>
    <row r="52" spans="1:14" x14ac:dyDescent="0.3">
      <c r="A52" s="473">
        <v>48</v>
      </c>
      <c r="B52" s="474" t="s">
        <v>1519</v>
      </c>
      <c r="C52" s="475" t="s">
        <v>1520</v>
      </c>
      <c r="D52" s="475" t="s">
        <v>1099</v>
      </c>
      <c r="E52" s="475"/>
      <c r="F52" s="475" t="s">
        <v>1576</v>
      </c>
      <c r="G52" s="475"/>
      <c r="H52" s="475"/>
      <c r="I52" s="475" t="s">
        <v>289</v>
      </c>
      <c r="J52" s="475"/>
      <c r="K52" s="475"/>
      <c r="L52" s="475" t="s">
        <v>289</v>
      </c>
      <c r="M52" s="475" t="s">
        <v>664</v>
      </c>
      <c r="N52" s="476" t="s">
        <v>1577</v>
      </c>
    </row>
    <row r="53" spans="1:14" x14ac:dyDescent="0.3">
      <c r="A53" s="473">
        <v>49</v>
      </c>
      <c r="B53" s="474" t="s">
        <v>1519</v>
      </c>
      <c r="C53" s="475" t="s">
        <v>1520</v>
      </c>
      <c r="D53" s="475" t="s">
        <v>1099</v>
      </c>
      <c r="E53" s="475"/>
      <c r="F53" s="475" t="s">
        <v>1578</v>
      </c>
      <c r="G53" s="475"/>
      <c r="H53" s="475" t="s">
        <v>289</v>
      </c>
      <c r="I53" s="475"/>
      <c r="J53" s="475"/>
      <c r="K53" s="475"/>
      <c r="L53" s="475"/>
      <c r="M53" s="475" t="s">
        <v>201</v>
      </c>
      <c r="N53" s="476" t="s">
        <v>1579</v>
      </c>
    </row>
    <row r="54" spans="1:14" x14ac:dyDescent="0.3">
      <c r="A54" s="473">
        <v>50</v>
      </c>
      <c r="B54" s="474" t="s">
        <v>1519</v>
      </c>
      <c r="C54" s="475" t="s">
        <v>1520</v>
      </c>
      <c r="D54" s="475" t="s">
        <v>1099</v>
      </c>
      <c r="E54" s="475"/>
      <c r="F54" s="475" t="s">
        <v>1580</v>
      </c>
      <c r="G54" s="475"/>
      <c r="H54" s="475" t="s">
        <v>289</v>
      </c>
      <c r="I54" s="475" t="s">
        <v>289</v>
      </c>
      <c r="J54" s="475" t="s">
        <v>289</v>
      </c>
      <c r="K54" s="475" t="s">
        <v>289</v>
      </c>
      <c r="L54" s="475" t="s">
        <v>289</v>
      </c>
      <c r="M54" s="475" t="s">
        <v>664</v>
      </c>
      <c r="N54" s="476" t="s">
        <v>1581</v>
      </c>
    </row>
    <row r="55" spans="1:14" x14ac:dyDescent="0.3">
      <c r="A55" s="473">
        <v>51</v>
      </c>
      <c r="B55" s="478" t="s">
        <v>1582</v>
      </c>
      <c r="C55" s="475"/>
      <c r="D55" s="475"/>
      <c r="E55" s="475"/>
      <c r="F55" s="475" t="s">
        <v>1583</v>
      </c>
      <c r="G55" s="475"/>
      <c r="H55" s="475"/>
      <c r="I55" s="475"/>
      <c r="J55" s="475"/>
      <c r="K55" s="475"/>
      <c r="L55" s="475"/>
      <c r="M55" s="475"/>
      <c r="N55" s="476"/>
    </row>
    <row r="56" spans="1:14" x14ac:dyDescent="0.3">
      <c r="A56" s="473">
        <v>52</v>
      </c>
      <c r="B56" s="474" t="s">
        <v>1519</v>
      </c>
      <c r="C56" s="475" t="s">
        <v>1520</v>
      </c>
      <c r="D56" s="475" t="s">
        <v>1099</v>
      </c>
      <c r="E56" s="475"/>
      <c r="F56" s="475" t="s">
        <v>201</v>
      </c>
      <c r="G56" s="475"/>
      <c r="H56" s="475"/>
      <c r="I56" s="475" t="s">
        <v>289</v>
      </c>
      <c r="J56" s="475"/>
      <c r="K56" s="475"/>
      <c r="L56" s="475" t="s">
        <v>289</v>
      </c>
      <c r="M56" s="475" t="s">
        <v>664</v>
      </c>
      <c r="N56" s="476" t="s">
        <v>1584</v>
      </c>
    </row>
    <row r="57" spans="1:14" x14ac:dyDescent="0.3">
      <c r="A57" s="473">
        <v>53</v>
      </c>
      <c r="B57" s="478" t="s">
        <v>1585</v>
      </c>
      <c r="C57" s="475" t="s">
        <v>1524</v>
      </c>
      <c r="D57" s="475" t="s">
        <v>1154</v>
      </c>
      <c r="E57" s="475"/>
      <c r="F57" s="479" t="s">
        <v>277</v>
      </c>
      <c r="G57" s="475"/>
      <c r="H57" s="475"/>
      <c r="I57" s="475"/>
      <c r="J57" s="475"/>
      <c r="K57" s="475"/>
      <c r="L57" s="475"/>
      <c r="M57" s="475"/>
      <c r="N57" s="477"/>
    </row>
    <row r="58" spans="1:14" x14ac:dyDescent="0.3">
      <c r="A58" s="473">
        <v>54</v>
      </c>
      <c r="B58" s="478" t="s">
        <v>1586</v>
      </c>
      <c r="C58" s="475" t="s">
        <v>1520</v>
      </c>
      <c r="D58" s="475" t="s">
        <v>1154</v>
      </c>
      <c r="E58" s="475"/>
      <c r="F58" s="479" t="s">
        <v>277</v>
      </c>
      <c r="G58" s="475"/>
      <c r="H58" s="475"/>
      <c r="I58" s="475"/>
      <c r="J58" s="475"/>
      <c r="K58" s="475"/>
      <c r="L58" s="475"/>
      <c r="M58" s="475"/>
      <c r="N58" s="477"/>
    </row>
    <row r="59" spans="1:14" ht="56" x14ac:dyDescent="0.3">
      <c r="A59" s="473">
        <v>55</v>
      </c>
      <c r="B59" s="481" t="s">
        <v>1541</v>
      </c>
      <c r="C59" s="475" t="s">
        <v>1520</v>
      </c>
      <c r="D59" s="475"/>
      <c r="E59" s="475"/>
      <c r="F59" s="484" t="s">
        <v>1587</v>
      </c>
      <c r="G59" s="475" t="s">
        <v>1523</v>
      </c>
      <c r="H59" s="475" t="s">
        <v>285</v>
      </c>
      <c r="I59" s="475" t="s">
        <v>285</v>
      </c>
      <c r="J59" s="475" t="s">
        <v>289</v>
      </c>
      <c r="K59" s="475" t="s">
        <v>289</v>
      </c>
      <c r="L59" s="475" t="s">
        <v>289</v>
      </c>
      <c r="M59" s="475">
        <v>50</v>
      </c>
      <c r="N59" s="477" t="s">
        <v>1588</v>
      </c>
    </row>
    <row r="60" spans="1:14" x14ac:dyDescent="0.3">
      <c r="A60" s="473">
        <v>56</v>
      </c>
      <c r="B60" s="478" t="s">
        <v>1206</v>
      </c>
      <c r="C60" s="475"/>
      <c r="D60" s="475"/>
      <c r="E60" s="475"/>
      <c r="F60" s="479" t="s">
        <v>277</v>
      </c>
      <c r="G60" s="475"/>
      <c r="H60" s="475"/>
      <c r="I60" s="475"/>
      <c r="J60" s="475"/>
      <c r="K60" s="475"/>
      <c r="L60" s="475"/>
      <c r="M60" s="475"/>
      <c r="N60" s="477"/>
    </row>
    <row r="61" spans="1:14" x14ac:dyDescent="0.3">
      <c r="A61" s="473">
        <v>57</v>
      </c>
      <c r="B61" s="478" t="s">
        <v>1589</v>
      </c>
      <c r="C61" s="475"/>
      <c r="D61" s="475"/>
      <c r="E61" s="475"/>
      <c r="F61" s="479" t="s">
        <v>277</v>
      </c>
      <c r="G61" s="475"/>
      <c r="H61" s="475"/>
      <c r="I61" s="475"/>
      <c r="J61" s="475"/>
      <c r="K61" s="475"/>
      <c r="L61" s="475"/>
      <c r="M61" s="475"/>
      <c r="N61" s="477"/>
    </row>
    <row r="62" spans="1:14" x14ac:dyDescent="0.3">
      <c r="A62" s="473">
        <v>58</v>
      </c>
      <c r="B62" s="478" t="s">
        <v>1590</v>
      </c>
      <c r="C62" s="475"/>
      <c r="D62" s="475"/>
      <c r="E62" s="475"/>
      <c r="F62" s="479" t="s">
        <v>277</v>
      </c>
      <c r="G62" s="475"/>
      <c r="H62" s="475"/>
      <c r="I62" s="475"/>
      <c r="J62" s="475"/>
      <c r="K62" s="475"/>
      <c r="L62" s="475"/>
      <c r="M62" s="475"/>
      <c r="N62" s="477"/>
    </row>
    <row r="63" spans="1:14" x14ac:dyDescent="0.3">
      <c r="A63" s="473">
        <v>59</v>
      </c>
      <c r="B63" s="478" t="s">
        <v>1591</v>
      </c>
      <c r="C63" s="475"/>
      <c r="D63" s="475"/>
      <c r="E63" s="475"/>
      <c r="F63" s="479" t="s">
        <v>277</v>
      </c>
      <c r="G63" s="475"/>
      <c r="H63" s="475"/>
      <c r="I63" s="475"/>
      <c r="J63" s="475"/>
      <c r="K63" s="475"/>
      <c r="L63" s="475"/>
      <c r="M63" s="475"/>
      <c r="N63" s="477"/>
    </row>
    <row r="64" spans="1:14" x14ac:dyDescent="0.3">
      <c r="A64" s="473">
        <v>60</v>
      </c>
      <c r="B64" s="478" t="s">
        <v>1592</v>
      </c>
      <c r="C64" s="475"/>
      <c r="D64" s="475"/>
      <c r="E64" s="475"/>
      <c r="F64" s="475" t="s">
        <v>276</v>
      </c>
      <c r="G64" s="475"/>
      <c r="H64" s="475"/>
      <c r="I64" s="475"/>
      <c r="J64" s="475"/>
      <c r="K64" s="475"/>
      <c r="L64" s="475"/>
      <c r="M64" s="475"/>
      <c r="N64" s="477"/>
    </row>
    <row r="65" spans="1:14" x14ac:dyDescent="0.3">
      <c r="A65" s="473">
        <v>61</v>
      </c>
      <c r="B65" s="478" t="s">
        <v>1530</v>
      </c>
      <c r="C65" s="475"/>
      <c r="D65" s="475"/>
      <c r="E65" s="475"/>
      <c r="F65" s="475" t="s">
        <v>276</v>
      </c>
      <c r="G65" s="475"/>
      <c r="H65" s="475"/>
      <c r="I65" s="475"/>
      <c r="J65" s="475"/>
      <c r="K65" s="475"/>
      <c r="L65" s="475"/>
      <c r="M65" s="475"/>
      <c r="N65" s="477"/>
    </row>
    <row r="66" spans="1:14" x14ac:dyDescent="0.3">
      <c r="A66" s="473">
        <v>62</v>
      </c>
      <c r="B66" s="478" t="s">
        <v>1593</v>
      </c>
      <c r="C66" s="475" t="s">
        <v>1520</v>
      </c>
      <c r="D66" s="475" t="s">
        <v>1531</v>
      </c>
      <c r="E66" s="475"/>
      <c r="F66" s="475" t="s">
        <v>276</v>
      </c>
      <c r="G66" s="475"/>
      <c r="H66" s="475"/>
      <c r="I66" s="475"/>
      <c r="J66" s="475"/>
      <c r="K66" s="475"/>
      <c r="L66" s="475"/>
      <c r="M66" s="475"/>
      <c r="N66" s="476"/>
    </row>
    <row r="67" spans="1:14" x14ac:dyDescent="0.3">
      <c r="A67" s="473">
        <v>63</v>
      </c>
      <c r="B67" s="478" t="s">
        <v>1594</v>
      </c>
      <c r="C67" s="475" t="s">
        <v>1520</v>
      </c>
      <c r="D67" s="475" t="s">
        <v>1154</v>
      </c>
      <c r="E67" s="475"/>
      <c r="F67" s="475" t="s">
        <v>276</v>
      </c>
      <c r="G67" s="475"/>
      <c r="H67" s="475"/>
      <c r="I67" s="475"/>
      <c r="J67" s="475"/>
      <c r="K67" s="475"/>
      <c r="L67" s="475"/>
      <c r="M67" s="475"/>
      <c r="N67" s="476" t="s">
        <v>1595</v>
      </c>
    </row>
    <row r="68" spans="1:14" x14ac:dyDescent="0.3">
      <c r="A68" s="473">
        <v>64</v>
      </c>
      <c r="B68" s="478" t="s">
        <v>1596</v>
      </c>
      <c r="C68" s="475"/>
      <c r="D68" s="475"/>
      <c r="E68" s="475"/>
      <c r="F68" s="475" t="s">
        <v>276</v>
      </c>
      <c r="G68" s="475"/>
      <c r="H68" s="475"/>
      <c r="I68" s="475" t="s">
        <v>289</v>
      </c>
      <c r="J68" s="475"/>
      <c r="K68" s="475"/>
      <c r="L68" s="475"/>
      <c r="M68" s="475">
        <v>110</v>
      </c>
      <c r="N68" s="476" t="s">
        <v>1597</v>
      </c>
    </row>
    <row r="69" spans="1:14" x14ac:dyDescent="0.3">
      <c r="A69" s="473">
        <v>65</v>
      </c>
      <c r="B69" s="478" t="s">
        <v>1596</v>
      </c>
      <c r="C69" s="475"/>
      <c r="D69" s="475"/>
      <c r="E69" s="475"/>
      <c r="F69" s="475" t="s">
        <v>276</v>
      </c>
      <c r="G69" s="475"/>
      <c r="H69" s="475" t="s">
        <v>289</v>
      </c>
      <c r="I69" s="475"/>
      <c r="J69" s="475"/>
      <c r="K69" s="475"/>
      <c r="L69" s="475"/>
      <c r="M69" s="475">
        <v>135</v>
      </c>
      <c r="N69" s="476" t="s">
        <v>1598</v>
      </c>
    </row>
    <row r="70" spans="1:14" x14ac:dyDescent="0.3">
      <c r="A70" s="473">
        <v>66</v>
      </c>
      <c r="B70" s="478" t="s">
        <v>1596</v>
      </c>
      <c r="C70" s="475"/>
      <c r="D70" s="475"/>
      <c r="E70" s="475"/>
      <c r="F70" s="475" t="s">
        <v>276</v>
      </c>
      <c r="G70" s="475"/>
      <c r="H70" s="475"/>
      <c r="I70" s="475" t="s">
        <v>289</v>
      </c>
      <c r="J70" s="475"/>
      <c r="K70" s="475"/>
      <c r="L70" s="475"/>
      <c r="M70" s="475">
        <v>30</v>
      </c>
      <c r="N70" s="476" t="s">
        <v>1599</v>
      </c>
    </row>
    <row r="71" spans="1:14" x14ac:dyDescent="0.3">
      <c r="A71" s="473">
        <v>67</v>
      </c>
      <c r="B71" s="478" t="s">
        <v>1600</v>
      </c>
      <c r="C71" s="475"/>
      <c r="D71" s="475"/>
      <c r="E71" s="475"/>
      <c r="F71" s="475" t="s">
        <v>276</v>
      </c>
      <c r="G71" s="475"/>
      <c r="H71" s="475"/>
      <c r="I71" s="475" t="s">
        <v>289</v>
      </c>
      <c r="J71" s="475"/>
      <c r="K71" s="475"/>
      <c r="L71" s="475"/>
      <c r="M71" s="475">
        <v>50</v>
      </c>
      <c r="N71" s="476" t="s">
        <v>1601</v>
      </c>
    </row>
    <row r="72" spans="1:14" x14ac:dyDescent="0.3">
      <c r="A72" s="473">
        <v>68</v>
      </c>
      <c r="B72" s="478" t="s">
        <v>1602</v>
      </c>
      <c r="C72" s="475"/>
      <c r="D72" s="475"/>
      <c r="E72" s="475"/>
      <c r="F72" s="475" t="s">
        <v>276</v>
      </c>
      <c r="G72" s="475"/>
      <c r="H72" s="475"/>
      <c r="I72" s="475"/>
      <c r="J72" s="475"/>
      <c r="K72" s="475"/>
      <c r="L72" s="475"/>
      <c r="M72" s="475"/>
      <c r="N72" s="476"/>
    </row>
    <row r="73" spans="1:14" x14ac:dyDescent="0.3">
      <c r="A73" s="473">
        <v>69</v>
      </c>
      <c r="B73" s="474" t="s">
        <v>1603</v>
      </c>
      <c r="C73" s="475"/>
      <c r="D73" s="475"/>
      <c r="E73" s="475"/>
      <c r="F73" s="475" t="s">
        <v>276</v>
      </c>
      <c r="G73" s="475"/>
      <c r="H73" s="475"/>
      <c r="I73" s="475"/>
      <c r="J73" s="475"/>
      <c r="K73" s="475"/>
      <c r="L73" s="475"/>
      <c r="M73" s="475"/>
      <c r="N73" s="476"/>
    </row>
    <row r="74" spans="1:14" ht="42" x14ac:dyDescent="0.3">
      <c r="A74" s="473">
        <v>70</v>
      </c>
      <c r="B74" s="482" t="s">
        <v>1206</v>
      </c>
      <c r="C74" s="475"/>
      <c r="D74" s="475"/>
      <c r="E74" s="475"/>
      <c r="F74" s="475" t="s">
        <v>276</v>
      </c>
      <c r="G74" s="475"/>
      <c r="H74" s="475"/>
      <c r="I74" s="475"/>
      <c r="J74" s="475"/>
      <c r="K74" s="475"/>
      <c r="L74" s="475"/>
      <c r="M74" s="475"/>
      <c r="N74" s="477" t="s">
        <v>1604</v>
      </c>
    </row>
    <row r="75" spans="1:14" x14ac:dyDescent="0.3">
      <c r="A75" s="473">
        <v>71</v>
      </c>
      <c r="B75" s="482" t="s">
        <v>1605</v>
      </c>
      <c r="C75" s="475"/>
      <c r="D75" s="475"/>
      <c r="E75" s="475"/>
      <c r="F75" s="475" t="s">
        <v>276</v>
      </c>
      <c r="G75" s="475"/>
      <c r="H75" s="475"/>
      <c r="I75" s="475"/>
      <c r="J75" s="475"/>
      <c r="K75" s="475"/>
      <c r="L75" s="475"/>
      <c r="M75" s="475"/>
      <c r="N75" s="476"/>
    </row>
    <row r="76" spans="1:14" ht="14.5" thickBot="1" x14ac:dyDescent="0.35">
      <c r="A76" s="485">
        <v>72</v>
      </c>
      <c r="B76" s="486" t="s">
        <v>1205</v>
      </c>
      <c r="C76" s="487"/>
      <c r="D76" s="487"/>
      <c r="E76" s="487"/>
      <c r="F76" s="487" t="s">
        <v>276</v>
      </c>
      <c r="G76" s="487"/>
      <c r="H76" s="487"/>
      <c r="I76" s="487"/>
      <c r="J76" s="487"/>
      <c r="K76" s="487"/>
      <c r="L76" s="487"/>
      <c r="M76" s="487"/>
      <c r="N76" s="488"/>
    </row>
  </sheetData>
  <autoFilter ref="A4:S4" xr:uid="{00000000-0009-0000-0000-000005000000}"/>
  <mergeCells count="2">
    <mergeCell ref="A1:N1"/>
    <mergeCell ref="A2:N2"/>
  </mergeCells>
  <dataValidations disablePrompts="1" count="1">
    <dataValidation type="list" allowBlank="1" showInputMessage="1" showErrorMessage="1" sqref="G5:G76" xr:uid="{00000000-0002-0000-0500-000000000000}">
      <formula1>$S$4:$S$7</formula1>
    </dataValidation>
  </dataValidations>
  <hyperlinks>
    <hyperlink ref="N51" r:id="rId1" xr:uid="{00000000-0004-0000-0500-000000000000}"/>
    <hyperlink ref="A3" location="Home!A1" display="Home" xr:uid="{00000000-0004-0000-0500-000001000000}"/>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V140"/>
  <sheetViews>
    <sheetView showGridLines="0" workbookViewId="0">
      <selection activeCell="B3" sqref="B3:Q4"/>
    </sheetView>
  </sheetViews>
  <sheetFormatPr defaultColWidth="9.1796875" defaultRowHeight="10" x14ac:dyDescent="0.2"/>
  <cols>
    <col min="1" max="1" width="1.26953125" style="183" customWidth="1"/>
    <col min="2" max="2" width="26.54296875" style="183" bestFit="1" customWidth="1"/>
    <col min="3" max="3" width="10.81640625" style="190" bestFit="1" customWidth="1"/>
    <col min="4" max="4" width="20" style="226" bestFit="1" customWidth="1"/>
    <col min="5" max="5" width="15.453125" style="222" bestFit="1" customWidth="1"/>
    <col min="6" max="6" width="14.81640625" style="222" bestFit="1" customWidth="1"/>
    <col min="7" max="7" width="14.1796875" style="222" bestFit="1" customWidth="1"/>
    <col min="8" max="8" width="14.1796875" style="183" customWidth="1"/>
    <col min="9" max="9" width="24" style="183" bestFit="1" customWidth="1"/>
    <col min="10" max="10" width="0.81640625" style="183" customWidth="1"/>
    <col min="11" max="11" width="15.81640625" style="183" bestFit="1" customWidth="1"/>
    <col min="12" max="12" width="16.81640625" style="183" bestFit="1" customWidth="1"/>
    <col min="13" max="13" width="21.1796875" style="183" bestFit="1" customWidth="1"/>
    <col min="14" max="14" width="11.7265625" style="183" bestFit="1" customWidth="1"/>
    <col min="15" max="15" width="17.81640625" style="183" bestFit="1" customWidth="1"/>
    <col min="16" max="16" width="1" style="183" customWidth="1"/>
    <col min="17" max="17" width="70.1796875" style="183" customWidth="1"/>
    <col min="18" max="18" width="15" style="183" bestFit="1" customWidth="1"/>
    <col min="19" max="19" width="2.7265625" style="183" customWidth="1"/>
    <col min="20" max="20" width="10" style="183" bestFit="1" customWidth="1"/>
    <col min="21" max="21" width="1.81640625" style="183" bestFit="1" customWidth="1"/>
    <col min="22" max="22" width="10" style="183" bestFit="1" customWidth="1"/>
    <col min="23" max="23" width="48.54296875" style="183" bestFit="1" customWidth="1"/>
    <col min="24" max="24" width="10" style="183" bestFit="1" customWidth="1"/>
    <col min="25" max="16384" width="9.1796875" style="183"/>
  </cols>
  <sheetData>
    <row r="1" spans="2:22" x14ac:dyDescent="0.2">
      <c r="B1" s="522" t="s">
        <v>2011</v>
      </c>
      <c r="C1" s="522"/>
      <c r="D1" s="522"/>
      <c r="E1" s="522"/>
      <c r="F1" s="522"/>
      <c r="G1" s="522"/>
      <c r="H1" s="522"/>
      <c r="I1" s="522"/>
      <c r="J1" s="522"/>
      <c r="K1" s="522"/>
      <c r="L1" s="522"/>
      <c r="M1" s="522"/>
      <c r="N1" s="522"/>
      <c r="O1" s="522"/>
      <c r="P1" s="522"/>
      <c r="Q1" s="522"/>
    </row>
    <row r="2" spans="2:22" x14ac:dyDescent="0.2">
      <c r="B2" s="522"/>
      <c r="C2" s="522"/>
      <c r="D2" s="522"/>
      <c r="E2" s="522"/>
      <c r="F2" s="522"/>
      <c r="G2" s="522"/>
      <c r="H2" s="522"/>
      <c r="I2" s="522"/>
      <c r="J2" s="522"/>
      <c r="K2" s="522"/>
      <c r="L2" s="522"/>
      <c r="M2" s="522"/>
      <c r="N2" s="522"/>
      <c r="O2" s="522"/>
      <c r="P2" s="522"/>
      <c r="Q2" s="522"/>
    </row>
    <row r="3" spans="2:22" x14ac:dyDescent="0.2">
      <c r="B3" s="516" t="s">
        <v>2158</v>
      </c>
      <c r="C3" s="516"/>
      <c r="D3" s="516"/>
      <c r="E3" s="516"/>
      <c r="F3" s="516"/>
      <c r="G3" s="516"/>
      <c r="H3" s="516"/>
      <c r="I3" s="516"/>
      <c r="J3" s="516"/>
      <c r="K3" s="516"/>
      <c r="L3" s="516"/>
      <c r="M3" s="516"/>
      <c r="N3" s="516"/>
      <c r="O3" s="516"/>
      <c r="P3" s="516"/>
      <c r="Q3" s="516"/>
    </row>
    <row r="4" spans="2:22" x14ac:dyDescent="0.2">
      <c r="B4" s="516"/>
      <c r="C4" s="516"/>
      <c r="D4" s="516"/>
      <c r="E4" s="516"/>
      <c r="F4" s="516"/>
      <c r="G4" s="516"/>
      <c r="H4" s="516"/>
      <c r="I4" s="516"/>
      <c r="J4" s="516"/>
      <c r="K4" s="516"/>
      <c r="L4" s="516"/>
      <c r="M4" s="516"/>
      <c r="N4" s="516"/>
      <c r="O4" s="516"/>
      <c r="P4" s="516"/>
      <c r="Q4" s="516"/>
    </row>
    <row r="5" spans="2:22" ht="13" x14ac:dyDescent="0.2">
      <c r="B5" s="229" t="s">
        <v>1709</v>
      </c>
    </row>
    <row r="6" spans="2:22" ht="15.5" x14ac:dyDescent="0.2">
      <c r="B6" s="519" t="s">
        <v>1493</v>
      </c>
      <c r="C6" s="519"/>
      <c r="D6" s="519"/>
      <c r="E6" s="519"/>
      <c r="F6" s="519"/>
      <c r="G6" s="519"/>
      <c r="H6" s="519"/>
      <c r="I6" s="519"/>
      <c r="J6" s="225"/>
      <c r="K6" s="520" t="s">
        <v>1494</v>
      </c>
      <c r="L6" s="520"/>
      <c r="M6" s="520"/>
      <c r="N6" s="520"/>
      <c r="O6" s="520"/>
      <c r="Q6" s="521" t="s">
        <v>1502</v>
      </c>
      <c r="R6" s="521"/>
      <c r="S6" s="521"/>
      <c r="T6" s="521"/>
      <c r="U6" s="521"/>
      <c r="V6" s="521"/>
    </row>
    <row r="7" spans="2:22" x14ac:dyDescent="0.2">
      <c r="C7" s="183"/>
    </row>
    <row r="8" spans="2:22" x14ac:dyDescent="0.2">
      <c r="C8" s="183"/>
    </row>
    <row r="9" spans="2:22" x14ac:dyDescent="0.2">
      <c r="C9" s="183"/>
      <c r="Q9" s="227"/>
      <c r="R9" s="227"/>
    </row>
    <row r="10" spans="2:22" x14ac:dyDescent="0.2">
      <c r="C10" s="183"/>
    </row>
    <row r="11" spans="2:22" ht="14.5" x14ac:dyDescent="0.35">
      <c r="C11" s="183"/>
      <c r="Q11" s="227"/>
      <c r="R11" s="227"/>
      <c r="S11" s="227"/>
      <c r="T11" s="227"/>
      <c r="U11"/>
      <c r="V11"/>
    </row>
    <row r="12" spans="2:22" ht="14.5" x14ac:dyDescent="0.35">
      <c r="C12" s="183"/>
      <c r="D12" s="209"/>
      <c r="E12" s="183"/>
      <c r="F12" s="183"/>
      <c r="G12" s="183"/>
      <c r="Q12" s="227"/>
      <c r="R12" s="320"/>
      <c r="S12" s="320"/>
      <c r="T12" s="320"/>
      <c r="U12"/>
      <c r="V12"/>
    </row>
    <row r="13" spans="2:22" ht="14.5" x14ac:dyDescent="0.35">
      <c r="C13" s="183"/>
      <c r="D13" s="209"/>
      <c r="E13" s="183"/>
      <c r="F13" s="183"/>
      <c r="G13" s="183"/>
      <c r="Q13" s="318"/>
      <c r="R13" s="320"/>
      <c r="S13" s="320"/>
      <c r="T13" s="320"/>
      <c r="U13"/>
      <c r="V13"/>
    </row>
    <row r="14" spans="2:22" ht="14.5" x14ac:dyDescent="0.35">
      <c r="C14" s="189"/>
      <c r="D14" s="209"/>
      <c r="E14" s="183"/>
      <c r="F14" s="184"/>
      <c r="H14" s="222"/>
      <c r="I14" s="222"/>
      <c r="Q14" s="319"/>
      <c r="R14" s="320"/>
      <c r="S14" s="320"/>
      <c r="T14" s="320"/>
      <c r="U14"/>
      <c r="V14"/>
    </row>
    <row r="15" spans="2:22" ht="14.5" x14ac:dyDescent="0.35">
      <c r="C15" s="183"/>
      <c r="D15" s="189"/>
      <c r="E15" s="190"/>
      <c r="F15" s="184"/>
      <c r="H15" s="222"/>
      <c r="I15" s="222"/>
      <c r="Q15" s="319"/>
      <c r="R15" s="320"/>
      <c r="S15" s="320"/>
      <c r="T15" s="320"/>
      <c r="U15"/>
      <c r="V15"/>
    </row>
    <row r="16" spans="2:22" ht="14.5" x14ac:dyDescent="0.35">
      <c r="C16" s="183"/>
      <c r="D16" s="189"/>
      <c r="E16" s="190"/>
      <c r="F16" s="184"/>
      <c r="H16" s="222"/>
      <c r="I16" s="222"/>
      <c r="Q16" s="319"/>
      <c r="R16" s="320"/>
      <c r="S16" s="320"/>
      <c r="T16" s="320"/>
      <c r="U16"/>
      <c r="V16"/>
    </row>
    <row r="17" spans="2:22" ht="14.5" x14ac:dyDescent="0.35">
      <c r="C17" s="183"/>
      <c r="D17" s="189"/>
      <c r="E17" s="190"/>
      <c r="F17" s="184"/>
      <c r="H17" s="222"/>
      <c r="I17" s="222"/>
      <c r="Q17" s="318"/>
      <c r="R17" s="320"/>
      <c r="S17" s="320"/>
      <c r="T17" s="320"/>
      <c r="U17"/>
      <c r="V17"/>
    </row>
    <row r="18" spans="2:22" ht="14.5" x14ac:dyDescent="0.35">
      <c r="C18" s="183"/>
      <c r="D18" s="189"/>
      <c r="E18" s="190"/>
      <c r="F18" s="184"/>
      <c r="H18" s="222"/>
      <c r="I18" s="222"/>
      <c r="Q18" s="319"/>
      <c r="R18" s="320"/>
      <c r="S18" s="320"/>
      <c r="T18" s="320"/>
      <c r="U18"/>
      <c r="V18"/>
    </row>
    <row r="19" spans="2:22" ht="14.5" x14ac:dyDescent="0.35">
      <c r="C19" s="183"/>
      <c r="D19" s="209"/>
      <c r="E19" s="190"/>
      <c r="F19" s="184"/>
      <c r="H19" s="222"/>
      <c r="I19" s="222"/>
      <c r="Q19" s="319"/>
      <c r="R19" s="320"/>
      <c r="S19" s="320"/>
      <c r="T19" s="320"/>
      <c r="U19"/>
      <c r="V19"/>
    </row>
    <row r="20" spans="2:22" ht="14.5" x14ac:dyDescent="0.35">
      <c r="C20" s="183"/>
      <c r="D20" s="189"/>
      <c r="E20" s="190"/>
      <c r="F20" s="184"/>
      <c r="H20" s="222"/>
      <c r="I20" s="222"/>
      <c r="Q20" s="319"/>
      <c r="R20" s="320"/>
      <c r="S20" s="320"/>
      <c r="T20" s="320"/>
      <c r="U20"/>
      <c r="V20"/>
    </row>
    <row r="21" spans="2:22" ht="14.5" x14ac:dyDescent="0.35">
      <c r="C21" s="183"/>
      <c r="D21" s="209"/>
      <c r="E21" s="190"/>
      <c r="F21" s="184"/>
      <c r="H21" s="222"/>
      <c r="I21" s="222"/>
      <c r="Q21" s="318"/>
      <c r="R21" s="320"/>
      <c r="S21" s="320"/>
      <c r="T21" s="320"/>
      <c r="U21"/>
      <c r="V21"/>
    </row>
    <row r="22" spans="2:22" ht="14.5" x14ac:dyDescent="0.35">
      <c r="C22" s="183"/>
      <c r="D22" s="209"/>
      <c r="E22" s="190"/>
      <c r="F22" s="184"/>
      <c r="H22" s="222"/>
      <c r="I22" s="222"/>
      <c r="Q22" s="319"/>
      <c r="R22" s="320"/>
      <c r="S22" s="320"/>
      <c r="T22" s="320"/>
      <c r="U22"/>
      <c r="V22"/>
    </row>
    <row r="23" spans="2:22" ht="14.5" x14ac:dyDescent="0.35">
      <c r="B23" s="209"/>
      <c r="C23" s="209"/>
      <c r="D23" s="209"/>
      <c r="E23" s="190"/>
      <c r="F23" s="184"/>
      <c r="H23" s="222"/>
      <c r="I23" s="222"/>
      <c r="Q23" s="319"/>
      <c r="R23" s="320"/>
      <c r="S23" s="320"/>
      <c r="T23" s="320"/>
      <c r="U23"/>
      <c r="V23"/>
    </row>
    <row r="24" spans="2:22" ht="14.5" x14ac:dyDescent="0.35">
      <c r="B24"/>
      <c r="C24"/>
      <c r="D24"/>
      <c r="E24"/>
      <c r="F24"/>
      <c r="G24"/>
      <c r="H24"/>
      <c r="I24"/>
      <c r="Q24" s="319"/>
      <c r="R24" s="320"/>
      <c r="S24" s="320"/>
      <c r="T24" s="320"/>
      <c r="U24"/>
      <c r="V24"/>
    </row>
    <row r="25" spans="2:22" ht="14.5" x14ac:dyDescent="0.35">
      <c r="B25"/>
      <c r="C25"/>
      <c r="D25"/>
      <c r="E25"/>
      <c r="F25"/>
      <c r="G25"/>
      <c r="H25"/>
      <c r="I25"/>
      <c r="Q25" s="319"/>
      <c r="R25" s="320"/>
      <c r="S25" s="320"/>
      <c r="T25" s="320"/>
      <c r="U25"/>
      <c r="V25"/>
    </row>
    <row r="26" spans="2:22" ht="14.5" x14ac:dyDescent="0.35">
      <c r="B26"/>
      <c r="C26"/>
      <c r="D26"/>
      <c r="E26"/>
      <c r="F26"/>
      <c r="G26"/>
      <c r="H26"/>
      <c r="I26"/>
      <c r="Q26" s="319"/>
      <c r="R26" s="320"/>
      <c r="S26" s="320"/>
      <c r="T26" s="320"/>
      <c r="U26"/>
      <c r="V26"/>
    </row>
    <row r="27" spans="2:22" ht="14.5" x14ac:dyDescent="0.35">
      <c r="B27"/>
      <c r="C27"/>
      <c r="D27"/>
      <c r="E27"/>
      <c r="F27"/>
      <c r="G27"/>
      <c r="H27"/>
      <c r="I27"/>
      <c r="Q27" s="318"/>
      <c r="R27" s="320"/>
      <c r="S27" s="320"/>
      <c r="T27" s="320"/>
      <c r="U27"/>
      <c r="V27"/>
    </row>
    <row r="28" spans="2:22" ht="14.5" x14ac:dyDescent="0.35">
      <c r="B28"/>
      <c r="C28"/>
      <c r="D28"/>
      <c r="E28"/>
      <c r="F28"/>
      <c r="G28"/>
      <c r="H28"/>
      <c r="I28"/>
      <c r="Q28" s="319"/>
      <c r="R28" s="320"/>
      <c r="S28" s="320"/>
      <c r="T28" s="320"/>
      <c r="U28"/>
      <c r="V28"/>
    </row>
    <row r="29" spans="2:22" ht="14.5" x14ac:dyDescent="0.35">
      <c r="B29"/>
      <c r="C29"/>
      <c r="D29"/>
      <c r="E29"/>
      <c r="F29"/>
      <c r="G29"/>
      <c r="H29"/>
      <c r="I29"/>
      <c r="Q29" s="319"/>
      <c r="R29" s="320"/>
      <c r="S29" s="320"/>
      <c r="T29" s="320"/>
      <c r="U29"/>
      <c r="V29"/>
    </row>
    <row r="30" spans="2:22" ht="14.5" x14ac:dyDescent="0.35">
      <c r="B30"/>
      <c r="C30"/>
      <c r="D30"/>
      <c r="E30"/>
      <c r="F30"/>
      <c r="G30"/>
      <c r="H30"/>
      <c r="I30"/>
      <c r="Q30" s="318"/>
      <c r="R30" s="320"/>
      <c r="S30" s="320"/>
      <c r="T30" s="320"/>
      <c r="U30"/>
      <c r="V30"/>
    </row>
    <row r="31" spans="2:22" ht="14.5" x14ac:dyDescent="0.35">
      <c r="B31"/>
      <c r="C31"/>
      <c r="D31"/>
      <c r="E31"/>
      <c r="F31"/>
      <c r="G31"/>
      <c r="H31"/>
      <c r="I31"/>
      <c r="Q31" s="319"/>
      <c r="R31" s="320"/>
      <c r="S31" s="320"/>
      <c r="T31" s="320"/>
      <c r="U31"/>
      <c r="V31"/>
    </row>
    <row r="32" spans="2:22" ht="14.5" x14ac:dyDescent="0.35">
      <c r="B32"/>
      <c r="C32"/>
      <c r="D32"/>
      <c r="E32"/>
      <c r="F32"/>
      <c r="G32"/>
      <c r="H32"/>
      <c r="I32"/>
      <c r="Q32" s="319"/>
      <c r="R32" s="320"/>
      <c r="S32" s="320"/>
      <c r="T32" s="320"/>
      <c r="U32"/>
      <c r="V32"/>
    </row>
    <row r="33" spans="2:22" ht="14.5" x14ac:dyDescent="0.35">
      <c r="B33"/>
      <c r="C33"/>
      <c r="D33"/>
      <c r="E33"/>
      <c r="F33"/>
      <c r="G33"/>
      <c r="H33"/>
      <c r="I33"/>
      <c r="Q33" s="319"/>
      <c r="R33" s="320"/>
      <c r="S33" s="320"/>
      <c r="T33" s="320"/>
      <c r="U33"/>
      <c r="V33"/>
    </row>
    <row r="34" spans="2:22" ht="14.5" x14ac:dyDescent="0.35">
      <c r="B34"/>
      <c r="C34"/>
      <c r="D34"/>
      <c r="E34"/>
      <c r="F34"/>
      <c r="G34"/>
      <c r="H34"/>
      <c r="I34"/>
      <c r="Q34" s="319"/>
      <c r="R34" s="320"/>
      <c r="S34" s="320"/>
      <c r="T34" s="320"/>
      <c r="U34"/>
      <c r="V34"/>
    </row>
    <row r="35" spans="2:22" ht="14.5" x14ac:dyDescent="0.35">
      <c r="B35"/>
      <c r="C35"/>
      <c r="D35"/>
      <c r="E35"/>
      <c r="F35"/>
      <c r="G35"/>
      <c r="H35"/>
      <c r="I35"/>
      <c r="Q35" s="318"/>
      <c r="R35" s="320"/>
      <c r="S35" s="320"/>
      <c r="T35" s="320"/>
      <c r="U35"/>
      <c r="V35"/>
    </row>
    <row r="36" spans="2:22" ht="14.5" x14ac:dyDescent="0.35">
      <c r="B36"/>
      <c r="C36"/>
      <c r="D36"/>
      <c r="E36"/>
      <c r="F36"/>
      <c r="G36"/>
      <c r="H36"/>
      <c r="I36"/>
      <c r="Q36" s="319"/>
      <c r="R36" s="320"/>
      <c r="S36" s="320"/>
      <c r="T36" s="320"/>
      <c r="U36"/>
      <c r="V36"/>
    </row>
    <row r="37" spans="2:22" ht="14.5" x14ac:dyDescent="0.35">
      <c r="B37"/>
      <c r="C37"/>
      <c r="D37"/>
      <c r="E37"/>
      <c r="F37"/>
      <c r="G37"/>
      <c r="H37"/>
      <c r="I37"/>
      <c r="Q37" s="319"/>
      <c r="R37" s="320"/>
      <c r="S37" s="320"/>
      <c r="T37" s="320"/>
      <c r="U37"/>
      <c r="V37"/>
    </row>
    <row r="38" spans="2:22" ht="14.5" x14ac:dyDescent="0.35">
      <c r="B38"/>
      <c r="C38"/>
      <c r="D38"/>
      <c r="E38"/>
      <c r="F38"/>
      <c r="G38"/>
      <c r="H38"/>
      <c r="I38"/>
      <c r="Q38" s="318"/>
      <c r="R38" s="320"/>
      <c r="S38" s="320"/>
      <c r="T38" s="320"/>
      <c r="U38"/>
      <c r="V38"/>
    </row>
    <row r="39" spans="2:22" ht="14.5" x14ac:dyDescent="0.35">
      <c r="B39"/>
      <c r="C39"/>
      <c r="D39"/>
      <c r="E39"/>
      <c r="F39"/>
      <c r="G39"/>
      <c r="H39"/>
      <c r="I39"/>
      <c r="Q39" s="319"/>
      <c r="R39" s="320"/>
      <c r="S39" s="320"/>
      <c r="T39" s="320"/>
      <c r="U39"/>
      <c r="V39"/>
    </row>
    <row r="40" spans="2:22" ht="14.5" x14ac:dyDescent="0.35">
      <c r="B40"/>
      <c r="C40"/>
      <c r="D40"/>
      <c r="E40"/>
      <c r="F40"/>
      <c r="G40"/>
      <c r="H40"/>
      <c r="I40"/>
      <c r="Q40" s="319"/>
      <c r="R40" s="320"/>
      <c r="S40" s="320"/>
      <c r="T40" s="320"/>
      <c r="U40"/>
      <c r="V40"/>
    </row>
    <row r="41" spans="2:22" ht="14.5" x14ac:dyDescent="0.35">
      <c r="B41"/>
      <c r="C41"/>
      <c r="D41"/>
      <c r="E41"/>
      <c r="F41"/>
      <c r="G41"/>
      <c r="H41"/>
      <c r="I41"/>
      <c r="Q41" s="318"/>
      <c r="R41" s="320"/>
      <c r="S41" s="320"/>
      <c r="T41" s="320"/>
      <c r="U41"/>
      <c r="V41"/>
    </row>
    <row r="42" spans="2:22" ht="14.5" x14ac:dyDescent="0.35">
      <c r="B42"/>
      <c r="C42"/>
      <c r="D42"/>
      <c r="E42"/>
      <c r="F42"/>
      <c r="G42"/>
      <c r="H42"/>
      <c r="I42"/>
      <c r="Q42" s="319"/>
      <c r="R42" s="320"/>
      <c r="S42" s="320"/>
      <c r="T42" s="320"/>
      <c r="U42"/>
      <c r="V42"/>
    </row>
    <row r="43" spans="2:22" ht="14.5" x14ac:dyDescent="0.35">
      <c r="B43"/>
      <c r="C43"/>
      <c r="D43"/>
      <c r="E43"/>
      <c r="F43"/>
      <c r="G43"/>
      <c r="H43"/>
      <c r="I43"/>
      <c r="Q43" s="319"/>
      <c r="R43" s="320"/>
      <c r="S43" s="320"/>
      <c r="T43" s="320"/>
      <c r="U43"/>
      <c r="V43"/>
    </row>
    <row r="44" spans="2:22" ht="14.5" x14ac:dyDescent="0.35">
      <c r="B44"/>
      <c r="C44"/>
      <c r="D44"/>
      <c r="E44"/>
      <c r="F44"/>
      <c r="G44"/>
      <c r="H44"/>
      <c r="I44"/>
      <c r="Q44" s="319"/>
      <c r="R44" s="320"/>
      <c r="S44" s="320"/>
      <c r="T44" s="320"/>
      <c r="U44"/>
      <c r="V44"/>
    </row>
    <row r="45" spans="2:22" ht="14.5" x14ac:dyDescent="0.35">
      <c r="B45"/>
      <c r="C45"/>
      <c r="D45"/>
      <c r="E45"/>
      <c r="F45"/>
      <c r="G45"/>
      <c r="H45"/>
      <c r="I45"/>
      <c r="Q45" s="319"/>
      <c r="R45" s="320"/>
      <c r="S45" s="320"/>
      <c r="T45" s="320"/>
      <c r="U45"/>
      <c r="V45"/>
    </row>
    <row r="46" spans="2:22" ht="14.5" x14ac:dyDescent="0.35">
      <c r="B46"/>
      <c r="C46"/>
      <c r="D46"/>
      <c r="E46"/>
      <c r="F46"/>
      <c r="G46"/>
      <c r="H46"/>
      <c r="I46"/>
      <c r="Q46" s="318"/>
      <c r="R46" s="320"/>
      <c r="S46" s="320"/>
      <c r="T46" s="320"/>
      <c r="U46"/>
      <c r="V46"/>
    </row>
    <row r="47" spans="2:22" ht="14.5" x14ac:dyDescent="0.35">
      <c r="B47"/>
      <c r="C47"/>
      <c r="D47"/>
      <c r="E47"/>
      <c r="F47"/>
      <c r="G47"/>
      <c r="H47"/>
      <c r="I47"/>
      <c r="Q47"/>
      <c r="R47"/>
      <c r="S47"/>
      <c r="T47"/>
      <c r="U47"/>
      <c r="V47"/>
    </row>
    <row r="48" spans="2:22" ht="14.5" x14ac:dyDescent="0.35">
      <c r="B48"/>
      <c r="C48"/>
      <c r="D48"/>
      <c r="E48"/>
      <c r="F48"/>
      <c r="G48"/>
      <c r="H48"/>
      <c r="I48"/>
      <c r="Q48"/>
      <c r="R48"/>
      <c r="S48"/>
      <c r="T48"/>
      <c r="U48"/>
      <c r="V48"/>
    </row>
    <row r="49" spans="2:22" ht="14.5" x14ac:dyDescent="0.35">
      <c r="B49"/>
      <c r="C49"/>
      <c r="D49"/>
      <c r="E49"/>
      <c r="F49"/>
      <c r="G49"/>
      <c r="H49"/>
      <c r="I49"/>
      <c r="Q49"/>
      <c r="R49"/>
      <c r="S49"/>
      <c r="T49"/>
      <c r="U49"/>
      <c r="V49"/>
    </row>
    <row r="50" spans="2:22" ht="14.5" x14ac:dyDescent="0.35">
      <c r="B50"/>
      <c r="C50"/>
      <c r="D50"/>
      <c r="E50"/>
      <c r="F50"/>
      <c r="G50"/>
      <c r="H50"/>
      <c r="I50"/>
      <c r="Q50"/>
      <c r="R50"/>
      <c r="S50"/>
      <c r="T50"/>
      <c r="U50"/>
      <c r="V50"/>
    </row>
    <row r="51" spans="2:22" ht="14.5" x14ac:dyDescent="0.35">
      <c r="B51"/>
      <c r="C51"/>
      <c r="D51"/>
      <c r="E51"/>
      <c r="F51"/>
      <c r="G51"/>
      <c r="H51"/>
      <c r="I51"/>
      <c r="Q51"/>
      <c r="R51"/>
      <c r="S51"/>
      <c r="T51"/>
      <c r="U51"/>
      <c r="V51"/>
    </row>
    <row r="52" spans="2:22" ht="14.5" x14ac:dyDescent="0.35">
      <c r="B52"/>
      <c r="C52"/>
      <c r="D52"/>
      <c r="E52"/>
      <c r="F52"/>
      <c r="G52"/>
      <c r="H52"/>
      <c r="I52"/>
      <c r="Q52"/>
      <c r="R52"/>
      <c r="S52"/>
      <c r="T52"/>
      <c r="U52"/>
      <c r="V52"/>
    </row>
    <row r="53" spans="2:22" ht="14.5" x14ac:dyDescent="0.35">
      <c r="B53"/>
      <c r="C53"/>
      <c r="D53"/>
      <c r="E53"/>
      <c r="F53"/>
      <c r="G53"/>
      <c r="H53"/>
      <c r="I53"/>
      <c r="Q53"/>
      <c r="R53"/>
      <c r="S53"/>
      <c r="T53"/>
      <c r="U53"/>
      <c r="V53"/>
    </row>
    <row r="54" spans="2:22" ht="14.5" x14ac:dyDescent="0.35">
      <c r="B54"/>
      <c r="C54"/>
      <c r="D54"/>
      <c r="E54"/>
      <c r="F54"/>
      <c r="G54"/>
      <c r="H54"/>
      <c r="I54"/>
      <c r="Q54"/>
      <c r="R54"/>
      <c r="S54"/>
      <c r="T54"/>
      <c r="U54"/>
      <c r="V54"/>
    </row>
    <row r="55" spans="2:22" ht="14.5" x14ac:dyDescent="0.35">
      <c r="B55"/>
      <c r="C55"/>
      <c r="D55"/>
      <c r="E55"/>
      <c r="F55"/>
      <c r="G55"/>
      <c r="H55"/>
      <c r="I55"/>
      <c r="Q55"/>
      <c r="R55"/>
      <c r="S55"/>
      <c r="T55"/>
      <c r="U55"/>
      <c r="V55"/>
    </row>
    <row r="56" spans="2:22" ht="14.5" x14ac:dyDescent="0.35">
      <c r="B56"/>
      <c r="C56"/>
      <c r="D56"/>
      <c r="E56"/>
      <c r="F56"/>
      <c r="G56"/>
      <c r="H56"/>
      <c r="I56"/>
      <c r="Q56"/>
      <c r="R56"/>
      <c r="S56"/>
      <c r="T56"/>
      <c r="U56"/>
      <c r="V56"/>
    </row>
    <row r="57" spans="2:22" ht="14.5" x14ac:dyDescent="0.35">
      <c r="B57"/>
      <c r="C57"/>
      <c r="D57"/>
      <c r="E57"/>
      <c r="F57"/>
      <c r="G57"/>
      <c r="H57"/>
      <c r="I57"/>
      <c r="Q57"/>
      <c r="R57"/>
      <c r="S57"/>
      <c r="T57"/>
      <c r="U57"/>
      <c r="V57"/>
    </row>
    <row r="58" spans="2:22" ht="14.5" x14ac:dyDescent="0.35">
      <c r="B58"/>
      <c r="C58"/>
      <c r="D58"/>
      <c r="E58"/>
      <c r="F58"/>
      <c r="G58"/>
      <c r="H58"/>
      <c r="I58"/>
      <c r="Q58"/>
      <c r="R58"/>
      <c r="S58"/>
      <c r="T58"/>
      <c r="U58"/>
      <c r="V58"/>
    </row>
    <row r="59" spans="2:22" ht="14.5" x14ac:dyDescent="0.35">
      <c r="B59"/>
      <c r="C59"/>
      <c r="D59"/>
      <c r="E59"/>
      <c r="F59"/>
      <c r="G59"/>
      <c r="H59"/>
      <c r="I59"/>
      <c r="Q59"/>
      <c r="R59"/>
      <c r="S59"/>
      <c r="T59"/>
      <c r="U59"/>
      <c r="V59"/>
    </row>
    <row r="60" spans="2:22" ht="14.5" x14ac:dyDescent="0.35">
      <c r="B60"/>
      <c r="C60"/>
      <c r="D60"/>
      <c r="E60"/>
      <c r="F60"/>
      <c r="G60"/>
      <c r="H60"/>
      <c r="I60"/>
      <c r="Q60"/>
      <c r="R60"/>
      <c r="S60"/>
      <c r="T60"/>
      <c r="U60"/>
      <c r="V60"/>
    </row>
    <row r="61" spans="2:22" ht="14.5" x14ac:dyDescent="0.35">
      <c r="B61"/>
      <c r="C61"/>
      <c r="D61"/>
      <c r="E61"/>
      <c r="F61"/>
      <c r="G61"/>
      <c r="H61"/>
      <c r="I61"/>
      <c r="Q61"/>
      <c r="R61"/>
      <c r="S61"/>
      <c r="T61"/>
      <c r="U61"/>
      <c r="V61"/>
    </row>
    <row r="62" spans="2:22" ht="14.5" x14ac:dyDescent="0.35">
      <c r="B62"/>
      <c r="C62"/>
      <c r="D62"/>
      <c r="E62"/>
      <c r="F62"/>
      <c r="G62"/>
      <c r="H62"/>
      <c r="I62"/>
      <c r="Q62"/>
      <c r="R62"/>
      <c r="S62"/>
      <c r="T62"/>
      <c r="U62"/>
      <c r="V62"/>
    </row>
    <row r="63" spans="2:22" ht="14.5" x14ac:dyDescent="0.35">
      <c r="B63"/>
      <c r="C63"/>
      <c r="D63"/>
      <c r="E63"/>
      <c r="F63"/>
      <c r="G63"/>
      <c r="H63"/>
      <c r="I63"/>
      <c r="Q63"/>
      <c r="R63"/>
      <c r="S63"/>
      <c r="T63"/>
      <c r="U63"/>
      <c r="V63"/>
    </row>
    <row r="64" spans="2:22" ht="14.5" x14ac:dyDescent="0.35">
      <c r="B64"/>
      <c r="C64"/>
      <c r="D64"/>
      <c r="E64"/>
      <c r="F64"/>
      <c r="G64"/>
      <c r="H64"/>
      <c r="I64"/>
      <c r="Q64"/>
      <c r="R64"/>
      <c r="S64"/>
      <c r="T64"/>
      <c r="U64"/>
      <c r="V64"/>
    </row>
    <row r="65" spans="2:22" ht="14.5" x14ac:dyDescent="0.35">
      <c r="B65"/>
      <c r="C65"/>
      <c r="D65"/>
      <c r="E65"/>
      <c r="F65"/>
      <c r="G65"/>
      <c r="H65"/>
      <c r="I65"/>
      <c r="Q65"/>
      <c r="R65"/>
      <c r="S65"/>
      <c r="T65"/>
      <c r="U65"/>
      <c r="V65"/>
    </row>
    <row r="66" spans="2:22" ht="14.5" x14ac:dyDescent="0.35">
      <c r="B66"/>
      <c r="C66"/>
      <c r="D66"/>
      <c r="E66"/>
      <c r="F66"/>
      <c r="G66"/>
      <c r="H66"/>
      <c r="I66"/>
      <c r="Q66"/>
      <c r="R66"/>
      <c r="S66"/>
      <c r="T66"/>
      <c r="U66"/>
      <c r="V66"/>
    </row>
    <row r="67" spans="2:22" ht="14.5" x14ac:dyDescent="0.35">
      <c r="B67"/>
      <c r="C67"/>
      <c r="D67"/>
      <c r="E67"/>
      <c r="F67"/>
      <c r="G67"/>
      <c r="H67"/>
      <c r="I67"/>
      <c r="Q67"/>
      <c r="R67"/>
      <c r="S67"/>
      <c r="T67"/>
      <c r="U67"/>
      <c r="V67"/>
    </row>
    <row r="68" spans="2:22" ht="14.5" x14ac:dyDescent="0.35">
      <c r="B68"/>
      <c r="C68"/>
      <c r="D68"/>
      <c r="E68"/>
      <c r="F68"/>
      <c r="G68"/>
      <c r="H68"/>
      <c r="I68"/>
      <c r="Q68"/>
      <c r="R68"/>
      <c r="S68"/>
      <c r="T68"/>
      <c r="U68"/>
      <c r="V68"/>
    </row>
    <row r="69" spans="2:22" ht="14.5" x14ac:dyDescent="0.35">
      <c r="B69"/>
      <c r="C69"/>
      <c r="D69"/>
      <c r="E69"/>
      <c r="F69"/>
      <c r="G69"/>
      <c r="H69"/>
      <c r="I69"/>
      <c r="Q69"/>
      <c r="R69"/>
      <c r="S69"/>
      <c r="T69"/>
      <c r="U69"/>
      <c r="V69"/>
    </row>
    <row r="70" spans="2:22" ht="14.5" x14ac:dyDescent="0.35">
      <c r="B70"/>
      <c r="C70"/>
      <c r="D70"/>
      <c r="E70"/>
      <c r="F70"/>
      <c r="G70"/>
      <c r="H70"/>
      <c r="I70"/>
      <c r="Q70"/>
      <c r="R70"/>
      <c r="S70"/>
      <c r="T70"/>
      <c r="U70"/>
      <c r="V70"/>
    </row>
    <row r="71" spans="2:22" ht="14.5" x14ac:dyDescent="0.35">
      <c r="B71"/>
      <c r="C71"/>
      <c r="D71"/>
      <c r="E71"/>
      <c r="F71"/>
      <c r="G71"/>
      <c r="H71"/>
      <c r="I71"/>
      <c r="Q71"/>
      <c r="R71"/>
      <c r="S71"/>
      <c r="T71"/>
      <c r="U71"/>
      <c r="V71"/>
    </row>
    <row r="72" spans="2:22" ht="14.5" x14ac:dyDescent="0.35">
      <c r="B72"/>
      <c r="C72"/>
      <c r="D72"/>
      <c r="E72"/>
      <c r="F72"/>
      <c r="G72"/>
      <c r="H72"/>
      <c r="I72"/>
      <c r="Q72"/>
      <c r="R72"/>
      <c r="S72"/>
      <c r="T72"/>
      <c r="U72"/>
      <c r="V72"/>
    </row>
    <row r="73" spans="2:22" ht="14.5" x14ac:dyDescent="0.35">
      <c r="B73"/>
      <c r="C73"/>
      <c r="D73"/>
      <c r="E73"/>
      <c r="F73"/>
      <c r="G73"/>
      <c r="H73"/>
      <c r="I73"/>
    </row>
    <row r="74" spans="2:22" ht="14.5" x14ac:dyDescent="0.35">
      <c r="B74"/>
      <c r="C74"/>
      <c r="D74"/>
      <c r="E74"/>
      <c r="F74"/>
      <c r="G74"/>
      <c r="H74"/>
      <c r="I74"/>
    </row>
    <row r="75" spans="2:22" ht="14.5" x14ac:dyDescent="0.35">
      <c r="B75"/>
      <c r="C75"/>
      <c r="D75"/>
      <c r="E75"/>
      <c r="F75"/>
      <c r="G75"/>
      <c r="H75"/>
      <c r="I75"/>
    </row>
    <row r="76" spans="2:22" ht="14.5" x14ac:dyDescent="0.35">
      <c r="B76"/>
      <c r="C76"/>
      <c r="D76"/>
      <c r="E76"/>
      <c r="F76"/>
      <c r="G76"/>
      <c r="H76"/>
      <c r="I76"/>
    </row>
    <row r="77" spans="2:22" ht="14.5" x14ac:dyDescent="0.35">
      <c r="B77"/>
      <c r="C77"/>
      <c r="D77"/>
      <c r="E77"/>
      <c r="F77"/>
      <c r="G77"/>
      <c r="H77"/>
      <c r="I77"/>
    </row>
    <row r="78" spans="2:22" ht="14.5" x14ac:dyDescent="0.35">
      <c r="B78"/>
      <c r="C78"/>
      <c r="D78"/>
      <c r="E78"/>
      <c r="F78"/>
      <c r="G78"/>
      <c r="H78"/>
      <c r="I78"/>
    </row>
    <row r="79" spans="2:22" ht="14.5" x14ac:dyDescent="0.35">
      <c r="B79"/>
      <c r="C79"/>
      <c r="D79"/>
      <c r="E79"/>
      <c r="F79"/>
      <c r="G79"/>
      <c r="H79"/>
      <c r="I79"/>
    </row>
    <row r="80" spans="2:22" ht="14.5" x14ac:dyDescent="0.35">
      <c r="B80"/>
      <c r="C80"/>
      <c r="D80"/>
      <c r="E80"/>
      <c r="F80"/>
      <c r="G80"/>
      <c r="H80"/>
      <c r="I80"/>
    </row>
    <row r="81" spans="2:9" ht="14.5" x14ac:dyDescent="0.35">
      <c r="B81"/>
      <c r="C81"/>
      <c r="D81"/>
      <c r="E81"/>
      <c r="F81"/>
      <c r="G81"/>
      <c r="H81"/>
      <c r="I81"/>
    </row>
    <row r="82" spans="2:9" ht="14.5" x14ac:dyDescent="0.35">
      <c r="B82"/>
      <c r="C82"/>
      <c r="D82"/>
      <c r="E82"/>
      <c r="F82"/>
      <c r="G82"/>
      <c r="H82"/>
      <c r="I82"/>
    </row>
    <row r="83" spans="2:9" ht="14.5" x14ac:dyDescent="0.35">
      <c r="B83"/>
      <c r="C83"/>
      <c r="D83"/>
      <c r="E83"/>
      <c r="F83"/>
      <c r="G83"/>
      <c r="H83"/>
      <c r="I83"/>
    </row>
    <row r="84" spans="2:9" ht="14.5" x14ac:dyDescent="0.35">
      <c r="B84"/>
      <c r="C84"/>
      <c r="D84"/>
      <c r="E84"/>
      <c r="F84"/>
      <c r="G84"/>
      <c r="H84"/>
      <c r="I84"/>
    </row>
    <row r="85" spans="2:9" ht="14.5" x14ac:dyDescent="0.35">
      <c r="B85"/>
      <c r="C85"/>
      <c r="D85"/>
      <c r="E85"/>
      <c r="F85"/>
      <c r="G85"/>
      <c r="H85"/>
      <c r="I85"/>
    </row>
    <row r="86" spans="2:9" ht="14.5" x14ac:dyDescent="0.35">
      <c r="B86"/>
      <c r="C86"/>
      <c r="D86"/>
      <c r="E86"/>
      <c r="F86"/>
      <c r="G86"/>
      <c r="H86"/>
      <c r="I86"/>
    </row>
    <row r="87" spans="2:9" ht="14.5" x14ac:dyDescent="0.35">
      <c r="B87"/>
      <c r="C87"/>
      <c r="D87"/>
      <c r="E87"/>
      <c r="F87"/>
      <c r="G87"/>
      <c r="H87"/>
      <c r="I87"/>
    </row>
    <row r="88" spans="2:9" ht="14.5" x14ac:dyDescent="0.35">
      <c r="B88"/>
      <c r="C88"/>
      <c r="D88"/>
      <c r="E88"/>
      <c r="F88"/>
      <c r="G88"/>
      <c r="H88"/>
      <c r="I88"/>
    </row>
    <row r="89" spans="2:9" ht="14.5" x14ac:dyDescent="0.35">
      <c r="B89"/>
      <c r="C89"/>
      <c r="D89"/>
      <c r="E89"/>
      <c r="F89"/>
      <c r="G89"/>
      <c r="H89"/>
      <c r="I89"/>
    </row>
    <row r="90" spans="2:9" ht="14.5" x14ac:dyDescent="0.35">
      <c r="B90"/>
      <c r="C90"/>
      <c r="D90"/>
      <c r="E90"/>
      <c r="F90"/>
      <c r="G90"/>
      <c r="H90"/>
      <c r="I90"/>
    </row>
    <row r="91" spans="2:9" ht="14.5" x14ac:dyDescent="0.35">
      <c r="B91"/>
      <c r="C91"/>
      <c r="D91"/>
      <c r="E91"/>
      <c r="F91"/>
      <c r="G91"/>
      <c r="H91"/>
      <c r="I91"/>
    </row>
    <row r="92" spans="2:9" ht="14.5" x14ac:dyDescent="0.35">
      <c r="B92"/>
      <c r="C92"/>
      <c r="D92"/>
      <c r="E92"/>
      <c r="F92"/>
      <c r="G92"/>
      <c r="H92"/>
      <c r="I92"/>
    </row>
    <row r="93" spans="2:9" ht="14.5" x14ac:dyDescent="0.35">
      <c r="B93"/>
      <c r="C93"/>
      <c r="D93"/>
      <c r="E93"/>
      <c r="F93"/>
      <c r="G93"/>
      <c r="H93"/>
      <c r="I93"/>
    </row>
    <row r="94" spans="2:9" ht="14.5" x14ac:dyDescent="0.35">
      <c r="B94"/>
      <c r="C94"/>
      <c r="D94"/>
      <c r="E94"/>
      <c r="F94"/>
      <c r="G94"/>
      <c r="H94"/>
      <c r="I94"/>
    </row>
    <row r="95" spans="2:9" ht="14.5" x14ac:dyDescent="0.35">
      <c r="B95"/>
      <c r="C95"/>
      <c r="D95"/>
      <c r="E95"/>
      <c r="F95"/>
      <c r="G95"/>
      <c r="H95"/>
      <c r="I95"/>
    </row>
    <row r="96" spans="2:9" ht="14.5" x14ac:dyDescent="0.35">
      <c r="B96"/>
      <c r="C96"/>
      <c r="D96"/>
      <c r="E96"/>
      <c r="F96"/>
      <c r="G96"/>
      <c r="H96"/>
      <c r="I96"/>
    </row>
    <row r="97" spans="2:9" ht="14.5" x14ac:dyDescent="0.35">
      <c r="B97"/>
      <c r="C97"/>
      <c r="D97"/>
      <c r="E97"/>
      <c r="F97"/>
      <c r="G97"/>
      <c r="H97"/>
      <c r="I97"/>
    </row>
    <row r="98" spans="2:9" ht="14.5" x14ac:dyDescent="0.35">
      <c r="B98"/>
      <c r="C98"/>
      <c r="D98"/>
      <c r="E98"/>
      <c r="F98"/>
      <c r="G98"/>
      <c r="H98"/>
      <c r="I98"/>
    </row>
    <row r="99" spans="2:9" ht="14.5" x14ac:dyDescent="0.35">
      <c r="B99"/>
      <c r="C99"/>
      <c r="D99"/>
      <c r="E99"/>
      <c r="F99"/>
      <c r="G99"/>
      <c r="H99"/>
      <c r="I99"/>
    </row>
    <row r="100" spans="2:9" ht="14.5" x14ac:dyDescent="0.35">
      <c r="B100"/>
      <c r="C100"/>
      <c r="D100"/>
      <c r="E100"/>
      <c r="F100"/>
      <c r="G100"/>
      <c r="H100"/>
      <c r="I100"/>
    </row>
    <row r="101" spans="2:9" ht="14.5" x14ac:dyDescent="0.35">
      <c r="B101"/>
      <c r="C101"/>
      <c r="D101"/>
      <c r="E101"/>
      <c r="F101"/>
      <c r="G101"/>
      <c r="H101"/>
      <c r="I101"/>
    </row>
    <row r="102" spans="2:9" ht="14.5" x14ac:dyDescent="0.35">
      <c r="B102"/>
      <c r="C102"/>
      <c r="D102"/>
      <c r="E102"/>
      <c r="F102"/>
      <c r="G102"/>
      <c r="H102"/>
      <c r="I102"/>
    </row>
    <row r="103" spans="2:9" ht="14.5" x14ac:dyDescent="0.35">
      <c r="B103"/>
      <c r="C103"/>
      <c r="D103"/>
      <c r="E103"/>
      <c r="F103"/>
      <c r="G103"/>
      <c r="H103"/>
      <c r="I103"/>
    </row>
    <row r="104" spans="2:9" ht="14.5" x14ac:dyDescent="0.35">
      <c r="B104"/>
      <c r="C104"/>
      <c r="D104"/>
      <c r="E104"/>
      <c r="F104"/>
      <c r="G104"/>
      <c r="H104"/>
      <c r="I104"/>
    </row>
    <row r="105" spans="2:9" ht="14.5" x14ac:dyDescent="0.35">
      <c r="B105"/>
      <c r="C105"/>
      <c r="D105"/>
      <c r="E105"/>
      <c r="F105"/>
      <c r="G105"/>
      <c r="H105"/>
      <c r="I105"/>
    </row>
    <row r="106" spans="2:9" ht="14.5" x14ac:dyDescent="0.35">
      <c r="B106"/>
      <c r="C106"/>
      <c r="D106"/>
      <c r="E106"/>
      <c r="F106"/>
      <c r="G106"/>
      <c r="H106"/>
      <c r="I106"/>
    </row>
    <row r="107" spans="2:9" ht="14.5" x14ac:dyDescent="0.35">
      <c r="B107"/>
      <c r="C107"/>
      <c r="D107"/>
      <c r="E107"/>
      <c r="F107"/>
      <c r="G107"/>
      <c r="H107"/>
      <c r="I107"/>
    </row>
    <row r="108" spans="2:9" x14ac:dyDescent="0.2">
      <c r="C108" s="183"/>
      <c r="D108" s="209"/>
      <c r="E108" s="183"/>
      <c r="F108" s="183"/>
      <c r="G108" s="183"/>
    </row>
    <row r="109" spans="2:9" x14ac:dyDescent="0.2">
      <c r="C109" s="183"/>
      <c r="D109" s="209"/>
      <c r="E109" s="183"/>
      <c r="F109" s="183"/>
      <c r="G109" s="183"/>
    </row>
    <row r="110" spans="2:9" x14ac:dyDescent="0.2">
      <c r="C110" s="183"/>
      <c r="D110" s="209"/>
      <c r="E110" s="183"/>
      <c r="F110" s="183"/>
      <c r="G110" s="183"/>
    </row>
    <row r="111" spans="2:9" x14ac:dyDescent="0.2">
      <c r="C111" s="183"/>
      <c r="D111" s="209"/>
      <c r="E111" s="183"/>
      <c r="F111" s="183"/>
      <c r="G111" s="183"/>
    </row>
    <row r="112" spans="2:9" x14ac:dyDescent="0.2">
      <c r="C112" s="183"/>
      <c r="D112" s="209"/>
      <c r="E112" s="183"/>
      <c r="F112" s="183"/>
      <c r="G112" s="183"/>
    </row>
    <row r="113" spans="4:4" s="183" customFormat="1" x14ac:dyDescent="0.2">
      <c r="D113" s="209"/>
    </row>
    <row r="114" spans="4:4" s="183" customFormat="1" x14ac:dyDescent="0.2">
      <c r="D114" s="209"/>
    </row>
    <row r="115" spans="4:4" s="183" customFormat="1" x14ac:dyDescent="0.2">
      <c r="D115" s="209"/>
    </row>
    <row r="116" spans="4:4" s="183" customFormat="1" x14ac:dyDescent="0.2">
      <c r="D116" s="209"/>
    </row>
    <row r="117" spans="4:4" s="183" customFormat="1" x14ac:dyDescent="0.2">
      <c r="D117" s="209"/>
    </row>
    <row r="118" spans="4:4" s="183" customFormat="1" x14ac:dyDescent="0.2">
      <c r="D118" s="209"/>
    </row>
    <row r="119" spans="4:4" s="183" customFormat="1" x14ac:dyDescent="0.2">
      <c r="D119" s="209"/>
    </row>
    <row r="120" spans="4:4" s="183" customFormat="1" x14ac:dyDescent="0.2">
      <c r="D120" s="209"/>
    </row>
    <row r="121" spans="4:4" s="183" customFormat="1" x14ac:dyDescent="0.2">
      <c r="D121" s="209"/>
    </row>
    <row r="122" spans="4:4" s="183" customFormat="1" x14ac:dyDescent="0.2">
      <c r="D122" s="209"/>
    </row>
    <row r="123" spans="4:4" s="183" customFormat="1" x14ac:dyDescent="0.2">
      <c r="D123" s="209"/>
    </row>
    <row r="124" spans="4:4" s="183" customFormat="1" x14ac:dyDescent="0.2">
      <c r="D124" s="209"/>
    </row>
    <row r="125" spans="4:4" s="183" customFormat="1" x14ac:dyDescent="0.2">
      <c r="D125" s="209"/>
    </row>
    <row r="126" spans="4:4" s="183" customFormat="1" x14ac:dyDescent="0.2">
      <c r="D126" s="209"/>
    </row>
    <row r="127" spans="4:4" s="183" customFormat="1" x14ac:dyDescent="0.2">
      <c r="D127" s="209"/>
    </row>
    <row r="128" spans="4:4" s="183" customFormat="1" x14ac:dyDescent="0.2">
      <c r="D128" s="209"/>
    </row>
    <row r="129" spans="4:4" s="183" customFormat="1" x14ac:dyDescent="0.2">
      <c r="D129" s="209"/>
    </row>
    <row r="130" spans="4:4" s="183" customFormat="1" x14ac:dyDescent="0.2">
      <c r="D130" s="209"/>
    </row>
    <row r="131" spans="4:4" s="183" customFormat="1" x14ac:dyDescent="0.2">
      <c r="D131" s="209"/>
    </row>
    <row r="132" spans="4:4" s="183" customFormat="1" x14ac:dyDescent="0.2">
      <c r="D132" s="209"/>
    </row>
    <row r="133" spans="4:4" s="183" customFormat="1" x14ac:dyDescent="0.2">
      <c r="D133" s="209"/>
    </row>
    <row r="134" spans="4:4" s="183" customFormat="1" x14ac:dyDescent="0.2">
      <c r="D134" s="209"/>
    </row>
    <row r="135" spans="4:4" s="183" customFormat="1" x14ac:dyDescent="0.2">
      <c r="D135" s="209"/>
    </row>
    <row r="136" spans="4:4" s="183" customFormat="1" x14ac:dyDescent="0.2">
      <c r="D136" s="209"/>
    </row>
    <row r="137" spans="4:4" s="183" customFormat="1" x14ac:dyDescent="0.2">
      <c r="D137" s="209"/>
    </row>
    <row r="138" spans="4:4" s="183" customFormat="1" x14ac:dyDescent="0.2">
      <c r="D138" s="209"/>
    </row>
    <row r="139" spans="4:4" s="183" customFormat="1" x14ac:dyDescent="0.2">
      <c r="D139" s="209"/>
    </row>
    <row r="140" spans="4:4" s="183" customFormat="1" x14ac:dyDescent="0.2">
      <c r="D140" s="209"/>
    </row>
  </sheetData>
  <mergeCells count="5">
    <mergeCell ref="B6:I6"/>
    <mergeCell ref="K6:O6"/>
    <mergeCell ref="Q6:V6"/>
    <mergeCell ref="B1:Q2"/>
    <mergeCell ref="B3:Q4"/>
  </mergeCells>
  <hyperlinks>
    <hyperlink ref="B5" location="Home!A1" display="Home"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AE33"/>
  <sheetViews>
    <sheetView showGridLines="0" topLeftCell="B1" zoomScale="70" zoomScaleNormal="70" workbookViewId="0">
      <pane xSplit="2" ySplit="5" topLeftCell="D6" activePane="bottomRight" state="frozen"/>
      <selection activeCell="B1" sqref="B1"/>
      <selection pane="topRight" activeCell="C1" sqref="C1"/>
      <selection pane="bottomLeft" activeCell="B3" sqref="B3"/>
      <selection pane="bottomRight" activeCell="M20" sqref="M20"/>
    </sheetView>
  </sheetViews>
  <sheetFormatPr defaultColWidth="64" defaultRowHeight="15.5" x14ac:dyDescent="0.35"/>
  <cols>
    <col min="1" max="1" width="89.7265625" style="370" bestFit="1" customWidth="1"/>
    <col min="2" max="2" width="3.81640625" style="370" bestFit="1" customWidth="1"/>
    <col min="3" max="3" width="27.1796875" style="370" bestFit="1" customWidth="1"/>
    <col min="4" max="4" width="13.54296875" style="372" bestFit="1" customWidth="1"/>
    <col min="5" max="5" width="20" style="372" bestFit="1" customWidth="1"/>
    <col min="6" max="6" width="16.7265625" style="372" bestFit="1" customWidth="1"/>
    <col min="7" max="7" width="13.7265625" style="370" bestFit="1" customWidth="1"/>
    <col min="8" max="8" width="28.1796875" style="370" bestFit="1" customWidth="1"/>
    <col min="9" max="9" width="31.7265625" style="370" bestFit="1" customWidth="1"/>
    <col min="10" max="10" width="24.81640625" style="370" bestFit="1" customWidth="1"/>
    <col min="11" max="11" width="22.1796875" style="370" bestFit="1" customWidth="1"/>
    <col min="12" max="12" width="27.26953125" style="370" bestFit="1" customWidth="1"/>
    <col min="13" max="13" width="32.453125" style="370" bestFit="1" customWidth="1"/>
    <col min="14" max="14" width="12.81640625" style="370" bestFit="1" customWidth="1"/>
    <col min="15" max="15" width="13.54296875" style="370" bestFit="1" customWidth="1"/>
    <col min="16" max="16" width="12.1796875" style="370" bestFit="1" customWidth="1"/>
    <col min="17" max="17" width="26.81640625" style="370" bestFit="1" customWidth="1"/>
    <col min="18" max="18" width="29.26953125" style="370" bestFit="1" customWidth="1"/>
    <col min="19" max="19" width="27.453125" style="370" bestFit="1" customWidth="1"/>
    <col min="20" max="20" width="127.54296875" style="370" bestFit="1" customWidth="1"/>
    <col min="21" max="21" width="43.1796875" style="370" bestFit="1" customWidth="1"/>
    <col min="22" max="22" width="44.26953125" style="370" bestFit="1" customWidth="1"/>
    <col min="23" max="23" width="12.7265625" style="370" bestFit="1" customWidth="1"/>
    <col min="24" max="24" width="20.26953125" style="370" bestFit="1" customWidth="1"/>
    <col min="25" max="25" width="25.26953125" style="370" bestFit="1" customWidth="1"/>
    <col min="26" max="26" width="25.453125" style="370" bestFit="1" customWidth="1"/>
    <col min="27" max="27" width="35.453125" style="370" bestFit="1" customWidth="1"/>
    <col min="28" max="28" width="32" style="370" bestFit="1" customWidth="1"/>
    <col min="29" max="29" width="24.453125" style="370" bestFit="1" customWidth="1"/>
    <col min="30" max="30" width="24.81640625" style="370" bestFit="1" customWidth="1"/>
    <col min="31" max="31" width="24.54296875" style="370" bestFit="1" customWidth="1"/>
    <col min="32" max="16384" width="64" style="370"/>
  </cols>
  <sheetData>
    <row r="1" spans="1:31" x14ac:dyDescent="0.35">
      <c r="C1" s="371" t="s">
        <v>1709</v>
      </c>
      <c r="D1" s="523" t="s">
        <v>2012</v>
      </c>
      <c r="E1" s="523"/>
      <c r="F1" s="523"/>
      <c r="G1" s="523"/>
      <c r="H1" s="523"/>
      <c r="I1" s="523"/>
      <c r="J1" s="523"/>
      <c r="K1" s="523"/>
      <c r="L1" s="523"/>
      <c r="M1" s="523"/>
      <c r="N1" s="523"/>
      <c r="O1" s="523"/>
      <c r="P1" s="523"/>
      <c r="Q1" s="523"/>
      <c r="R1" s="523"/>
      <c r="S1" s="523"/>
    </row>
    <row r="2" spans="1:31" x14ac:dyDescent="0.35">
      <c r="C2" s="423"/>
      <c r="D2" s="523"/>
      <c r="E2" s="523"/>
      <c r="F2" s="523"/>
      <c r="G2" s="523"/>
      <c r="H2" s="523"/>
      <c r="I2" s="523"/>
      <c r="J2" s="523"/>
      <c r="K2" s="523"/>
      <c r="L2" s="523"/>
      <c r="M2" s="523"/>
      <c r="N2" s="523"/>
      <c r="O2" s="523"/>
      <c r="P2" s="523"/>
      <c r="Q2" s="523"/>
      <c r="R2" s="523"/>
      <c r="S2" s="523"/>
    </row>
    <row r="3" spans="1:31" x14ac:dyDescent="0.35">
      <c r="C3" s="423"/>
      <c r="D3" s="524" t="s">
        <v>2126</v>
      </c>
      <c r="E3" s="524"/>
      <c r="F3" s="524"/>
      <c r="G3" s="524"/>
      <c r="H3" s="524"/>
      <c r="I3" s="524"/>
      <c r="J3" s="524"/>
      <c r="K3" s="524"/>
      <c r="L3" s="524"/>
      <c r="M3" s="524"/>
      <c r="N3" s="524"/>
      <c r="O3" s="524"/>
      <c r="P3" s="524"/>
      <c r="Q3" s="524"/>
      <c r="R3" s="524"/>
      <c r="S3" s="524"/>
    </row>
    <row r="4" spans="1:31" x14ac:dyDescent="0.35">
      <c r="C4" s="423"/>
      <c r="D4" s="525"/>
      <c r="E4" s="525"/>
      <c r="F4" s="525"/>
      <c r="G4" s="525"/>
      <c r="H4" s="525"/>
      <c r="I4" s="525"/>
      <c r="J4" s="525"/>
      <c r="K4" s="525"/>
      <c r="L4" s="525"/>
      <c r="M4" s="525"/>
      <c r="N4" s="525"/>
      <c r="O4" s="525"/>
      <c r="P4" s="525"/>
      <c r="Q4" s="525"/>
      <c r="R4" s="525"/>
      <c r="S4" s="525"/>
    </row>
    <row r="5" spans="1:31" x14ac:dyDescent="0.35">
      <c r="A5" s="373" t="s">
        <v>1079</v>
      </c>
      <c r="B5" s="410" t="s">
        <v>257</v>
      </c>
      <c r="C5" s="411" t="s">
        <v>1080</v>
      </c>
      <c r="D5" s="411" t="s">
        <v>1081</v>
      </c>
      <c r="E5" s="411" t="s">
        <v>1082</v>
      </c>
      <c r="F5" s="412" t="s">
        <v>1814</v>
      </c>
      <c r="G5" s="411" t="s">
        <v>1083</v>
      </c>
      <c r="H5" s="411" t="s">
        <v>1084</v>
      </c>
      <c r="I5" s="411" t="s">
        <v>1085</v>
      </c>
      <c r="J5" s="411" t="s">
        <v>1086</v>
      </c>
      <c r="K5" s="411" t="s">
        <v>1087</v>
      </c>
      <c r="L5" s="411" t="s">
        <v>1088</v>
      </c>
      <c r="M5" s="411" t="s">
        <v>1089</v>
      </c>
      <c r="N5" s="411" t="s">
        <v>1090</v>
      </c>
      <c r="O5" s="411" t="s">
        <v>1091</v>
      </c>
      <c r="P5" s="411" t="s">
        <v>1092</v>
      </c>
      <c r="Q5" s="411" t="s">
        <v>1093</v>
      </c>
      <c r="R5" s="411" t="s">
        <v>1094</v>
      </c>
      <c r="S5" s="411" t="s">
        <v>1095</v>
      </c>
      <c r="T5" s="411" t="s">
        <v>1096</v>
      </c>
      <c r="U5" s="411" t="s">
        <v>1333</v>
      </c>
      <c r="V5" s="411" t="s">
        <v>1985</v>
      </c>
      <c r="W5" s="379" t="s">
        <v>1503</v>
      </c>
      <c r="X5" s="379" t="s">
        <v>1504</v>
      </c>
      <c r="Y5" s="380" t="s">
        <v>1505</v>
      </c>
      <c r="Z5" s="380" t="s">
        <v>1506</v>
      </c>
      <c r="AA5" s="380" t="s">
        <v>1507</v>
      </c>
      <c r="AB5" s="380" t="s">
        <v>1716</v>
      </c>
      <c r="AC5" s="380" t="s">
        <v>1816</v>
      </c>
      <c r="AD5" s="380" t="s">
        <v>1817</v>
      </c>
      <c r="AE5" s="379" t="s">
        <v>1712</v>
      </c>
    </row>
    <row r="6" spans="1:31" ht="31" x14ac:dyDescent="0.35">
      <c r="A6" s="374" t="s">
        <v>1097</v>
      </c>
      <c r="B6" s="381">
        <v>1</v>
      </c>
      <c r="C6" s="382" t="s">
        <v>1098</v>
      </c>
      <c r="D6" s="384" t="s">
        <v>477</v>
      </c>
      <c r="E6" s="384" t="s">
        <v>1099</v>
      </c>
      <c r="F6" s="384" t="s">
        <v>1100</v>
      </c>
      <c r="G6" s="384" t="s">
        <v>1100</v>
      </c>
      <c r="H6" s="384" t="s">
        <v>2050</v>
      </c>
      <c r="I6" s="384" t="s">
        <v>2051</v>
      </c>
      <c r="J6" s="384" t="s">
        <v>2052</v>
      </c>
      <c r="K6" s="384" t="s">
        <v>2053</v>
      </c>
      <c r="L6" s="384"/>
      <c r="M6" s="384" t="s">
        <v>2054</v>
      </c>
      <c r="N6" s="385"/>
      <c r="O6" s="416" t="s">
        <v>2055</v>
      </c>
      <c r="P6" s="383">
        <v>0.03</v>
      </c>
      <c r="Q6" s="383">
        <v>90</v>
      </c>
      <c r="R6" s="383" t="s">
        <v>648</v>
      </c>
      <c r="S6" s="407" t="s">
        <v>2056</v>
      </c>
      <c r="T6" s="407"/>
      <c r="U6" s="375"/>
      <c r="V6" s="375"/>
      <c r="W6" s="375"/>
      <c r="X6" s="375"/>
      <c r="Y6" s="375"/>
      <c r="Z6" s="375"/>
      <c r="AA6" s="375"/>
      <c r="AB6" s="375"/>
      <c r="AC6" s="375"/>
      <c r="AD6" s="375"/>
      <c r="AE6" s="375"/>
    </row>
    <row r="7" spans="1:31" ht="31" x14ac:dyDescent="0.35">
      <c r="A7" s="374"/>
      <c r="B7" s="386">
        <v>2</v>
      </c>
      <c r="C7" s="387" t="s">
        <v>1101</v>
      </c>
      <c r="D7" s="389" t="s">
        <v>360</v>
      </c>
      <c r="E7" s="389" t="s">
        <v>1099</v>
      </c>
      <c r="F7" s="389" t="s">
        <v>1980</v>
      </c>
      <c r="G7" s="389" t="s">
        <v>2057</v>
      </c>
      <c r="H7" s="389" t="s">
        <v>2058</v>
      </c>
      <c r="I7" s="389" t="s">
        <v>2059</v>
      </c>
      <c r="J7" s="389"/>
      <c r="K7" s="389" t="s">
        <v>2060</v>
      </c>
      <c r="L7" s="389" t="s">
        <v>2061</v>
      </c>
      <c r="M7" s="389" t="s">
        <v>2062</v>
      </c>
      <c r="N7" s="390" t="s">
        <v>2063</v>
      </c>
      <c r="O7" s="417" t="s">
        <v>2064</v>
      </c>
      <c r="P7" s="388">
        <v>7.0000000000000007E-2</v>
      </c>
      <c r="Q7" s="388">
        <v>94.8</v>
      </c>
      <c r="R7" s="388" t="s">
        <v>648</v>
      </c>
      <c r="S7" s="395"/>
      <c r="T7" s="450">
        <v>44562</v>
      </c>
      <c r="U7" s="376"/>
      <c r="V7" s="376"/>
      <c r="W7" s="376"/>
      <c r="X7" s="376"/>
      <c r="Y7" s="376"/>
      <c r="Z7" s="376"/>
      <c r="AA7" s="376"/>
      <c r="AB7" s="376"/>
      <c r="AC7" s="376"/>
      <c r="AD7" s="376"/>
      <c r="AE7" s="376"/>
    </row>
    <row r="8" spans="1:31" x14ac:dyDescent="0.35">
      <c r="A8" s="374" t="s">
        <v>1102</v>
      </c>
      <c r="B8" s="451">
        <v>3</v>
      </c>
      <c r="C8" s="452" t="s">
        <v>1103</v>
      </c>
      <c r="D8" s="453" t="s">
        <v>360</v>
      </c>
      <c r="E8" s="453" t="s">
        <v>1099</v>
      </c>
      <c r="F8" s="453" t="s">
        <v>1981</v>
      </c>
      <c r="G8" s="453" t="s">
        <v>1982</v>
      </c>
      <c r="H8" s="453" t="s">
        <v>2065</v>
      </c>
      <c r="I8" s="453" t="s">
        <v>2066</v>
      </c>
      <c r="J8" s="453"/>
      <c r="K8" s="453"/>
      <c r="L8" s="453"/>
      <c r="M8" s="453" t="s">
        <v>2067</v>
      </c>
      <c r="N8" s="454"/>
      <c r="O8" s="455" t="s">
        <v>2068</v>
      </c>
      <c r="P8" s="456">
        <v>1.7999999999999999E-2</v>
      </c>
      <c r="Q8" s="456">
        <v>101.7</v>
      </c>
      <c r="R8" s="456" t="s">
        <v>648</v>
      </c>
      <c r="S8" s="457" t="s">
        <v>2069</v>
      </c>
      <c r="T8" s="458">
        <v>45078</v>
      </c>
      <c r="U8" s="459"/>
      <c r="V8" s="459"/>
      <c r="W8" s="459"/>
      <c r="X8" s="459"/>
      <c r="Y8" s="459"/>
      <c r="Z8" s="459"/>
      <c r="AA8" s="459"/>
      <c r="AB8" s="459"/>
      <c r="AC8" s="459"/>
      <c r="AD8" s="459"/>
      <c r="AE8" s="459">
        <v>11</v>
      </c>
    </row>
    <row r="9" spans="1:31" ht="31" x14ac:dyDescent="0.35">
      <c r="A9" s="374" t="s">
        <v>1102</v>
      </c>
      <c r="B9" s="386">
        <v>4</v>
      </c>
      <c r="C9" s="391" t="s">
        <v>1104</v>
      </c>
      <c r="D9" s="389" t="s">
        <v>360</v>
      </c>
      <c r="E9" s="389" t="s">
        <v>1099</v>
      </c>
      <c r="F9" s="389" t="s">
        <v>1983</v>
      </c>
      <c r="G9" s="389" t="s">
        <v>2070</v>
      </c>
      <c r="H9" s="389" t="s">
        <v>2071</v>
      </c>
      <c r="I9" s="389" t="s">
        <v>2072</v>
      </c>
      <c r="J9" s="389" t="s">
        <v>2073</v>
      </c>
      <c r="K9" s="389" t="s">
        <v>2074</v>
      </c>
      <c r="L9" s="389" t="s">
        <v>2075</v>
      </c>
      <c r="M9" s="389" t="s">
        <v>2076</v>
      </c>
      <c r="N9" s="390" t="s">
        <v>2077</v>
      </c>
      <c r="O9" s="417" t="s">
        <v>2078</v>
      </c>
      <c r="P9" s="388">
        <v>6.0999999999999999E-2</v>
      </c>
      <c r="Q9" s="388">
        <v>96.4</v>
      </c>
      <c r="R9" s="388" t="s">
        <v>648</v>
      </c>
      <c r="S9" s="395" t="s">
        <v>2079</v>
      </c>
      <c r="T9" s="450">
        <v>44562</v>
      </c>
      <c r="U9" s="376"/>
      <c r="V9" s="376"/>
      <c r="W9" s="376"/>
      <c r="X9" s="376"/>
      <c r="Y9" s="376"/>
      <c r="Z9" s="376"/>
      <c r="AA9" s="376"/>
      <c r="AB9" s="376"/>
      <c r="AC9" s="376"/>
      <c r="AD9" s="376"/>
      <c r="AE9" s="376"/>
    </row>
    <row r="10" spans="1:31" x14ac:dyDescent="0.35">
      <c r="A10" s="374" t="s">
        <v>1102</v>
      </c>
      <c r="B10" s="386">
        <v>5</v>
      </c>
      <c r="C10" s="391" t="s">
        <v>1105</v>
      </c>
      <c r="D10" s="389" t="s">
        <v>360</v>
      </c>
      <c r="E10" s="389" t="s">
        <v>1099</v>
      </c>
      <c r="F10" s="389" t="s">
        <v>1980</v>
      </c>
      <c r="G10" s="389" t="s">
        <v>1982</v>
      </c>
      <c r="H10" s="389" t="s">
        <v>2080</v>
      </c>
      <c r="I10" s="389" t="s">
        <v>2081</v>
      </c>
      <c r="J10" s="389" t="s">
        <v>2082</v>
      </c>
      <c r="K10" s="389" t="s">
        <v>2083</v>
      </c>
      <c r="L10" s="389" t="s">
        <v>2084</v>
      </c>
      <c r="M10" s="389" t="s">
        <v>2085</v>
      </c>
      <c r="N10" s="390" t="s">
        <v>2085</v>
      </c>
      <c r="O10" s="417" t="s">
        <v>2086</v>
      </c>
      <c r="P10" s="388" t="s">
        <v>2087</v>
      </c>
      <c r="Q10" s="388" t="s">
        <v>2125</v>
      </c>
      <c r="R10" s="388" t="s">
        <v>648</v>
      </c>
      <c r="S10" s="395" t="s">
        <v>1525</v>
      </c>
      <c r="T10" s="450">
        <v>45627</v>
      </c>
      <c r="U10" s="376"/>
      <c r="V10" s="376"/>
      <c r="W10" s="376"/>
      <c r="X10" s="376"/>
      <c r="Y10" s="376"/>
      <c r="Z10" s="376"/>
      <c r="AA10" s="376"/>
      <c r="AB10" s="376"/>
      <c r="AC10" s="376"/>
      <c r="AD10" s="376"/>
      <c r="AE10" s="376"/>
    </row>
    <row r="11" spans="1:31" ht="77.5" x14ac:dyDescent="0.35">
      <c r="A11" s="374" t="s">
        <v>1102</v>
      </c>
      <c r="B11" s="386">
        <v>6</v>
      </c>
      <c r="C11" s="391" t="s">
        <v>1106</v>
      </c>
      <c r="D11" s="389" t="s">
        <v>360</v>
      </c>
      <c r="E11" s="389" t="s">
        <v>1099</v>
      </c>
      <c r="F11" s="389" t="s">
        <v>1980</v>
      </c>
      <c r="G11" s="389" t="s">
        <v>2088</v>
      </c>
      <c r="H11" s="389" t="s">
        <v>2089</v>
      </c>
      <c r="I11" s="389" t="s">
        <v>2090</v>
      </c>
      <c r="J11" s="389" t="s">
        <v>2091</v>
      </c>
      <c r="K11" s="389" t="s">
        <v>2092</v>
      </c>
      <c r="L11" s="389" t="s">
        <v>2093</v>
      </c>
      <c r="M11" s="389" t="s">
        <v>2094</v>
      </c>
      <c r="N11" s="390" t="s">
        <v>2095</v>
      </c>
      <c r="O11" s="417" t="s">
        <v>2096</v>
      </c>
      <c r="P11" s="388">
        <v>4.4999999999999998E-2</v>
      </c>
      <c r="Q11" s="388">
        <v>95.6</v>
      </c>
      <c r="R11" s="388" t="s">
        <v>648</v>
      </c>
      <c r="S11" s="395" t="s">
        <v>2097</v>
      </c>
      <c r="T11" s="450">
        <v>44531</v>
      </c>
      <c r="U11" s="376"/>
      <c r="V11" s="376"/>
      <c r="W11" s="376"/>
      <c r="X11" s="376"/>
      <c r="Y11" s="376"/>
      <c r="Z11" s="376"/>
      <c r="AA11" s="376"/>
      <c r="AB11" s="376"/>
      <c r="AC11" s="376"/>
      <c r="AD11" s="376"/>
      <c r="AE11" s="376"/>
    </row>
    <row r="12" spans="1:31" x14ac:dyDescent="0.35">
      <c r="A12" s="374" t="s">
        <v>1107</v>
      </c>
      <c r="B12" s="386">
        <v>7</v>
      </c>
      <c r="C12" s="391" t="s">
        <v>1108</v>
      </c>
      <c r="D12" s="389" t="s">
        <v>360</v>
      </c>
      <c r="E12" s="389" t="s">
        <v>1099</v>
      </c>
      <c r="F12" s="389" t="s">
        <v>1109</v>
      </c>
      <c r="G12" s="389" t="s">
        <v>1109</v>
      </c>
      <c r="H12" s="389" t="s">
        <v>1110</v>
      </c>
      <c r="I12" s="389" t="s">
        <v>1111</v>
      </c>
      <c r="J12" s="389" t="s">
        <v>1112</v>
      </c>
      <c r="K12" s="389" t="s">
        <v>1113</v>
      </c>
      <c r="L12" s="389" t="s">
        <v>1114</v>
      </c>
      <c r="M12" s="389" t="s">
        <v>1115</v>
      </c>
      <c r="N12" s="392"/>
      <c r="O12" s="418" t="s">
        <v>1116</v>
      </c>
      <c r="P12" s="393">
        <v>5.7000000000000002E-2</v>
      </c>
      <c r="Q12" s="392">
        <v>85</v>
      </c>
      <c r="R12" s="392" t="s">
        <v>648</v>
      </c>
      <c r="S12" s="389" t="s">
        <v>1117</v>
      </c>
      <c r="T12" s="389" t="s">
        <v>1118</v>
      </c>
      <c r="U12" s="376"/>
      <c r="V12" s="376"/>
      <c r="W12" s="376"/>
      <c r="X12" s="376"/>
      <c r="Y12" s="376"/>
      <c r="Z12" s="376"/>
      <c r="AA12" s="376"/>
      <c r="AB12" s="376"/>
      <c r="AC12" s="376"/>
      <c r="AD12" s="376"/>
      <c r="AE12" s="376"/>
    </row>
    <row r="13" spans="1:31" x14ac:dyDescent="0.35">
      <c r="A13" s="374" t="s">
        <v>1107</v>
      </c>
      <c r="B13" s="386">
        <v>8</v>
      </c>
      <c r="C13" s="391" t="s">
        <v>1119</v>
      </c>
      <c r="D13" s="389" t="s">
        <v>360</v>
      </c>
      <c r="E13" s="389" t="s">
        <v>274</v>
      </c>
      <c r="F13" s="389" t="s">
        <v>1109</v>
      </c>
      <c r="G13" s="389" t="s">
        <v>1109</v>
      </c>
      <c r="H13" s="389" t="s">
        <v>1120</v>
      </c>
      <c r="I13" s="389" t="s">
        <v>1121</v>
      </c>
      <c r="J13" s="389" t="s">
        <v>1122</v>
      </c>
      <c r="K13" s="389" t="s">
        <v>1123</v>
      </c>
      <c r="L13" s="389" t="s">
        <v>1124</v>
      </c>
      <c r="M13" s="389" t="s">
        <v>1125</v>
      </c>
      <c r="N13" s="392"/>
      <c r="O13" s="418" t="s">
        <v>1126</v>
      </c>
      <c r="P13" s="392" t="s">
        <v>1127</v>
      </c>
      <c r="Q13" s="392">
        <v>93</v>
      </c>
      <c r="R13" s="392" t="s">
        <v>648</v>
      </c>
      <c r="S13" s="389" t="s">
        <v>1128</v>
      </c>
      <c r="T13" s="389" t="s">
        <v>1129</v>
      </c>
      <c r="U13" s="376"/>
      <c r="V13" s="376"/>
      <c r="W13" s="376"/>
      <c r="X13" s="376"/>
      <c r="Y13" s="376"/>
      <c r="Z13" s="376"/>
      <c r="AA13" s="376"/>
      <c r="AB13" s="376"/>
      <c r="AC13" s="376"/>
      <c r="AD13" s="376"/>
      <c r="AE13" s="376"/>
    </row>
    <row r="14" spans="1:31" x14ac:dyDescent="0.35">
      <c r="A14" s="374" t="s">
        <v>1107</v>
      </c>
      <c r="B14" s="386">
        <v>9</v>
      </c>
      <c r="C14" s="391" t="s">
        <v>1130</v>
      </c>
      <c r="D14" s="389" t="s">
        <v>477</v>
      </c>
      <c r="E14" s="389" t="s">
        <v>1099</v>
      </c>
      <c r="F14" s="389" t="s">
        <v>1100</v>
      </c>
      <c r="G14" s="389" t="s">
        <v>1100</v>
      </c>
      <c r="H14" s="389" t="s">
        <v>1131</v>
      </c>
      <c r="I14" s="389" t="s">
        <v>1132</v>
      </c>
      <c r="J14" s="389" t="s">
        <v>1133</v>
      </c>
      <c r="K14" s="389"/>
      <c r="L14" s="389"/>
      <c r="M14" s="389" t="s">
        <v>1134</v>
      </c>
      <c r="N14" s="390" t="s">
        <v>2098</v>
      </c>
      <c r="O14" s="417" t="s">
        <v>1135</v>
      </c>
      <c r="P14" s="400">
        <v>1.0999999999999999E-2</v>
      </c>
      <c r="Q14" s="388">
        <v>123</v>
      </c>
      <c r="R14" s="388" t="s">
        <v>648</v>
      </c>
      <c r="S14" s="395" t="s">
        <v>276</v>
      </c>
      <c r="T14" s="413">
        <v>44470</v>
      </c>
      <c r="U14" s="376"/>
      <c r="V14" s="376"/>
      <c r="W14" s="376"/>
      <c r="X14" s="376"/>
      <c r="Y14" s="376"/>
      <c r="Z14" s="376"/>
      <c r="AA14" s="376"/>
      <c r="AB14" s="376"/>
      <c r="AC14" s="376"/>
      <c r="AD14" s="376"/>
      <c r="AE14" s="376"/>
    </row>
    <row r="15" spans="1:31" ht="31" x14ac:dyDescent="0.35">
      <c r="A15" s="374" t="s">
        <v>1107</v>
      </c>
      <c r="B15" s="386">
        <v>10</v>
      </c>
      <c r="C15" s="391" t="s">
        <v>1136</v>
      </c>
      <c r="D15" s="389" t="s">
        <v>477</v>
      </c>
      <c r="E15" s="389" t="s">
        <v>1099</v>
      </c>
      <c r="F15" s="389" t="s">
        <v>1100</v>
      </c>
      <c r="G15" s="389" t="s">
        <v>2099</v>
      </c>
      <c r="H15" s="389" t="s">
        <v>1137</v>
      </c>
      <c r="I15" s="389" t="s">
        <v>1138</v>
      </c>
      <c r="J15" s="389" t="s">
        <v>1139</v>
      </c>
      <c r="K15" s="389"/>
      <c r="L15" s="389" t="s">
        <v>1140</v>
      </c>
      <c r="M15" s="389" t="s">
        <v>1141</v>
      </c>
      <c r="N15" s="390" t="s">
        <v>2098</v>
      </c>
      <c r="O15" s="417" t="s">
        <v>1142</v>
      </c>
      <c r="P15" s="400">
        <v>1.4999999999999999E-2</v>
      </c>
      <c r="Q15" s="388">
        <v>96</v>
      </c>
      <c r="R15" s="388" t="s">
        <v>648</v>
      </c>
      <c r="S15" s="395" t="s">
        <v>1143</v>
      </c>
      <c r="T15" s="414">
        <v>44191</v>
      </c>
      <c r="U15" s="376"/>
      <c r="V15" s="376"/>
      <c r="W15" s="376"/>
      <c r="X15" s="376"/>
      <c r="Y15" s="376"/>
      <c r="Z15" s="376"/>
      <c r="AA15" s="376"/>
      <c r="AB15" s="376"/>
      <c r="AC15" s="376"/>
      <c r="AD15" s="376"/>
      <c r="AE15" s="376"/>
    </row>
    <row r="16" spans="1:31" x14ac:dyDescent="0.35">
      <c r="A16" s="374" t="s">
        <v>1107</v>
      </c>
      <c r="B16" s="386">
        <v>11</v>
      </c>
      <c r="C16" s="391" t="s">
        <v>1144</v>
      </c>
      <c r="D16" s="389" t="s">
        <v>360</v>
      </c>
      <c r="E16" s="389" t="s">
        <v>1099</v>
      </c>
      <c r="F16" s="389" t="s">
        <v>1983</v>
      </c>
      <c r="G16" s="389" t="s">
        <v>2010</v>
      </c>
      <c r="H16" s="389"/>
      <c r="I16" s="389"/>
      <c r="J16" s="389"/>
      <c r="K16" s="389"/>
      <c r="L16" s="389"/>
      <c r="M16" s="389"/>
      <c r="N16" s="390"/>
      <c r="O16" s="417"/>
      <c r="P16" s="388"/>
      <c r="Q16" s="388"/>
      <c r="R16" s="388"/>
      <c r="S16" s="395"/>
      <c r="T16" s="395"/>
      <c r="U16" s="376"/>
      <c r="V16" s="376"/>
      <c r="W16" s="376"/>
      <c r="X16" s="376"/>
      <c r="Y16" s="376"/>
      <c r="Z16" s="376"/>
      <c r="AA16" s="376"/>
      <c r="AB16" s="376"/>
      <c r="AC16" s="376"/>
      <c r="AD16" s="376"/>
      <c r="AE16" s="376"/>
    </row>
    <row r="17" spans="1:31" x14ac:dyDescent="0.35">
      <c r="A17" s="374" t="s">
        <v>1097</v>
      </c>
      <c r="B17" s="386">
        <v>12</v>
      </c>
      <c r="C17" s="391" t="s">
        <v>1145</v>
      </c>
      <c r="D17" s="389" t="s">
        <v>1146</v>
      </c>
      <c r="E17" s="389" t="s">
        <v>1154</v>
      </c>
      <c r="F17" s="389" t="s">
        <v>1984</v>
      </c>
      <c r="G17" s="389"/>
      <c r="H17" s="389" t="s">
        <v>1147</v>
      </c>
      <c r="I17" s="389" t="s">
        <v>1148</v>
      </c>
      <c r="J17" s="389" t="s">
        <v>1149</v>
      </c>
      <c r="K17" s="389" t="s">
        <v>1150</v>
      </c>
      <c r="L17" s="389" t="s">
        <v>1151</v>
      </c>
      <c r="M17" s="389" t="s">
        <v>1152</v>
      </c>
      <c r="N17" s="390"/>
      <c r="O17" s="417"/>
      <c r="P17" s="388"/>
      <c r="Q17" s="388"/>
      <c r="R17" s="388"/>
      <c r="S17" s="395"/>
      <c r="T17" s="395"/>
      <c r="U17" s="376"/>
      <c r="V17" s="376"/>
      <c r="W17" s="376"/>
      <c r="X17" s="376"/>
      <c r="Y17" s="376"/>
      <c r="Z17" s="376"/>
      <c r="AA17" s="376"/>
      <c r="AB17" s="376"/>
      <c r="AC17" s="376"/>
      <c r="AD17" s="376"/>
      <c r="AE17" s="376"/>
    </row>
    <row r="18" spans="1:31" x14ac:dyDescent="0.35">
      <c r="A18" s="374" t="s">
        <v>1097</v>
      </c>
      <c r="B18" s="386">
        <v>13</v>
      </c>
      <c r="C18" s="391" t="s">
        <v>1153</v>
      </c>
      <c r="D18" s="389" t="s">
        <v>360</v>
      </c>
      <c r="E18" s="389" t="s">
        <v>1154</v>
      </c>
      <c r="F18" s="389" t="s">
        <v>1155</v>
      </c>
      <c r="G18" s="389" t="s">
        <v>1155</v>
      </c>
      <c r="H18" s="389" t="s">
        <v>1156</v>
      </c>
      <c r="I18" s="389" t="s">
        <v>1157</v>
      </c>
      <c r="J18" s="389" t="s">
        <v>1158</v>
      </c>
      <c r="K18" s="389" t="s">
        <v>1159</v>
      </c>
      <c r="L18" s="389" t="s">
        <v>1160</v>
      </c>
      <c r="M18" s="389" t="s">
        <v>1161</v>
      </c>
      <c r="N18" s="390"/>
      <c r="O18" s="417" t="s">
        <v>1162</v>
      </c>
      <c r="P18" s="400">
        <v>2.9000000000000001E-2</v>
      </c>
      <c r="Q18" s="447">
        <v>107</v>
      </c>
      <c r="R18" s="388" t="s">
        <v>648</v>
      </c>
      <c r="S18" s="395" t="s">
        <v>1163</v>
      </c>
      <c r="T18" s="395" t="s">
        <v>1164</v>
      </c>
      <c r="U18" s="376"/>
      <c r="V18" s="376"/>
      <c r="W18" s="376"/>
      <c r="X18" s="376"/>
      <c r="Y18" s="376"/>
      <c r="Z18" s="376"/>
      <c r="AA18" s="376"/>
      <c r="AB18" s="376"/>
      <c r="AC18" s="376"/>
      <c r="AD18" s="376"/>
      <c r="AE18" s="376"/>
    </row>
    <row r="19" spans="1:31" x14ac:dyDescent="0.35">
      <c r="A19" s="374" t="s">
        <v>1107</v>
      </c>
      <c r="B19" s="386">
        <v>14</v>
      </c>
      <c r="C19" s="391" t="s">
        <v>1165</v>
      </c>
      <c r="D19" s="389" t="s">
        <v>360</v>
      </c>
      <c r="E19" s="389" t="s">
        <v>1154</v>
      </c>
      <c r="F19" s="389" t="s">
        <v>1155</v>
      </c>
      <c r="G19" s="389" t="s">
        <v>1155</v>
      </c>
      <c r="H19" s="389" t="s">
        <v>1166</v>
      </c>
      <c r="I19" s="389" t="s">
        <v>1167</v>
      </c>
      <c r="J19" s="389" t="s">
        <v>1168</v>
      </c>
      <c r="K19" s="389" t="s">
        <v>1169</v>
      </c>
      <c r="L19" s="389" t="s">
        <v>1170</v>
      </c>
      <c r="M19" s="389" t="s">
        <v>1171</v>
      </c>
      <c r="N19" s="390"/>
      <c r="O19" s="419" t="s">
        <v>1172</v>
      </c>
      <c r="P19" s="400">
        <v>2.5000000000000001E-2</v>
      </c>
      <c r="Q19" s="447">
        <v>94</v>
      </c>
      <c r="R19" s="388" t="s">
        <v>648</v>
      </c>
      <c r="S19" s="395" t="s">
        <v>1173</v>
      </c>
      <c r="T19" s="395" t="s">
        <v>1174</v>
      </c>
      <c r="U19" s="376"/>
      <c r="V19" s="376"/>
      <c r="W19" s="376"/>
      <c r="X19" s="376"/>
      <c r="Y19" s="376"/>
      <c r="Z19" s="376"/>
      <c r="AA19" s="376"/>
      <c r="AB19" s="376"/>
      <c r="AC19" s="376"/>
      <c r="AD19" s="376"/>
      <c r="AE19" s="376"/>
    </row>
    <row r="20" spans="1:31" x14ac:dyDescent="0.35">
      <c r="A20" s="374" t="s">
        <v>1107</v>
      </c>
      <c r="B20" s="386">
        <v>15</v>
      </c>
      <c r="C20" s="391" t="s">
        <v>1175</v>
      </c>
      <c r="D20" s="389" t="s">
        <v>360</v>
      </c>
      <c r="E20" s="389" t="s">
        <v>1154</v>
      </c>
      <c r="F20" s="389" t="s">
        <v>1176</v>
      </c>
      <c r="G20" s="389" t="s">
        <v>1176</v>
      </c>
      <c r="H20" s="377" t="s">
        <v>1177</v>
      </c>
      <c r="I20" s="389" t="s">
        <v>1178</v>
      </c>
      <c r="J20" s="389" t="s">
        <v>1179</v>
      </c>
      <c r="K20" s="389" t="s">
        <v>1180</v>
      </c>
      <c r="L20" s="389" t="s">
        <v>1181</v>
      </c>
      <c r="M20" s="389" t="s">
        <v>1182</v>
      </c>
      <c r="N20" s="390" t="s">
        <v>1183</v>
      </c>
      <c r="O20" s="417" t="s">
        <v>1184</v>
      </c>
      <c r="P20" s="394">
        <v>0.03</v>
      </c>
      <c r="Q20" s="388" t="s">
        <v>196</v>
      </c>
      <c r="R20" s="388" t="s">
        <v>648</v>
      </c>
      <c r="S20" s="395" t="s">
        <v>277</v>
      </c>
      <c r="T20" s="395" t="s">
        <v>1185</v>
      </c>
      <c r="U20" s="376"/>
      <c r="V20" s="376"/>
      <c r="W20" s="376"/>
      <c r="X20" s="376"/>
      <c r="Y20" s="376"/>
      <c r="Z20" s="376"/>
      <c r="AA20" s="376"/>
      <c r="AB20" s="376"/>
      <c r="AC20" s="376"/>
      <c r="AD20" s="376"/>
      <c r="AE20" s="376"/>
    </row>
    <row r="21" spans="1:31" x14ac:dyDescent="0.35">
      <c r="A21" s="374" t="s">
        <v>1107</v>
      </c>
      <c r="B21" s="386">
        <v>16</v>
      </c>
      <c r="C21" s="391" t="s">
        <v>1186</v>
      </c>
      <c r="D21" s="389" t="s">
        <v>360</v>
      </c>
      <c r="E21" s="389" t="s">
        <v>1154</v>
      </c>
      <c r="F21" s="389" t="s">
        <v>1176</v>
      </c>
      <c r="G21" s="389" t="s">
        <v>1176</v>
      </c>
      <c r="H21" s="389" t="s">
        <v>1187</v>
      </c>
      <c r="I21" s="389" t="s">
        <v>1188</v>
      </c>
      <c r="J21" s="389" t="s">
        <v>1189</v>
      </c>
      <c r="K21" s="389" t="s">
        <v>1190</v>
      </c>
      <c r="L21" s="389" t="s">
        <v>1191</v>
      </c>
      <c r="M21" s="389" t="s">
        <v>1192</v>
      </c>
      <c r="N21" s="390" t="s">
        <v>1193</v>
      </c>
      <c r="O21" s="417" t="s">
        <v>1126</v>
      </c>
      <c r="P21" s="394">
        <v>0.04</v>
      </c>
      <c r="Q21" s="388">
        <v>88.7</v>
      </c>
      <c r="R21" s="388" t="s">
        <v>648</v>
      </c>
      <c r="S21" s="395" t="s">
        <v>294</v>
      </c>
      <c r="T21" s="395">
        <v>2023</v>
      </c>
      <c r="U21" s="376"/>
      <c r="V21" s="376"/>
      <c r="W21" s="376"/>
      <c r="X21" s="376"/>
      <c r="Y21" s="376"/>
      <c r="Z21" s="376"/>
      <c r="AA21" s="376"/>
      <c r="AB21" s="376"/>
      <c r="AC21" s="376"/>
      <c r="AD21" s="376"/>
      <c r="AE21" s="376"/>
    </row>
    <row r="22" spans="1:31" x14ac:dyDescent="0.35">
      <c r="A22" s="374" t="s">
        <v>1107</v>
      </c>
      <c r="B22" s="386">
        <v>17</v>
      </c>
      <c r="C22" s="391" t="s">
        <v>1194</v>
      </c>
      <c r="D22" s="389" t="s">
        <v>360</v>
      </c>
      <c r="E22" s="389" t="s">
        <v>1154</v>
      </c>
      <c r="F22" s="389" t="s">
        <v>1176</v>
      </c>
      <c r="G22" s="389" t="s">
        <v>1176</v>
      </c>
      <c r="H22" s="389" t="s">
        <v>1195</v>
      </c>
      <c r="I22" s="389" t="s">
        <v>1196</v>
      </c>
      <c r="J22" s="389" t="s">
        <v>1197</v>
      </c>
      <c r="K22" s="389" t="s">
        <v>1198</v>
      </c>
      <c r="L22" s="389" t="s">
        <v>1199</v>
      </c>
      <c r="M22" s="389" t="s">
        <v>1200</v>
      </c>
      <c r="N22" s="390" t="s">
        <v>1201</v>
      </c>
      <c r="O22" s="419">
        <v>6.9</v>
      </c>
      <c r="P22" s="394">
        <v>0.01</v>
      </c>
      <c r="Q22" s="388">
        <v>107.3</v>
      </c>
      <c r="R22" s="388" t="s">
        <v>648</v>
      </c>
      <c r="S22" s="395" t="s">
        <v>1202</v>
      </c>
      <c r="T22" s="395">
        <v>2022</v>
      </c>
      <c r="U22" s="376"/>
      <c r="V22" s="376"/>
      <c r="W22" s="376"/>
      <c r="X22" s="376"/>
      <c r="Y22" s="376"/>
      <c r="Z22" s="376"/>
      <c r="AA22" s="376"/>
      <c r="AB22" s="376"/>
      <c r="AC22" s="376"/>
      <c r="AD22" s="376"/>
      <c r="AE22" s="376"/>
    </row>
    <row r="23" spans="1:31" ht="31" x14ac:dyDescent="0.35">
      <c r="A23" s="374" t="s">
        <v>1203</v>
      </c>
      <c r="B23" s="386">
        <v>18</v>
      </c>
      <c r="C23" s="391" t="s">
        <v>1204</v>
      </c>
      <c r="D23" s="389" t="s">
        <v>1146</v>
      </c>
      <c r="E23" s="389" t="s">
        <v>1154</v>
      </c>
      <c r="F23" s="389" t="s">
        <v>1155</v>
      </c>
      <c r="G23" s="389" t="s">
        <v>2100</v>
      </c>
      <c r="H23" s="389" t="s">
        <v>2101</v>
      </c>
      <c r="I23" s="389" t="s">
        <v>2102</v>
      </c>
      <c r="J23" s="389" t="s">
        <v>2103</v>
      </c>
      <c r="K23" s="389"/>
      <c r="L23" s="389" t="s">
        <v>2104</v>
      </c>
      <c r="M23" s="389" t="s">
        <v>2105</v>
      </c>
      <c r="N23" s="390"/>
      <c r="O23" s="417"/>
      <c r="P23" s="388">
        <v>1.9E-2</v>
      </c>
      <c r="Q23" s="388"/>
      <c r="R23" s="388"/>
      <c r="S23" s="395"/>
      <c r="T23" s="395"/>
      <c r="U23" s="376"/>
      <c r="V23" s="376"/>
      <c r="W23" s="376"/>
      <c r="X23" s="376"/>
      <c r="Y23" s="376"/>
      <c r="Z23" s="376"/>
      <c r="AA23" s="376"/>
      <c r="AB23" s="376"/>
      <c r="AC23" s="376"/>
      <c r="AD23" s="376"/>
      <c r="AE23" s="376"/>
    </row>
    <row r="24" spans="1:31" ht="31" x14ac:dyDescent="0.35">
      <c r="A24" s="374" t="s">
        <v>1107</v>
      </c>
      <c r="B24" s="386">
        <v>19</v>
      </c>
      <c r="C24" s="391" t="s">
        <v>1205</v>
      </c>
      <c r="D24" s="389" t="s">
        <v>1146</v>
      </c>
      <c r="E24" s="389" t="s">
        <v>1154</v>
      </c>
      <c r="F24" s="389" t="s">
        <v>1155</v>
      </c>
      <c r="G24" s="389" t="s">
        <v>2100</v>
      </c>
      <c r="H24" s="389" t="s">
        <v>2106</v>
      </c>
      <c r="I24" s="389" t="s">
        <v>2107</v>
      </c>
      <c r="J24" s="389" t="s">
        <v>2108</v>
      </c>
      <c r="K24" s="389" t="s">
        <v>2109</v>
      </c>
      <c r="L24" s="389" t="s">
        <v>2110</v>
      </c>
      <c r="M24" s="389" t="s">
        <v>2111</v>
      </c>
      <c r="N24" s="390"/>
      <c r="O24" s="417"/>
      <c r="P24" s="388">
        <v>0.04</v>
      </c>
      <c r="Q24" s="388"/>
      <c r="R24" s="388" t="s">
        <v>648</v>
      </c>
      <c r="S24" s="395" t="s">
        <v>2112</v>
      </c>
      <c r="T24" s="395"/>
      <c r="U24" s="376"/>
      <c r="V24" s="376"/>
      <c r="W24" s="376"/>
      <c r="X24" s="376"/>
      <c r="Y24" s="376"/>
      <c r="Z24" s="376"/>
      <c r="AA24" s="376"/>
      <c r="AB24" s="376"/>
      <c r="AC24" s="376"/>
      <c r="AD24" s="376"/>
      <c r="AE24" s="376"/>
    </row>
    <row r="25" spans="1:31" ht="20.149999999999999" customHeight="1" x14ac:dyDescent="0.35">
      <c r="A25" s="374" t="s">
        <v>1107</v>
      </c>
      <c r="B25" s="386">
        <v>20</v>
      </c>
      <c r="C25" s="391" t="s">
        <v>1206</v>
      </c>
      <c r="D25" s="389" t="s">
        <v>1146</v>
      </c>
      <c r="E25" s="389" t="s">
        <v>1099</v>
      </c>
      <c r="F25" s="377" t="s">
        <v>1207</v>
      </c>
      <c r="G25" s="377" t="s">
        <v>1207</v>
      </c>
      <c r="H25" s="389" t="s">
        <v>1208</v>
      </c>
      <c r="I25" s="389" t="s">
        <v>1209</v>
      </c>
      <c r="J25" s="389" t="s">
        <v>1210</v>
      </c>
      <c r="K25" s="389"/>
      <c r="L25" s="389" t="s">
        <v>1211</v>
      </c>
      <c r="M25" s="389"/>
      <c r="N25" s="397"/>
      <c r="O25" s="420" t="s">
        <v>1212</v>
      </c>
      <c r="P25" s="398">
        <v>0.09</v>
      </c>
      <c r="Q25" s="448">
        <v>97.5</v>
      </c>
      <c r="R25" s="396" t="s">
        <v>648</v>
      </c>
      <c r="S25" s="408" t="s">
        <v>1213</v>
      </c>
      <c r="T25" s="408" t="s">
        <v>1214</v>
      </c>
      <c r="U25" s="376"/>
      <c r="V25" s="376"/>
      <c r="W25" s="376"/>
      <c r="X25" s="376"/>
      <c r="Y25" s="376"/>
      <c r="Z25" s="376"/>
      <c r="AA25" s="376"/>
      <c r="AB25" s="376"/>
      <c r="AC25" s="376"/>
      <c r="AD25" s="376"/>
      <c r="AE25" s="376"/>
    </row>
    <row r="26" spans="1:31" x14ac:dyDescent="0.35">
      <c r="A26" s="374" t="s">
        <v>1203</v>
      </c>
      <c r="B26" s="451">
        <v>21</v>
      </c>
      <c r="C26" s="452" t="s">
        <v>1215</v>
      </c>
      <c r="D26" s="453" t="s">
        <v>360</v>
      </c>
      <c r="E26" s="453" t="s">
        <v>1154</v>
      </c>
      <c r="F26" s="453" t="s">
        <v>1176</v>
      </c>
      <c r="G26" s="453" t="s">
        <v>1176</v>
      </c>
      <c r="H26" s="453" t="s">
        <v>1216</v>
      </c>
      <c r="I26" s="453" t="s">
        <v>1217</v>
      </c>
      <c r="J26" s="453" t="s">
        <v>1218</v>
      </c>
      <c r="K26" s="453" t="s">
        <v>1219</v>
      </c>
      <c r="L26" s="453" t="s">
        <v>1220</v>
      </c>
      <c r="M26" s="453" t="s">
        <v>1220</v>
      </c>
      <c r="N26" s="454" t="s">
        <v>1221</v>
      </c>
      <c r="O26" s="455" t="s">
        <v>1222</v>
      </c>
      <c r="P26" s="456">
        <v>0.05</v>
      </c>
      <c r="Q26" s="456">
        <v>96.5</v>
      </c>
      <c r="R26" s="456" t="s">
        <v>648</v>
      </c>
      <c r="S26" s="457" t="s">
        <v>1223</v>
      </c>
      <c r="T26" s="458">
        <v>2021</v>
      </c>
      <c r="U26" s="459"/>
      <c r="V26" s="459"/>
      <c r="W26" s="459"/>
      <c r="X26" s="459"/>
      <c r="Y26" s="459"/>
      <c r="Z26" s="459"/>
      <c r="AA26" s="459"/>
      <c r="AB26" s="459"/>
      <c r="AC26" s="459"/>
      <c r="AD26" s="459"/>
      <c r="AE26" s="459">
        <v>12</v>
      </c>
    </row>
    <row r="27" spans="1:31" x14ac:dyDescent="0.35">
      <c r="A27" s="374" t="s">
        <v>1203</v>
      </c>
      <c r="B27" s="386">
        <v>22</v>
      </c>
      <c r="C27" s="391" t="s">
        <v>1224</v>
      </c>
      <c r="D27" s="389" t="s">
        <v>360</v>
      </c>
      <c r="E27" s="389" t="s">
        <v>1154</v>
      </c>
      <c r="F27" s="389" t="s">
        <v>1176</v>
      </c>
      <c r="G27" s="389" t="s">
        <v>1176</v>
      </c>
      <c r="H27" s="389" t="s">
        <v>1225</v>
      </c>
      <c r="I27" s="389" t="s">
        <v>1226</v>
      </c>
      <c r="J27" s="389"/>
      <c r="K27" s="389"/>
      <c r="L27" s="389" t="s">
        <v>1227</v>
      </c>
      <c r="M27" s="389" t="s">
        <v>1228</v>
      </c>
      <c r="N27" s="390"/>
      <c r="O27" s="417" t="s">
        <v>1229</v>
      </c>
      <c r="P27" s="394">
        <v>0.02</v>
      </c>
      <c r="Q27" s="388">
        <v>93.7</v>
      </c>
      <c r="R27" s="388"/>
      <c r="S27" s="395"/>
      <c r="T27" s="395"/>
      <c r="U27" s="376"/>
      <c r="V27" s="376"/>
      <c r="W27" s="376"/>
      <c r="X27" s="376"/>
      <c r="Y27" s="376"/>
      <c r="Z27" s="376"/>
      <c r="AA27" s="376"/>
      <c r="AB27" s="376"/>
      <c r="AC27" s="376"/>
      <c r="AD27" s="376"/>
      <c r="AE27" s="376"/>
    </row>
    <row r="28" spans="1:31" x14ac:dyDescent="0.35">
      <c r="A28" s="374" t="s">
        <v>1203</v>
      </c>
      <c r="B28" s="386">
        <v>23</v>
      </c>
      <c r="C28" s="391" t="s">
        <v>1230</v>
      </c>
      <c r="D28" s="389" t="s">
        <v>360</v>
      </c>
      <c r="E28" s="389" t="s">
        <v>1154</v>
      </c>
      <c r="F28" s="389" t="s">
        <v>1176</v>
      </c>
      <c r="G28" s="389" t="s">
        <v>1176</v>
      </c>
      <c r="H28" s="389" t="s">
        <v>1231</v>
      </c>
      <c r="I28" s="389" t="s">
        <v>1232</v>
      </c>
      <c r="J28" s="389"/>
      <c r="K28" s="389" t="s">
        <v>1233</v>
      </c>
      <c r="L28" s="389"/>
      <c r="M28" s="389" t="s">
        <v>1234</v>
      </c>
      <c r="N28" s="390"/>
      <c r="O28" s="417"/>
      <c r="P28" s="388"/>
      <c r="Q28" s="388"/>
      <c r="R28" s="388"/>
      <c r="S28" s="395"/>
      <c r="T28" s="395"/>
      <c r="U28" s="376"/>
      <c r="V28" s="376"/>
      <c r="W28" s="376"/>
      <c r="X28" s="376"/>
      <c r="Y28" s="376"/>
      <c r="Z28" s="376"/>
      <c r="AA28" s="376"/>
      <c r="AB28" s="376"/>
      <c r="AC28" s="376"/>
      <c r="AD28" s="376"/>
      <c r="AE28" s="376"/>
    </row>
    <row r="29" spans="1:31" x14ac:dyDescent="0.35">
      <c r="A29" s="374" t="s">
        <v>1203</v>
      </c>
      <c r="B29" s="386">
        <v>24</v>
      </c>
      <c r="C29" s="391" t="s">
        <v>1235</v>
      </c>
      <c r="D29" s="389" t="s">
        <v>360</v>
      </c>
      <c r="E29" s="389" t="s">
        <v>1154</v>
      </c>
      <c r="F29" s="389" t="s">
        <v>1176</v>
      </c>
      <c r="G29" s="389" t="s">
        <v>1176</v>
      </c>
      <c r="H29" s="389" t="s">
        <v>2113</v>
      </c>
      <c r="I29" s="389" t="s">
        <v>2114</v>
      </c>
      <c r="J29" s="389" t="s">
        <v>2115</v>
      </c>
      <c r="K29" s="389" t="s">
        <v>2116</v>
      </c>
      <c r="L29" s="389"/>
      <c r="M29" s="389" t="s">
        <v>2117</v>
      </c>
      <c r="N29" s="390"/>
      <c r="O29" s="417" t="s">
        <v>2118</v>
      </c>
      <c r="P29" s="388"/>
      <c r="Q29" s="388">
        <v>82.8</v>
      </c>
      <c r="R29" s="388" t="s">
        <v>648</v>
      </c>
      <c r="S29" s="395" t="s">
        <v>277</v>
      </c>
      <c r="T29" s="395"/>
      <c r="U29" s="376"/>
      <c r="V29" s="376"/>
      <c r="W29" s="376"/>
      <c r="X29" s="376"/>
      <c r="Y29" s="376"/>
      <c r="Z29" s="376"/>
      <c r="AA29" s="376"/>
      <c r="AB29" s="376"/>
      <c r="AC29" s="376"/>
      <c r="AD29" s="376"/>
      <c r="AE29" s="376"/>
    </row>
    <row r="30" spans="1:31" x14ac:dyDescent="0.35">
      <c r="A30" s="374" t="s">
        <v>1097</v>
      </c>
      <c r="B30" s="451">
        <v>25</v>
      </c>
      <c r="C30" s="452" t="s">
        <v>1236</v>
      </c>
      <c r="D30" s="453" t="s">
        <v>360</v>
      </c>
      <c r="E30" s="453" t="s">
        <v>1154</v>
      </c>
      <c r="F30" s="453" t="s">
        <v>1176</v>
      </c>
      <c r="G30" s="453" t="s">
        <v>1176</v>
      </c>
      <c r="H30" s="453" t="s">
        <v>2119</v>
      </c>
      <c r="I30" s="453" t="s">
        <v>2120</v>
      </c>
      <c r="J30" s="453" t="s">
        <v>2121</v>
      </c>
      <c r="K30" s="453" t="s">
        <v>2122</v>
      </c>
      <c r="L30" s="453" t="s">
        <v>2098</v>
      </c>
      <c r="M30" s="453" t="s">
        <v>2123</v>
      </c>
      <c r="N30" s="454"/>
      <c r="O30" s="455" t="s">
        <v>2124</v>
      </c>
      <c r="P30" s="456" t="s">
        <v>2098</v>
      </c>
      <c r="Q30" s="456">
        <v>105.7</v>
      </c>
      <c r="R30" s="456" t="s">
        <v>925</v>
      </c>
      <c r="S30" s="457"/>
      <c r="T30" s="458"/>
      <c r="U30" s="459"/>
      <c r="V30" s="459"/>
      <c r="W30" s="459"/>
      <c r="X30" s="459"/>
      <c r="Y30" s="459"/>
      <c r="Z30" s="459"/>
      <c r="AA30" s="459"/>
      <c r="AB30" s="459"/>
      <c r="AC30" s="459"/>
      <c r="AD30" s="459"/>
      <c r="AE30" s="459">
        <v>10</v>
      </c>
    </row>
    <row r="31" spans="1:31" ht="31" x14ac:dyDescent="0.35">
      <c r="A31" s="374" t="s">
        <v>1102</v>
      </c>
      <c r="B31" s="386">
        <v>26</v>
      </c>
      <c r="C31" s="391" t="s">
        <v>1237</v>
      </c>
      <c r="D31" s="389" t="s">
        <v>360</v>
      </c>
      <c r="E31" s="389" t="s">
        <v>1154</v>
      </c>
      <c r="F31" s="389" t="s">
        <v>1155</v>
      </c>
      <c r="G31" s="389" t="s">
        <v>1155</v>
      </c>
      <c r="H31" s="389" t="s">
        <v>1238</v>
      </c>
      <c r="I31" s="399" t="s">
        <v>1239</v>
      </c>
      <c r="J31" s="389" t="s">
        <v>1240</v>
      </c>
      <c r="K31" s="389" t="s">
        <v>1241</v>
      </c>
      <c r="L31" s="389" t="s">
        <v>1242</v>
      </c>
      <c r="M31" s="389" t="s">
        <v>1243</v>
      </c>
      <c r="N31" s="390"/>
      <c r="O31" s="417" t="s">
        <v>1244</v>
      </c>
      <c r="P31" s="394">
        <v>0.02</v>
      </c>
      <c r="Q31" s="447">
        <v>101</v>
      </c>
      <c r="R31" s="388" t="s">
        <v>648</v>
      </c>
      <c r="S31" s="395" t="s">
        <v>1245</v>
      </c>
      <c r="T31" s="395" t="s">
        <v>1246</v>
      </c>
      <c r="U31" s="376"/>
      <c r="V31" s="376"/>
      <c r="W31" s="376"/>
      <c r="X31" s="376"/>
      <c r="Y31" s="376"/>
      <c r="Z31" s="376"/>
      <c r="AA31" s="376"/>
      <c r="AB31" s="376"/>
      <c r="AC31" s="376"/>
      <c r="AD31" s="376"/>
      <c r="AE31" s="376"/>
    </row>
    <row r="32" spans="1:31" x14ac:dyDescent="0.35">
      <c r="A32" s="374" t="s">
        <v>1203</v>
      </c>
      <c r="B32" s="386">
        <v>27</v>
      </c>
      <c r="C32" s="391" t="s">
        <v>1247</v>
      </c>
      <c r="D32" s="389" t="s">
        <v>360</v>
      </c>
      <c r="E32" s="389" t="s">
        <v>1154</v>
      </c>
      <c r="F32" s="389" t="s">
        <v>1155</v>
      </c>
      <c r="G32" s="389" t="s">
        <v>1155</v>
      </c>
      <c r="H32" s="389" t="s">
        <v>1248</v>
      </c>
      <c r="I32" s="389" t="s">
        <v>1249</v>
      </c>
      <c r="J32" s="389" t="s">
        <v>1250</v>
      </c>
      <c r="K32" s="389" t="s">
        <v>1251</v>
      </c>
      <c r="L32" s="389" t="s">
        <v>1252</v>
      </c>
      <c r="M32" s="389" t="s">
        <v>1253</v>
      </c>
      <c r="N32" s="390"/>
      <c r="O32" s="417" t="s">
        <v>1254</v>
      </c>
      <c r="P32" s="400">
        <v>0</v>
      </c>
      <c r="Q32" s="447">
        <v>98.7</v>
      </c>
      <c r="R32" s="388" t="s">
        <v>925</v>
      </c>
      <c r="S32" s="395" t="s">
        <v>1255</v>
      </c>
      <c r="T32" s="395" t="s">
        <v>664</v>
      </c>
      <c r="U32" s="376"/>
      <c r="V32" s="376"/>
      <c r="W32" s="376"/>
      <c r="X32" s="376"/>
      <c r="Y32" s="376"/>
      <c r="Z32" s="376"/>
      <c r="AA32" s="376"/>
      <c r="AB32" s="376"/>
      <c r="AC32" s="376"/>
      <c r="AD32" s="376"/>
      <c r="AE32" s="376"/>
    </row>
    <row r="33" spans="1:31" x14ac:dyDescent="0.35">
      <c r="A33" s="374" t="s">
        <v>1203</v>
      </c>
      <c r="B33" s="401">
        <v>28</v>
      </c>
      <c r="C33" s="402" t="s">
        <v>1256</v>
      </c>
      <c r="D33" s="404" t="s">
        <v>360</v>
      </c>
      <c r="E33" s="404" t="s">
        <v>1154</v>
      </c>
      <c r="F33" s="404" t="s">
        <v>1155</v>
      </c>
      <c r="G33" s="404" t="s">
        <v>1155</v>
      </c>
      <c r="H33" s="404" t="s">
        <v>1257</v>
      </c>
      <c r="I33" s="405" t="s">
        <v>1258</v>
      </c>
      <c r="J33" s="404" t="s">
        <v>1259</v>
      </c>
      <c r="K33" s="404" t="s">
        <v>1260</v>
      </c>
      <c r="L33" s="404" t="s">
        <v>1261</v>
      </c>
      <c r="M33" s="405" t="s">
        <v>1262</v>
      </c>
      <c r="N33" s="406"/>
      <c r="O33" s="421" t="s">
        <v>1263</v>
      </c>
      <c r="P33" s="415">
        <v>3.1E-2</v>
      </c>
      <c r="Q33" s="449">
        <v>97.6</v>
      </c>
      <c r="R33" s="403" t="s">
        <v>648</v>
      </c>
      <c r="S33" s="409" t="s">
        <v>276</v>
      </c>
      <c r="T33" s="409" t="s">
        <v>664</v>
      </c>
      <c r="U33" s="378"/>
      <c r="V33" s="378"/>
      <c r="W33" s="378"/>
      <c r="X33" s="378"/>
      <c r="Y33" s="378"/>
      <c r="Z33" s="378"/>
      <c r="AA33" s="378"/>
      <c r="AB33" s="378"/>
      <c r="AC33" s="378"/>
      <c r="AD33" s="378"/>
      <c r="AE33" s="378"/>
    </row>
  </sheetData>
  <mergeCells count="2">
    <mergeCell ref="D1:S2"/>
    <mergeCell ref="D3:S4"/>
  </mergeCells>
  <dataValidations count="3">
    <dataValidation type="list" allowBlank="1" showInputMessage="1" sqref="E13" xr:uid="{00000000-0002-0000-0700-000000000000}">
      <formula1>"Strategic, Named"</formula1>
    </dataValidation>
    <dataValidation type="list" allowBlank="1" showInputMessage="1" showErrorMessage="1" sqref="F34:F1048576 E14:E1048576 E5:E12" xr:uid="{00000000-0002-0000-0700-000001000000}">
      <formula1>"Strategic, Named"</formula1>
    </dataValidation>
    <dataValidation type="list" allowBlank="1" showInputMessage="1" showErrorMessage="1" sqref="D5:D1048576" xr:uid="{00000000-0002-0000-0700-000002000000}">
      <formula1>"US, UK/Europe, Australia"</formula1>
    </dataValidation>
  </dataValidations>
  <hyperlinks>
    <hyperlink ref="C1" location="Home!A1" display="Home"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H87"/>
  <sheetViews>
    <sheetView showGridLines="0" zoomScale="80" zoomScaleNormal="80" workbookViewId="0">
      <selection activeCell="A5" sqref="A5"/>
    </sheetView>
  </sheetViews>
  <sheetFormatPr defaultColWidth="9.1796875" defaultRowHeight="14" x14ac:dyDescent="0.3"/>
  <cols>
    <col min="1" max="2" width="9.1796875" style="219"/>
    <col min="3" max="3" width="40.81640625" style="219" bestFit="1" customWidth="1"/>
    <col min="4" max="4" width="139" style="219" bestFit="1" customWidth="1"/>
    <col min="5" max="5" width="29.81640625" style="219" customWidth="1"/>
    <col min="6" max="6" width="10.7265625" style="219" customWidth="1"/>
    <col min="7" max="7" width="9.54296875" style="219" customWidth="1"/>
    <col min="8" max="8" width="45.26953125" style="219" customWidth="1"/>
    <col min="9" max="16384" width="9.1796875" style="219"/>
  </cols>
  <sheetData>
    <row r="1" spans="1:8" ht="14.25" customHeight="1" x14ac:dyDescent="0.3">
      <c r="A1" s="523" t="s">
        <v>2139</v>
      </c>
      <c r="B1" s="523"/>
      <c r="C1" s="523"/>
      <c r="D1" s="523"/>
      <c r="E1" s="523"/>
      <c r="F1" s="523"/>
      <c r="G1" s="523"/>
      <c r="H1" s="523"/>
    </row>
    <row r="2" spans="1:8" ht="14.25" customHeight="1" x14ac:dyDescent="0.3">
      <c r="A2" s="523"/>
      <c r="B2" s="523"/>
      <c r="C2" s="523"/>
      <c r="D2" s="523"/>
      <c r="E2" s="523"/>
      <c r="F2" s="523"/>
      <c r="G2" s="523"/>
      <c r="H2" s="523"/>
    </row>
    <row r="3" spans="1:8" ht="15" customHeight="1" x14ac:dyDescent="0.3">
      <c r="A3" s="527" t="s">
        <v>2140</v>
      </c>
      <c r="B3" s="527"/>
      <c r="C3" s="527"/>
      <c r="D3" s="527"/>
      <c r="E3" s="527"/>
      <c r="F3" s="527"/>
      <c r="G3" s="527"/>
      <c r="H3" s="527"/>
    </row>
    <row r="4" spans="1:8" ht="14.25" customHeight="1" x14ac:dyDescent="0.3">
      <c r="A4" s="527"/>
      <c r="B4" s="527"/>
      <c r="C4" s="527"/>
      <c r="D4" s="527"/>
      <c r="E4" s="527"/>
      <c r="F4" s="527"/>
      <c r="G4" s="527"/>
      <c r="H4" s="527"/>
    </row>
    <row r="5" spans="1:8" ht="15.5" x14ac:dyDescent="0.35">
      <c r="A5" s="497" t="s">
        <v>1709</v>
      </c>
      <c r="B5" s="253"/>
      <c r="C5" s="253"/>
      <c r="D5" s="253"/>
      <c r="E5" s="253"/>
      <c r="F5" s="253"/>
      <c r="G5" s="253"/>
    </row>
    <row r="6" spans="1:8" ht="14.5" x14ac:dyDescent="0.35">
      <c r="B6" s="253"/>
      <c r="C6" s="369" t="s">
        <v>231</v>
      </c>
      <c r="D6" s="369" t="s">
        <v>954</v>
      </c>
      <c r="E6" s="493" t="s">
        <v>2154</v>
      </c>
      <c r="G6" s="494" t="s">
        <v>8</v>
      </c>
    </row>
    <row r="7" spans="1:8" ht="14.5" x14ac:dyDescent="0.35">
      <c r="B7" s="253"/>
      <c r="C7" s="21" t="s">
        <v>1727</v>
      </c>
      <c r="D7" s="21" t="s">
        <v>1808</v>
      </c>
      <c r="E7" s="280" t="s">
        <v>8</v>
      </c>
      <c r="G7" s="495" t="s">
        <v>2017</v>
      </c>
    </row>
    <row r="8" spans="1:8" ht="14.5" x14ac:dyDescent="0.35">
      <c r="B8" s="253"/>
      <c r="C8" s="21"/>
      <c r="D8" s="21" t="s">
        <v>952</v>
      </c>
      <c r="E8" s="280" t="s">
        <v>8</v>
      </c>
      <c r="G8" s="496" t="s">
        <v>5</v>
      </c>
    </row>
    <row r="9" spans="1:8" x14ac:dyDescent="0.3">
      <c r="B9" s="253"/>
      <c r="C9" s="21"/>
      <c r="D9" s="21" t="s">
        <v>228</v>
      </c>
      <c r="E9" s="280" t="s">
        <v>13</v>
      </c>
    </row>
    <row r="10" spans="1:8" x14ac:dyDescent="0.3">
      <c r="B10" s="253"/>
      <c r="C10" s="21"/>
      <c r="D10" s="21" t="s">
        <v>221</v>
      </c>
      <c r="E10" s="280" t="s">
        <v>13</v>
      </c>
    </row>
    <row r="11" spans="1:8" x14ac:dyDescent="0.3">
      <c r="B11" s="253"/>
      <c r="C11" s="21"/>
      <c r="D11" s="21" t="s">
        <v>229</v>
      </c>
      <c r="E11" s="280" t="s">
        <v>5</v>
      </c>
    </row>
    <row r="12" spans="1:8" ht="14.5" thickBot="1" x14ac:dyDescent="0.35">
      <c r="B12" s="253"/>
      <c r="C12" s="21"/>
      <c r="D12" s="21" t="s">
        <v>1</v>
      </c>
      <c r="E12" s="280" t="s">
        <v>5</v>
      </c>
      <c r="G12" s="526" t="s">
        <v>2141</v>
      </c>
      <c r="H12" s="526"/>
    </row>
    <row r="13" spans="1:8" ht="14.5" thickTop="1" x14ac:dyDescent="0.3">
      <c r="B13" s="253"/>
      <c r="C13" s="21" t="s">
        <v>1060</v>
      </c>
      <c r="D13" s="21" t="s">
        <v>219</v>
      </c>
      <c r="E13" s="280" t="s">
        <v>8</v>
      </c>
      <c r="G13" s="489">
        <v>1</v>
      </c>
      <c r="H13" s="490" t="s">
        <v>349</v>
      </c>
    </row>
    <row r="14" spans="1:8" x14ac:dyDescent="0.3">
      <c r="B14" s="253"/>
      <c r="C14" s="21"/>
      <c r="D14" s="21" t="s">
        <v>31</v>
      </c>
      <c r="E14" s="280" t="s">
        <v>5</v>
      </c>
      <c r="G14" s="246">
        <v>2</v>
      </c>
      <c r="H14" s="219" t="s">
        <v>350</v>
      </c>
    </row>
    <row r="15" spans="1:8" x14ac:dyDescent="0.3">
      <c r="B15" s="253"/>
      <c r="C15" s="21"/>
      <c r="D15" s="21" t="s">
        <v>195</v>
      </c>
      <c r="E15" s="280" t="s">
        <v>13</v>
      </c>
      <c r="G15" s="246">
        <v>3</v>
      </c>
      <c r="H15" s="219" t="s">
        <v>351</v>
      </c>
    </row>
    <row r="16" spans="1:8" x14ac:dyDescent="0.3">
      <c r="B16" s="253"/>
      <c r="C16" s="21" t="s">
        <v>1020</v>
      </c>
      <c r="D16" s="21" t="s">
        <v>1039</v>
      </c>
      <c r="E16" s="280" t="s">
        <v>8</v>
      </c>
      <c r="G16" s="246">
        <v>4</v>
      </c>
      <c r="H16" s="219" t="s">
        <v>352</v>
      </c>
    </row>
    <row r="17" spans="2:8" x14ac:dyDescent="0.3">
      <c r="B17" s="253"/>
      <c r="C17" s="21"/>
      <c r="D17" s="21" t="s">
        <v>961</v>
      </c>
      <c r="E17" s="280" t="s">
        <v>8</v>
      </c>
      <c r="G17" s="246">
        <v>5</v>
      </c>
      <c r="H17" s="219" t="s">
        <v>353</v>
      </c>
    </row>
    <row r="18" spans="2:8" x14ac:dyDescent="0.3">
      <c r="B18" s="253"/>
      <c r="C18" s="21"/>
      <c r="D18" s="21" t="s">
        <v>1745</v>
      </c>
      <c r="E18" s="280" t="s">
        <v>5</v>
      </c>
      <c r="G18" s="246">
        <v>6</v>
      </c>
      <c r="H18" s="219" t="s">
        <v>354</v>
      </c>
    </row>
    <row r="19" spans="2:8" x14ac:dyDescent="0.3">
      <c r="B19" s="253"/>
      <c r="C19" s="21"/>
      <c r="D19" s="21" t="s">
        <v>1040</v>
      </c>
      <c r="E19" s="280" t="s">
        <v>5</v>
      </c>
      <c r="G19" s="246">
        <v>7</v>
      </c>
      <c r="H19" s="219" t="s">
        <v>179</v>
      </c>
    </row>
    <row r="20" spans="2:8" x14ac:dyDescent="0.3">
      <c r="B20" s="253"/>
      <c r="C20" s="21" t="s">
        <v>253</v>
      </c>
      <c r="D20" s="21" t="s">
        <v>1044</v>
      </c>
      <c r="E20" s="280" t="s">
        <v>13</v>
      </c>
      <c r="G20" s="246">
        <v>8</v>
      </c>
      <c r="H20" s="219" t="s">
        <v>355</v>
      </c>
    </row>
    <row r="21" spans="2:8" x14ac:dyDescent="0.3">
      <c r="B21" s="253"/>
      <c r="C21" s="21"/>
      <c r="D21" s="21" t="s">
        <v>1045</v>
      </c>
      <c r="E21" s="280" t="s">
        <v>8</v>
      </c>
      <c r="G21" s="246">
        <v>9</v>
      </c>
      <c r="H21" s="219" t="s">
        <v>2142</v>
      </c>
    </row>
    <row r="22" spans="2:8" ht="14.5" thickBot="1" x14ac:dyDescent="0.35">
      <c r="B22" s="253"/>
      <c r="C22" s="21" t="s">
        <v>657</v>
      </c>
      <c r="D22" s="21" t="s">
        <v>945</v>
      </c>
      <c r="E22" s="280" t="s">
        <v>5</v>
      </c>
      <c r="G22" s="491">
        <v>10</v>
      </c>
      <c r="H22" s="492" t="s">
        <v>2143</v>
      </c>
    </row>
    <row r="23" spans="2:8" x14ac:dyDescent="0.3">
      <c r="B23" s="253"/>
      <c r="C23" s="21"/>
      <c r="D23" s="21" t="s">
        <v>1740</v>
      </c>
      <c r="E23" s="280" t="s">
        <v>8</v>
      </c>
    </row>
    <row r="24" spans="2:8" x14ac:dyDescent="0.3">
      <c r="B24" s="253"/>
      <c r="C24" s="21"/>
      <c r="D24" s="21" t="s">
        <v>944</v>
      </c>
      <c r="E24" s="280" t="s">
        <v>5</v>
      </c>
    </row>
    <row r="25" spans="2:8" x14ac:dyDescent="0.3">
      <c r="B25" s="253"/>
      <c r="C25" s="21"/>
      <c r="D25" s="21" t="s">
        <v>208</v>
      </c>
      <c r="E25" s="280" t="s">
        <v>13</v>
      </c>
    </row>
    <row r="26" spans="2:8" x14ac:dyDescent="0.3">
      <c r="B26" s="253"/>
      <c r="C26" s="21"/>
      <c r="D26" s="21" t="s">
        <v>949</v>
      </c>
      <c r="E26" s="280" t="s">
        <v>5</v>
      </c>
    </row>
    <row r="27" spans="2:8" x14ac:dyDescent="0.3">
      <c r="B27" s="253"/>
      <c r="C27" s="21"/>
      <c r="D27" s="21" t="s">
        <v>220</v>
      </c>
      <c r="E27" s="280" t="s">
        <v>13</v>
      </c>
    </row>
    <row r="28" spans="2:8" x14ac:dyDescent="0.3">
      <c r="B28" s="253"/>
      <c r="C28" s="21"/>
      <c r="D28" s="21" t="s">
        <v>947</v>
      </c>
      <c r="E28" s="280" t="s">
        <v>13</v>
      </c>
    </row>
    <row r="29" spans="2:8" x14ac:dyDescent="0.3">
      <c r="B29" s="253"/>
      <c r="C29" s="21" t="s">
        <v>1729</v>
      </c>
      <c r="D29" s="21" t="s">
        <v>200</v>
      </c>
      <c r="E29" s="280" t="s">
        <v>13</v>
      </c>
    </row>
    <row r="30" spans="2:8" x14ac:dyDescent="0.3">
      <c r="B30" s="253"/>
      <c r="C30" s="21"/>
      <c r="D30" s="21" t="s">
        <v>1748</v>
      </c>
      <c r="E30" s="280" t="s">
        <v>8</v>
      </c>
    </row>
    <row r="31" spans="2:8" x14ac:dyDescent="0.3">
      <c r="B31" s="253"/>
      <c r="C31" s="21"/>
      <c r="D31" s="21" t="s">
        <v>1750</v>
      </c>
      <c r="E31" s="280" t="s">
        <v>8</v>
      </c>
    </row>
    <row r="32" spans="2:8" x14ac:dyDescent="0.3">
      <c r="B32" s="253"/>
      <c r="C32" s="21"/>
      <c r="D32" s="21" t="s">
        <v>946</v>
      </c>
      <c r="E32" s="280" t="s">
        <v>8</v>
      </c>
    </row>
    <row r="33" spans="2:5" x14ac:dyDescent="0.3">
      <c r="B33" s="253"/>
      <c r="C33" s="21"/>
      <c r="D33" s="21" t="s">
        <v>230</v>
      </c>
      <c r="E33" s="280" t="s">
        <v>8</v>
      </c>
    </row>
    <row r="34" spans="2:5" x14ac:dyDescent="0.3">
      <c r="B34" s="253"/>
      <c r="C34" s="21" t="s">
        <v>682</v>
      </c>
      <c r="D34" s="21" t="s">
        <v>1723</v>
      </c>
      <c r="E34" s="280" t="s">
        <v>8</v>
      </c>
    </row>
    <row r="35" spans="2:5" x14ac:dyDescent="0.3">
      <c r="B35" s="253"/>
      <c r="C35" s="21"/>
      <c r="D35" s="21" t="s">
        <v>202</v>
      </c>
      <c r="E35" s="280" t="s">
        <v>8</v>
      </c>
    </row>
    <row r="36" spans="2:5" x14ac:dyDescent="0.3">
      <c r="B36" s="253"/>
      <c r="C36" s="21"/>
      <c r="D36" s="21" t="s">
        <v>1737</v>
      </c>
      <c r="E36" s="280" t="s">
        <v>8</v>
      </c>
    </row>
    <row r="37" spans="2:5" x14ac:dyDescent="0.3">
      <c r="B37" s="253"/>
      <c r="C37" s="21"/>
      <c r="D37" s="21" t="s">
        <v>1741</v>
      </c>
      <c r="E37" s="280" t="s">
        <v>8</v>
      </c>
    </row>
    <row r="38" spans="2:5" x14ac:dyDescent="0.3">
      <c r="B38" s="253"/>
      <c r="C38" s="21"/>
      <c r="D38" s="21" t="s">
        <v>227</v>
      </c>
      <c r="E38" s="280" t="s">
        <v>8</v>
      </c>
    </row>
    <row r="39" spans="2:5" x14ac:dyDescent="0.3">
      <c r="B39" s="253"/>
      <c r="C39" s="21"/>
      <c r="D39" s="21" t="s">
        <v>215</v>
      </c>
      <c r="E39" s="280" t="s">
        <v>8</v>
      </c>
    </row>
    <row r="40" spans="2:5" x14ac:dyDescent="0.3">
      <c r="B40" s="253"/>
      <c r="C40" s="21"/>
      <c r="D40" s="21" t="s">
        <v>214</v>
      </c>
      <c r="E40" s="280" t="s">
        <v>13</v>
      </c>
    </row>
    <row r="41" spans="2:5" x14ac:dyDescent="0.3">
      <c r="B41" s="253"/>
      <c r="C41" s="21" t="s">
        <v>1065</v>
      </c>
      <c r="D41" s="21" t="s">
        <v>1046</v>
      </c>
      <c r="E41" s="280" t="s">
        <v>13</v>
      </c>
    </row>
    <row r="42" spans="2:5" x14ac:dyDescent="0.3">
      <c r="B42" s="253"/>
      <c r="C42" s="21" t="s">
        <v>1058</v>
      </c>
      <c r="D42" s="21" t="s">
        <v>225</v>
      </c>
      <c r="E42" s="280" t="s">
        <v>13</v>
      </c>
    </row>
    <row r="43" spans="2:5" x14ac:dyDescent="0.3">
      <c r="B43" s="253"/>
      <c r="C43" s="21"/>
      <c r="D43" s="21" t="s">
        <v>213</v>
      </c>
      <c r="E43" s="280" t="s">
        <v>13</v>
      </c>
    </row>
    <row r="44" spans="2:5" x14ac:dyDescent="0.3">
      <c r="B44" s="253"/>
      <c r="C44" s="21"/>
      <c r="D44" s="21" t="s">
        <v>212</v>
      </c>
      <c r="E44" s="280" t="s">
        <v>13</v>
      </c>
    </row>
    <row r="45" spans="2:5" x14ac:dyDescent="0.3">
      <c r="B45" s="253"/>
      <c r="C45" s="21"/>
      <c r="D45" s="21" t="s">
        <v>224</v>
      </c>
      <c r="E45" s="280" t="s">
        <v>13</v>
      </c>
    </row>
    <row r="46" spans="2:5" x14ac:dyDescent="0.3">
      <c r="B46" s="253"/>
      <c r="C46" s="21"/>
      <c r="D46" s="21" t="s">
        <v>3</v>
      </c>
      <c r="E46" s="280" t="s">
        <v>13</v>
      </c>
    </row>
    <row r="47" spans="2:5" x14ac:dyDescent="0.3">
      <c r="B47" s="253"/>
      <c r="C47" s="21"/>
      <c r="D47" s="21" t="s">
        <v>134</v>
      </c>
      <c r="E47" s="280" t="s">
        <v>13</v>
      </c>
    </row>
    <row r="48" spans="2:5" x14ac:dyDescent="0.3">
      <c r="B48" s="253"/>
      <c r="C48" s="21" t="s">
        <v>222</v>
      </c>
      <c r="D48" s="21" t="s">
        <v>959</v>
      </c>
      <c r="E48" s="280" t="s">
        <v>13</v>
      </c>
    </row>
    <row r="49" spans="2:5" x14ac:dyDescent="0.3">
      <c r="B49" s="253"/>
      <c r="C49" s="21"/>
      <c r="D49" s="21" t="s">
        <v>677</v>
      </c>
      <c r="E49" s="280" t="s">
        <v>5</v>
      </c>
    </row>
    <row r="50" spans="2:5" x14ac:dyDescent="0.3">
      <c r="B50" s="253"/>
      <c r="C50" s="21"/>
      <c r="D50" s="21" t="s">
        <v>698</v>
      </c>
      <c r="E50" s="280" t="s">
        <v>5</v>
      </c>
    </row>
    <row r="51" spans="2:5" x14ac:dyDescent="0.3">
      <c r="B51" s="253"/>
      <c r="C51" s="21" t="s">
        <v>966</v>
      </c>
      <c r="D51" s="21" t="s">
        <v>1742</v>
      </c>
      <c r="E51" s="280" t="s">
        <v>13</v>
      </c>
    </row>
    <row r="52" spans="2:5" x14ac:dyDescent="0.3">
      <c r="B52" s="253"/>
      <c r="C52" s="21"/>
      <c r="D52" s="21" t="s">
        <v>963</v>
      </c>
      <c r="E52" s="280" t="s">
        <v>13</v>
      </c>
    </row>
    <row r="53" spans="2:5" x14ac:dyDescent="0.3">
      <c r="B53" s="253"/>
      <c r="C53" s="21"/>
      <c r="D53" s="21" t="s">
        <v>1041</v>
      </c>
      <c r="E53" s="280" t="s">
        <v>5</v>
      </c>
    </row>
    <row r="54" spans="2:5" x14ac:dyDescent="0.3">
      <c r="B54" s="253"/>
      <c r="C54" s="21" t="s">
        <v>1721</v>
      </c>
      <c r="D54" s="21" t="s">
        <v>1047</v>
      </c>
      <c r="E54" s="280" t="s">
        <v>13</v>
      </c>
    </row>
    <row r="55" spans="2:5" x14ac:dyDescent="0.3">
      <c r="B55" s="253"/>
      <c r="C55" s="21"/>
      <c r="D55" s="21" t="s">
        <v>1048</v>
      </c>
      <c r="E55" s="280" t="s">
        <v>5</v>
      </c>
    </row>
    <row r="56" spans="2:5" x14ac:dyDescent="0.3">
      <c r="B56" s="253"/>
      <c r="C56" s="21"/>
      <c r="D56" s="21" t="s">
        <v>1049</v>
      </c>
      <c r="E56" s="280" t="s">
        <v>13</v>
      </c>
    </row>
    <row r="57" spans="2:5" x14ac:dyDescent="0.3">
      <c r="B57" s="253"/>
      <c r="C57" s="21"/>
      <c r="D57" s="21" t="s">
        <v>1050</v>
      </c>
      <c r="E57" s="280" t="s">
        <v>13</v>
      </c>
    </row>
    <row r="58" spans="2:5" x14ac:dyDescent="0.3">
      <c r="B58" s="253"/>
      <c r="C58" s="21"/>
      <c r="D58" s="21" t="s">
        <v>1051</v>
      </c>
      <c r="E58" s="280" t="s">
        <v>13</v>
      </c>
    </row>
    <row r="59" spans="2:5" x14ac:dyDescent="0.3">
      <c r="B59" s="253"/>
      <c r="C59" s="21"/>
      <c r="D59" s="21" t="s">
        <v>683</v>
      </c>
      <c r="E59" s="280" t="s">
        <v>5</v>
      </c>
    </row>
    <row r="60" spans="2:5" x14ac:dyDescent="0.3">
      <c r="B60" s="253"/>
      <c r="C60" s="21"/>
      <c r="D60" s="21" t="s">
        <v>1052</v>
      </c>
      <c r="E60" s="280" t="s">
        <v>13</v>
      </c>
    </row>
    <row r="61" spans="2:5" x14ac:dyDescent="0.3">
      <c r="B61" s="253"/>
      <c r="C61" s="21" t="s">
        <v>1730</v>
      </c>
      <c r="D61" s="21" t="s">
        <v>216</v>
      </c>
      <c r="E61" s="280" t="s">
        <v>8</v>
      </c>
    </row>
    <row r="62" spans="2:5" x14ac:dyDescent="0.3">
      <c r="B62" s="253"/>
      <c r="C62" s="21"/>
      <c r="D62" s="21" t="s">
        <v>226</v>
      </c>
      <c r="E62" s="280" t="s">
        <v>8</v>
      </c>
    </row>
    <row r="63" spans="2:5" x14ac:dyDescent="0.3">
      <c r="B63" s="253"/>
      <c r="C63" s="21"/>
      <c r="D63" s="21" t="s">
        <v>132</v>
      </c>
      <c r="E63" s="280" t="s">
        <v>5</v>
      </c>
    </row>
    <row r="64" spans="2:5" x14ac:dyDescent="0.3">
      <c r="B64" s="253"/>
      <c r="C64" s="21" t="s">
        <v>240</v>
      </c>
      <c r="D64" s="21" t="s">
        <v>948</v>
      </c>
      <c r="E64" s="280" t="s">
        <v>13</v>
      </c>
    </row>
    <row r="65" spans="2:5" x14ac:dyDescent="0.3">
      <c r="B65" s="253"/>
      <c r="C65" s="21"/>
      <c r="D65" s="21" t="s">
        <v>209</v>
      </c>
      <c r="E65" s="280" t="s">
        <v>8</v>
      </c>
    </row>
    <row r="66" spans="2:5" x14ac:dyDescent="0.3">
      <c r="B66" s="253"/>
      <c r="C66" s="21"/>
      <c r="D66" s="21" t="s">
        <v>223</v>
      </c>
      <c r="E66" s="280" t="s">
        <v>13</v>
      </c>
    </row>
    <row r="67" spans="2:5" x14ac:dyDescent="0.3">
      <c r="B67" s="253"/>
      <c r="C67" s="21" t="s">
        <v>366</v>
      </c>
      <c r="D67" s="21" t="s">
        <v>217</v>
      </c>
      <c r="E67" s="280" t="s">
        <v>8</v>
      </c>
    </row>
    <row r="68" spans="2:5" x14ac:dyDescent="0.3">
      <c r="B68" s="253"/>
      <c r="C68" s="21"/>
      <c r="D68" s="21" t="s">
        <v>218</v>
      </c>
      <c r="E68" s="280" t="s">
        <v>8</v>
      </c>
    </row>
    <row r="69" spans="2:5" x14ac:dyDescent="0.3">
      <c r="B69" s="253"/>
      <c r="C69" s="21" t="s">
        <v>1056</v>
      </c>
      <c r="D69" s="21" t="s">
        <v>198</v>
      </c>
      <c r="E69" s="280" t="s">
        <v>13</v>
      </c>
    </row>
    <row r="70" spans="2:5" x14ac:dyDescent="0.3">
      <c r="B70" s="253"/>
      <c r="C70" s="21" t="s">
        <v>1489</v>
      </c>
      <c r="D70" s="21"/>
      <c r="E70" s="21"/>
    </row>
    <row r="71" spans="2:5" x14ac:dyDescent="0.3">
      <c r="B71" s="253"/>
    </row>
    <row r="72" spans="2:5" x14ac:dyDescent="0.3">
      <c r="B72" s="253"/>
    </row>
    <row r="73" spans="2:5" x14ac:dyDescent="0.3">
      <c r="B73" s="253"/>
    </row>
    <row r="74" spans="2:5" x14ac:dyDescent="0.3">
      <c r="B74" s="253"/>
    </row>
    <row r="75" spans="2:5" x14ac:dyDescent="0.3">
      <c r="B75" s="253"/>
    </row>
    <row r="76" spans="2:5" x14ac:dyDescent="0.3">
      <c r="B76" s="253"/>
    </row>
    <row r="77" spans="2:5" x14ac:dyDescent="0.3">
      <c r="B77" s="253"/>
    </row>
    <row r="78" spans="2:5" x14ac:dyDescent="0.3">
      <c r="B78" s="253"/>
    </row>
    <row r="79" spans="2:5" x14ac:dyDescent="0.3">
      <c r="B79" s="253"/>
    </row>
    <row r="80" spans="2:5" x14ac:dyDescent="0.3">
      <c r="B80" s="253"/>
    </row>
    <row r="81" spans="2:2" x14ac:dyDescent="0.3">
      <c r="B81" s="253"/>
    </row>
    <row r="82" spans="2:2" x14ac:dyDescent="0.3">
      <c r="B82" s="253"/>
    </row>
    <row r="83" spans="2:2" x14ac:dyDescent="0.3">
      <c r="B83" s="253"/>
    </row>
    <row r="84" spans="2:2" x14ac:dyDescent="0.3">
      <c r="B84" s="253"/>
    </row>
    <row r="85" spans="2:2" x14ac:dyDescent="0.3">
      <c r="B85" s="253"/>
    </row>
    <row r="86" spans="2:2" x14ac:dyDescent="0.3">
      <c r="B86" s="253"/>
    </row>
    <row r="87" spans="2:2" x14ac:dyDescent="0.3">
      <c r="B87" s="253"/>
    </row>
  </sheetData>
  <mergeCells count="3">
    <mergeCell ref="G12:H12"/>
    <mergeCell ref="A1:H2"/>
    <mergeCell ref="A3:H4"/>
  </mergeCells>
  <conditionalFormatting sqref="E7:E69">
    <cfRule type="cellIs" dxfId="3" priority="1" operator="equal">
      <formula>"High"</formula>
    </cfRule>
    <cfRule type="cellIs" dxfId="2" priority="2" operator="equal">
      <formula>"Medium"</formula>
    </cfRule>
    <cfRule type="cellIs" dxfId="1" priority="3" operator="equal">
      <formula>"Low"</formula>
    </cfRule>
  </conditionalFormatting>
  <hyperlinks>
    <hyperlink ref="A5" location="Home!A1" display="Home"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sheetPr>
  <dimension ref="A1:Q72"/>
  <sheetViews>
    <sheetView showGridLines="0" topLeftCell="B1" zoomScale="70" zoomScaleNormal="70" workbookViewId="0">
      <pane xSplit="2" ySplit="7" topLeftCell="D55" activePane="bottomRight" state="frozen"/>
      <selection pane="topRight"/>
      <selection pane="bottomLeft"/>
      <selection pane="bottomRight" activeCell="G59" sqref="G59"/>
    </sheetView>
  </sheetViews>
  <sheetFormatPr defaultRowHeight="14.5" x14ac:dyDescent="0.35"/>
  <cols>
    <col min="1" max="1" width="3.453125" style="20" customWidth="1"/>
    <col min="2" max="2" width="7.7265625" style="78" customWidth="1"/>
    <col min="3" max="3" width="14.7265625" style="129" customWidth="1"/>
    <col min="4" max="4" width="32.26953125" customWidth="1"/>
    <col min="5" max="5" width="62.54296875" customWidth="1"/>
    <col min="6" max="6" width="15" bestFit="1" customWidth="1"/>
    <col min="7" max="7" width="49.54296875" customWidth="1"/>
    <col min="8" max="8" width="61.54296875" customWidth="1"/>
    <col min="9" max="9" width="11" customWidth="1"/>
    <col min="15" max="15" width="11.453125" bestFit="1" customWidth="1"/>
    <col min="16" max="16" width="21.81640625" customWidth="1"/>
    <col min="17" max="17" width="38.7265625" customWidth="1"/>
  </cols>
  <sheetData>
    <row r="1" spans="1:17" x14ac:dyDescent="0.35">
      <c r="B1" s="564" t="s">
        <v>2144</v>
      </c>
      <c r="C1" s="564"/>
      <c r="D1" s="564"/>
      <c r="E1" s="564"/>
      <c r="F1" s="564"/>
      <c r="G1" s="564"/>
      <c r="H1" s="564"/>
      <c r="I1" s="564"/>
      <c r="J1" s="564"/>
      <c r="K1" s="564"/>
    </row>
    <row r="2" spans="1:17" x14ac:dyDescent="0.35">
      <c r="B2" s="564"/>
      <c r="C2" s="564"/>
      <c r="D2" s="564"/>
      <c r="E2" s="564"/>
      <c r="F2" s="564"/>
      <c r="G2" s="564"/>
      <c r="H2" s="564"/>
      <c r="I2" s="564"/>
      <c r="J2" s="564"/>
      <c r="K2" s="564"/>
    </row>
    <row r="3" spans="1:17" x14ac:dyDescent="0.35">
      <c r="B3" s="565" t="s">
        <v>2159</v>
      </c>
      <c r="C3" s="565"/>
      <c r="D3" s="565"/>
      <c r="E3" s="565"/>
      <c r="F3" s="565"/>
      <c r="G3" s="565"/>
      <c r="H3" s="565"/>
      <c r="I3" s="565"/>
      <c r="J3" s="565"/>
      <c r="K3" s="565"/>
    </row>
    <row r="4" spans="1:17" x14ac:dyDescent="0.35">
      <c r="B4" s="565"/>
      <c r="C4" s="565"/>
      <c r="D4" s="565"/>
      <c r="E4" s="565"/>
      <c r="F4" s="565"/>
      <c r="G4" s="565"/>
      <c r="H4" s="565"/>
      <c r="I4" s="565"/>
      <c r="J4" s="565"/>
      <c r="K4" s="565"/>
    </row>
    <row r="5" spans="1:17" ht="15" thickBot="1" x14ac:dyDescent="0.4">
      <c r="B5" s="229" t="s">
        <v>1709</v>
      </c>
    </row>
    <row r="6" spans="1:17" ht="20.25" customHeight="1" x14ac:dyDescent="0.35">
      <c r="A6" s="534" t="s">
        <v>257</v>
      </c>
      <c r="B6" s="536" t="s">
        <v>258</v>
      </c>
      <c r="C6" s="536" t="s">
        <v>262</v>
      </c>
      <c r="D6" s="536" t="s">
        <v>263</v>
      </c>
      <c r="E6" s="530" t="s">
        <v>264</v>
      </c>
      <c r="F6" s="532" t="s">
        <v>265</v>
      </c>
      <c r="G6" s="579" t="s">
        <v>266</v>
      </c>
      <c r="H6" s="536" t="s">
        <v>267</v>
      </c>
      <c r="I6" s="528" t="s">
        <v>268</v>
      </c>
      <c r="J6" s="529"/>
      <c r="K6" s="581"/>
      <c r="L6" s="528" t="s">
        <v>269</v>
      </c>
      <c r="M6" s="529"/>
      <c r="N6" s="529"/>
      <c r="O6" s="529"/>
      <c r="P6" s="23" t="s">
        <v>270</v>
      </c>
      <c r="Q6" s="530" t="s">
        <v>271</v>
      </c>
    </row>
    <row r="7" spans="1:17" ht="24.75" customHeight="1" x14ac:dyDescent="0.35">
      <c r="A7" s="535"/>
      <c r="B7" s="537"/>
      <c r="C7" s="537"/>
      <c r="D7" s="537"/>
      <c r="E7" s="531"/>
      <c r="F7" s="533"/>
      <c r="G7" s="580"/>
      <c r="H7" s="537"/>
      <c r="I7" s="24" t="s">
        <v>358</v>
      </c>
      <c r="J7" s="24" t="s">
        <v>273</v>
      </c>
      <c r="K7" s="25" t="s">
        <v>274</v>
      </c>
      <c r="L7" s="24" t="s">
        <v>275</v>
      </c>
      <c r="M7" s="24" t="s">
        <v>276</v>
      </c>
      <c r="N7" s="24" t="s">
        <v>277</v>
      </c>
      <c r="O7" s="18" t="s">
        <v>278</v>
      </c>
      <c r="P7" s="24" t="s">
        <v>279</v>
      </c>
      <c r="Q7" s="531"/>
    </row>
    <row r="8" spans="1:17" ht="67.5" customHeight="1" x14ac:dyDescent="0.35">
      <c r="A8" s="546">
        <v>1</v>
      </c>
      <c r="B8" s="548" t="s">
        <v>280</v>
      </c>
      <c r="C8" s="549" t="s">
        <v>281</v>
      </c>
      <c r="D8" s="142" t="s">
        <v>282</v>
      </c>
      <c r="E8" s="142" t="s">
        <v>283</v>
      </c>
      <c r="F8" s="143" t="s">
        <v>13</v>
      </c>
      <c r="G8" s="538" t="s">
        <v>284</v>
      </c>
      <c r="H8" s="144" t="s">
        <v>678</v>
      </c>
      <c r="I8" s="143" t="s">
        <v>289</v>
      </c>
      <c r="J8" s="143" t="s">
        <v>285</v>
      </c>
      <c r="K8" s="143" t="s">
        <v>285</v>
      </c>
      <c r="L8" s="145"/>
      <c r="M8" s="145"/>
      <c r="N8" s="145"/>
      <c r="O8" s="145"/>
      <c r="P8" s="538" t="s">
        <v>711</v>
      </c>
      <c r="Q8" s="538" t="s">
        <v>692</v>
      </c>
    </row>
    <row r="9" spans="1:17" ht="71.150000000000006" customHeight="1" x14ac:dyDescent="0.35">
      <c r="A9" s="546"/>
      <c r="B9" s="548"/>
      <c r="C9" s="549"/>
      <c r="D9" s="142" t="s">
        <v>286</v>
      </c>
      <c r="E9" s="142" t="s">
        <v>287</v>
      </c>
      <c r="F9" s="143" t="s">
        <v>8</v>
      </c>
      <c r="G9" s="550"/>
      <c r="H9" s="144" t="s">
        <v>2160</v>
      </c>
      <c r="I9" s="143" t="s">
        <v>289</v>
      </c>
      <c r="J9" s="143" t="s">
        <v>285</v>
      </c>
      <c r="K9" s="143" t="s">
        <v>289</v>
      </c>
      <c r="L9" s="145"/>
      <c r="M9" s="145"/>
      <c r="N9" s="145"/>
      <c r="O9" s="145"/>
      <c r="P9" s="538"/>
      <c r="Q9" s="538"/>
    </row>
    <row r="10" spans="1:17" ht="71.5" customHeight="1" x14ac:dyDescent="0.35">
      <c r="A10" s="546"/>
      <c r="B10" s="548"/>
      <c r="C10" s="549"/>
      <c r="D10" s="137" t="s">
        <v>290</v>
      </c>
      <c r="E10" s="137" t="s">
        <v>291</v>
      </c>
      <c r="F10" s="143" t="s">
        <v>13</v>
      </c>
      <c r="G10" s="550"/>
      <c r="H10" s="144" t="s">
        <v>679</v>
      </c>
      <c r="I10" s="143" t="s">
        <v>289</v>
      </c>
      <c r="J10" s="143" t="s">
        <v>289</v>
      </c>
      <c r="K10" s="143" t="s">
        <v>289</v>
      </c>
      <c r="L10" s="145"/>
      <c r="M10" s="145"/>
      <c r="N10" s="145"/>
      <c r="O10" s="145"/>
      <c r="P10" s="538"/>
      <c r="Q10" s="538"/>
    </row>
    <row r="11" spans="1:17" ht="32.15" customHeight="1" x14ac:dyDescent="0.35">
      <c r="A11" s="546"/>
      <c r="B11" s="548"/>
      <c r="C11" s="549"/>
      <c r="D11" s="142" t="s">
        <v>292</v>
      </c>
      <c r="E11" s="142" t="s">
        <v>293</v>
      </c>
      <c r="F11" s="143" t="s">
        <v>5</v>
      </c>
      <c r="G11" s="550"/>
      <c r="H11" s="144" t="s">
        <v>294</v>
      </c>
      <c r="I11" s="143" t="s">
        <v>285</v>
      </c>
      <c r="J11" s="143" t="s">
        <v>285</v>
      </c>
      <c r="K11" s="143" t="s">
        <v>285</v>
      </c>
      <c r="L11" s="145"/>
      <c r="M11" s="145"/>
      <c r="N11" s="145"/>
      <c r="O11" s="145"/>
      <c r="P11" s="538"/>
      <c r="Q11" s="538"/>
    </row>
    <row r="12" spans="1:17" ht="25" x14ac:dyDescent="0.35">
      <c r="A12" s="546"/>
      <c r="B12" s="548"/>
      <c r="C12" s="549"/>
      <c r="D12" s="142" t="s">
        <v>295</v>
      </c>
      <c r="E12" s="142" t="s">
        <v>296</v>
      </c>
      <c r="F12" s="143" t="s">
        <v>5</v>
      </c>
      <c r="G12" s="550"/>
      <c r="H12" s="144" t="s">
        <v>294</v>
      </c>
      <c r="I12" s="143" t="s">
        <v>285</v>
      </c>
      <c r="J12" s="143" t="s">
        <v>285</v>
      </c>
      <c r="K12" s="143" t="s">
        <v>285</v>
      </c>
      <c r="L12" s="145"/>
      <c r="M12" s="145"/>
      <c r="N12" s="145"/>
      <c r="O12" s="145"/>
      <c r="P12" s="538"/>
      <c r="Q12" s="538"/>
    </row>
    <row r="13" spans="1:17" ht="59.15" customHeight="1" x14ac:dyDescent="0.35">
      <c r="A13" s="546"/>
      <c r="B13" s="548"/>
      <c r="C13" s="549"/>
      <c r="D13" s="142" t="s">
        <v>297</v>
      </c>
      <c r="E13" s="142" t="s">
        <v>298</v>
      </c>
      <c r="F13" s="143" t="s">
        <v>5</v>
      </c>
      <c r="G13" s="550"/>
      <c r="H13" s="144" t="s">
        <v>299</v>
      </c>
      <c r="I13" s="143" t="s">
        <v>289</v>
      </c>
      <c r="J13" s="143" t="s">
        <v>285</v>
      </c>
      <c r="K13" s="143" t="s">
        <v>285</v>
      </c>
      <c r="L13" s="145"/>
      <c r="M13" s="145"/>
      <c r="N13" s="145"/>
      <c r="O13" s="145"/>
      <c r="P13" s="538"/>
      <c r="Q13" s="538"/>
    </row>
    <row r="14" spans="1:17" ht="36" customHeight="1" x14ac:dyDescent="0.35">
      <c r="A14" s="546"/>
      <c r="B14" s="548"/>
      <c r="C14" s="549"/>
      <c r="D14" s="142" t="s">
        <v>300</v>
      </c>
      <c r="E14" s="142" t="s">
        <v>301</v>
      </c>
      <c r="F14" s="143" t="s">
        <v>13</v>
      </c>
      <c r="G14" s="550"/>
      <c r="H14" s="138" t="s">
        <v>680</v>
      </c>
      <c r="I14" s="146" t="s">
        <v>285</v>
      </c>
      <c r="J14" s="146" t="s">
        <v>285</v>
      </c>
      <c r="K14" s="146" t="s">
        <v>289</v>
      </c>
      <c r="L14" s="145"/>
      <c r="M14" s="145"/>
      <c r="N14" s="145"/>
      <c r="O14" s="145"/>
      <c r="P14" s="538"/>
      <c r="Q14" s="538"/>
    </row>
    <row r="15" spans="1:17" ht="32.5" customHeight="1" x14ac:dyDescent="0.35">
      <c r="A15" s="546"/>
      <c r="B15" s="548"/>
      <c r="C15" s="549"/>
      <c r="D15" s="142" t="s">
        <v>302</v>
      </c>
      <c r="E15" s="142" t="s">
        <v>2161</v>
      </c>
      <c r="F15" s="143" t="s">
        <v>5</v>
      </c>
      <c r="G15" s="550"/>
      <c r="H15" s="144" t="s">
        <v>294</v>
      </c>
      <c r="I15" s="143" t="s">
        <v>285</v>
      </c>
      <c r="J15" s="143" t="s">
        <v>285</v>
      </c>
      <c r="K15" s="143" t="s">
        <v>285</v>
      </c>
      <c r="L15" s="145"/>
      <c r="M15" s="145"/>
      <c r="N15" s="145"/>
      <c r="O15" s="145"/>
      <c r="P15" s="538"/>
      <c r="Q15" s="538"/>
    </row>
    <row r="16" spans="1:17" ht="25" x14ac:dyDescent="0.35">
      <c r="A16" s="547"/>
      <c r="B16" s="548"/>
      <c r="C16" s="549"/>
      <c r="D16" s="142" t="s">
        <v>304</v>
      </c>
      <c r="E16" s="142" t="s">
        <v>305</v>
      </c>
      <c r="F16" s="143" t="s">
        <v>5</v>
      </c>
      <c r="G16" s="550"/>
      <c r="H16" s="138" t="s">
        <v>681</v>
      </c>
      <c r="I16" s="146" t="s">
        <v>285</v>
      </c>
      <c r="J16" s="146" t="s">
        <v>285</v>
      </c>
      <c r="K16" s="146" t="s">
        <v>285</v>
      </c>
      <c r="L16" s="145"/>
      <c r="M16" s="145"/>
      <c r="N16" s="145"/>
      <c r="O16" s="145"/>
      <c r="P16" s="538"/>
      <c r="Q16" s="538"/>
    </row>
    <row r="17" spans="1:17" ht="43.5" customHeight="1" x14ac:dyDescent="0.35">
      <c r="A17" s="539">
        <v>2</v>
      </c>
      <c r="B17" s="542" t="s">
        <v>280</v>
      </c>
      <c r="C17" s="543" t="s">
        <v>306</v>
      </c>
      <c r="D17" s="147" t="s">
        <v>307</v>
      </c>
      <c r="E17" s="147" t="s">
        <v>308</v>
      </c>
      <c r="F17" s="148" t="s">
        <v>8</v>
      </c>
      <c r="G17" s="544" t="s">
        <v>815</v>
      </c>
      <c r="H17" s="149" t="s">
        <v>309</v>
      </c>
      <c r="I17" s="148" t="s">
        <v>289</v>
      </c>
      <c r="J17" s="148" t="s">
        <v>285</v>
      </c>
      <c r="K17" s="148" t="s">
        <v>289</v>
      </c>
      <c r="L17" s="150"/>
      <c r="M17" s="150"/>
      <c r="N17" s="150"/>
      <c r="O17" s="150"/>
      <c r="P17" s="545"/>
      <c r="Q17" s="545"/>
    </row>
    <row r="18" spans="1:17" ht="49.75" customHeight="1" x14ac:dyDescent="0.35">
      <c r="A18" s="540"/>
      <c r="B18" s="542"/>
      <c r="C18" s="543"/>
      <c r="D18" s="147" t="s">
        <v>310</v>
      </c>
      <c r="E18" s="147" t="s">
        <v>311</v>
      </c>
      <c r="F18" s="148" t="s">
        <v>8</v>
      </c>
      <c r="G18" s="544"/>
      <c r="H18" s="151" t="s">
        <v>312</v>
      </c>
      <c r="I18" s="152" t="s">
        <v>289</v>
      </c>
      <c r="J18" s="152" t="s">
        <v>285</v>
      </c>
      <c r="K18" s="152" t="s">
        <v>289</v>
      </c>
      <c r="L18" s="150"/>
      <c r="M18" s="150"/>
      <c r="N18" s="150"/>
      <c r="O18" s="150"/>
      <c r="P18" s="545"/>
      <c r="Q18" s="545"/>
    </row>
    <row r="19" spans="1:17" ht="55.5" customHeight="1" x14ac:dyDescent="0.35">
      <c r="A19" s="540"/>
      <c r="B19" s="542"/>
      <c r="C19" s="543"/>
      <c r="D19" s="153" t="s">
        <v>313</v>
      </c>
      <c r="E19" s="153" t="s">
        <v>314</v>
      </c>
      <c r="F19" s="148" t="s">
        <v>13</v>
      </c>
      <c r="G19" s="544"/>
      <c r="H19" s="151" t="s">
        <v>2162</v>
      </c>
      <c r="I19" s="152" t="s">
        <v>289</v>
      </c>
      <c r="J19" s="152" t="s">
        <v>285</v>
      </c>
      <c r="K19" s="152" t="s">
        <v>289</v>
      </c>
      <c r="L19" s="150"/>
      <c r="M19" s="150"/>
      <c r="N19" s="150"/>
      <c r="O19" s="150"/>
      <c r="P19" s="545"/>
      <c r="Q19" s="545"/>
    </row>
    <row r="20" spans="1:17" ht="49" customHeight="1" x14ac:dyDescent="0.35">
      <c r="A20" s="540"/>
      <c r="B20" s="542"/>
      <c r="C20" s="543"/>
      <c r="D20" s="147" t="s">
        <v>316</v>
      </c>
      <c r="E20" s="147" t="s">
        <v>317</v>
      </c>
      <c r="F20" s="148" t="s">
        <v>5</v>
      </c>
      <c r="G20" s="544"/>
      <c r="H20" s="151" t="s">
        <v>294</v>
      </c>
      <c r="I20" s="152" t="s">
        <v>285</v>
      </c>
      <c r="J20" s="152" t="s">
        <v>285</v>
      </c>
      <c r="K20" s="152" t="s">
        <v>285</v>
      </c>
      <c r="L20" s="150"/>
      <c r="M20" s="150"/>
      <c r="N20" s="150"/>
      <c r="O20" s="150"/>
      <c r="P20" s="545"/>
      <c r="Q20" s="545"/>
    </row>
    <row r="21" spans="1:17" ht="186.65" customHeight="1" x14ac:dyDescent="0.35">
      <c r="A21" s="541"/>
      <c r="B21" s="542"/>
      <c r="C21" s="543"/>
      <c r="D21" s="153" t="s">
        <v>318</v>
      </c>
      <c r="E21" s="149" t="s">
        <v>2163</v>
      </c>
      <c r="F21" s="148" t="s">
        <v>13</v>
      </c>
      <c r="G21" s="544"/>
      <c r="H21" s="151" t="s">
        <v>2164</v>
      </c>
      <c r="I21" s="152" t="s">
        <v>289</v>
      </c>
      <c r="J21" s="152" t="s">
        <v>285</v>
      </c>
      <c r="K21" s="152" t="s">
        <v>289</v>
      </c>
      <c r="L21" s="150"/>
      <c r="M21" s="150"/>
      <c r="N21" s="150"/>
      <c r="O21" s="150"/>
      <c r="P21" s="545"/>
      <c r="Q21" s="545"/>
    </row>
    <row r="22" spans="1:17" ht="37.5" customHeight="1" x14ac:dyDescent="0.35">
      <c r="A22" s="546">
        <v>3</v>
      </c>
      <c r="B22" s="548" t="s">
        <v>280</v>
      </c>
      <c r="C22" s="578" t="s">
        <v>321</v>
      </c>
      <c r="D22" s="137" t="s">
        <v>322</v>
      </c>
      <c r="E22" s="142" t="s">
        <v>323</v>
      </c>
      <c r="F22" s="143" t="s">
        <v>8</v>
      </c>
      <c r="G22" s="582" t="s">
        <v>817</v>
      </c>
      <c r="H22" s="144" t="s">
        <v>324</v>
      </c>
      <c r="I22" s="143" t="s">
        <v>289</v>
      </c>
      <c r="J22" s="143" t="s">
        <v>285</v>
      </c>
      <c r="K22" s="143" t="s">
        <v>289</v>
      </c>
      <c r="L22" s="145"/>
      <c r="M22" s="145"/>
      <c r="N22" s="145"/>
      <c r="O22" s="145"/>
      <c r="P22" s="551" t="s">
        <v>709</v>
      </c>
      <c r="Q22" s="559" t="s">
        <v>712</v>
      </c>
    </row>
    <row r="23" spans="1:17" ht="69.650000000000006" customHeight="1" x14ac:dyDescent="0.35">
      <c r="A23" s="546"/>
      <c r="B23" s="548"/>
      <c r="C23" s="578"/>
      <c r="D23" s="142" t="s">
        <v>325</v>
      </c>
      <c r="E23" s="137" t="s">
        <v>326</v>
      </c>
      <c r="F23" s="143" t="s">
        <v>8</v>
      </c>
      <c r="G23" s="583"/>
      <c r="H23" s="144" t="s">
        <v>2160</v>
      </c>
      <c r="I23" s="143" t="s">
        <v>289</v>
      </c>
      <c r="J23" s="143" t="s">
        <v>285</v>
      </c>
      <c r="K23" s="143" t="s">
        <v>289</v>
      </c>
      <c r="L23" s="145"/>
      <c r="M23" s="145"/>
      <c r="N23" s="145"/>
      <c r="O23" s="145"/>
      <c r="P23" s="551"/>
      <c r="Q23" s="559"/>
    </row>
    <row r="24" spans="1:17" ht="37.5" x14ac:dyDescent="0.35">
      <c r="A24" s="546"/>
      <c r="B24" s="548"/>
      <c r="C24" s="578"/>
      <c r="D24" s="142" t="s">
        <v>327</v>
      </c>
      <c r="E24" s="142" t="s">
        <v>328</v>
      </c>
      <c r="F24" s="143" t="s">
        <v>5</v>
      </c>
      <c r="G24" s="583"/>
      <c r="H24" s="144" t="s">
        <v>294</v>
      </c>
      <c r="I24" s="143" t="s">
        <v>285</v>
      </c>
      <c r="J24" s="143" t="s">
        <v>285</v>
      </c>
      <c r="K24" s="143" t="s">
        <v>285</v>
      </c>
      <c r="L24" s="145"/>
      <c r="M24" s="145"/>
      <c r="N24" s="145"/>
      <c r="O24" s="145"/>
      <c r="P24" s="551"/>
      <c r="Q24" s="559"/>
    </row>
    <row r="25" spans="1:17" ht="86.5" customHeight="1" x14ac:dyDescent="0.35">
      <c r="A25" s="546"/>
      <c r="B25" s="548"/>
      <c r="C25" s="578"/>
      <c r="D25" s="142" t="s">
        <v>329</v>
      </c>
      <c r="E25" s="154" t="s">
        <v>330</v>
      </c>
      <c r="F25" s="143" t="s">
        <v>13</v>
      </c>
      <c r="G25" s="583"/>
      <c r="H25" s="144" t="s">
        <v>2165</v>
      </c>
      <c r="I25" s="143" t="s">
        <v>285</v>
      </c>
      <c r="J25" s="143" t="s">
        <v>289</v>
      </c>
      <c r="K25" s="143" t="s">
        <v>289</v>
      </c>
      <c r="L25" s="145"/>
      <c r="M25" s="145"/>
      <c r="N25" s="145"/>
      <c r="O25" s="145"/>
      <c r="P25" s="551"/>
      <c r="Q25" s="559"/>
    </row>
    <row r="26" spans="1:17" ht="37.5" x14ac:dyDescent="0.35">
      <c r="A26" s="546"/>
      <c r="B26" s="548"/>
      <c r="C26" s="578"/>
      <c r="D26" s="142" t="s">
        <v>332</v>
      </c>
      <c r="E26" s="142" t="s">
        <v>333</v>
      </c>
      <c r="F26" s="143" t="s">
        <v>8</v>
      </c>
      <c r="G26" s="583"/>
      <c r="H26" s="144" t="s">
        <v>2166</v>
      </c>
      <c r="I26" s="143" t="s">
        <v>285</v>
      </c>
      <c r="J26" s="143" t="s">
        <v>289</v>
      </c>
      <c r="K26" s="143" t="s">
        <v>289</v>
      </c>
      <c r="L26" s="145"/>
      <c r="M26" s="145"/>
      <c r="N26" s="145"/>
      <c r="O26" s="145"/>
      <c r="P26" s="551"/>
      <c r="Q26" s="559"/>
    </row>
    <row r="27" spans="1:17" ht="100" customHeight="1" x14ac:dyDescent="0.35">
      <c r="A27" s="546"/>
      <c r="B27" s="548"/>
      <c r="C27" s="578"/>
      <c r="D27" s="142" t="s">
        <v>335</v>
      </c>
      <c r="E27" s="142" t="s">
        <v>2167</v>
      </c>
      <c r="F27" s="143" t="s">
        <v>5</v>
      </c>
      <c r="G27" s="583"/>
      <c r="H27" s="144" t="s">
        <v>337</v>
      </c>
      <c r="I27" s="143" t="s">
        <v>285</v>
      </c>
      <c r="J27" s="143" t="s">
        <v>285</v>
      </c>
      <c r="K27" s="143" t="s">
        <v>285</v>
      </c>
      <c r="L27" s="145"/>
      <c r="M27" s="145"/>
      <c r="N27" s="145"/>
      <c r="O27" s="145"/>
      <c r="P27" s="551"/>
      <c r="Q27" s="559"/>
    </row>
    <row r="28" spans="1:17" ht="37.5" x14ac:dyDescent="0.35">
      <c r="A28" s="546"/>
      <c r="B28" s="548"/>
      <c r="C28" s="578"/>
      <c r="D28" s="142" t="s">
        <v>338</v>
      </c>
      <c r="E28" s="142" t="s">
        <v>339</v>
      </c>
      <c r="F28" s="143" t="s">
        <v>13</v>
      </c>
      <c r="G28" s="583"/>
      <c r="H28" s="144" t="s">
        <v>340</v>
      </c>
      <c r="I28" s="143" t="s">
        <v>289</v>
      </c>
      <c r="J28" s="143" t="s">
        <v>285</v>
      </c>
      <c r="K28" s="143" t="s">
        <v>289</v>
      </c>
      <c r="L28" s="145"/>
      <c r="M28" s="145"/>
      <c r="N28" s="145"/>
      <c r="O28" s="145"/>
      <c r="P28" s="551"/>
      <c r="Q28" s="559"/>
    </row>
    <row r="29" spans="1:17" ht="25" x14ac:dyDescent="0.35">
      <c r="A29" s="546"/>
      <c r="B29" s="548"/>
      <c r="C29" s="578"/>
      <c r="D29" s="142" t="s">
        <v>341</v>
      </c>
      <c r="E29" s="142" t="s">
        <v>342</v>
      </c>
      <c r="F29" s="143" t="s">
        <v>5</v>
      </c>
      <c r="G29" s="583"/>
      <c r="H29" s="144" t="s">
        <v>294</v>
      </c>
      <c r="I29" s="143" t="s">
        <v>285</v>
      </c>
      <c r="J29" s="143" t="s">
        <v>285</v>
      </c>
      <c r="K29" s="143" t="s">
        <v>285</v>
      </c>
      <c r="L29" s="145"/>
      <c r="M29" s="145"/>
      <c r="N29" s="145"/>
      <c r="O29" s="145"/>
      <c r="P29" s="551"/>
      <c r="Q29" s="559"/>
    </row>
    <row r="30" spans="1:17" ht="358.5" customHeight="1" x14ac:dyDescent="0.35">
      <c r="A30" s="546"/>
      <c r="B30" s="548"/>
      <c r="C30" s="578"/>
      <c r="D30" s="142" t="s">
        <v>343</v>
      </c>
      <c r="E30" s="142" t="s">
        <v>2168</v>
      </c>
      <c r="F30" s="143" t="s">
        <v>5</v>
      </c>
      <c r="G30" s="583"/>
      <c r="H30" s="144" t="s">
        <v>294</v>
      </c>
      <c r="I30" s="143" t="s">
        <v>285</v>
      </c>
      <c r="J30" s="143" t="s">
        <v>285</v>
      </c>
      <c r="K30" s="143" t="s">
        <v>285</v>
      </c>
      <c r="L30" s="145"/>
      <c r="M30" s="145"/>
      <c r="N30" s="145"/>
      <c r="O30" s="145"/>
      <c r="P30" s="551"/>
      <c r="Q30" s="559"/>
    </row>
    <row r="31" spans="1:17" ht="24.65" customHeight="1" x14ac:dyDescent="0.35">
      <c r="A31" s="553">
        <v>4</v>
      </c>
      <c r="B31" s="542" t="s">
        <v>345</v>
      </c>
      <c r="C31" s="543" t="s">
        <v>346</v>
      </c>
      <c r="D31" s="155" t="s">
        <v>724</v>
      </c>
      <c r="E31" s="156" t="s">
        <v>719</v>
      </c>
      <c r="F31" s="157" t="s">
        <v>5</v>
      </c>
      <c r="G31" s="554" t="s">
        <v>714</v>
      </c>
      <c r="H31" s="158" t="s">
        <v>971</v>
      </c>
      <c r="I31" s="148" t="s">
        <v>289</v>
      </c>
      <c r="J31" s="148" t="s">
        <v>285</v>
      </c>
      <c r="K31" s="148" t="s">
        <v>285</v>
      </c>
      <c r="L31" s="150"/>
      <c r="M31" s="150"/>
      <c r="N31" s="150"/>
      <c r="O31" s="150"/>
      <c r="P31" s="545"/>
      <c r="Q31" s="554" t="s">
        <v>2169</v>
      </c>
    </row>
    <row r="32" spans="1:17" ht="42" x14ac:dyDescent="0.35">
      <c r="A32" s="540"/>
      <c r="B32" s="542"/>
      <c r="C32" s="543"/>
      <c r="D32" s="155" t="s">
        <v>725</v>
      </c>
      <c r="E32" s="156" t="s">
        <v>720</v>
      </c>
      <c r="F32" s="157" t="s">
        <v>8</v>
      </c>
      <c r="G32" s="554"/>
      <c r="H32" s="158" t="s">
        <v>972</v>
      </c>
      <c r="I32" s="148" t="s">
        <v>289</v>
      </c>
      <c r="J32" s="148" t="s">
        <v>285</v>
      </c>
      <c r="K32" s="148" t="s">
        <v>285</v>
      </c>
      <c r="L32" s="150"/>
      <c r="M32" s="150"/>
      <c r="N32" s="150"/>
      <c r="O32" s="150"/>
      <c r="P32" s="545"/>
      <c r="Q32" s="554"/>
    </row>
    <row r="33" spans="1:17" ht="37.5" x14ac:dyDescent="0.35">
      <c r="A33" s="541"/>
      <c r="B33" s="542"/>
      <c r="C33" s="543"/>
      <c r="D33" s="159" t="s">
        <v>723</v>
      </c>
      <c r="E33" s="156" t="s">
        <v>2170</v>
      </c>
      <c r="F33" s="157" t="s">
        <v>5</v>
      </c>
      <c r="G33" s="554"/>
      <c r="H33" s="158"/>
      <c r="I33" s="150"/>
      <c r="J33" s="150"/>
      <c r="K33" s="150"/>
      <c r="L33" s="150"/>
      <c r="M33" s="150"/>
      <c r="N33" s="150"/>
      <c r="O33" s="150"/>
      <c r="P33" s="545"/>
      <c r="Q33" s="554"/>
    </row>
    <row r="34" spans="1:17" ht="74.150000000000006" customHeight="1" x14ac:dyDescent="0.35">
      <c r="A34" s="541"/>
      <c r="B34" s="542"/>
      <c r="C34" s="543"/>
      <c r="D34" s="158" t="s">
        <v>726</v>
      </c>
      <c r="E34" s="156" t="s">
        <v>722</v>
      </c>
      <c r="F34" s="157" t="s">
        <v>13</v>
      </c>
      <c r="G34" s="554"/>
      <c r="H34" s="158" t="s">
        <v>973</v>
      </c>
      <c r="I34" s="160" t="s">
        <v>289</v>
      </c>
      <c r="J34" s="160" t="s">
        <v>285</v>
      </c>
      <c r="K34" s="160" t="s">
        <v>285</v>
      </c>
      <c r="L34" s="150"/>
      <c r="M34" s="150"/>
      <c r="N34" s="150"/>
      <c r="O34" s="150"/>
      <c r="P34" s="545"/>
      <c r="Q34" s="554"/>
    </row>
    <row r="35" spans="1:17" ht="87" customHeight="1" x14ac:dyDescent="0.35">
      <c r="A35" s="555">
        <v>5</v>
      </c>
      <c r="B35" s="548" t="s">
        <v>345</v>
      </c>
      <c r="C35" s="549" t="s">
        <v>819</v>
      </c>
      <c r="D35" s="140" t="s">
        <v>737</v>
      </c>
      <c r="E35" s="161" t="s">
        <v>2171</v>
      </c>
      <c r="F35" s="162" t="s">
        <v>5</v>
      </c>
      <c r="G35" s="557" t="s">
        <v>2172</v>
      </c>
      <c r="H35" s="140" t="s">
        <v>974</v>
      </c>
      <c r="I35" s="148" t="s">
        <v>289</v>
      </c>
      <c r="J35" s="148" t="s">
        <v>285</v>
      </c>
      <c r="K35" s="148" t="s">
        <v>285</v>
      </c>
      <c r="L35" s="145"/>
      <c r="M35" s="145"/>
      <c r="N35" s="145"/>
      <c r="O35" s="145"/>
      <c r="P35" s="558"/>
      <c r="Q35" s="552" t="s">
        <v>743</v>
      </c>
    </row>
    <row r="36" spans="1:17" ht="31" customHeight="1" x14ac:dyDescent="0.35">
      <c r="A36" s="556"/>
      <c r="B36" s="548"/>
      <c r="C36" s="549"/>
      <c r="D36" s="139" t="s">
        <v>734</v>
      </c>
      <c r="E36" s="140" t="s">
        <v>736</v>
      </c>
      <c r="F36" s="162" t="s">
        <v>8</v>
      </c>
      <c r="G36" s="557"/>
      <c r="H36" s="140"/>
      <c r="I36" s="145"/>
      <c r="J36" s="145"/>
      <c r="K36" s="145"/>
      <c r="L36" s="145"/>
      <c r="M36" s="145"/>
      <c r="N36" s="145"/>
      <c r="O36" s="145"/>
      <c r="P36" s="558"/>
      <c r="Q36" s="552"/>
    </row>
    <row r="37" spans="1:17" ht="130.5" customHeight="1" x14ac:dyDescent="0.35">
      <c r="A37" s="556"/>
      <c r="B37" s="548"/>
      <c r="C37" s="549"/>
      <c r="D37" s="145" t="s">
        <v>735</v>
      </c>
      <c r="E37" s="163" t="s">
        <v>2173</v>
      </c>
      <c r="F37" s="162" t="s">
        <v>13</v>
      </c>
      <c r="G37" s="557"/>
      <c r="H37" s="140"/>
      <c r="I37" s="145"/>
      <c r="J37" s="145"/>
      <c r="K37" s="145"/>
      <c r="L37" s="145"/>
      <c r="M37" s="145"/>
      <c r="N37" s="145"/>
      <c r="O37" s="145"/>
      <c r="P37" s="558"/>
      <c r="Q37" s="552"/>
    </row>
    <row r="38" spans="1:17" ht="68.5" customHeight="1" x14ac:dyDescent="0.35">
      <c r="A38" s="19">
        <v>7</v>
      </c>
      <c r="B38" s="575" t="s">
        <v>345</v>
      </c>
      <c r="C38" s="576" t="s">
        <v>744</v>
      </c>
      <c r="D38" s="164" t="s">
        <v>773</v>
      </c>
      <c r="E38" s="165" t="s">
        <v>748</v>
      </c>
      <c r="F38" s="166" t="s">
        <v>8</v>
      </c>
      <c r="G38" s="158" t="s">
        <v>2174</v>
      </c>
      <c r="H38" s="158" t="s">
        <v>1794</v>
      </c>
      <c r="I38" s="148" t="s">
        <v>289</v>
      </c>
      <c r="J38" s="148" t="s">
        <v>285</v>
      </c>
      <c r="K38" s="148" t="s">
        <v>285</v>
      </c>
      <c r="L38" s="167"/>
      <c r="M38" s="167"/>
      <c r="N38" s="167"/>
      <c r="O38" s="167"/>
      <c r="P38" s="560"/>
      <c r="Q38" s="554" t="s">
        <v>755</v>
      </c>
    </row>
    <row r="39" spans="1:17" ht="35.5" customHeight="1" x14ac:dyDescent="0.35">
      <c r="A39" s="43"/>
      <c r="B39" s="575"/>
      <c r="C39" s="576"/>
      <c r="D39" s="164" t="s">
        <v>749</v>
      </c>
      <c r="E39" s="168" t="s">
        <v>2175</v>
      </c>
      <c r="F39" s="166" t="s">
        <v>8</v>
      </c>
      <c r="G39" s="158"/>
      <c r="H39" s="169" t="s">
        <v>976</v>
      </c>
      <c r="I39" s="148" t="s">
        <v>289</v>
      </c>
      <c r="J39" s="148" t="s">
        <v>285</v>
      </c>
      <c r="K39" s="148" t="s">
        <v>285</v>
      </c>
      <c r="L39" s="167"/>
      <c r="M39" s="167"/>
      <c r="N39" s="167"/>
      <c r="O39" s="167"/>
      <c r="P39" s="560"/>
      <c r="Q39" s="554"/>
    </row>
    <row r="40" spans="1:17" ht="74.150000000000006" customHeight="1" x14ac:dyDescent="0.35">
      <c r="A40" s="43"/>
      <c r="B40" s="575"/>
      <c r="C40" s="576"/>
      <c r="D40" s="164" t="s">
        <v>751</v>
      </c>
      <c r="E40" s="168" t="s">
        <v>2176</v>
      </c>
      <c r="F40" s="166" t="s">
        <v>8</v>
      </c>
      <c r="G40" s="158"/>
      <c r="H40" s="158" t="s">
        <v>973</v>
      </c>
      <c r="I40" s="148" t="s">
        <v>289</v>
      </c>
      <c r="J40" s="148" t="s">
        <v>285</v>
      </c>
      <c r="K40" s="148" t="s">
        <v>285</v>
      </c>
      <c r="L40" s="167"/>
      <c r="M40" s="167"/>
      <c r="N40" s="167"/>
      <c r="O40" s="167"/>
      <c r="P40" s="560"/>
      <c r="Q40" s="554"/>
    </row>
    <row r="41" spans="1:17" ht="143.15" customHeight="1" x14ac:dyDescent="0.35">
      <c r="A41" s="111">
        <v>8</v>
      </c>
      <c r="B41" s="548" t="s">
        <v>347</v>
      </c>
      <c r="C41" s="549" t="s">
        <v>757</v>
      </c>
      <c r="D41" s="154" t="s">
        <v>758</v>
      </c>
      <c r="E41" s="163" t="s">
        <v>772</v>
      </c>
      <c r="F41" s="143" t="s">
        <v>5</v>
      </c>
      <c r="G41" s="552" t="s">
        <v>2177</v>
      </c>
      <c r="H41" s="141" t="s">
        <v>977</v>
      </c>
      <c r="I41" s="145"/>
      <c r="J41" s="145"/>
      <c r="K41" s="145"/>
      <c r="L41" s="145"/>
      <c r="M41" s="145"/>
      <c r="N41" s="145"/>
      <c r="O41" s="145"/>
      <c r="P41" s="561" t="s">
        <v>2178</v>
      </c>
      <c r="Q41" s="552" t="s">
        <v>2179</v>
      </c>
    </row>
    <row r="42" spans="1:17" ht="28" customHeight="1" x14ac:dyDescent="0.35">
      <c r="A42" s="111"/>
      <c r="B42" s="548"/>
      <c r="C42" s="549"/>
      <c r="D42" s="154" t="s">
        <v>1800</v>
      </c>
      <c r="E42" s="170" t="s">
        <v>760</v>
      </c>
      <c r="F42" s="143" t="s">
        <v>8</v>
      </c>
      <c r="G42" s="552"/>
      <c r="H42" s="140"/>
      <c r="I42" s="145"/>
      <c r="J42" s="145"/>
      <c r="K42" s="145"/>
      <c r="L42" s="145"/>
      <c r="M42" s="145"/>
      <c r="N42" s="145"/>
      <c r="O42" s="145"/>
      <c r="P42" s="561"/>
      <c r="Q42" s="552"/>
    </row>
    <row r="43" spans="1:17" ht="28" x14ac:dyDescent="0.35">
      <c r="A43" s="111"/>
      <c r="B43" s="548"/>
      <c r="C43" s="549"/>
      <c r="D43" s="154" t="s">
        <v>761</v>
      </c>
      <c r="E43" s="170" t="s">
        <v>762</v>
      </c>
      <c r="F43" s="143" t="s">
        <v>13</v>
      </c>
      <c r="G43" s="552"/>
      <c r="H43" s="141"/>
      <c r="I43" s="145"/>
      <c r="J43" s="145"/>
      <c r="K43" s="145"/>
      <c r="L43" s="145"/>
      <c r="M43" s="145"/>
      <c r="N43" s="145"/>
      <c r="O43" s="145"/>
      <c r="P43" s="561"/>
      <c r="Q43" s="552"/>
    </row>
    <row r="44" spans="1:17" ht="56" x14ac:dyDescent="0.35">
      <c r="A44" s="111"/>
      <c r="B44" s="548"/>
      <c r="C44" s="549"/>
      <c r="D44" s="154" t="s">
        <v>1801</v>
      </c>
      <c r="E44" s="163" t="s">
        <v>765</v>
      </c>
      <c r="F44" s="143" t="s">
        <v>5</v>
      </c>
      <c r="G44" s="552"/>
      <c r="H44" s="140"/>
      <c r="I44" s="145"/>
      <c r="J44" s="145"/>
      <c r="K44" s="145"/>
      <c r="L44" s="145"/>
      <c r="M44" s="145"/>
      <c r="N44" s="145"/>
      <c r="O44" s="145"/>
      <c r="P44" s="561"/>
      <c r="Q44" s="552"/>
    </row>
    <row r="45" spans="1:17" ht="105.65" customHeight="1" x14ac:dyDescent="0.35">
      <c r="A45" s="111"/>
      <c r="B45" s="548"/>
      <c r="C45" s="549"/>
      <c r="D45" s="562" t="s">
        <v>764</v>
      </c>
      <c r="E45" s="170" t="s">
        <v>2180</v>
      </c>
      <c r="F45" s="143" t="s">
        <v>5</v>
      </c>
      <c r="G45" s="552"/>
      <c r="H45" s="141"/>
      <c r="I45" s="145"/>
      <c r="J45" s="145"/>
      <c r="K45" s="145"/>
      <c r="L45" s="145"/>
      <c r="M45" s="145"/>
      <c r="N45" s="145"/>
      <c r="O45" s="145"/>
      <c r="P45" s="561"/>
      <c r="Q45" s="552"/>
    </row>
    <row r="46" spans="1:17" ht="70" x14ac:dyDescent="0.35">
      <c r="A46" s="111"/>
      <c r="B46" s="548"/>
      <c r="C46" s="549"/>
      <c r="D46" s="562"/>
      <c r="E46" s="170" t="s">
        <v>2181</v>
      </c>
      <c r="F46" s="143" t="s">
        <v>5</v>
      </c>
      <c r="G46" s="552"/>
      <c r="H46" s="170"/>
      <c r="I46" s="145"/>
      <c r="J46" s="145"/>
      <c r="K46" s="145"/>
      <c r="L46" s="145"/>
      <c r="M46" s="145"/>
      <c r="N46" s="145"/>
      <c r="O46" s="145"/>
      <c r="P46" s="561"/>
      <c r="Q46" s="552"/>
    </row>
    <row r="47" spans="1:17" ht="70" x14ac:dyDescent="0.35">
      <c r="A47" s="111"/>
      <c r="B47" s="548"/>
      <c r="C47" s="549"/>
      <c r="D47" s="562"/>
      <c r="E47" s="170" t="s">
        <v>768</v>
      </c>
      <c r="F47" s="143" t="s">
        <v>5</v>
      </c>
      <c r="G47" s="552"/>
      <c r="H47" s="170"/>
      <c r="I47" s="145"/>
      <c r="J47" s="145"/>
      <c r="K47" s="145"/>
      <c r="L47" s="145"/>
      <c r="M47" s="145"/>
      <c r="N47" s="145"/>
      <c r="O47" s="145"/>
      <c r="P47" s="561"/>
      <c r="Q47" s="552"/>
    </row>
    <row r="48" spans="1:17" ht="70" x14ac:dyDescent="0.35">
      <c r="A48" s="111"/>
      <c r="B48" s="548"/>
      <c r="C48" s="549"/>
      <c r="D48" s="562"/>
      <c r="E48" s="140" t="s">
        <v>769</v>
      </c>
      <c r="F48" s="143" t="s">
        <v>5</v>
      </c>
      <c r="G48" s="552"/>
      <c r="H48" s="170"/>
      <c r="I48" s="145"/>
      <c r="J48" s="145"/>
      <c r="K48" s="145"/>
      <c r="L48" s="145"/>
      <c r="M48" s="145"/>
      <c r="N48" s="145"/>
      <c r="O48" s="145"/>
      <c r="P48" s="561"/>
      <c r="Q48" s="552"/>
    </row>
    <row r="49" spans="1:17" ht="50" x14ac:dyDescent="0.35">
      <c r="A49" s="111"/>
      <c r="B49" s="548"/>
      <c r="C49" s="549"/>
      <c r="D49" s="562"/>
      <c r="E49" s="161" t="s">
        <v>770</v>
      </c>
      <c r="F49" s="143" t="s">
        <v>5</v>
      </c>
      <c r="G49" s="552"/>
      <c r="H49" s="170"/>
      <c r="I49" s="145"/>
      <c r="J49" s="145"/>
      <c r="K49" s="145"/>
      <c r="L49" s="145"/>
      <c r="M49" s="145"/>
      <c r="N49" s="145"/>
      <c r="O49" s="145"/>
      <c r="P49" s="561"/>
      <c r="Q49" s="552"/>
    </row>
    <row r="50" spans="1:17" ht="87.5" x14ac:dyDescent="0.35">
      <c r="A50" s="111"/>
      <c r="B50" s="548"/>
      <c r="C50" s="549"/>
      <c r="D50" s="562"/>
      <c r="E50" s="161" t="s">
        <v>771</v>
      </c>
      <c r="F50" s="143" t="s">
        <v>5</v>
      </c>
      <c r="G50" s="552"/>
      <c r="H50" s="170"/>
      <c r="I50" s="145"/>
      <c r="J50" s="145"/>
      <c r="K50" s="145"/>
      <c r="L50" s="145"/>
      <c r="M50" s="145"/>
      <c r="N50" s="145"/>
      <c r="O50" s="145"/>
      <c r="P50" s="561"/>
      <c r="Q50" s="552"/>
    </row>
    <row r="51" spans="1:17" ht="56.15" customHeight="1" x14ac:dyDescent="0.35">
      <c r="A51" s="51">
        <v>9</v>
      </c>
      <c r="B51" s="575" t="s">
        <v>347</v>
      </c>
      <c r="C51" s="576" t="s">
        <v>781</v>
      </c>
      <c r="D51" s="164" t="s">
        <v>782</v>
      </c>
      <c r="E51" s="171" t="s">
        <v>786</v>
      </c>
      <c r="F51" s="166" t="s">
        <v>13</v>
      </c>
      <c r="G51" s="577" t="s">
        <v>822</v>
      </c>
      <c r="H51" s="155" t="s">
        <v>977</v>
      </c>
      <c r="I51" s="167"/>
      <c r="J51" s="167"/>
      <c r="K51" s="167"/>
      <c r="L51" s="167"/>
      <c r="M51" s="167"/>
      <c r="N51" s="167"/>
      <c r="O51" s="167"/>
      <c r="P51" s="560"/>
      <c r="Q51" s="563" t="s">
        <v>789</v>
      </c>
    </row>
    <row r="52" spans="1:17" ht="25" x14ac:dyDescent="0.35">
      <c r="A52" s="26"/>
      <c r="B52" s="575"/>
      <c r="C52" s="576"/>
      <c r="D52" s="164" t="s">
        <v>783</v>
      </c>
      <c r="E52" s="172"/>
      <c r="F52" s="166" t="s">
        <v>13</v>
      </c>
      <c r="G52" s="577"/>
      <c r="H52" s="158"/>
      <c r="I52" s="167"/>
      <c r="J52" s="167"/>
      <c r="K52" s="167"/>
      <c r="L52" s="167"/>
      <c r="M52" s="167"/>
      <c r="N52" s="167"/>
      <c r="O52" s="167"/>
      <c r="P52" s="560"/>
      <c r="Q52" s="563"/>
    </row>
    <row r="53" spans="1:17" ht="25" x14ac:dyDescent="0.35">
      <c r="A53" s="26"/>
      <c r="B53" s="575"/>
      <c r="C53" s="576"/>
      <c r="D53" s="164" t="s">
        <v>784</v>
      </c>
      <c r="E53" s="171" t="s">
        <v>785</v>
      </c>
      <c r="F53" s="166" t="s">
        <v>13</v>
      </c>
      <c r="G53" s="577"/>
      <c r="H53" s="158"/>
      <c r="I53" s="167"/>
      <c r="J53" s="167"/>
      <c r="K53" s="167"/>
      <c r="L53" s="167"/>
      <c r="M53" s="167"/>
      <c r="N53" s="167"/>
      <c r="O53" s="167"/>
      <c r="P53" s="560"/>
      <c r="Q53" s="563"/>
    </row>
    <row r="54" spans="1:17" ht="148.5" customHeight="1" x14ac:dyDescent="0.35">
      <c r="A54" s="26"/>
      <c r="B54" s="548" t="s">
        <v>347</v>
      </c>
      <c r="C54" s="549" t="s">
        <v>791</v>
      </c>
      <c r="D54" s="154" t="s">
        <v>792</v>
      </c>
      <c r="E54" s="173" t="s">
        <v>801</v>
      </c>
      <c r="F54" s="143" t="s">
        <v>5</v>
      </c>
      <c r="G54" s="559" t="s">
        <v>824</v>
      </c>
      <c r="H54" s="170"/>
      <c r="I54" s="145"/>
      <c r="J54" s="145"/>
      <c r="K54" s="145"/>
      <c r="L54" s="145"/>
      <c r="M54" s="145"/>
      <c r="N54" s="145"/>
      <c r="O54" s="145"/>
      <c r="P54" s="558"/>
      <c r="Q54" s="552" t="s">
        <v>802</v>
      </c>
    </row>
    <row r="55" spans="1:17" ht="28" x14ac:dyDescent="0.35">
      <c r="A55" s="26"/>
      <c r="B55" s="548"/>
      <c r="C55" s="549"/>
      <c r="D55" s="154" t="s">
        <v>793</v>
      </c>
      <c r="E55" s="173" t="s">
        <v>794</v>
      </c>
      <c r="F55" s="143" t="s">
        <v>5</v>
      </c>
      <c r="G55" s="552"/>
      <c r="H55" s="170"/>
      <c r="I55" s="145"/>
      <c r="J55" s="145"/>
      <c r="K55" s="145"/>
      <c r="L55" s="145"/>
      <c r="M55" s="145"/>
      <c r="N55" s="145"/>
      <c r="O55" s="145"/>
      <c r="P55" s="558"/>
      <c r="Q55" s="552"/>
    </row>
    <row r="56" spans="1:17" ht="28" x14ac:dyDescent="0.35">
      <c r="A56" s="26"/>
      <c r="B56" s="548"/>
      <c r="C56" s="549"/>
      <c r="D56" s="154" t="s">
        <v>795</v>
      </c>
      <c r="E56" s="173" t="s">
        <v>796</v>
      </c>
      <c r="F56" s="143" t="s">
        <v>5</v>
      </c>
      <c r="G56" s="552"/>
      <c r="H56" s="170"/>
      <c r="I56" s="145"/>
      <c r="J56" s="145"/>
      <c r="K56" s="145"/>
      <c r="L56" s="145"/>
      <c r="M56" s="145"/>
      <c r="N56" s="145"/>
      <c r="O56" s="145"/>
      <c r="P56" s="558"/>
      <c r="Q56" s="552"/>
    </row>
    <row r="57" spans="1:17" ht="28" x14ac:dyDescent="0.35">
      <c r="A57" s="26"/>
      <c r="B57" s="548"/>
      <c r="C57" s="549"/>
      <c r="D57" s="154" t="s">
        <v>797</v>
      </c>
      <c r="E57" s="173" t="s">
        <v>798</v>
      </c>
      <c r="F57" s="143" t="s">
        <v>5</v>
      </c>
      <c r="G57" s="552"/>
      <c r="H57" s="170"/>
      <c r="I57" s="145"/>
      <c r="J57" s="145"/>
      <c r="K57" s="145"/>
      <c r="L57" s="145"/>
      <c r="M57" s="145"/>
      <c r="N57" s="145"/>
      <c r="O57" s="145"/>
      <c r="P57" s="558"/>
      <c r="Q57" s="552"/>
    </row>
    <row r="58" spans="1:17" ht="28" x14ac:dyDescent="0.35">
      <c r="A58" s="26"/>
      <c r="B58" s="548"/>
      <c r="C58" s="549"/>
      <c r="D58" s="154" t="s">
        <v>799</v>
      </c>
      <c r="E58" s="173" t="s">
        <v>800</v>
      </c>
      <c r="F58" s="143" t="s">
        <v>5</v>
      </c>
      <c r="G58" s="552"/>
      <c r="H58" s="170"/>
      <c r="I58" s="145"/>
      <c r="J58" s="145"/>
      <c r="K58" s="145"/>
      <c r="L58" s="145"/>
      <c r="M58" s="145"/>
      <c r="N58" s="145"/>
      <c r="O58" s="145"/>
      <c r="P58" s="558"/>
      <c r="Q58" s="552"/>
    </row>
    <row r="59" spans="1:17" ht="192.65" customHeight="1" x14ac:dyDescent="0.35">
      <c r="A59" s="566">
        <v>10</v>
      </c>
      <c r="B59" s="174" t="s">
        <v>347</v>
      </c>
      <c r="C59" s="175" t="s">
        <v>804</v>
      </c>
      <c r="D59" s="147" t="s">
        <v>805</v>
      </c>
      <c r="E59" s="155" t="s">
        <v>803</v>
      </c>
      <c r="F59" s="148" t="s">
        <v>5</v>
      </c>
      <c r="G59" s="171" t="s">
        <v>2182</v>
      </c>
      <c r="H59" s="158"/>
      <c r="I59" s="150"/>
      <c r="J59" s="150"/>
      <c r="K59" s="150"/>
      <c r="L59" s="150"/>
      <c r="M59" s="150"/>
      <c r="N59" s="150"/>
      <c r="O59" s="150"/>
      <c r="P59" s="150"/>
      <c r="Q59" s="155" t="s">
        <v>809</v>
      </c>
    </row>
    <row r="60" spans="1:17" ht="128.15" customHeight="1" x14ac:dyDescent="0.35">
      <c r="A60" s="540"/>
      <c r="B60" s="176" t="s">
        <v>347</v>
      </c>
      <c r="C60" s="177" t="s">
        <v>807</v>
      </c>
      <c r="D60" s="154" t="s">
        <v>812</v>
      </c>
      <c r="E60" s="140" t="s">
        <v>810</v>
      </c>
      <c r="F60" s="143" t="s">
        <v>5</v>
      </c>
      <c r="G60" s="173" t="s">
        <v>828</v>
      </c>
      <c r="H60" s="140"/>
      <c r="I60" s="145"/>
      <c r="J60" s="145"/>
      <c r="K60" s="145"/>
      <c r="L60" s="145"/>
      <c r="M60" s="145"/>
      <c r="N60" s="145"/>
      <c r="O60" s="145"/>
      <c r="P60" s="145"/>
      <c r="Q60" s="140" t="s">
        <v>813</v>
      </c>
    </row>
    <row r="61" spans="1:17" x14ac:dyDescent="0.35">
      <c r="A61" s="567"/>
      <c r="B61" s="112"/>
      <c r="C61" s="113"/>
      <c r="D61" s="114"/>
      <c r="F61" s="115"/>
      <c r="G61" s="115"/>
      <c r="I61" s="116"/>
      <c r="J61" s="116"/>
      <c r="K61" s="116"/>
      <c r="L61" s="116"/>
      <c r="M61" s="116"/>
      <c r="N61" s="116"/>
      <c r="O61" s="117"/>
      <c r="P61" s="118"/>
      <c r="Q61" s="37"/>
    </row>
    <row r="62" spans="1:17" x14ac:dyDescent="0.35">
      <c r="A62" s="567"/>
      <c r="B62" s="119"/>
      <c r="C62" s="120"/>
      <c r="D62" s="121"/>
      <c r="E62" s="122"/>
      <c r="F62" s="123"/>
      <c r="G62" s="123"/>
      <c r="H62" s="124"/>
      <c r="I62" s="125"/>
      <c r="J62" s="125"/>
      <c r="K62" s="125"/>
      <c r="L62" s="125"/>
      <c r="M62" s="125"/>
      <c r="N62" s="125"/>
      <c r="O62" s="126"/>
      <c r="P62" s="127"/>
      <c r="Q62" s="127"/>
    </row>
    <row r="63" spans="1:17" x14ac:dyDescent="0.35">
      <c r="A63" s="567"/>
      <c r="B63" s="119"/>
      <c r="C63" s="120"/>
      <c r="D63" s="121"/>
      <c r="F63" s="123"/>
      <c r="G63" s="123"/>
      <c r="H63" s="124"/>
      <c r="I63" s="125"/>
      <c r="J63" s="125"/>
      <c r="K63" s="125"/>
      <c r="L63" s="125"/>
      <c r="M63" s="125"/>
      <c r="N63" s="125"/>
      <c r="O63" s="126"/>
      <c r="P63" s="127"/>
      <c r="Q63" s="127"/>
    </row>
    <row r="64" spans="1:17" x14ac:dyDescent="0.35">
      <c r="A64" s="567"/>
      <c r="B64" s="119"/>
      <c r="C64" s="120"/>
      <c r="D64" s="121"/>
      <c r="E64" s="122"/>
      <c r="F64" s="123"/>
      <c r="G64" s="123"/>
      <c r="H64" s="124"/>
      <c r="I64" s="125"/>
      <c r="J64" s="125"/>
      <c r="K64" s="125"/>
      <c r="L64" s="125"/>
      <c r="M64" s="125"/>
      <c r="N64" s="125"/>
      <c r="O64" s="126"/>
      <c r="P64" s="127"/>
      <c r="Q64" s="127"/>
    </row>
    <row r="65" spans="1:17" x14ac:dyDescent="0.35">
      <c r="A65" s="567"/>
      <c r="B65" s="119"/>
      <c r="C65" s="120"/>
      <c r="D65" s="121"/>
      <c r="F65" s="123"/>
      <c r="G65" s="123"/>
      <c r="H65" s="124"/>
      <c r="I65" s="125"/>
      <c r="J65" s="125"/>
      <c r="K65" s="125"/>
      <c r="L65" s="125"/>
      <c r="M65" s="125"/>
      <c r="N65" s="125"/>
      <c r="O65" s="126"/>
      <c r="P65" s="127"/>
      <c r="Q65" s="127"/>
    </row>
    <row r="66" spans="1:17" x14ac:dyDescent="0.35">
      <c r="A66" s="567"/>
      <c r="B66" s="119"/>
      <c r="C66" s="76"/>
      <c r="D66" s="54"/>
      <c r="E66" s="55"/>
      <c r="F66" s="56"/>
      <c r="G66" s="56"/>
      <c r="H66" s="57"/>
      <c r="I66" s="58"/>
      <c r="J66" s="58"/>
      <c r="K66" s="58"/>
      <c r="L66" s="58"/>
      <c r="M66" s="58"/>
      <c r="N66" s="58"/>
      <c r="O66" s="59"/>
      <c r="P66" s="40"/>
      <c r="Q66" s="40"/>
    </row>
    <row r="67" spans="1:17" x14ac:dyDescent="0.35">
      <c r="A67" s="567"/>
      <c r="B67" s="119"/>
      <c r="C67" s="76"/>
      <c r="D67" s="54"/>
      <c r="E67" s="55"/>
      <c r="F67" s="56"/>
      <c r="G67" s="56"/>
      <c r="H67" s="57"/>
      <c r="I67" s="58"/>
      <c r="J67" s="58"/>
      <c r="K67" s="58"/>
      <c r="L67" s="58"/>
      <c r="M67" s="58"/>
      <c r="N67" s="58"/>
      <c r="O67" s="59"/>
      <c r="P67" s="40"/>
      <c r="Q67" s="40"/>
    </row>
    <row r="68" spans="1:17" x14ac:dyDescent="0.35">
      <c r="A68" s="568"/>
      <c r="B68" s="128"/>
      <c r="C68" s="77"/>
      <c r="D68" s="60"/>
      <c r="E68" s="61"/>
      <c r="F68" s="62"/>
      <c r="G68" s="62"/>
      <c r="H68" s="63"/>
      <c r="I68" s="64"/>
      <c r="J68" s="64"/>
      <c r="K68" s="64"/>
      <c r="L68" s="64"/>
      <c r="M68" s="64"/>
      <c r="N68" s="64"/>
      <c r="O68" s="65"/>
      <c r="P68" s="40"/>
      <c r="Q68" s="40"/>
    </row>
    <row r="69" spans="1:17" x14ac:dyDescent="0.35">
      <c r="A69" s="547">
        <v>11</v>
      </c>
      <c r="B69" s="571"/>
      <c r="C69" s="573"/>
      <c r="D69" s="42"/>
      <c r="E69" s="66"/>
      <c r="F69" s="67"/>
      <c r="G69" s="67"/>
      <c r="H69" s="68"/>
      <c r="I69" s="40"/>
      <c r="J69" s="40"/>
      <c r="K69" s="40"/>
      <c r="L69" s="40"/>
      <c r="M69" s="40"/>
      <c r="N69" s="40"/>
      <c r="O69" s="41"/>
      <c r="P69" s="40"/>
      <c r="Q69" s="40"/>
    </row>
    <row r="70" spans="1:17" x14ac:dyDescent="0.35">
      <c r="A70" s="569"/>
      <c r="B70" s="571"/>
      <c r="C70" s="573"/>
      <c r="D70" s="42"/>
      <c r="E70" s="68"/>
      <c r="F70" s="40"/>
      <c r="G70" s="40"/>
      <c r="H70" s="68"/>
      <c r="I70" s="40"/>
      <c r="J70" s="40"/>
      <c r="K70" s="40"/>
      <c r="L70" s="40"/>
      <c r="M70" s="40"/>
      <c r="N70" s="40"/>
      <c r="O70" s="41"/>
      <c r="P70" s="40"/>
      <c r="Q70" s="40"/>
    </row>
    <row r="71" spans="1:17" x14ac:dyDescent="0.35">
      <c r="A71" s="569"/>
      <c r="B71" s="571"/>
      <c r="C71" s="573"/>
      <c r="D71" s="42"/>
      <c r="E71" s="69"/>
      <c r="F71" s="40"/>
      <c r="G71" s="40"/>
      <c r="H71" s="68"/>
      <c r="I71" s="40"/>
      <c r="J71" s="40"/>
      <c r="K71" s="40"/>
      <c r="L71" s="40"/>
      <c r="M71" s="40"/>
      <c r="N71" s="40"/>
      <c r="O71" s="41"/>
      <c r="P71" s="40"/>
      <c r="Q71" s="40"/>
    </row>
    <row r="72" spans="1:17" ht="15" thickBot="1" x14ac:dyDescent="0.4">
      <c r="A72" s="570"/>
      <c r="B72" s="572"/>
      <c r="C72" s="574"/>
      <c r="D72" s="70"/>
      <c r="E72" s="71"/>
      <c r="F72" s="72"/>
      <c r="G72" s="72"/>
      <c r="H72" s="73"/>
      <c r="I72" s="72"/>
      <c r="J72" s="72"/>
      <c r="K72" s="72"/>
      <c r="L72" s="72"/>
      <c r="M72" s="72"/>
      <c r="N72" s="72"/>
      <c r="O72" s="74"/>
      <c r="P72" s="72"/>
      <c r="Q72" s="72"/>
    </row>
  </sheetData>
  <mergeCells count="67">
    <mergeCell ref="B1:K2"/>
    <mergeCell ref="B3:K4"/>
    <mergeCell ref="A59:A68"/>
    <mergeCell ref="A69:A72"/>
    <mergeCell ref="B69:B72"/>
    <mergeCell ref="C69:C72"/>
    <mergeCell ref="B51:B53"/>
    <mergeCell ref="C51:C53"/>
    <mergeCell ref="G51:G53"/>
    <mergeCell ref="B38:B40"/>
    <mergeCell ref="C38:C40"/>
    <mergeCell ref="C22:C30"/>
    <mergeCell ref="G6:G7"/>
    <mergeCell ref="H6:H7"/>
    <mergeCell ref="I6:K6"/>
    <mergeCell ref="G22:G30"/>
    <mergeCell ref="P51:P53"/>
    <mergeCell ref="Q51:Q53"/>
    <mergeCell ref="B54:B58"/>
    <mergeCell ref="C54:C58"/>
    <mergeCell ref="G54:G58"/>
    <mergeCell ref="P54:P58"/>
    <mergeCell ref="Q54:Q58"/>
    <mergeCell ref="P38:P40"/>
    <mergeCell ref="Q38:Q40"/>
    <mergeCell ref="B41:B50"/>
    <mergeCell ref="C41:C50"/>
    <mergeCell ref="G41:G50"/>
    <mergeCell ref="P41:P50"/>
    <mergeCell ref="Q41:Q50"/>
    <mergeCell ref="D45:D50"/>
    <mergeCell ref="P22:P30"/>
    <mergeCell ref="Q35:Q37"/>
    <mergeCell ref="A31:A34"/>
    <mergeCell ref="B31:B34"/>
    <mergeCell ref="C31:C34"/>
    <mergeCell ref="G31:G34"/>
    <mergeCell ref="P31:P34"/>
    <mergeCell ref="Q31:Q34"/>
    <mergeCell ref="A35:A37"/>
    <mergeCell ref="B35:B37"/>
    <mergeCell ref="C35:C37"/>
    <mergeCell ref="G35:G37"/>
    <mergeCell ref="P35:P37"/>
    <mergeCell ref="Q22:Q30"/>
    <mergeCell ref="A22:A30"/>
    <mergeCell ref="B22:B30"/>
    <mergeCell ref="Q8:Q16"/>
    <mergeCell ref="A17:A21"/>
    <mergeCell ref="B17:B21"/>
    <mergeCell ref="C17:C21"/>
    <mergeCell ref="G17:G21"/>
    <mergeCell ref="P17:P21"/>
    <mergeCell ref="Q17:Q21"/>
    <mergeCell ref="A8:A16"/>
    <mergeCell ref="B8:B16"/>
    <mergeCell ref="C8:C16"/>
    <mergeCell ref="G8:G16"/>
    <mergeCell ref="P8:P16"/>
    <mergeCell ref="L6:O6"/>
    <mergeCell ref="Q6:Q7"/>
    <mergeCell ref="F6:F7"/>
    <mergeCell ref="A6:A7"/>
    <mergeCell ref="B6:B7"/>
    <mergeCell ref="C6:C7"/>
    <mergeCell ref="D6:D7"/>
    <mergeCell ref="E6:E7"/>
  </mergeCells>
  <hyperlinks>
    <hyperlink ref="B5" location="Home!A1" display="Home" xr:uid="{00000000-0004-0000-0900-000000000000}"/>
  </hyperlink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B1:M138"/>
  <sheetViews>
    <sheetView showGridLines="0" tabSelected="1" topLeftCell="A75" zoomScale="90" zoomScaleNormal="90" workbookViewId="0">
      <selection activeCell="A95" sqref="A95"/>
    </sheetView>
  </sheetViews>
  <sheetFormatPr defaultColWidth="8.7265625" defaultRowHeight="12.5" x14ac:dyDescent="0.35"/>
  <cols>
    <col min="1" max="1" width="1.7265625" style="253" customWidth="1"/>
    <col min="2" max="2" width="13.453125" style="253" customWidth="1"/>
    <col min="3" max="3" width="125.1796875" style="253" customWidth="1"/>
    <col min="4" max="4" width="17" style="253" customWidth="1"/>
    <col min="5" max="5" width="26.54296875" style="253" bestFit="1" customWidth="1"/>
    <col min="6" max="6" width="8.26953125" style="253" customWidth="1"/>
    <col min="7" max="7" width="18" style="253" customWidth="1"/>
    <col min="8" max="8" width="17.1796875" style="253" customWidth="1"/>
    <col min="9" max="9" width="17.26953125" style="253" customWidth="1"/>
    <col min="10" max="10" width="16.54296875" style="253" bestFit="1" customWidth="1"/>
    <col min="11" max="11" width="19.7265625" style="253" customWidth="1"/>
    <col min="12" max="16384" width="8.7265625" style="253"/>
  </cols>
  <sheetData>
    <row r="1" spans="2:13" ht="32.15" customHeight="1" x14ac:dyDescent="0.35">
      <c r="B1" s="229" t="s">
        <v>1709</v>
      </c>
      <c r="C1" s="592" t="s">
        <v>2145</v>
      </c>
      <c r="D1" s="592"/>
      <c r="E1" s="592"/>
      <c r="F1" s="592"/>
      <c r="G1" s="592"/>
      <c r="H1" s="592"/>
    </row>
    <row r="2" spans="2:13" ht="20" x14ac:dyDescent="0.35">
      <c r="B2" s="254" t="s">
        <v>1759</v>
      </c>
    </row>
    <row r="4" spans="2:13" x14ac:dyDescent="0.35">
      <c r="B4" s="253" t="s">
        <v>2183</v>
      </c>
    </row>
    <row r="5" spans="2:13" x14ac:dyDescent="0.35">
      <c r="B5" s="255" t="s">
        <v>2184</v>
      </c>
    </row>
    <row r="6" spans="2:13" x14ac:dyDescent="0.35">
      <c r="B6" s="255" t="s">
        <v>2185</v>
      </c>
    </row>
    <row r="7" spans="2:13" x14ac:dyDescent="0.35">
      <c r="B7" s="255" t="s">
        <v>1760</v>
      </c>
    </row>
    <row r="8" spans="2:13" x14ac:dyDescent="0.35">
      <c r="B8" s="255" t="s">
        <v>2186</v>
      </c>
    </row>
    <row r="9" spans="2:13" ht="30.65" customHeight="1" x14ac:dyDescent="0.35">
      <c r="B9" s="596" t="s">
        <v>1761</v>
      </c>
      <c r="C9" s="596"/>
      <c r="D9" s="596"/>
      <c r="E9" s="596"/>
      <c r="F9" s="596"/>
      <c r="G9" s="596"/>
    </row>
    <row r="10" spans="2:13" x14ac:dyDescent="0.25">
      <c r="B10" s="256"/>
      <c r="C10" s="256"/>
      <c r="D10" s="256"/>
      <c r="E10" s="256"/>
      <c r="F10" s="256"/>
      <c r="G10" s="256"/>
      <c r="H10" s="21"/>
      <c r="I10" s="21"/>
    </row>
    <row r="11" spans="2:13" ht="15.5" x14ac:dyDescent="0.25">
      <c r="B11" s="257" t="s">
        <v>1762</v>
      </c>
      <c r="C11" s="256"/>
      <c r="D11" s="256"/>
      <c r="E11" s="256"/>
      <c r="F11" s="256"/>
      <c r="G11" s="256"/>
      <c r="H11" s="21"/>
      <c r="I11" s="21"/>
    </row>
    <row r="12" spans="2:13" ht="13" x14ac:dyDescent="0.35">
      <c r="G12" s="597" t="s">
        <v>2013</v>
      </c>
      <c r="H12" s="597"/>
      <c r="I12" s="597"/>
      <c r="J12" s="258" t="s">
        <v>2014</v>
      </c>
      <c r="M12" s="425" t="s">
        <v>2016</v>
      </c>
    </row>
    <row r="13" spans="2:13" s="336" customFormat="1" ht="26.5" customHeight="1" x14ac:dyDescent="0.35">
      <c r="B13" s="424" t="s">
        <v>1038</v>
      </c>
      <c r="C13" s="424" t="s">
        <v>697</v>
      </c>
      <c r="D13" s="424" t="s">
        <v>693</v>
      </c>
      <c r="E13" s="424" t="s">
        <v>1763</v>
      </c>
      <c r="F13" s="424" t="s">
        <v>1764</v>
      </c>
      <c r="G13" s="424" t="s">
        <v>358</v>
      </c>
      <c r="H13" s="424" t="s">
        <v>694</v>
      </c>
      <c r="I13" s="424" t="s">
        <v>274</v>
      </c>
      <c r="J13" s="424" t="s">
        <v>967</v>
      </c>
      <c r="K13" s="424" t="s">
        <v>708</v>
      </c>
      <c r="M13" s="425" t="s">
        <v>2015</v>
      </c>
    </row>
    <row r="14" spans="2:13" ht="51.65" customHeight="1" x14ac:dyDescent="0.35">
      <c r="B14" s="584" t="s">
        <v>1765</v>
      </c>
      <c r="C14" s="259" t="s">
        <v>282</v>
      </c>
      <c r="D14" s="260" t="s">
        <v>695</v>
      </c>
      <c r="E14" s="584" t="s">
        <v>1766</v>
      </c>
      <c r="F14" s="584" t="s">
        <v>1767</v>
      </c>
      <c r="G14" s="261" t="s">
        <v>949</v>
      </c>
      <c r="H14" s="261" t="s">
        <v>956</v>
      </c>
      <c r="I14" s="261" t="s">
        <v>698</v>
      </c>
      <c r="J14" s="261" t="s">
        <v>289</v>
      </c>
      <c r="K14" s="262" t="s">
        <v>1768</v>
      </c>
    </row>
    <row r="15" spans="2:13" ht="42" customHeight="1" x14ac:dyDescent="0.35">
      <c r="B15" s="585"/>
      <c r="C15" s="263" t="s">
        <v>286</v>
      </c>
      <c r="D15" s="264" t="s">
        <v>2160</v>
      </c>
      <c r="E15" s="585"/>
      <c r="F15" s="585"/>
      <c r="G15" s="265" t="s">
        <v>1769</v>
      </c>
      <c r="H15" s="266"/>
      <c r="I15" s="265" t="s">
        <v>956</v>
      </c>
      <c r="J15" s="265"/>
      <c r="K15" s="267" t="s">
        <v>1770</v>
      </c>
    </row>
    <row r="16" spans="2:13" ht="43" customHeight="1" x14ac:dyDescent="0.35">
      <c r="B16" s="585"/>
      <c r="C16" s="263" t="s">
        <v>290</v>
      </c>
      <c r="D16" s="264" t="s">
        <v>696</v>
      </c>
      <c r="E16" s="585"/>
      <c r="F16" s="585"/>
      <c r="G16" s="265" t="s">
        <v>1771</v>
      </c>
      <c r="H16" s="265" t="s">
        <v>1039</v>
      </c>
      <c r="I16" s="265" t="s">
        <v>1772</v>
      </c>
      <c r="J16" s="265"/>
      <c r="K16" s="268"/>
    </row>
    <row r="17" spans="2:11" ht="52" customHeight="1" x14ac:dyDescent="0.35">
      <c r="B17" s="585"/>
      <c r="C17" s="263" t="s">
        <v>297</v>
      </c>
      <c r="D17" s="264" t="s">
        <v>701</v>
      </c>
      <c r="E17" s="585"/>
      <c r="F17" s="585"/>
      <c r="G17" s="265" t="s">
        <v>1773</v>
      </c>
      <c r="H17" s="266"/>
      <c r="I17" s="266"/>
      <c r="J17" s="266" t="s">
        <v>289</v>
      </c>
      <c r="K17" s="268"/>
    </row>
    <row r="18" spans="2:11" ht="34.5" customHeight="1" x14ac:dyDescent="0.35">
      <c r="B18" s="585"/>
      <c r="C18" s="263" t="s">
        <v>300</v>
      </c>
      <c r="D18" s="264" t="s">
        <v>700</v>
      </c>
      <c r="E18" s="585"/>
      <c r="F18" s="585"/>
      <c r="G18" s="266"/>
      <c r="H18" s="266"/>
      <c r="I18" s="266" t="s">
        <v>1774</v>
      </c>
      <c r="J18" s="266"/>
      <c r="K18" s="268"/>
    </row>
    <row r="19" spans="2:11" ht="33.65" customHeight="1" x14ac:dyDescent="0.35">
      <c r="B19" s="586"/>
      <c r="C19" s="263" t="s">
        <v>304</v>
      </c>
      <c r="D19" s="264" t="s">
        <v>702</v>
      </c>
      <c r="E19" s="586"/>
      <c r="F19" s="586"/>
      <c r="G19" s="266"/>
      <c r="H19" s="266"/>
      <c r="I19" s="266" t="s">
        <v>1775</v>
      </c>
      <c r="J19" s="266" t="s">
        <v>289</v>
      </c>
      <c r="K19" s="268"/>
    </row>
    <row r="20" spans="2:11" ht="37.5" customHeight="1" x14ac:dyDescent="0.35">
      <c r="B20" s="591" t="s">
        <v>1776</v>
      </c>
      <c r="C20" s="239" t="s">
        <v>307</v>
      </c>
      <c r="D20" s="269" t="s">
        <v>309</v>
      </c>
      <c r="E20" s="591" t="s">
        <v>1777</v>
      </c>
      <c r="F20" s="591" t="s">
        <v>2187</v>
      </c>
      <c r="G20" s="238"/>
      <c r="H20" s="238"/>
      <c r="I20" s="238"/>
      <c r="J20" s="238" t="s">
        <v>289</v>
      </c>
      <c r="K20" s="267" t="s">
        <v>1078</v>
      </c>
    </row>
    <row r="21" spans="2:11" ht="76" customHeight="1" x14ac:dyDescent="0.35">
      <c r="B21" s="589"/>
      <c r="C21" s="239" t="s">
        <v>310</v>
      </c>
      <c r="D21" s="269" t="s">
        <v>703</v>
      </c>
      <c r="E21" s="589"/>
      <c r="F21" s="589"/>
      <c r="G21" s="238"/>
      <c r="H21" s="238"/>
      <c r="I21" s="587" t="s">
        <v>1077</v>
      </c>
      <c r="J21" s="237"/>
      <c r="K21" s="587" t="s">
        <v>1076</v>
      </c>
    </row>
    <row r="22" spans="2:11" ht="31.5" customHeight="1" x14ac:dyDescent="0.35">
      <c r="B22" s="589"/>
      <c r="C22" s="267" t="s">
        <v>1495</v>
      </c>
      <c r="D22" s="269" t="s">
        <v>699</v>
      </c>
      <c r="E22" s="589"/>
      <c r="F22" s="589"/>
      <c r="G22" s="238"/>
      <c r="H22" s="238"/>
      <c r="I22" s="587"/>
      <c r="J22" s="237"/>
      <c r="K22" s="587"/>
    </row>
    <row r="23" spans="2:11" ht="25" x14ac:dyDescent="0.35">
      <c r="B23" s="589"/>
      <c r="C23" s="267" t="s">
        <v>318</v>
      </c>
      <c r="D23" s="269" t="s">
        <v>704</v>
      </c>
      <c r="E23" s="589"/>
      <c r="F23" s="589"/>
      <c r="G23" s="238"/>
      <c r="H23" s="238"/>
      <c r="I23" s="587"/>
      <c r="J23" s="237"/>
      <c r="K23" s="587"/>
    </row>
    <row r="24" spans="2:11" ht="36" customHeight="1" x14ac:dyDescent="0.35">
      <c r="B24" s="588" t="s">
        <v>1778</v>
      </c>
      <c r="C24" s="263" t="s">
        <v>322</v>
      </c>
      <c r="D24" s="264" t="s">
        <v>705</v>
      </c>
      <c r="E24" s="588" t="s">
        <v>1779</v>
      </c>
      <c r="F24" s="588" t="s">
        <v>1780</v>
      </c>
      <c r="G24" s="266"/>
      <c r="H24" s="265" t="s">
        <v>956</v>
      </c>
      <c r="I24" s="265" t="s">
        <v>970</v>
      </c>
      <c r="J24" s="266"/>
      <c r="K24" s="267" t="s">
        <v>1781</v>
      </c>
    </row>
    <row r="25" spans="2:11" ht="37.5" customHeight="1" x14ac:dyDescent="0.35">
      <c r="B25" s="588"/>
      <c r="C25" s="263" t="s">
        <v>325</v>
      </c>
      <c r="D25" s="264" t="s">
        <v>2160</v>
      </c>
      <c r="E25" s="588"/>
      <c r="F25" s="588"/>
      <c r="G25" s="266"/>
      <c r="H25" s="266"/>
      <c r="I25" s="265"/>
      <c r="J25" s="265" t="s">
        <v>289</v>
      </c>
      <c r="K25" s="268" t="s">
        <v>1078</v>
      </c>
    </row>
    <row r="26" spans="2:11" ht="37.5" x14ac:dyDescent="0.35">
      <c r="B26" s="588"/>
      <c r="C26" s="263" t="s">
        <v>329</v>
      </c>
      <c r="D26" s="264" t="s">
        <v>1782</v>
      </c>
      <c r="E26" s="588"/>
      <c r="F26" s="588"/>
      <c r="G26" s="266"/>
      <c r="H26" s="265" t="s">
        <v>956</v>
      </c>
      <c r="I26" s="265" t="s">
        <v>968</v>
      </c>
      <c r="J26" s="265"/>
      <c r="K26" s="268"/>
    </row>
    <row r="27" spans="2:11" ht="62.5" x14ac:dyDescent="0.35">
      <c r="B27" s="588"/>
      <c r="C27" s="263" t="s">
        <v>332</v>
      </c>
      <c r="D27" s="264" t="s">
        <v>1783</v>
      </c>
      <c r="E27" s="588"/>
      <c r="F27" s="588"/>
      <c r="G27" s="266"/>
      <c r="H27" s="266"/>
      <c r="I27" s="265" t="s">
        <v>969</v>
      </c>
      <c r="J27" s="265"/>
      <c r="K27" s="268"/>
    </row>
    <row r="28" spans="2:11" ht="100" x14ac:dyDescent="0.35">
      <c r="B28" s="588"/>
      <c r="C28" s="263" t="s">
        <v>335</v>
      </c>
      <c r="D28" s="264" t="s">
        <v>706</v>
      </c>
      <c r="E28" s="588"/>
      <c r="F28" s="588"/>
      <c r="G28" s="266" t="s">
        <v>228</v>
      </c>
      <c r="H28" s="266"/>
      <c r="I28" s="266"/>
      <c r="J28" s="266" t="s">
        <v>289</v>
      </c>
      <c r="K28" s="268" t="s">
        <v>1784</v>
      </c>
    </row>
    <row r="29" spans="2:11" ht="25" x14ac:dyDescent="0.35">
      <c r="B29" s="588"/>
      <c r="C29" s="263" t="s">
        <v>338</v>
      </c>
      <c r="D29" s="264" t="s">
        <v>340</v>
      </c>
      <c r="E29" s="588"/>
      <c r="F29" s="588"/>
      <c r="G29" s="266"/>
      <c r="H29" s="266"/>
      <c r="I29" s="266"/>
      <c r="J29" s="266" t="s">
        <v>289</v>
      </c>
      <c r="K29" s="268"/>
    </row>
    <row r="30" spans="2:11" ht="25" x14ac:dyDescent="0.35">
      <c r="B30" s="588"/>
      <c r="C30" s="263" t="s">
        <v>341</v>
      </c>
      <c r="D30" s="264" t="s">
        <v>294</v>
      </c>
      <c r="E30" s="588"/>
      <c r="F30" s="588"/>
      <c r="G30" s="266"/>
      <c r="H30" s="266"/>
      <c r="I30" s="266"/>
      <c r="J30" s="266"/>
      <c r="K30" s="267" t="s">
        <v>707</v>
      </c>
    </row>
    <row r="31" spans="2:11" ht="67.5" customHeight="1" x14ac:dyDescent="0.35">
      <c r="B31" s="589" t="s">
        <v>1785</v>
      </c>
      <c r="C31" s="270" t="s">
        <v>978</v>
      </c>
      <c r="D31" s="271" t="s">
        <v>971</v>
      </c>
      <c r="E31" s="589" t="s">
        <v>1766</v>
      </c>
      <c r="F31" s="589" t="s">
        <v>1786</v>
      </c>
      <c r="G31" s="587" t="s">
        <v>1787</v>
      </c>
      <c r="H31" s="238"/>
      <c r="I31" s="237"/>
      <c r="J31" s="238"/>
      <c r="K31" s="268"/>
    </row>
    <row r="32" spans="2:11" ht="75.650000000000006" customHeight="1" x14ac:dyDescent="0.35">
      <c r="B32" s="589"/>
      <c r="C32" s="270" t="s">
        <v>725</v>
      </c>
      <c r="D32" s="271" t="s">
        <v>972</v>
      </c>
      <c r="E32" s="589"/>
      <c r="F32" s="589"/>
      <c r="G32" s="587"/>
      <c r="H32" s="238"/>
      <c r="I32" s="238"/>
      <c r="J32" s="238"/>
      <c r="K32" s="268"/>
    </row>
    <row r="33" spans="2:11" ht="67.5" customHeight="1" x14ac:dyDescent="0.35">
      <c r="B33" s="590"/>
      <c r="C33" s="271" t="s">
        <v>1496</v>
      </c>
      <c r="D33" s="271" t="s">
        <v>1788</v>
      </c>
      <c r="E33" s="590"/>
      <c r="F33" s="590"/>
      <c r="G33" s="237" t="s">
        <v>1789</v>
      </c>
      <c r="H33" s="238"/>
      <c r="I33" s="238"/>
      <c r="J33" s="238" t="s">
        <v>289</v>
      </c>
      <c r="K33" s="268"/>
    </row>
    <row r="34" spans="2:11" ht="148.5" customHeight="1" x14ac:dyDescent="0.35">
      <c r="B34" s="272" t="s">
        <v>1790</v>
      </c>
      <c r="C34" s="263" t="s">
        <v>1497</v>
      </c>
      <c r="D34" s="263" t="s">
        <v>974</v>
      </c>
      <c r="E34" s="272" t="s">
        <v>1791</v>
      </c>
      <c r="F34" s="272" t="s">
        <v>1792</v>
      </c>
      <c r="G34" s="272" t="s">
        <v>1792</v>
      </c>
      <c r="H34" s="266"/>
      <c r="I34" s="266"/>
      <c r="J34" s="266"/>
      <c r="K34" s="268"/>
    </row>
    <row r="35" spans="2:11" ht="62.5" customHeight="1" x14ac:dyDescent="0.35">
      <c r="B35" s="589" t="s">
        <v>1793</v>
      </c>
      <c r="C35" s="271" t="s">
        <v>773</v>
      </c>
      <c r="D35" s="271" t="s">
        <v>1794</v>
      </c>
      <c r="E35" s="589" t="s">
        <v>1795</v>
      </c>
      <c r="F35" s="589" t="s">
        <v>1796</v>
      </c>
      <c r="G35" s="237" t="s">
        <v>1797</v>
      </c>
      <c r="H35" s="238"/>
      <c r="I35" s="238"/>
      <c r="J35" s="238"/>
      <c r="K35" s="268"/>
    </row>
    <row r="36" spans="2:11" ht="14.5" customHeight="1" x14ac:dyDescent="0.35">
      <c r="B36" s="589"/>
      <c r="C36" s="271" t="s">
        <v>749</v>
      </c>
      <c r="D36" s="268" t="s">
        <v>974</v>
      </c>
      <c r="E36" s="589"/>
      <c r="F36" s="589"/>
      <c r="G36" s="587" t="s">
        <v>1798</v>
      </c>
      <c r="H36" s="238"/>
      <c r="I36" s="238"/>
      <c r="J36" s="238"/>
      <c r="K36" s="268"/>
    </row>
    <row r="37" spans="2:11" ht="58" customHeight="1" x14ac:dyDescent="0.35">
      <c r="B37" s="589"/>
      <c r="C37" s="271" t="s">
        <v>751</v>
      </c>
      <c r="D37" s="271" t="s">
        <v>1788</v>
      </c>
      <c r="E37" s="589"/>
      <c r="F37" s="589"/>
      <c r="G37" s="587"/>
      <c r="H37" s="238"/>
      <c r="I37" s="238"/>
      <c r="J37" s="238" t="s">
        <v>289</v>
      </c>
      <c r="K37" s="268"/>
    </row>
    <row r="38" spans="2:11" ht="28" customHeight="1" x14ac:dyDescent="0.35">
      <c r="B38" s="588" t="s">
        <v>1799</v>
      </c>
      <c r="C38" s="273" t="s">
        <v>1498</v>
      </c>
      <c r="D38" s="273"/>
      <c r="E38" s="588"/>
      <c r="F38" s="588"/>
      <c r="G38" s="266"/>
      <c r="H38" s="266"/>
      <c r="I38" s="266"/>
      <c r="J38" s="266" t="s">
        <v>289</v>
      </c>
      <c r="K38" s="268"/>
    </row>
    <row r="39" spans="2:11" ht="28" customHeight="1" x14ac:dyDescent="0.35">
      <c r="B39" s="588"/>
      <c r="C39" s="273" t="s">
        <v>1800</v>
      </c>
      <c r="D39" s="273" t="s">
        <v>977</v>
      </c>
      <c r="E39" s="588"/>
      <c r="F39" s="588"/>
      <c r="G39" s="266"/>
      <c r="H39" s="266"/>
      <c r="I39" s="266"/>
      <c r="J39" s="266" t="s">
        <v>289</v>
      </c>
      <c r="K39" s="268"/>
    </row>
    <row r="40" spans="2:11" ht="28" customHeight="1" x14ac:dyDescent="0.35">
      <c r="B40" s="588"/>
      <c r="C40" s="273" t="s">
        <v>761</v>
      </c>
      <c r="D40" s="273" t="s">
        <v>977</v>
      </c>
      <c r="E40" s="588"/>
      <c r="F40" s="588"/>
      <c r="G40" s="266"/>
      <c r="H40" s="266"/>
      <c r="I40" s="266"/>
      <c r="J40" s="266" t="s">
        <v>289</v>
      </c>
      <c r="K40" s="268"/>
    </row>
    <row r="41" spans="2:11" ht="28" customHeight="1" x14ac:dyDescent="0.35">
      <c r="B41" s="588"/>
      <c r="C41" s="273" t="s">
        <v>1801</v>
      </c>
      <c r="D41" s="274"/>
      <c r="E41" s="588"/>
      <c r="F41" s="588"/>
      <c r="G41" s="266"/>
      <c r="H41" s="266"/>
      <c r="I41" s="266"/>
      <c r="J41" s="266" t="s">
        <v>289</v>
      </c>
      <c r="K41" s="268"/>
    </row>
    <row r="42" spans="2:11" ht="28" customHeight="1" x14ac:dyDescent="0.35">
      <c r="B42" s="588"/>
      <c r="C42" s="263" t="s">
        <v>764</v>
      </c>
      <c r="D42" s="274"/>
      <c r="E42" s="588"/>
      <c r="F42" s="588"/>
      <c r="G42" s="266"/>
      <c r="H42" s="266"/>
      <c r="I42" s="266"/>
      <c r="J42" s="266" t="s">
        <v>289</v>
      </c>
      <c r="K42" s="268"/>
    </row>
    <row r="43" spans="2:11" ht="28" customHeight="1" x14ac:dyDescent="0.35">
      <c r="B43" s="593" t="s">
        <v>1802</v>
      </c>
      <c r="C43" s="271" t="s">
        <v>782</v>
      </c>
      <c r="D43" s="268" t="s">
        <v>977</v>
      </c>
      <c r="E43" s="593"/>
      <c r="F43" s="593"/>
      <c r="G43" s="238"/>
      <c r="H43" s="238"/>
      <c r="I43" s="238"/>
      <c r="J43" s="238" t="s">
        <v>289</v>
      </c>
      <c r="K43" s="268"/>
    </row>
    <row r="44" spans="2:11" ht="28" customHeight="1" x14ac:dyDescent="0.35">
      <c r="B44" s="593"/>
      <c r="C44" s="271" t="s">
        <v>783</v>
      </c>
      <c r="D44" s="268"/>
      <c r="E44" s="593"/>
      <c r="F44" s="593"/>
      <c r="G44" s="238"/>
      <c r="H44" s="238"/>
      <c r="I44" s="238"/>
      <c r="J44" s="238" t="s">
        <v>289</v>
      </c>
      <c r="K44" s="268"/>
    </row>
    <row r="45" spans="2:11" ht="28" customHeight="1" x14ac:dyDescent="0.35">
      <c r="B45" s="594"/>
      <c r="C45" s="271" t="s">
        <v>784</v>
      </c>
      <c r="D45" s="268"/>
      <c r="E45" s="594"/>
      <c r="F45" s="594"/>
      <c r="G45" s="238"/>
      <c r="H45" s="238"/>
      <c r="I45" s="238"/>
      <c r="J45" s="238" t="s">
        <v>289</v>
      </c>
      <c r="K45" s="268"/>
    </row>
    <row r="46" spans="2:11" ht="28" customHeight="1" x14ac:dyDescent="0.35">
      <c r="B46" s="595" t="s">
        <v>1803</v>
      </c>
      <c r="C46" s="273" t="s">
        <v>792</v>
      </c>
      <c r="D46" s="274"/>
      <c r="E46" s="595"/>
      <c r="F46" s="595"/>
      <c r="G46" s="266"/>
      <c r="H46" s="266"/>
      <c r="I46" s="266"/>
      <c r="J46" s="266" t="s">
        <v>289</v>
      </c>
      <c r="K46" s="268"/>
    </row>
    <row r="47" spans="2:11" ht="28" customHeight="1" x14ac:dyDescent="0.35">
      <c r="B47" s="588"/>
      <c r="C47" s="273" t="s">
        <v>793</v>
      </c>
      <c r="D47" s="274"/>
      <c r="E47" s="588"/>
      <c r="F47" s="588"/>
      <c r="G47" s="266"/>
      <c r="H47" s="266"/>
      <c r="I47" s="266"/>
      <c r="J47" s="266" t="s">
        <v>289</v>
      </c>
      <c r="K47" s="268"/>
    </row>
    <row r="48" spans="2:11" ht="28" customHeight="1" x14ac:dyDescent="0.35">
      <c r="B48" s="588"/>
      <c r="C48" s="273" t="s">
        <v>795</v>
      </c>
      <c r="D48" s="274"/>
      <c r="E48" s="588"/>
      <c r="F48" s="588"/>
      <c r="G48" s="266"/>
      <c r="H48" s="266"/>
      <c r="I48" s="266"/>
      <c r="J48" s="266" t="s">
        <v>289</v>
      </c>
      <c r="K48" s="268"/>
    </row>
    <row r="49" spans="2:11" ht="28" customHeight="1" x14ac:dyDescent="0.35">
      <c r="B49" s="588"/>
      <c r="C49" s="273" t="s">
        <v>797</v>
      </c>
      <c r="D49" s="274"/>
      <c r="E49" s="588"/>
      <c r="F49" s="588"/>
      <c r="G49" s="266"/>
      <c r="H49" s="266"/>
      <c r="I49" s="266"/>
      <c r="J49" s="266" t="s">
        <v>289</v>
      </c>
      <c r="K49" s="268"/>
    </row>
    <row r="50" spans="2:11" ht="28" customHeight="1" x14ac:dyDescent="0.35">
      <c r="B50" s="588"/>
      <c r="C50" s="273" t="s">
        <v>799</v>
      </c>
      <c r="D50" s="274"/>
      <c r="E50" s="588"/>
      <c r="F50" s="588"/>
      <c r="G50" s="266"/>
      <c r="H50" s="266"/>
      <c r="I50" s="266"/>
      <c r="J50" s="266" t="s">
        <v>289</v>
      </c>
      <c r="K50" s="268"/>
    </row>
    <row r="51" spans="2:11" ht="44.15" customHeight="1" x14ac:dyDescent="0.35">
      <c r="B51" s="237" t="s">
        <v>1804</v>
      </c>
      <c r="C51" s="275" t="s">
        <v>805</v>
      </c>
      <c r="D51" s="276"/>
      <c r="E51" s="237"/>
      <c r="F51" s="237"/>
      <c r="G51" s="277"/>
      <c r="H51" s="277"/>
      <c r="I51" s="277"/>
      <c r="J51" s="277" t="s">
        <v>289</v>
      </c>
      <c r="K51" s="278"/>
    </row>
    <row r="52" spans="2:11" ht="76" customHeight="1" x14ac:dyDescent="0.35">
      <c r="B52" s="279" t="s">
        <v>1805</v>
      </c>
      <c r="C52" s="273" t="s">
        <v>812</v>
      </c>
      <c r="D52" s="273"/>
      <c r="E52" s="273"/>
      <c r="F52" s="273"/>
      <c r="G52" s="265"/>
      <c r="H52" s="265"/>
      <c r="I52" s="265"/>
      <c r="J52" s="273"/>
      <c r="K52" s="273"/>
    </row>
    <row r="55" spans="2:11" ht="15.5" x14ac:dyDescent="0.35">
      <c r="B55" s="257" t="s">
        <v>1806</v>
      </c>
    </row>
    <row r="57" spans="2:11" ht="14.5" x14ac:dyDescent="0.35">
      <c r="C57" s="369" t="s">
        <v>1807</v>
      </c>
      <c r="D57" s="369" t="s">
        <v>1501</v>
      </c>
      <c r="E57" s="21"/>
      <c r="F57" s="21"/>
      <c r="G57"/>
    </row>
    <row r="58" spans="2:11" ht="14.5" x14ac:dyDescent="0.35">
      <c r="C58" s="369" t="s">
        <v>1488</v>
      </c>
      <c r="D58" s="280" t="s">
        <v>5</v>
      </c>
      <c r="E58" s="280" t="s">
        <v>8</v>
      </c>
      <c r="F58" s="280" t="s">
        <v>13</v>
      </c>
      <c r="G58"/>
    </row>
    <row r="59" spans="2:11" ht="14.5" x14ac:dyDescent="0.35">
      <c r="C59" s="220" t="s">
        <v>1727</v>
      </c>
      <c r="D59" s="280">
        <v>2</v>
      </c>
      <c r="E59" s="280">
        <v>2</v>
      </c>
      <c r="F59" s="280">
        <v>2</v>
      </c>
      <c r="G59"/>
    </row>
    <row r="60" spans="2:11" ht="14.5" x14ac:dyDescent="0.35">
      <c r="C60" s="221" t="s">
        <v>1808</v>
      </c>
      <c r="D60" s="280"/>
      <c r="E60" s="280">
        <v>1</v>
      </c>
      <c r="F60" s="280"/>
      <c r="G60"/>
    </row>
    <row r="61" spans="2:11" ht="14.5" x14ac:dyDescent="0.35">
      <c r="C61" s="221" t="s">
        <v>952</v>
      </c>
      <c r="D61" s="280"/>
      <c r="E61" s="280">
        <v>1</v>
      </c>
      <c r="F61" s="280"/>
      <c r="G61"/>
    </row>
    <row r="62" spans="2:11" ht="14.5" x14ac:dyDescent="0.35">
      <c r="C62" s="221" t="s">
        <v>228</v>
      </c>
      <c r="D62" s="280"/>
      <c r="E62" s="280"/>
      <c r="F62" s="280">
        <v>1</v>
      </c>
      <c r="G62"/>
    </row>
    <row r="63" spans="2:11" ht="14.5" x14ac:dyDescent="0.35">
      <c r="C63" s="221" t="s">
        <v>221</v>
      </c>
      <c r="D63" s="280"/>
      <c r="E63" s="280"/>
      <c r="F63" s="280">
        <v>1</v>
      </c>
      <c r="G63"/>
    </row>
    <row r="64" spans="2:11" ht="14.5" x14ac:dyDescent="0.35">
      <c r="C64" s="221" t="s">
        <v>229</v>
      </c>
      <c r="D64" s="280">
        <v>1</v>
      </c>
      <c r="E64" s="280"/>
      <c r="F64" s="280"/>
      <c r="G64"/>
    </row>
    <row r="65" spans="3:7" ht="14.5" x14ac:dyDescent="0.35">
      <c r="C65" s="221" t="s">
        <v>1</v>
      </c>
      <c r="D65" s="280">
        <v>1</v>
      </c>
      <c r="E65" s="280"/>
      <c r="F65" s="280"/>
      <c r="G65"/>
    </row>
    <row r="66" spans="3:7" ht="14.5" x14ac:dyDescent="0.35">
      <c r="C66" s="220" t="s">
        <v>1060</v>
      </c>
      <c r="D66" s="280">
        <v>1</v>
      </c>
      <c r="E66" s="280">
        <v>1</v>
      </c>
      <c r="F66" s="280">
        <v>2</v>
      </c>
      <c r="G66"/>
    </row>
    <row r="67" spans="3:7" ht="14.5" x14ac:dyDescent="0.35">
      <c r="C67" s="221" t="s">
        <v>219</v>
      </c>
      <c r="D67" s="280"/>
      <c r="E67" s="280">
        <v>1</v>
      </c>
      <c r="F67" s="280"/>
      <c r="G67"/>
    </row>
    <row r="68" spans="3:7" ht="14.5" x14ac:dyDescent="0.35">
      <c r="C68" s="221" t="s">
        <v>31</v>
      </c>
      <c r="D68" s="280">
        <v>1</v>
      </c>
      <c r="E68" s="280"/>
      <c r="F68" s="280"/>
      <c r="G68"/>
    </row>
    <row r="69" spans="3:7" ht="14.5" x14ac:dyDescent="0.35">
      <c r="C69" s="221" t="s">
        <v>195</v>
      </c>
      <c r="D69" s="280"/>
      <c r="E69" s="280"/>
      <c r="F69" s="280">
        <v>2</v>
      </c>
      <c r="G69"/>
    </row>
    <row r="70" spans="3:7" ht="14.5" x14ac:dyDescent="0.35">
      <c r="C70" s="220" t="s">
        <v>1020</v>
      </c>
      <c r="D70" s="280">
        <v>2</v>
      </c>
      <c r="E70" s="280">
        <v>2</v>
      </c>
      <c r="F70" s="280"/>
      <c r="G70"/>
    </row>
    <row r="71" spans="3:7" ht="14.5" x14ac:dyDescent="0.35">
      <c r="C71" s="221" t="s">
        <v>1039</v>
      </c>
      <c r="D71" s="280"/>
      <c r="E71" s="280">
        <v>1</v>
      </c>
      <c r="F71" s="280"/>
      <c r="G71"/>
    </row>
    <row r="72" spans="3:7" ht="14.5" x14ac:dyDescent="0.35">
      <c r="C72" s="221" t="s">
        <v>961</v>
      </c>
      <c r="D72" s="280"/>
      <c r="E72" s="280">
        <v>1</v>
      </c>
      <c r="F72" s="280"/>
      <c r="G72"/>
    </row>
    <row r="73" spans="3:7" ht="14.5" x14ac:dyDescent="0.35">
      <c r="C73" s="221" t="s">
        <v>1745</v>
      </c>
      <c r="D73" s="280">
        <v>1</v>
      </c>
      <c r="E73" s="280"/>
      <c r="F73" s="280"/>
      <c r="G73"/>
    </row>
    <row r="74" spans="3:7" ht="14.5" x14ac:dyDescent="0.35">
      <c r="C74" s="221" t="s">
        <v>1040</v>
      </c>
      <c r="D74" s="280">
        <v>1</v>
      </c>
      <c r="E74" s="280"/>
      <c r="F74" s="280"/>
      <c r="G74"/>
    </row>
    <row r="75" spans="3:7" ht="14.5" x14ac:dyDescent="0.35">
      <c r="C75" s="220" t="s">
        <v>253</v>
      </c>
      <c r="D75" s="280"/>
      <c r="E75" s="280">
        <v>1</v>
      </c>
      <c r="F75" s="280">
        <v>1</v>
      </c>
      <c r="G75"/>
    </row>
    <row r="76" spans="3:7" ht="14.5" x14ac:dyDescent="0.35">
      <c r="C76" s="221" t="s">
        <v>1044</v>
      </c>
      <c r="D76" s="280"/>
      <c r="E76" s="280"/>
      <c r="F76" s="280">
        <v>1</v>
      </c>
      <c r="G76"/>
    </row>
    <row r="77" spans="3:7" ht="14.5" x14ac:dyDescent="0.35">
      <c r="C77" s="221" t="s">
        <v>1045</v>
      </c>
      <c r="D77" s="280"/>
      <c r="E77" s="280">
        <v>1</v>
      </c>
      <c r="F77" s="280"/>
      <c r="G77"/>
    </row>
    <row r="78" spans="3:7" ht="14.5" x14ac:dyDescent="0.35">
      <c r="C78" s="220" t="s">
        <v>657</v>
      </c>
      <c r="D78" s="280">
        <v>3</v>
      </c>
      <c r="E78" s="280">
        <v>1</v>
      </c>
      <c r="F78" s="280">
        <v>3</v>
      </c>
      <c r="G78"/>
    </row>
    <row r="79" spans="3:7" ht="14.5" x14ac:dyDescent="0.35">
      <c r="C79" s="221" t="s">
        <v>945</v>
      </c>
      <c r="D79" s="280">
        <v>1</v>
      </c>
      <c r="E79" s="280"/>
      <c r="F79" s="280"/>
      <c r="G79"/>
    </row>
    <row r="80" spans="3:7" ht="14.5" x14ac:dyDescent="0.35">
      <c r="C80" s="221" t="s">
        <v>1740</v>
      </c>
      <c r="D80" s="280"/>
      <c r="E80" s="280">
        <v>1</v>
      </c>
      <c r="F80" s="280"/>
      <c r="G80"/>
    </row>
    <row r="81" spans="3:7" ht="14.5" x14ac:dyDescent="0.35">
      <c r="C81" s="221" t="s">
        <v>944</v>
      </c>
      <c r="D81" s="280">
        <v>1</v>
      </c>
      <c r="E81" s="280"/>
      <c r="F81" s="280"/>
      <c r="G81"/>
    </row>
    <row r="82" spans="3:7" ht="14.5" x14ac:dyDescent="0.35">
      <c r="C82" s="221" t="s">
        <v>208</v>
      </c>
      <c r="D82" s="280"/>
      <c r="E82" s="280"/>
      <c r="F82" s="280">
        <v>1</v>
      </c>
      <c r="G82"/>
    </row>
    <row r="83" spans="3:7" ht="14.5" x14ac:dyDescent="0.35">
      <c r="C83" s="221" t="s">
        <v>949</v>
      </c>
      <c r="D83" s="280">
        <v>1</v>
      </c>
      <c r="E83" s="280"/>
      <c r="F83" s="280"/>
      <c r="G83"/>
    </row>
    <row r="84" spans="3:7" ht="14.5" x14ac:dyDescent="0.35">
      <c r="C84" s="221" t="s">
        <v>220</v>
      </c>
      <c r="D84" s="280"/>
      <c r="E84" s="280"/>
      <c r="F84" s="280">
        <v>1</v>
      </c>
      <c r="G84"/>
    </row>
    <row r="85" spans="3:7" ht="14.5" x14ac:dyDescent="0.35">
      <c r="C85" s="221" t="s">
        <v>947</v>
      </c>
      <c r="D85" s="280"/>
      <c r="E85" s="280"/>
      <c r="F85" s="280">
        <v>1</v>
      </c>
      <c r="G85"/>
    </row>
    <row r="86" spans="3:7" ht="14.5" x14ac:dyDescent="0.35">
      <c r="C86" s="220" t="s">
        <v>1729</v>
      </c>
      <c r="D86" s="280"/>
      <c r="E86" s="280">
        <v>4</v>
      </c>
      <c r="F86" s="280">
        <v>1</v>
      </c>
      <c r="G86"/>
    </row>
    <row r="87" spans="3:7" ht="14.5" x14ac:dyDescent="0.35">
      <c r="C87" s="221" t="s">
        <v>200</v>
      </c>
      <c r="D87" s="280"/>
      <c r="E87" s="280"/>
      <c r="F87" s="280">
        <v>1</v>
      </c>
      <c r="G87"/>
    </row>
    <row r="88" spans="3:7" ht="14.5" x14ac:dyDescent="0.35">
      <c r="C88" s="221" t="s">
        <v>1748</v>
      </c>
      <c r="D88" s="280"/>
      <c r="E88" s="280">
        <v>1</v>
      </c>
      <c r="F88" s="280"/>
      <c r="G88"/>
    </row>
    <row r="89" spans="3:7" ht="14.5" x14ac:dyDescent="0.35">
      <c r="C89" s="221" t="s">
        <v>1750</v>
      </c>
      <c r="D89" s="280"/>
      <c r="E89" s="280">
        <v>1</v>
      </c>
      <c r="F89" s="280"/>
      <c r="G89"/>
    </row>
    <row r="90" spans="3:7" ht="14.5" x14ac:dyDescent="0.35">
      <c r="C90" s="221" t="s">
        <v>946</v>
      </c>
      <c r="D90" s="280"/>
      <c r="E90" s="280">
        <v>1</v>
      </c>
      <c r="F90" s="280"/>
      <c r="G90"/>
    </row>
    <row r="91" spans="3:7" ht="14.5" x14ac:dyDescent="0.35">
      <c r="C91" s="221" t="s">
        <v>230</v>
      </c>
      <c r="D91" s="280"/>
      <c r="E91" s="280">
        <v>1</v>
      </c>
      <c r="F91" s="280"/>
      <c r="G91"/>
    </row>
    <row r="92" spans="3:7" ht="14.5" x14ac:dyDescent="0.35">
      <c r="C92" s="220" t="s">
        <v>682</v>
      </c>
      <c r="D92" s="280"/>
      <c r="E92" s="280">
        <v>6</v>
      </c>
      <c r="F92" s="280">
        <v>1</v>
      </c>
      <c r="G92"/>
    </row>
    <row r="93" spans="3:7" ht="14.5" x14ac:dyDescent="0.35">
      <c r="C93" s="221" t="s">
        <v>1723</v>
      </c>
      <c r="D93" s="280"/>
      <c r="E93" s="280">
        <v>1</v>
      </c>
      <c r="F93" s="280"/>
      <c r="G93"/>
    </row>
    <row r="94" spans="3:7" ht="14.5" x14ac:dyDescent="0.35">
      <c r="C94" s="221" t="s">
        <v>202</v>
      </c>
      <c r="D94" s="280"/>
      <c r="E94" s="280">
        <v>1</v>
      </c>
      <c r="F94" s="280"/>
      <c r="G94"/>
    </row>
    <row r="95" spans="3:7" ht="14.5" x14ac:dyDescent="0.35">
      <c r="C95" s="221" t="s">
        <v>1737</v>
      </c>
      <c r="D95" s="280"/>
      <c r="E95" s="280">
        <v>1</v>
      </c>
      <c r="F95" s="280"/>
      <c r="G95"/>
    </row>
    <row r="96" spans="3:7" ht="14.5" x14ac:dyDescent="0.35">
      <c r="C96" s="221" t="s">
        <v>1741</v>
      </c>
      <c r="D96" s="280"/>
      <c r="E96" s="280">
        <v>1</v>
      </c>
      <c r="F96" s="280"/>
      <c r="G96"/>
    </row>
    <row r="97" spans="3:7" ht="14.5" x14ac:dyDescent="0.35">
      <c r="C97" s="221" t="s">
        <v>227</v>
      </c>
      <c r="D97" s="280"/>
      <c r="E97" s="280">
        <v>1</v>
      </c>
      <c r="F97" s="280"/>
      <c r="G97"/>
    </row>
    <row r="98" spans="3:7" ht="14.5" x14ac:dyDescent="0.35">
      <c r="C98" s="221" t="s">
        <v>215</v>
      </c>
      <c r="D98" s="280"/>
      <c r="E98" s="280">
        <v>1</v>
      </c>
      <c r="F98" s="280"/>
      <c r="G98"/>
    </row>
    <row r="99" spans="3:7" ht="14.5" x14ac:dyDescent="0.35">
      <c r="C99" s="221" t="s">
        <v>214</v>
      </c>
      <c r="D99" s="280"/>
      <c r="E99" s="280"/>
      <c r="F99" s="280">
        <v>1</v>
      </c>
      <c r="G99"/>
    </row>
    <row r="100" spans="3:7" ht="14.5" x14ac:dyDescent="0.35">
      <c r="C100" s="220" t="s">
        <v>1065</v>
      </c>
      <c r="D100" s="280"/>
      <c r="E100" s="280"/>
      <c r="F100" s="280">
        <v>1</v>
      </c>
      <c r="G100"/>
    </row>
    <row r="101" spans="3:7" ht="14.5" x14ac:dyDescent="0.35">
      <c r="C101" s="221" t="s">
        <v>1046</v>
      </c>
      <c r="D101" s="280"/>
      <c r="E101" s="280"/>
      <c r="F101" s="280">
        <v>1</v>
      </c>
      <c r="G101"/>
    </row>
    <row r="102" spans="3:7" ht="14.5" x14ac:dyDescent="0.35">
      <c r="C102" s="220" t="s">
        <v>1058</v>
      </c>
      <c r="D102" s="280"/>
      <c r="E102" s="280"/>
      <c r="F102" s="280">
        <v>6</v>
      </c>
      <c r="G102"/>
    </row>
    <row r="103" spans="3:7" ht="14.5" x14ac:dyDescent="0.35">
      <c r="C103" s="221" t="s">
        <v>225</v>
      </c>
      <c r="D103" s="280"/>
      <c r="E103" s="280"/>
      <c r="F103" s="280">
        <v>1</v>
      </c>
      <c r="G103"/>
    </row>
    <row r="104" spans="3:7" ht="14.5" x14ac:dyDescent="0.35">
      <c r="C104" s="221" t="s">
        <v>213</v>
      </c>
      <c r="D104" s="280"/>
      <c r="E104" s="280"/>
      <c r="F104" s="280">
        <v>1</v>
      </c>
      <c r="G104"/>
    </row>
    <row r="105" spans="3:7" ht="14.5" x14ac:dyDescent="0.35">
      <c r="C105" s="221" t="s">
        <v>212</v>
      </c>
      <c r="D105" s="280"/>
      <c r="E105" s="280"/>
      <c r="F105" s="280">
        <v>1</v>
      </c>
      <c r="G105"/>
    </row>
    <row r="106" spans="3:7" ht="14.5" x14ac:dyDescent="0.35">
      <c r="C106" s="221" t="s">
        <v>224</v>
      </c>
      <c r="D106" s="280"/>
      <c r="E106" s="280"/>
      <c r="F106" s="280">
        <v>1</v>
      </c>
      <c r="G106"/>
    </row>
    <row r="107" spans="3:7" ht="14.5" x14ac:dyDescent="0.35">
      <c r="C107" s="221" t="s">
        <v>3</v>
      </c>
      <c r="D107" s="280"/>
      <c r="E107" s="280"/>
      <c r="F107" s="280">
        <v>1</v>
      </c>
      <c r="G107"/>
    </row>
    <row r="108" spans="3:7" ht="14.5" x14ac:dyDescent="0.35">
      <c r="C108" s="221" t="s">
        <v>134</v>
      </c>
      <c r="D108" s="280"/>
      <c r="E108" s="280"/>
      <c r="F108" s="280">
        <v>1</v>
      </c>
      <c r="G108"/>
    </row>
    <row r="109" spans="3:7" ht="14.5" x14ac:dyDescent="0.35">
      <c r="C109" s="220" t="s">
        <v>222</v>
      </c>
      <c r="D109" s="280">
        <v>2</v>
      </c>
      <c r="E109" s="280"/>
      <c r="F109" s="280">
        <v>1</v>
      </c>
      <c r="G109"/>
    </row>
    <row r="110" spans="3:7" ht="14.5" x14ac:dyDescent="0.35">
      <c r="C110" s="221" t="s">
        <v>959</v>
      </c>
      <c r="D110" s="280"/>
      <c r="E110" s="280"/>
      <c r="F110" s="280">
        <v>1</v>
      </c>
      <c r="G110"/>
    </row>
    <row r="111" spans="3:7" ht="14.5" x14ac:dyDescent="0.35">
      <c r="C111" s="221" t="s">
        <v>677</v>
      </c>
      <c r="D111" s="280">
        <v>1</v>
      </c>
      <c r="E111" s="280"/>
      <c r="F111" s="280"/>
      <c r="G111"/>
    </row>
    <row r="112" spans="3:7" ht="14.5" x14ac:dyDescent="0.35">
      <c r="C112" s="221" t="s">
        <v>698</v>
      </c>
      <c r="D112" s="280">
        <v>1</v>
      </c>
      <c r="E112" s="280"/>
      <c r="F112" s="280"/>
      <c r="G112"/>
    </row>
    <row r="113" spans="3:7" ht="14.5" x14ac:dyDescent="0.35">
      <c r="C113" s="220" t="s">
        <v>966</v>
      </c>
      <c r="D113" s="280">
        <v>1</v>
      </c>
      <c r="E113" s="280"/>
      <c r="F113" s="280">
        <v>2</v>
      </c>
      <c r="G113"/>
    </row>
    <row r="114" spans="3:7" ht="14.5" x14ac:dyDescent="0.35">
      <c r="C114" s="221" t="s">
        <v>1742</v>
      </c>
      <c r="D114" s="280"/>
      <c r="E114" s="280"/>
      <c r="F114" s="280">
        <v>1</v>
      </c>
      <c r="G114"/>
    </row>
    <row r="115" spans="3:7" ht="14.5" x14ac:dyDescent="0.35">
      <c r="C115" s="221" t="s">
        <v>963</v>
      </c>
      <c r="D115" s="280"/>
      <c r="E115" s="280"/>
      <c r="F115" s="280">
        <v>1</v>
      </c>
      <c r="G115"/>
    </row>
    <row r="116" spans="3:7" ht="14.5" x14ac:dyDescent="0.35">
      <c r="C116" s="221" t="s">
        <v>1041</v>
      </c>
      <c r="D116" s="280">
        <v>1</v>
      </c>
      <c r="E116" s="280"/>
      <c r="F116" s="280"/>
      <c r="G116"/>
    </row>
    <row r="117" spans="3:7" ht="14.5" x14ac:dyDescent="0.35">
      <c r="C117" s="220" t="s">
        <v>1721</v>
      </c>
      <c r="D117" s="280">
        <v>2</v>
      </c>
      <c r="E117" s="280"/>
      <c r="F117" s="280">
        <v>5</v>
      </c>
      <c r="G117"/>
    </row>
    <row r="118" spans="3:7" ht="14.5" x14ac:dyDescent="0.35">
      <c r="C118" s="221" t="s">
        <v>1047</v>
      </c>
      <c r="D118" s="280"/>
      <c r="E118" s="280"/>
      <c r="F118" s="280">
        <v>1</v>
      </c>
      <c r="G118"/>
    </row>
    <row r="119" spans="3:7" ht="14.5" x14ac:dyDescent="0.35">
      <c r="C119" s="221" t="s">
        <v>1048</v>
      </c>
      <c r="D119" s="280">
        <v>1</v>
      </c>
      <c r="E119" s="280"/>
      <c r="F119" s="280"/>
      <c r="G119"/>
    </row>
    <row r="120" spans="3:7" ht="14.5" x14ac:dyDescent="0.35">
      <c r="C120" s="221" t="s">
        <v>1049</v>
      </c>
      <c r="D120" s="280"/>
      <c r="E120" s="280"/>
      <c r="F120" s="280">
        <v>1</v>
      </c>
      <c r="G120"/>
    </row>
    <row r="121" spans="3:7" ht="14.5" x14ac:dyDescent="0.35">
      <c r="C121" s="221" t="s">
        <v>1050</v>
      </c>
      <c r="D121" s="280"/>
      <c r="E121" s="280"/>
      <c r="F121" s="280">
        <v>1</v>
      </c>
      <c r="G121"/>
    </row>
    <row r="122" spans="3:7" ht="14.5" x14ac:dyDescent="0.35">
      <c r="C122" s="221" t="s">
        <v>1051</v>
      </c>
      <c r="D122" s="280"/>
      <c r="E122" s="280"/>
      <c r="F122" s="280">
        <v>1</v>
      </c>
      <c r="G122"/>
    </row>
    <row r="123" spans="3:7" ht="14.5" x14ac:dyDescent="0.35">
      <c r="C123" s="221" t="s">
        <v>683</v>
      </c>
      <c r="D123" s="280">
        <v>1</v>
      </c>
      <c r="E123" s="280"/>
      <c r="F123" s="280"/>
      <c r="G123"/>
    </row>
    <row r="124" spans="3:7" ht="14.5" x14ac:dyDescent="0.35">
      <c r="C124" s="221" t="s">
        <v>1052</v>
      </c>
      <c r="D124" s="280"/>
      <c r="E124" s="280"/>
      <c r="F124" s="280">
        <v>1</v>
      </c>
      <c r="G124"/>
    </row>
    <row r="125" spans="3:7" ht="14.5" x14ac:dyDescent="0.35">
      <c r="C125" s="220" t="s">
        <v>1730</v>
      </c>
      <c r="D125" s="280">
        <v>1</v>
      </c>
      <c r="E125" s="280">
        <v>2</v>
      </c>
      <c r="F125" s="280"/>
      <c r="G125"/>
    </row>
    <row r="126" spans="3:7" ht="14.5" x14ac:dyDescent="0.35">
      <c r="C126" s="221" t="s">
        <v>216</v>
      </c>
      <c r="D126" s="280"/>
      <c r="E126" s="280">
        <v>1</v>
      </c>
      <c r="F126" s="280"/>
      <c r="G126"/>
    </row>
    <row r="127" spans="3:7" ht="14.5" x14ac:dyDescent="0.35">
      <c r="C127" s="221" t="s">
        <v>226</v>
      </c>
      <c r="D127" s="280"/>
      <c r="E127" s="280">
        <v>1</v>
      </c>
      <c r="F127" s="280"/>
      <c r="G127"/>
    </row>
    <row r="128" spans="3:7" ht="14.5" x14ac:dyDescent="0.35">
      <c r="C128" s="221" t="s">
        <v>132</v>
      </c>
      <c r="D128" s="280">
        <v>1</v>
      </c>
      <c r="E128" s="280"/>
      <c r="F128" s="280"/>
      <c r="G128"/>
    </row>
    <row r="129" spans="3:7" ht="14.5" x14ac:dyDescent="0.35">
      <c r="C129" s="220" t="s">
        <v>240</v>
      </c>
      <c r="D129" s="280"/>
      <c r="E129" s="280">
        <v>1</v>
      </c>
      <c r="F129" s="280">
        <v>2</v>
      </c>
      <c r="G129"/>
    </row>
    <row r="130" spans="3:7" ht="14.5" x14ac:dyDescent="0.35">
      <c r="C130" s="221" t="s">
        <v>948</v>
      </c>
      <c r="D130" s="280"/>
      <c r="E130" s="280"/>
      <c r="F130" s="280">
        <v>1</v>
      </c>
      <c r="G130"/>
    </row>
    <row r="131" spans="3:7" ht="14.5" x14ac:dyDescent="0.35">
      <c r="C131" s="221" t="s">
        <v>209</v>
      </c>
      <c r="D131" s="280"/>
      <c r="E131" s="280">
        <v>1</v>
      </c>
      <c r="F131" s="280"/>
      <c r="G131"/>
    </row>
    <row r="132" spans="3:7" ht="14.5" x14ac:dyDescent="0.35">
      <c r="C132" s="221" t="s">
        <v>223</v>
      </c>
      <c r="D132" s="280"/>
      <c r="E132" s="280"/>
      <c r="F132" s="280">
        <v>1</v>
      </c>
      <c r="G132"/>
    </row>
    <row r="133" spans="3:7" ht="14.5" x14ac:dyDescent="0.35">
      <c r="C133" s="220" t="s">
        <v>366</v>
      </c>
      <c r="D133" s="280"/>
      <c r="E133" s="280">
        <v>2</v>
      </c>
      <c r="F133" s="280"/>
      <c r="G133"/>
    </row>
    <row r="134" spans="3:7" ht="14.5" x14ac:dyDescent="0.35">
      <c r="C134" s="221" t="s">
        <v>217</v>
      </c>
      <c r="D134" s="280"/>
      <c r="E134" s="280">
        <v>1</v>
      </c>
      <c r="F134" s="280"/>
      <c r="G134"/>
    </row>
    <row r="135" spans="3:7" ht="14.5" x14ac:dyDescent="0.35">
      <c r="C135" s="221" t="s">
        <v>218</v>
      </c>
      <c r="D135" s="280"/>
      <c r="E135" s="280">
        <v>1</v>
      </c>
      <c r="F135" s="280"/>
      <c r="G135"/>
    </row>
    <row r="136" spans="3:7" ht="14.5" x14ac:dyDescent="0.35">
      <c r="C136" s="220" t="s">
        <v>1056</v>
      </c>
      <c r="D136" s="280"/>
      <c r="E136" s="280"/>
      <c r="F136" s="280">
        <v>1</v>
      </c>
      <c r="G136"/>
    </row>
    <row r="137" spans="3:7" ht="14.5" x14ac:dyDescent="0.35">
      <c r="C137" s="221" t="s">
        <v>198</v>
      </c>
      <c r="D137" s="280"/>
      <c r="E137" s="280"/>
      <c r="F137" s="280">
        <v>1</v>
      </c>
      <c r="G137"/>
    </row>
    <row r="138" spans="3:7" ht="14.5" x14ac:dyDescent="0.35">
      <c r="C138" s="220" t="s">
        <v>1489</v>
      </c>
      <c r="D138" s="280">
        <v>14</v>
      </c>
      <c r="E138" s="280">
        <v>22</v>
      </c>
      <c r="F138" s="280">
        <v>28</v>
      </c>
      <c r="G138"/>
    </row>
  </sheetData>
  <mergeCells count="31">
    <mergeCell ref="C1:H1"/>
    <mergeCell ref="B43:B45"/>
    <mergeCell ref="E43:E45"/>
    <mergeCell ref="F43:F45"/>
    <mergeCell ref="B46:B50"/>
    <mergeCell ref="E46:E50"/>
    <mergeCell ref="F46:F50"/>
    <mergeCell ref="B35:B37"/>
    <mergeCell ref="E35:E37"/>
    <mergeCell ref="F35:F37"/>
    <mergeCell ref="G36:G37"/>
    <mergeCell ref="B38:B42"/>
    <mergeCell ref="E38:E42"/>
    <mergeCell ref="F38:F42"/>
    <mergeCell ref="B9:G9"/>
    <mergeCell ref="G12:I12"/>
    <mergeCell ref="B31:B33"/>
    <mergeCell ref="E31:E33"/>
    <mergeCell ref="F31:F33"/>
    <mergeCell ref="G31:G32"/>
    <mergeCell ref="B20:B23"/>
    <mergeCell ref="E20:E23"/>
    <mergeCell ref="F20:F23"/>
    <mergeCell ref="B14:B19"/>
    <mergeCell ref="E14:E19"/>
    <mergeCell ref="F14:F19"/>
    <mergeCell ref="K21:K23"/>
    <mergeCell ref="B24:B30"/>
    <mergeCell ref="E24:E30"/>
    <mergeCell ref="F24:F30"/>
    <mergeCell ref="I21:I23"/>
  </mergeCells>
  <hyperlinks>
    <hyperlink ref="B1" location="Home!A1" display="Home" xr:uid="{00000000-0004-0000-0A00-000000000000}"/>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A1:F47"/>
  <sheetViews>
    <sheetView showGridLines="0" zoomScale="70" zoomScaleNormal="70" workbookViewId="0">
      <selection sqref="A1:F3"/>
    </sheetView>
  </sheetViews>
  <sheetFormatPr defaultRowHeight="14.5" x14ac:dyDescent="0.35"/>
  <cols>
    <col min="1" max="1" width="5.453125" customWidth="1"/>
    <col min="2" max="2" width="15.1796875" bestFit="1" customWidth="1"/>
    <col min="3" max="3" width="20" bestFit="1" customWidth="1"/>
    <col min="4" max="4" width="58" style="364" customWidth="1"/>
    <col min="5" max="5" width="98" style="364" customWidth="1"/>
    <col min="6" max="6" width="55.1796875" style="364" customWidth="1"/>
  </cols>
  <sheetData>
    <row r="1" spans="1:6" x14ac:dyDescent="0.35">
      <c r="A1" s="601" t="s">
        <v>2146</v>
      </c>
      <c r="B1" s="601"/>
      <c r="C1" s="601"/>
      <c r="D1" s="601"/>
      <c r="E1" s="601"/>
      <c r="F1" s="601"/>
    </row>
    <row r="2" spans="1:6" x14ac:dyDescent="0.35">
      <c r="A2" s="601"/>
      <c r="B2" s="601"/>
      <c r="C2" s="601"/>
      <c r="D2" s="601"/>
      <c r="E2" s="601"/>
      <c r="F2" s="601"/>
    </row>
    <row r="3" spans="1:6" x14ac:dyDescent="0.35">
      <c r="A3" s="601"/>
      <c r="B3" s="601"/>
      <c r="C3" s="601"/>
      <c r="D3" s="601"/>
      <c r="E3" s="601"/>
      <c r="F3" s="601"/>
    </row>
    <row r="4" spans="1:6" x14ac:dyDescent="0.35">
      <c r="A4" s="229" t="s">
        <v>1709</v>
      </c>
    </row>
    <row r="5" spans="1:6" ht="19" thickBot="1" x14ac:dyDescent="0.4">
      <c r="A5" s="341" t="s">
        <v>1851</v>
      </c>
      <c r="B5" s="342" t="s">
        <v>955</v>
      </c>
      <c r="C5" s="342" t="s">
        <v>520</v>
      </c>
      <c r="D5" s="343" t="s">
        <v>1852</v>
      </c>
      <c r="E5" s="343" t="s">
        <v>1853</v>
      </c>
      <c r="F5" s="343" t="s">
        <v>1854</v>
      </c>
    </row>
    <row r="6" spans="1:6" x14ac:dyDescent="0.35">
      <c r="A6" s="598" t="s">
        <v>1855</v>
      </c>
      <c r="B6" s="344" t="s">
        <v>1856</v>
      </c>
      <c r="C6" s="345" t="s">
        <v>1857</v>
      </c>
      <c r="D6" s="346" t="s">
        <v>1858</v>
      </c>
      <c r="E6" s="347" t="s">
        <v>1859</v>
      </c>
      <c r="F6" s="346" t="s">
        <v>1860</v>
      </c>
    </row>
    <row r="7" spans="1:6" x14ac:dyDescent="0.35">
      <c r="A7" s="599"/>
      <c r="B7" s="348" t="s">
        <v>1856</v>
      </c>
      <c r="C7" s="349" t="s">
        <v>1857</v>
      </c>
      <c r="D7" s="350" t="s">
        <v>1861</v>
      </c>
      <c r="E7" s="351" t="s">
        <v>1862</v>
      </c>
      <c r="F7" s="350" t="s">
        <v>1860</v>
      </c>
    </row>
    <row r="8" spans="1:6" x14ac:dyDescent="0.35">
      <c r="A8" s="599"/>
      <c r="B8" s="352" t="s">
        <v>1856</v>
      </c>
      <c r="C8" s="349" t="s">
        <v>1857</v>
      </c>
      <c r="D8" s="350" t="s">
        <v>1863</v>
      </c>
      <c r="E8" s="351" t="s">
        <v>1864</v>
      </c>
      <c r="F8" s="350" t="s">
        <v>1865</v>
      </c>
    </row>
    <row r="9" spans="1:6" ht="29" x14ac:dyDescent="0.35">
      <c r="A9" s="599"/>
      <c r="B9" s="348" t="s">
        <v>1856</v>
      </c>
      <c r="C9" s="349" t="s">
        <v>1866</v>
      </c>
      <c r="D9" s="350" t="s">
        <v>1867</v>
      </c>
      <c r="E9" s="351" t="s">
        <v>1864</v>
      </c>
      <c r="F9" s="350" t="s">
        <v>1868</v>
      </c>
    </row>
    <row r="10" spans="1:6" x14ac:dyDescent="0.35">
      <c r="A10" s="599"/>
      <c r="B10" s="348" t="s">
        <v>1856</v>
      </c>
      <c r="C10" s="349" t="s">
        <v>957</v>
      </c>
      <c r="D10" s="350" t="s">
        <v>1869</v>
      </c>
      <c r="E10" s="351" t="s">
        <v>1870</v>
      </c>
      <c r="F10" s="350" t="s">
        <v>1868</v>
      </c>
    </row>
    <row r="11" spans="1:6" x14ac:dyDescent="0.35">
      <c r="A11" s="599"/>
      <c r="B11" s="348" t="s">
        <v>1856</v>
      </c>
      <c r="C11" s="349" t="s">
        <v>1871</v>
      </c>
      <c r="D11" s="353" t="s">
        <v>1872</v>
      </c>
      <c r="E11" s="351" t="s">
        <v>1873</v>
      </c>
      <c r="F11" s="350" t="s">
        <v>1874</v>
      </c>
    </row>
    <row r="12" spans="1:6" x14ac:dyDescent="0.35">
      <c r="A12" s="599"/>
      <c r="B12" s="348" t="s">
        <v>1856</v>
      </c>
      <c r="C12" s="349" t="s">
        <v>261</v>
      </c>
      <c r="D12" s="350" t="s">
        <v>1875</v>
      </c>
      <c r="E12" s="351" t="s">
        <v>1876</v>
      </c>
      <c r="F12" s="350" t="s">
        <v>1877</v>
      </c>
    </row>
    <row r="13" spans="1:6" x14ac:dyDescent="0.35">
      <c r="A13" s="599"/>
      <c r="B13" s="348" t="s">
        <v>1856</v>
      </c>
      <c r="C13" s="349" t="s">
        <v>1857</v>
      </c>
      <c r="D13" s="354" t="s">
        <v>1878</v>
      </c>
      <c r="E13" s="351" t="s">
        <v>1879</v>
      </c>
      <c r="F13" s="350" t="s">
        <v>1880</v>
      </c>
    </row>
    <row r="14" spans="1:6" ht="29" x14ac:dyDescent="0.35">
      <c r="A14" s="599"/>
      <c r="B14" s="348" t="s">
        <v>1856</v>
      </c>
      <c r="C14" s="349" t="s">
        <v>1857</v>
      </c>
      <c r="D14" s="354" t="s">
        <v>1881</v>
      </c>
      <c r="E14" s="351" t="s">
        <v>1882</v>
      </c>
      <c r="F14" s="350" t="s">
        <v>1880</v>
      </c>
    </row>
    <row r="15" spans="1:6" x14ac:dyDescent="0.35">
      <c r="A15" s="599"/>
      <c r="B15" s="348" t="s">
        <v>1856</v>
      </c>
      <c r="C15" s="349" t="s">
        <v>1857</v>
      </c>
      <c r="D15" s="354" t="s">
        <v>1883</v>
      </c>
      <c r="E15" s="351" t="s">
        <v>1884</v>
      </c>
      <c r="F15" s="350" t="s">
        <v>1880</v>
      </c>
    </row>
    <row r="16" spans="1:6" ht="15" thickBot="1" x14ac:dyDescent="0.4">
      <c r="A16" s="599"/>
      <c r="B16" s="348" t="s">
        <v>1856</v>
      </c>
      <c r="C16" s="349" t="s">
        <v>260</v>
      </c>
      <c r="D16" s="354" t="s">
        <v>1885</v>
      </c>
      <c r="E16" s="351" t="s">
        <v>1886</v>
      </c>
      <c r="F16" s="355" t="s">
        <v>1887</v>
      </c>
    </row>
    <row r="17" spans="1:6" ht="132" customHeight="1" x14ac:dyDescent="0.35">
      <c r="A17" s="598" t="s">
        <v>1888</v>
      </c>
      <c r="B17" s="348" t="s">
        <v>1888</v>
      </c>
      <c r="C17" s="349" t="s">
        <v>1857</v>
      </c>
      <c r="D17" s="350" t="s">
        <v>1889</v>
      </c>
      <c r="E17" s="351" t="s">
        <v>1890</v>
      </c>
      <c r="F17" s="356" t="s">
        <v>1891</v>
      </c>
    </row>
    <row r="18" spans="1:6" ht="29" x14ac:dyDescent="0.35">
      <c r="A18" s="599"/>
      <c r="B18" s="348" t="s">
        <v>1888</v>
      </c>
      <c r="C18" s="349" t="s">
        <v>1857</v>
      </c>
      <c r="D18" s="354" t="s">
        <v>1892</v>
      </c>
      <c r="E18" s="351" t="s">
        <v>1893</v>
      </c>
      <c r="F18" s="356" t="s">
        <v>1894</v>
      </c>
    </row>
    <row r="19" spans="1:6" ht="14.5" customHeight="1" x14ac:dyDescent="0.35">
      <c r="A19" s="599"/>
      <c r="B19" s="357" t="s">
        <v>1888</v>
      </c>
      <c r="C19" s="358" t="s">
        <v>1866</v>
      </c>
      <c r="D19" s="359" t="s">
        <v>1895</v>
      </c>
      <c r="E19" s="360" t="s">
        <v>1896</v>
      </c>
      <c r="F19" s="359" t="s">
        <v>1897</v>
      </c>
    </row>
    <row r="20" spans="1:6" x14ac:dyDescent="0.35">
      <c r="A20" s="599"/>
      <c r="B20" s="348" t="s">
        <v>1898</v>
      </c>
      <c r="C20" s="349" t="s">
        <v>1857</v>
      </c>
      <c r="D20" s="350" t="s">
        <v>1899</v>
      </c>
      <c r="E20" s="351" t="s">
        <v>1900</v>
      </c>
      <c r="F20" s="350" t="s">
        <v>1901</v>
      </c>
    </row>
    <row r="21" spans="1:6" ht="43.5" x14ac:dyDescent="0.35">
      <c r="A21" s="599"/>
      <c r="B21" s="348" t="s">
        <v>1898</v>
      </c>
      <c r="C21" s="349" t="s">
        <v>1857</v>
      </c>
      <c r="D21" s="350" t="s">
        <v>1902</v>
      </c>
      <c r="E21" s="351" t="s">
        <v>1903</v>
      </c>
      <c r="F21" s="350" t="s">
        <v>1904</v>
      </c>
    </row>
    <row r="22" spans="1:6" ht="29" x14ac:dyDescent="0.35">
      <c r="A22" s="599"/>
      <c r="B22" s="352" t="s">
        <v>1888</v>
      </c>
      <c r="C22" s="349" t="s">
        <v>1857</v>
      </c>
      <c r="D22" s="350" t="s">
        <v>1905</v>
      </c>
      <c r="E22" s="351" t="s">
        <v>1906</v>
      </c>
      <c r="F22" s="350" t="s">
        <v>1868</v>
      </c>
    </row>
    <row r="23" spans="1:6" ht="29" x14ac:dyDescent="0.35">
      <c r="A23" s="599"/>
      <c r="B23" s="352" t="s">
        <v>1907</v>
      </c>
      <c r="C23" s="349" t="s">
        <v>1857</v>
      </c>
      <c r="D23" s="350" t="s">
        <v>1908</v>
      </c>
      <c r="E23" s="351" t="s">
        <v>1909</v>
      </c>
      <c r="F23" s="350" t="s">
        <v>1910</v>
      </c>
    </row>
    <row r="24" spans="1:6" ht="29" x14ac:dyDescent="0.35">
      <c r="A24" s="599"/>
      <c r="B24" s="352" t="s">
        <v>1907</v>
      </c>
      <c r="C24" s="349" t="s">
        <v>1857</v>
      </c>
      <c r="D24" s="350" t="s">
        <v>1911</v>
      </c>
      <c r="E24" s="351" t="s">
        <v>1912</v>
      </c>
      <c r="F24" s="350" t="s">
        <v>1913</v>
      </c>
    </row>
    <row r="25" spans="1:6" x14ac:dyDescent="0.35">
      <c r="A25" s="599"/>
      <c r="B25" s="352" t="s">
        <v>1907</v>
      </c>
      <c r="C25" s="349" t="s">
        <v>1857</v>
      </c>
      <c r="D25" s="350" t="s">
        <v>1914</v>
      </c>
      <c r="E25" s="351" t="s">
        <v>1915</v>
      </c>
      <c r="F25" s="350" t="s">
        <v>1916</v>
      </c>
    </row>
    <row r="26" spans="1:6" x14ac:dyDescent="0.35">
      <c r="A26" s="599"/>
      <c r="B26" s="352" t="s">
        <v>1907</v>
      </c>
      <c r="C26" s="349" t="s">
        <v>1857</v>
      </c>
      <c r="D26" s="350" t="s">
        <v>1917</v>
      </c>
      <c r="E26" s="351" t="s">
        <v>1918</v>
      </c>
      <c r="F26" s="350" t="s">
        <v>1919</v>
      </c>
    </row>
    <row r="27" spans="1:6" ht="29" x14ac:dyDescent="0.35">
      <c r="A27" s="599"/>
      <c r="B27" s="348" t="s">
        <v>1898</v>
      </c>
      <c r="C27" s="349" t="s">
        <v>1920</v>
      </c>
      <c r="D27" s="350" t="s">
        <v>1911</v>
      </c>
      <c r="E27" s="351" t="s">
        <v>1912</v>
      </c>
      <c r="F27" s="350" t="s">
        <v>1921</v>
      </c>
    </row>
    <row r="28" spans="1:6" x14ac:dyDescent="0.35">
      <c r="A28" s="599"/>
      <c r="B28" s="348" t="s">
        <v>1907</v>
      </c>
      <c r="C28" s="349" t="s">
        <v>957</v>
      </c>
      <c r="D28" s="350" t="s">
        <v>1922</v>
      </c>
      <c r="E28" s="351" t="s">
        <v>1923</v>
      </c>
      <c r="F28" s="350" t="s">
        <v>1868</v>
      </c>
    </row>
    <row r="29" spans="1:6" x14ac:dyDescent="0.35">
      <c r="A29" s="599"/>
      <c r="B29" s="348" t="s">
        <v>1907</v>
      </c>
      <c r="C29" s="349" t="s">
        <v>957</v>
      </c>
      <c r="D29" s="350" t="s">
        <v>1924</v>
      </c>
      <c r="E29" s="351" t="s">
        <v>1925</v>
      </c>
      <c r="F29" s="350" t="s">
        <v>1926</v>
      </c>
    </row>
    <row r="30" spans="1:6" ht="29" x14ac:dyDescent="0.35">
      <c r="A30" s="599"/>
      <c r="B30" s="348" t="s">
        <v>1907</v>
      </c>
      <c r="C30" s="349" t="s">
        <v>957</v>
      </c>
      <c r="D30" s="350" t="s">
        <v>1927</v>
      </c>
      <c r="E30" s="351" t="s">
        <v>1928</v>
      </c>
      <c r="F30" s="350" t="s">
        <v>1929</v>
      </c>
    </row>
    <row r="31" spans="1:6" x14ac:dyDescent="0.35">
      <c r="A31" s="599"/>
      <c r="B31" s="348" t="s">
        <v>1907</v>
      </c>
      <c r="C31" s="349" t="s">
        <v>957</v>
      </c>
      <c r="D31" s="350" t="s">
        <v>1930</v>
      </c>
      <c r="E31" s="351" t="s">
        <v>1931</v>
      </c>
      <c r="F31" s="350" t="s">
        <v>1868</v>
      </c>
    </row>
    <row r="32" spans="1:6" ht="29" x14ac:dyDescent="0.35">
      <c r="A32" s="599"/>
      <c r="B32" s="348" t="s">
        <v>1907</v>
      </c>
      <c r="C32" s="349" t="s">
        <v>369</v>
      </c>
      <c r="D32" s="350" t="s">
        <v>1932</v>
      </c>
      <c r="E32" s="351" t="s">
        <v>1933</v>
      </c>
      <c r="F32" s="350" t="s">
        <v>1934</v>
      </c>
    </row>
    <row r="33" spans="1:6" ht="29" x14ac:dyDescent="0.35">
      <c r="A33" s="599"/>
      <c r="B33" s="348" t="s">
        <v>1907</v>
      </c>
      <c r="C33" s="349" t="s">
        <v>957</v>
      </c>
      <c r="D33" s="350" t="s">
        <v>1935</v>
      </c>
      <c r="E33" s="351" t="s">
        <v>1925</v>
      </c>
      <c r="F33" s="350" t="s">
        <v>1926</v>
      </c>
    </row>
    <row r="34" spans="1:6" x14ac:dyDescent="0.35">
      <c r="A34" s="599"/>
      <c r="B34" s="348" t="s">
        <v>1898</v>
      </c>
      <c r="C34" s="349" t="s">
        <v>1857</v>
      </c>
      <c r="D34" s="350" t="s">
        <v>1936</v>
      </c>
      <c r="E34" s="351" t="s">
        <v>1937</v>
      </c>
      <c r="F34" s="350" t="s">
        <v>1938</v>
      </c>
    </row>
    <row r="35" spans="1:6" ht="29" x14ac:dyDescent="0.35">
      <c r="A35" s="599"/>
      <c r="B35" s="348" t="s">
        <v>1898</v>
      </c>
      <c r="C35" s="349" t="s">
        <v>1866</v>
      </c>
      <c r="D35" s="350" t="s">
        <v>1939</v>
      </c>
      <c r="E35" s="351" t="s">
        <v>1940</v>
      </c>
      <c r="F35" s="350" t="s">
        <v>1941</v>
      </c>
    </row>
    <row r="36" spans="1:6" x14ac:dyDescent="0.35">
      <c r="A36" s="599"/>
      <c r="B36" s="348" t="s">
        <v>1898</v>
      </c>
      <c r="C36" s="349" t="s">
        <v>1866</v>
      </c>
      <c r="D36" s="350" t="s">
        <v>1895</v>
      </c>
      <c r="E36" s="351" t="s">
        <v>1896</v>
      </c>
      <c r="F36" s="350" t="s">
        <v>1942</v>
      </c>
    </row>
    <row r="37" spans="1:6" x14ac:dyDescent="0.35">
      <c r="A37" s="599"/>
      <c r="B37" s="348" t="s">
        <v>1888</v>
      </c>
      <c r="C37" s="349" t="s">
        <v>1943</v>
      </c>
      <c r="D37" s="350" t="s">
        <v>1944</v>
      </c>
      <c r="E37" s="351" t="s">
        <v>1945</v>
      </c>
      <c r="F37" s="350" t="s">
        <v>1946</v>
      </c>
    </row>
    <row r="38" spans="1:6" ht="29" x14ac:dyDescent="0.35">
      <c r="A38" s="599"/>
      <c r="B38" s="348" t="s">
        <v>1888</v>
      </c>
      <c r="C38" s="349" t="s">
        <v>1947</v>
      </c>
      <c r="D38" s="350" t="s">
        <v>1948</v>
      </c>
      <c r="E38" s="351" t="s">
        <v>1949</v>
      </c>
      <c r="F38" s="350" t="s">
        <v>1950</v>
      </c>
    </row>
    <row r="39" spans="1:6" ht="29" x14ac:dyDescent="0.35">
      <c r="A39" s="599"/>
      <c r="B39" s="348" t="s">
        <v>1888</v>
      </c>
      <c r="C39" s="349" t="s">
        <v>1951</v>
      </c>
      <c r="D39" s="350" t="s">
        <v>1952</v>
      </c>
      <c r="E39" s="351" t="s">
        <v>1953</v>
      </c>
      <c r="F39" s="350" t="s">
        <v>1938</v>
      </c>
    </row>
    <row r="40" spans="1:6" s="361" customFormat="1" ht="29" x14ac:dyDescent="0.35">
      <c r="A40" s="599"/>
      <c r="B40" s="348" t="s">
        <v>1907</v>
      </c>
      <c r="C40" s="349" t="s">
        <v>369</v>
      </c>
      <c r="D40" s="350" t="s">
        <v>1954</v>
      </c>
      <c r="E40" s="351" t="s">
        <v>1955</v>
      </c>
      <c r="F40" s="350" t="s">
        <v>1868</v>
      </c>
    </row>
    <row r="41" spans="1:6" s="361" customFormat="1" ht="29" x14ac:dyDescent="0.35">
      <c r="A41" s="599"/>
      <c r="B41" s="348" t="s">
        <v>1907</v>
      </c>
      <c r="C41" s="349" t="s">
        <v>369</v>
      </c>
      <c r="D41" s="350" t="s">
        <v>1956</v>
      </c>
      <c r="E41" s="351" t="s">
        <v>1957</v>
      </c>
      <c r="F41" s="350" t="s">
        <v>1958</v>
      </c>
    </row>
    <row r="42" spans="1:6" s="361" customFormat="1" ht="29" x14ac:dyDescent="0.35">
      <c r="A42" s="599"/>
      <c r="B42" s="348" t="s">
        <v>1907</v>
      </c>
      <c r="C42" s="349" t="s">
        <v>369</v>
      </c>
      <c r="D42" s="350" t="s">
        <v>1959</v>
      </c>
      <c r="E42" s="351" t="s">
        <v>1960</v>
      </c>
      <c r="F42" s="350" t="s">
        <v>1961</v>
      </c>
    </row>
    <row r="43" spans="1:6" s="361" customFormat="1" ht="29" x14ac:dyDescent="0.35">
      <c r="A43" s="599"/>
      <c r="B43" s="348" t="s">
        <v>1907</v>
      </c>
      <c r="C43" s="349" t="s">
        <v>369</v>
      </c>
      <c r="D43" s="350" t="s">
        <v>1962</v>
      </c>
      <c r="E43" s="351" t="s">
        <v>1963</v>
      </c>
      <c r="F43" s="350" t="s">
        <v>1964</v>
      </c>
    </row>
    <row r="44" spans="1:6" s="361" customFormat="1" x14ac:dyDescent="0.35">
      <c r="A44" s="599"/>
      <c r="B44" s="348" t="s">
        <v>1907</v>
      </c>
      <c r="C44" s="349" t="s">
        <v>369</v>
      </c>
      <c r="D44" s="350" t="s">
        <v>1965</v>
      </c>
      <c r="E44" s="351" t="s">
        <v>1966</v>
      </c>
      <c r="F44" s="350" t="s">
        <v>1950</v>
      </c>
    </row>
    <row r="45" spans="1:6" x14ac:dyDescent="0.35">
      <c r="A45" s="599"/>
      <c r="B45" s="348" t="s">
        <v>1888</v>
      </c>
      <c r="C45" s="349" t="s">
        <v>1857</v>
      </c>
      <c r="D45" s="362" t="s">
        <v>1967</v>
      </c>
      <c r="E45" s="351" t="s">
        <v>1968</v>
      </c>
      <c r="F45" s="355" t="s">
        <v>1969</v>
      </c>
    </row>
    <row r="46" spans="1:6" ht="29" x14ac:dyDescent="0.35">
      <c r="A46" s="599"/>
      <c r="B46" s="348" t="s">
        <v>1888</v>
      </c>
      <c r="C46" s="349" t="s">
        <v>1857</v>
      </c>
      <c r="D46" s="362" t="s">
        <v>1970</v>
      </c>
      <c r="E46" s="351" t="s">
        <v>1971</v>
      </c>
      <c r="F46" s="356" t="s">
        <v>1972</v>
      </c>
    </row>
    <row r="47" spans="1:6" ht="29.5" thickBot="1" x14ac:dyDescent="0.4">
      <c r="A47" s="600"/>
      <c r="B47" s="348" t="s">
        <v>1888</v>
      </c>
      <c r="C47" s="349" t="s">
        <v>260</v>
      </c>
      <c r="D47" s="354" t="s">
        <v>1973</v>
      </c>
      <c r="E47" s="363" t="s">
        <v>1974</v>
      </c>
      <c r="F47" s="355" t="s">
        <v>1975</v>
      </c>
    </row>
  </sheetData>
  <mergeCells count="3">
    <mergeCell ref="A6:A16"/>
    <mergeCell ref="A17:A47"/>
    <mergeCell ref="A1:F3"/>
  </mergeCells>
  <hyperlinks>
    <hyperlink ref="E20" r:id="rId1" xr:uid="{00000000-0004-0000-0B00-000000000000}"/>
    <hyperlink ref="E21" r:id="rId2" xr:uid="{00000000-0004-0000-0B00-000001000000}"/>
    <hyperlink ref="E22" r:id="rId3" xr:uid="{00000000-0004-0000-0B00-000002000000}"/>
    <hyperlink ref="E23" r:id="rId4" xr:uid="{00000000-0004-0000-0B00-000003000000}"/>
    <hyperlink ref="E24" r:id="rId5" xr:uid="{00000000-0004-0000-0B00-000004000000}"/>
    <hyperlink ref="E25" r:id="rId6" xr:uid="{00000000-0004-0000-0B00-000005000000}"/>
    <hyperlink ref="E26" r:id="rId7" xr:uid="{00000000-0004-0000-0B00-000006000000}"/>
    <hyperlink ref="E27" r:id="rId8" xr:uid="{00000000-0004-0000-0B00-000007000000}"/>
    <hyperlink ref="E30" r:id="rId9" xr:uid="{00000000-0004-0000-0B00-000008000000}"/>
    <hyperlink ref="E29" r:id="rId10" xr:uid="{00000000-0004-0000-0B00-000009000000}"/>
    <hyperlink ref="E28" r:id="rId11" xr:uid="{00000000-0004-0000-0B00-00000A000000}"/>
    <hyperlink ref="E34" r:id="rId12" xr:uid="{00000000-0004-0000-0B00-00000B000000}"/>
    <hyperlink ref="E35" r:id="rId13" xr:uid="{00000000-0004-0000-0B00-00000C000000}"/>
    <hyperlink ref="E36" r:id="rId14" xr:uid="{00000000-0004-0000-0B00-00000D000000}"/>
    <hyperlink ref="E37" r:id="rId15" xr:uid="{00000000-0004-0000-0B00-00000E000000}"/>
    <hyperlink ref="E39" r:id="rId16" xr:uid="{00000000-0004-0000-0B00-00000F000000}"/>
    <hyperlink ref="E42" r:id="rId17" xr:uid="{00000000-0004-0000-0B00-000010000000}"/>
    <hyperlink ref="E45" r:id="rId18" xr:uid="{00000000-0004-0000-0B00-000011000000}"/>
    <hyperlink ref="E46" r:id="rId19" xr:uid="{00000000-0004-0000-0B00-000012000000}"/>
    <hyperlink ref="E47" r:id="rId20" xr:uid="{00000000-0004-0000-0B00-000013000000}"/>
    <hyperlink ref="E17" r:id="rId21" xr:uid="{00000000-0004-0000-0B00-000014000000}"/>
    <hyperlink ref="E18" r:id="rId22" xr:uid="{00000000-0004-0000-0B00-000015000000}"/>
    <hyperlink ref="E31" r:id="rId23" xr:uid="{00000000-0004-0000-0B00-000016000000}"/>
    <hyperlink ref="E32" r:id="rId24" xr:uid="{00000000-0004-0000-0B00-000017000000}"/>
    <hyperlink ref="E38" r:id="rId25" xr:uid="{00000000-0004-0000-0B00-000018000000}"/>
    <hyperlink ref="E40" r:id="rId26" xr:uid="{00000000-0004-0000-0B00-000019000000}"/>
    <hyperlink ref="E41" r:id="rId27" xr:uid="{00000000-0004-0000-0B00-00001A000000}"/>
    <hyperlink ref="E43" r:id="rId28" xr:uid="{00000000-0004-0000-0B00-00001B000000}"/>
    <hyperlink ref="E44" r:id="rId29" xr:uid="{00000000-0004-0000-0B00-00001C000000}"/>
    <hyperlink ref="E7" r:id="rId30" xr:uid="{00000000-0004-0000-0B00-00001D000000}"/>
    <hyperlink ref="E6" r:id="rId31" xr:uid="{00000000-0004-0000-0B00-00001E000000}"/>
    <hyperlink ref="E8" r:id="rId32" xr:uid="{00000000-0004-0000-0B00-00001F000000}"/>
    <hyperlink ref="E9" r:id="rId33" xr:uid="{00000000-0004-0000-0B00-000020000000}"/>
    <hyperlink ref="E10" r:id="rId34" xr:uid="{00000000-0004-0000-0B00-000021000000}"/>
    <hyperlink ref="E11" r:id="rId35" xr:uid="{00000000-0004-0000-0B00-000022000000}"/>
    <hyperlink ref="E12" r:id="rId36" xr:uid="{00000000-0004-0000-0B00-000023000000}"/>
    <hyperlink ref="E13" r:id="rId37" xr:uid="{00000000-0004-0000-0B00-000024000000}"/>
    <hyperlink ref="E16" r:id="rId38" xr:uid="{00000000-0004-0000-0B00-000025000000}"/>
    <hyperlink ref="E15" r:id="rId39" xr:uid="{00000000-0004-0000-0B00-000026000000}"/>
    <hyperlink ref="A4" location="Home!A1" display="Home" xr:uid="{00000000-0004-0000-0B00-000027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2"/>
  <sheetViews>
    <sheetView workbookViewId="0"/>
  </sheetViews>
  <sheetFormatPr defaultColWidth="9.1796875" defaultRowHeight="10.5" x14ac:dyDescent="0.25"/>
  <cols>
    <col min="1" max="1" width="10.7265625" style="213" bestFit="1" customWidth="1"/>
    <col min="2" max="2" width="42.7265625" style="213" bestFit="1" customWidth="1"/>
    <col min="3" max="3" width="25.81640625" style="213" bestFit="1" customWidth="1"/>
    <col min="4" max="4" width="65.7265625" style="213" bestFit="1" customWidth="1"/>
    <col min="5" max="6" width="26.1796875" style="213" bestFit="1" customWidth="1"/>
    <col min="7" max="7" width="26.453125" style="213" bestFit="1" customWidth="1"/>
    <col min="8" max="8" width="33.1796875" style="213" bestFit="1" customWidth="1"/>
    <col min="9" max="9" width="30.54296875" style="213" bestFit="1" customWidth="1"/>
    <col min="10" max="10" width="16.453125" style="213" bestFit="1" customWidth="1"/>
    <col min="11" max="11" width="6.54296875" style="213" bestFit="1" customWidth="1"/>
    <col min="12" max="12" width="12.81640625" style="213" bestFit="1" customWidth="1"/>
    <col min="13" max="16384" width="9.1796875" style="213"/>
  </cols>
  <sheetData>
    <row r="1" spans="1:2" ht="13" x14ac:dyDescent="0.25">
      <c r="A1" s="229" t="s">
        <v>1709</v>
      </c>
    </row>
    <row r="2" spans="1:2" x14ac:dyDescent="0.25">
      <c r="A2" s="213" t="s">
        <v>262</v>
      </c>
      <c r="B2" s="213" t="s">
        <v>1439</v>
      </c>
    </row>
    <row r="3" spans="1:2" x14ac:dyDescent="0.25">
      <c r="A3" s="213" t="s">
        <v>222</v>
      </c>
      <c r="B3" s="213" t="s">
        <v>1440</v>
      </c>
    </row>
    <row r="4" spans="1:2" x14ac:dyDescent="0.25">
      <c r="A4" s="213" t="s">
        <v>1428</v>
      </c>
      <c r="B4" s="213" t="s">
        <v>1441</v>
      </c>
    </row>
    <row r="5" spans="1:2" x14ac:dyDescent="0.25">
      <c r="A5" s="213" t="s">
        <v>1429</v>
      </c>
      <c r="B5" s="213" t="s">
        <v>1442</v>
      </c>
    </row>
    <row r="6" spans="1:2" x14ac:dyDescent="0.25">
      <c r="A6" s="213" t="s">
        <v>1430</v>
      </c>
      <c r="B6" s="213" t="s">
        <v>1443</v>
      </c>
    </row>
    <row r="7" spans="1:2" x14ac:dyDescent="0.25">
      <c r="A7" s="213" t="s">
        <v>1431</v>
      </c>
      <c r="B7" s="213" t="s">
        <v>1444</v>
      </c>
    </row>
    <row r="8" spans="1:2" x14ac:dyDescent="0.25">
      <c r="A8" s="213" t="s">
        <v>1432</v>
      </c>
      <c r="B8" s="213" t="s">
        <v>1445</v>
      </c>
    </row>
    <row r="9" spans="1:2" x14ac:dyDescent="0.25">
      <c r="A9" s="213" t="s">
        <v>1433</v>
      </c>
      <c r="B9" s="213" t="s">
        <v>1446</v>
      </c>
    </row>
    <row r="10" spans="1:2" x14ac:dyDescent="0.25">
      <c r="A10" s="213" t="s">
        <v>1434</v>
      </c>
      <c r="B10" s="213" t="s">
        <v>1447</v>
      </c>
    </row>
    <row r="11" spans="1:2" x14ac:dyDescent="0.25">
      <c r="A11" s="213" t="s">
        <v>1435</v>
      </c>
      <c r="B11" s="213" t="s">
        <v>1448</v>
      </c>
    </row>
    <row r="12" spans="1:2" x14ac:dyDescent="0.25">
      <c r="A12" s="213" t="s">
        <v>1436</v>
      </c>
      <c r="B12" s="213" t="s">
        <v>1449</v>
      </c>
    </row>
    <row r="13" spans="1:2" x14ac:dyDescent="0.25">
      <c r="A13" s="213" t="s">
        <v>1437</v>
      </c>
      <c r="B13" s="213" t="s">
        <v>1450</v>
      </c>
    </row>
    <row r="20" spans="1:12" x14ac:dyDescent="0.25">
      <c r="A20" s="213" t="s">
        <v>262</v>
      </c>
      <c r="B20" s="214" t="s">
        <v>222</v>
      </c>
      <c r="C20" s="214" t="s">
        <v>1428</v>
      </c>
      <c r="D20" s="214" t="s">
        <v>1451</v>
      </c>
      <c r="E20" s="214" t="s">
        <v>1452</v>
      </c>
      <c r="F20" s="214" t="s">
        <v>1453</v>
      </c>
      <c r="G20" s="214" t="s">
        <v>1432</v>
      </c>
      <c r="H20" s="214" t="s">
        <v>1454</v>
      </c>
      <c r="I20" s="214" t="s">
        <v>1455</v>
      </c>
      <c r="J20" s="214" t="s">
        <v>1435</v>
      </c>
      <c r="K20" s="214" t="s">
        <v>1456</v>
      </c>
      <c r="L20" s="214" t="s">
        <v>1437</v>
      </c>
    </row>
    <row r="21" spans="1:12" x14ac:dyDescent="0.25">
      <c r="A21" s="213" t="s">
        <v>222</v>
      </c>
      <c r="B21" s="213" t="s">
        <v>282</v>
      </c>
      <c r="C21" s="213" t="s">
        <v>307</v>
      </c>
      <c r="D21" s="213" t="s">
        <v>322</v>
      </c>
      <c r="E21" s="213" t="s">
        <v>978</v>
      </c>
      <c r="F21" s="213" t="s">
        <v>737</v>
      </c>
      <c r="G21" s="213" t="s">
        <v>773</v>
      </c>
      <c r="H21" s="213" t="s">
        <v>758</v>
      </c>
      <c r="I21" s="213" t="s">
        <v>782</v>
      </c>
      <c r="J21" s="213" t="s">
        <v>792</v>
      </c>
      <c r="K21" s="213" t="s">
        <v>805</v>
      </c>
      <c r="L21" s="213" t="s">
        <v>812</v>
      </c>
    </row>
    <row r="22" spans="1:12" x14ac:dyDescent="0.25">
      <c r="A22" s="213" t="s">
        <v>1428</v>
      </c>
      <c r="B22" s="213" t="s">
        <v>286</v>
      </c>
      <c r="C22" s="213" t="s">
        <v>310</v>
      </c>
      <c r="D22" s="213" t="s">
        <v>325</v>
      </c>
      <c r="E22" s="213" t="s">
        <v>725</v>
      </c>
      <c r="G22" s="213" t="s">
        <v>749</v>
      </c>
      <c r="H22" s="213" t="s">
        <v>759</v>
      </c>
      <c r="I22" s="213" t="s">
        <v>783</v>
      </c>
      <c r="J22" s="213" t="s">
        <v>793</v>
      </c>
    </row>
    <row r="23" spans="1:12" x14ac:dyDescent="0.25">
      <c r="A23" s="213" t="s">
        <v>1429</v>
      </c>
      <c r="B23" s="213" t="s">
        <v>290</v>
      </c>
      <c r="C23" s="213" t="s">
        <v>313</v>
      </c>
      <c r="D23" s="213" t="s">
        <v>329</v>
      </c>
      <c r="E23" s="213" t="s">
        <v>726</v>
      </c>
      <c r="G23" s="213" t="s">
        <v>751</v>
      </c>
      <c r="H23" s="213" t="s">
        <v>761</v>
      </c>
      <c r="I23" s="213" t="s">
        <v>784</v>
      </c>
      <c r="J23" s="213" t="s">
        <v>795</v>
      </c>
    </row>
    <row r="24" spans="1:12" x14ac:dyDescent="0.25">
      <c r="A24" s="213" t="s">
        <v>1430</v>
      </c>
      <c r="B24" s="213" t="s">
        <v>297</v>
      </c>
      <c r="C24" s="213" t="s">
        <v>318</v>
      </c>
      <c r="D24" s="213" t="s">
        <v>332</v>
      </c>
      <c r="H24" s="213" t="s">
        <v>763</v>
      </c>
      <c r="J24" s="213" t="s">
        <v>797</v>
      </c>
    </row>
    <row r="25" spans="1:12" x14ac:dyDescent="0.25">
      <c r="A25" s="213" t="s">
        <v>1431</v>
      </c>
      <c r="B25" s="213" t="s">
        <v>300</v>
      </c>
      <c r="D25" s="213" t="s">
        <v>335</v>
      </c>
      <c r="H25" s="213" t="s">
        <v>764</v>
      </c>
      <c r="J25" s="213" t="s">
        <v>799</v>
      </c>
    </row>
    <row r="26" spans="1:12" x14ac:dyDescent="0.25">
      <c r="A26" s="213" t="s">
        <v>1432</v>
      </c>
      <c r="B26" s="213" t="s">
        <v>304</v>
      </c>
      <c r="D26" s="213" t="s">
        <v>338</v>
      </c>
    </row>
    <row r="27" spans="1:12" x14ac:dyDescent="0.25">
      <c r="A27" s="213" t="s">
        <v>1433</v>
      </c>
      <c r="B27" s="213" t="s">
        <v>302</v>
      </c>
      <c r="D27" s="213" t="s">
        <v>341</v>
      </c>
    </row>
    <row r="28" spans="1:12" x14ac:dyDescent="0.25">
      <c r="A28" s="213" t="s">
        <v>1434</v>
      </c>
    </row>
    <row r="29" spans="1:12" x14ac:dyDescent="0.25">
      <c r="A29" s="213" t="s">
        <v>1435</v>
      </c>
    </row>
    <row r="30" spans="1:12" x14ac:dyDescent="0.25">
      <c r="A30" s="213" t="s">
        <v>1436</v>
      </c>
    </row>
    <row r="31" spans="1:12" x14ac:dyDescent="0.25">
      <c r="A31" s="213" t="s">
        <v>1437</v>
      </c>
    </row>
    <row r="34" spans="1:5" x14ac:dyDescent="0.25">
      <c r="A34" s="213" t="s">
        <v>1457</v>
      </c>
      <c r="B34" s="213" t="s">
        <v>1463</v>
      </c>
      <c r="C34" s="213" t="s">
        <v>1469</v>
      </c>
      <c r="D34" s="213" t="s">
        <v>1480</v>
      </c>
    </row>
    <row r="35" spans="1:5" x14ac:dyDescent="0.25">
      <c r="A35" s="213" t="s">
        <v>1458</v>
      </c>
      <c r="B35" s="213" t="s">
        <v>727</v>
      </c>
      <c r="C35" s="213" t="s">
        <v>1478</v>
      </c>
      <c r="D35" s="213" t="s">
        <v>1481</v>
      </c>
      <c r="E35" s="218">
        <v>50000000000</v>
      </c>
    </row>
    <row r="36" spans="1:5" x14ac:dyDescent="0.25">
      <c r="A36" s="213" t="s">
        <v>1459</v>
      </c>
      <c r="B36" s="213" t="s">
        <v>1464</v>
      </c>
      <c r="C36" s="213" t="s">
        <v>1470</v>
      </c>
      <c r="D36" s="213" t="s">
        <v>1482</v>
      </c>
      <c r="E36" s="218">
        <v>1000000000</v>
      </c>
    </row>
    <row r="37" spans="1:5" x14ac:dyDescent="0.25">
      <c r="A37" s="213" t="s">
        <v>1460</v>
      </c>
      <c r="B37" s="213" t="s">
        <v>1465</v>
      </c>
      <c r="C37" s="213" t="s">
        <v>1471</v>
      </c>
      <c r="D37" s="213" t="s">
        <v>1483</v>
      </c>
      <c r="E37" s="218">
        <v>500000000</v>
      </c>
    </row>
    <row r="38" spans="1:5" x14ac:dyDescent="0.25">
      <c r="A38" s="213" t="s">
        <v>1461</v>
      </c>
      <c r="B38" s="213" t="s">
        <v>1466</v>
      </c>
      <c r="C38" s="213" t="s">
        <v>1472</v>
      </c>
      <c r="D38" s="213" t="s">
        <v>1484</v>
      </c>
      <c r="E38" s="218">
        <v>1000000</v>
      </c>
    </row>
    <row r="39" spans="1:5" x14ac:dyDescent="0.25">
      <c r="A39" s="213" t="s">
        <v>1462</v>
      </c>
      <c r="B39" s="213" t="s">
        <v>1467</v>
      </c>
      <c r="C39" s="213" t="s">
        <v>1473</v>
      </c>
      <c r="D39" s="213" t="s">
        <v>1485</v>
      </c>
    </row>
    <row r="40" spans="1:5" x14ac:dyDescent="0.25">
      <c r="A40" s="213" t="s">
        <v>274</v>
      </c>
      <c r="B40" s="213" t="s">
        <v>1468</v>
      </c>
      <c r="C40" s="213" t="s">
        <v>1474</v>
      </c>
    </row>
    <row r="41" spans="1:5" x14ac:dyDescent="0.25">
      <c r="C41" s="213" t="s">
        <v>1475</v>
      </c>
    </row>
    <row r="42" spans="1:5" x14ac:dyDescent="0.25">
      <c r="C42" s="213" t="s">
        <v>1476</v>
      </c>
    </row>
  </sheetData>
  <hyperlinks>
    <hyperlink ref="A1" location="Home!A1" display="Hom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P58"/>
  <sheetViews>
    <sheetView showGridLines="0" zoomScale="80" zoomScaleNormal="80" workbookViewId="0">
      <pane xSplit="3" ySplit="2" topLeftCell="D3" activePane="bottomRight" state="frozen"/>
      <selection pane="topRight" activeCell="D1" sqref="D1"/>
      <selection pane="bottomLeft" activeCell="A3" sqref="A3"/>
      <selection pane="bottomRight" activeCell="D60" sqref="D60"/>
    </sheetView>
  </sheetViews>
  <sheetFormatPr defaultColWidth="9.1796875" defaultRowHeight="14.5" x14ac:dyDescent="0.35"/>
  <cols>
    <col min="1" max="1" width="9.1796875" style="110"/>
    <col min="2" max="2" width="78.81640625" style="110" customWidth="1"/>
    <col min="3" max="3" width="25.26953125" style="110" customWidth="1"/>
    <col min="4" max="4" width="83.26953125" style="110" customWidth="1"/>
    <col min="5" max="5" width="45.7265625" style="110" customWidth="1"/>
    <col min="6" max="6" width="28.1796875" style="110" customWidth="1"/>
    <col min="7" max="7" width="21.54296875" style="110" customWidth="1"/>
    <col min="8" max="8" width="28" style="110" customWidth="1"/>
    <col min="9" max="10" width="18.81640625" style="110" customWidth="1"/>
    <col min="11" max="11" width="18.54296875" style="110" customWidth="1"/>
    <col min="12" max="12" width="13.7265625" style="110" customWidth="1"/>
    <col min="13" max="13" width="50.7265625" style="110" customWidth="1"/>
    <col min="14" max="14" width="14.54296875" style="110" bestFit="1" customWidth="1"/>
    <col min="15" max="15" width="60.1796875" style="110" bestFit="1" customWidth="1"/>
    <col min="16" max="16" width="41" style="79" customWidth="1"/>
    <col min="17" max="16384" width="9.1796875" style="110"/>
  </cols>
  <sheetData>
    <row r="1" spans="1:15" x14ac:dyDescent="0.35">
      <c r="A1" s="614" t="s">
        <v>257</v>
      </c>
      <c r="B1" s="611" t="s">
        <v>829</v>
      </c>
      <c r="C1" s="611" t="s">
        <v>830</v>
      </c>
      <c r="D1" s="611" t="s">
        <v>831</v>
      </c>
      <c r="E1" s="611" t="s">
        <v>832</v>
      </c>
      <c r="F1" s="615" t="s">
        <v>833</v>
      </c>
      <c r="G1" s="611" t="s">
        <v>834</v>
      </c>
      <c r="H1" s="611" t="s">
        <v>835</v>
      </c>
      <c r="I1" s="611" t="s">
        <v>836</v>
      </c>
      <c r="J1" s="602" t="s">
        <v>837</v>
      </c>
      <c r="K1" s="612" t="s">
        <v>838</v>
      </c>
      <c r="L1" s="612"/>
      <c r="M1" s="612"/>
      <c r="N1" s="613" t="s">
        <v>839</v>
      </c>
      <c r="O1" s="602" t="s">
        <v>840</v>
      </c>
    </row>
    <row r="2" spans="1:15" ht="14.9" customHeight="1" x14ac:dyDescent="0.35">
      <c r="A2" s="614"/>
      <c r="B2" s="611"/>
      <c r="C2" s="611"/>
      <c r="D2" s="611"/>
      <c r="E2" s="611"/>
      <c r="F2" s="616"/>
      <c r="G2" s="611"/>
      <c r="H2" s="611"/>
      <c r="I2" s="611"/>
      <c r="J2" s="602"/>
      <c r="K2" s="80" t="s">
        <v>258</v>
      </c>
      <c r="L2" s="80" t="s">
        <v>841</v>
      </c>
      <c r="M2" s="81" t="s">
        <v>842</v>
      </c>
      <c r="N2" s="613"/>
      <c r="O2" s="602"/>
    </row>
    <row r="3" spans="1:15" ht="28.75" customHeight="1" x14ac:dyDescent="0.35">
      <c r="A3" s="603">
        <v>1</v>
      </c>
      <c r="B3" s="604" t="s">
        <v>843</v>
      </c>
      <c r="C3" s="605" t="s">
        <v>844</v>
      </c>
      <c r="D3" s="29" t="s">
        <v>845</v>
      </c>
      <c r="E3" s="606" t="s">
        <v>846</v>
      </c>
      <c r="F3" s="607" t="s">
        <v>691</v>
      </c>
      <c r="G3" s="610" t="s">
        <v>847</v>
      </c>
      <c r="H3" s="610" t="s">
        <v>848</v>
      </c>
      <c r="I3" s="610" t="s">
        <v>5</v>
      </c>
      <c r="J3" s="610" t="s">
        <v>849</v>
      </c>
      <c r="K3" s="605" t="s">
        <v>850</v>
      </c>
      <c r="L3" s="610" t="s">
        <v>5</v>
      </c>
      <c r="M3" s="604" t="s">
        <v>851</v>
      </c>
      <c r="N3" s="610" t="s">
        <v>852</v>
      </c>
      <c r="O3" s="617" t="s">
        <v>853</v>
      </c>
    </row>
    <row r="4" spans="1:15" ht="60.65" customHeight="1" x14ac:dyDescent="0.35">
      <c r="A4" s="603"/>
      <c r="B4" s="604"/>
      <c r="C4" s="605"/>
      <c r="D4" s="29" t="s">
        <v>854</v>
      </c>
      <c r="E4" s="604"/>
      <c r="F4" s="608"/>
      <c r="G4" s="610"/>
      <c r="H4" s="610"/>
      <c r="I4" s="610"/>
      <c r="J4" s="610"/>
      <c r="K4" s="605"/>
      <c r="L4" s="610"/>
      <c r="M4" s="604"/>
      <c r="N4" s="610"/>
      <c r="O4" s="617"/>
    </row>
    <row r="5" spans="1:15" ht="47.15" customHeight="1" x14ac:dyDescent="0.35">
      <c r="A5" s="603"/>
      <c r="B5" s="604"/>
      <c r="C5" s="605"/>
      <c r="D5" s="34" t="s">
        <v>855</v>
      </c>
      <c r="E5" s="604"/>
      <c r="F5" s="608"/>
      <c r="G5" s="610"/>
      <c r="H5" s="610"/>
      <c r="I5" s="610"/>
      <c r="J5" s="610"/>
      <c r="K5" s="605" t="s">
        <v>259</v>
      </c>
      <c r="L5" s="610" t="s">
        <v>13</v>
      </c>
      <c r="M5" s="604" t="s">
        <v>856</v>
      </c>
      <c r="N5" s="610"/>
      <c r="O5" s="617"/>
    </row>
    <row r="6" spans="1:15" ht="32.15" customHeight="1" x14ac:dyDescent="0.35">
      <c r="A6" s="603"/>
      <c r="B6" s="604"/>
      <c r="C6" s="605"/>
      <c r="D6" s="29" t="s">
        <v>857</v>
      </c>
      <c r="E6" s="604"/>
      <c r="F6" s="608"/>
      <c r="G6" s="610"/>
      <c r="H6" s="610"/>
      <c r="I6" s="610"/>
      <c r="J6" s="610"/>
      <c r="K6" s="605"/>
      <c r="L6" s="610"/>
      <c r="M6" s="604"/>
      <c r="N6" s="610"/>
      <c r="O6" s="617"/>
    </row>
    <row r="7" spans="1:15" ht="29.15" customHeight="1" x14ac:dyDescent="0.35">
      <c r="A7" s="603"/>
      <c r="B7" s="604"/>
      <c r="C7" s="605"/>
      <c r="D7" s="29" t="s">
        <v>858</v>
      </c>
      <c r="E7" s="604"/>
      <c r="F7" s="608"/>
      <c r="G7" s="610"/>
      <c r="H7" s="610"/>
      <c r="I7" s="610"/>
      <c r="J7" s="610"/>
      <c r="K7" s="605" t="s">
        <v>260</v>
      </c>
      <c r="L7" s="610" t="s">
        <v>5</v>
      </c>
      <c r="M7" s="604" t="s">
        <v>728</v>
      </c>
      <c r="N7" s="610"/>
      <c r="O7" s="617"/>
    </row>
    <row r="8" spans="1:15" ht="34.75" customHeight="1" x14ac:dyDescent="0.35">
      <c r="A8" s="603"/>
      <c r="B8" s="604"/>
      <c r="C8" s="605"/>
      <c r="D8" s="29" t="s">
        <v>859</v>
      </c>
      <c r="E8" s="604"/>
      <c r="F8" s="608"/>
      <c r="G8" s="610"/>
      <c r="H8" s="610"/>
      <c r="I8" s="610"/>
      <c r="J8" s="610"/>
      <c r="K8" s="605"/>
      <c r="L8" s="610"/>
      <c r="M8" s="604"/>
      <c r="N8" s="610"/>
      <c r="O8" s="617"/>
    </row>
    <row r="9" spans="1:15" ht="28" x14ac:dyDescent="0.35">
      <c r="A9" s="603"/>
      <c r="B9" s="604"/>
      <c r="C9" s="605"/>
      <c r="D9" s="29" t="s">
        <v>860</v>
      </c>
      <c r="E9" s="604"/>
      <c r="F9" s="608"/>
      <c r="G9" s="610"/>
      <c r="H9" s="610"/>
      <c r="I9" s="610"/>
      <c r="J9" s="610"/>
      <c r="K9" s="605" t="s">
        <v>261</v>
      </c>
      <c r="L9" s="610" t="s">
        <v>13</v>
      </c>
      <c r="M9" s="604" t="s">
        <v>861</v>
      </c>
      <c r="N9" s="610"/>
      <c r="O9" s="617"/>
    </row>
    <row r="10" spans="1:15" ht="17.899999999999999" customHeight="1" x14ac:dyDescent="0.35">
      <c r="A10" s="603"/>
      <c r="B10" s="604"/>
      <c r="C10" s="605"/>
      <c r="D10" s="29" t="s">
        <v>862</v>
      </c>
      <c r="E10" s="604"/>
      <c r="F10" s="608"/>
      <c r="G10" s="610"/>
      <c r="H10" s="610"/>
      <c r="I10" s="610"/>
      <c r="J10" s="610"/>
      <c r="K10" s="605"/>
      <c r="L10" s="610"/>
      <c r="M10" s="604"/>
      <c r="N10" s="610"/>
      <c r="O10" s="617"/>
    </row>
    <row r="11" spans="1:15" ht="67" customHeight="1" x14ac:dyDescent="0.35">
      <c r="A11" s="603"/>
      <c r="B11" s="604"/>
      <c r="C11" s="605"/>
      <c r="D11" s="29" t="s">
        <v>863</v>
      </c>
      <c r="E11" s="604"/>
      <c r="F11" s="609"/>
      <c r="G11" s="610"/>
      <c r="H11" s="610"/>
      <c r="I11" s="610"/>
      <c r="J11" s="610"/>
      <c r="K11" s="605"/>
      <c r="L11" s="610"/>
      <c r="M11" s="604"/>
      <c r="N11" s="610"/>
      <c r="O11" s="617"/>
    </row>
    <row r="12" spans="1:15" ht="61" customHeight="1" x14ac:dyDescent="0.35">
      <c r="A12" s="636">
        <v>2</v>
      </c>
      <c r="B12" s="638" t="s">
        <v>814</v>
      </c>
      <c r="C12" s="640" t="s">
        <v>864</v>
      </c>
      <c r="D12" s="48" t="s">
        <v>865</v>
      </c>
      <c r="E12" s="641" t="s">
        <v>866</v>
      </c>
      <c r="F12" s="643"/>
      <c r="G12" s="642" t="s">
        <v>867</v>
      </c>
      <c r="H12" s="620" t="s">
        <v>868</v>
      </c>
      <c r="I12" s="623" t="s">
        <v>869</v>
      </c>
      <c r="J12" s="620" t="s">
        <v>870</v>
      </c>
      <c r="K12" s="82" t="s">
        <v>850</v>
      </c>
      <c r="L12" s="50" t="s">
        <v>5</v>
      </c>
      <c r="M12" s="83" t="s">
        <v>871</v>
      </c>
      <c r="N12" s="623" t="s">
        <v>13</v>
      </c>
      <c r="O12" s="618" t="s">
        <v>872</v>
      </c>
    </row>
    <row r="13" spans="1:15" ht="84.65" customHeight="1" x14ac:dyDescent="0.35">
      <c r="A13" s="636"/>
      <c r="B13" s="638"/>
      <c r="C13" s="640"/>
      <c r="D13" s="38" t="s">
        <v>873</v>
      </c>
      <c r="E13" s="642"/>
      <c r="F13" s="644"/>
      <c r="G13" s="642"/>
      <c r="H13" s="620"/>
      <c r="I13" s="624"/>
      <c r="J13" s="620"/>
      <c r="K13" s="619" t="s">
        <v>259</v>
      </c>
      <c r="L13" s="620" t="s">
        <v>8</v>
      </c>
      <c r="M13" s="621" t="s">
        <v>874</v>
      </c>
      <c r="N13" s="624"/>
      <c r="O13" s="618"/>
    </row>
    <row r="14" spans="1:15" ht="53.9" customHeight="1" x14ac:dyDescent="0.35">
      <c r="A14" s="636"/>
      <c r="B14" s="638"/>
      <c r="C14" s="640"/>
      <c r="D14" s="627" t="s">
        <v>875</v>
      </c>
      <c r="E14" s="642"/>
      <c r="F14" s="644"/>
      <c r="G14" s="642"/>
      <c r="H14" s="620"/>
      <c r="I14" s="624"/>
      <c r="J14" s="620"/>
      <c r="K14" s="619"/>
      <c r="L14" s="620"/>
      <c r="M14" s="622"/>
      <c r="N14" s="624"/>
      <c r="O14" s="618"/>
    </row>
    <row r="15" spans="1:15" ht="68.5" customHeight="1" x14ac:dyDescent="0.35">
      <c r="A15" s="636"/>
      <c r="B15" s="638"/>
      <c r="C15" s="640"/>
      <c r="D15" s="628"/>
      <c r="E15" s="642"/>
      <c r="F15" s="644"/>
      <c r="G15" s="642"/>
      <c r="H15" s="620"/>
      <c r="I15" s="624"/>
      <c r="J15" s="620"/>
      <c r="K15" s="629" t="s">
        <v>260</v>
      </c>
      <c r="L15" s="623" t="s">
        <v>5</v>
      </c>
      <c r="M15" s="626" t="s">
        <v>876</v>
      </c>
      <c r="N15" s="624"/>
      <c r="O15" s="618"/>
    </row>
    <row r="16" spans="1:15" ht="90" customHeight="1" x14ac:dyDescent="0.35">
      <c r="A16" s="636"/>
      <c r="B16" s="638"/>
      <c r="C16" s="640"/>
      <c r="D16" s="38" t="s">
        <v>877</v>
      </c>
      <c r="E16" s="642"/>
      <c r="F16" s="644"/>
      <c r="G16" s="642"/>
      <c r="H16" s="620"/>
      <c r="I16" s="624"/>
      <c r="J16" s="620"/>
      <c r="K16" s="630"/>
      <c r="L16" s="625"/>
      <c r="M16" s="622"/>
      <c r="N16" s="624"/>
      <c r="O16" s="618"/>
    </row>
    <row r="17" spans="1:15" ht="117.65" customHeight="1" x14ac:dyDescent="0.35">
      <c r="A17" s="636"/>
      <c r="B17" s="638"/>
      <c r="C17" s="640"/>
      <c r="D17" s="627" t="s">
        <v>878</v>
      </c>
      <c r="E17" s="642"/>
      <c r="F17" s="644"/>
      <c r="G17" s="642"/>
      <c r="H17" s="620"/>
      <c r="I17" s="624"/>
      <c r="J17" s="620"/>
      <c r="K17" s="629" t="s">
        <v>261</v>
      </c>
      <c r="L17" s="623" t="s">
        <v>13</v>
      </c>
      <c r="M17" s="626" t="s">
        <v>879</v>
      </c>
      <c r="N17" s="624"/>
      <c r="O17" s="618"/>
    </row>
    <row r="18" spans="1:15" ht="265.5" customHeight="1" x14ac:dyDescent="0.35">
      <c r="A18" s="637"/>
      <c r="B18" s="639"/>
      <c r="C18" s="630"/>
      <c r="D18" s="628"/>
      <c r="E18" s="628"/>
      <c r="F18" s="645"/>
      <c r="G18" s="628"/>
      <c r="H18" s="620"/>
      <c r="I18" s="625"/>
      <c r="J18" s="620"/>
      <c r="K18" s="630"/>
      <c r="L18" s="625"/>
      <c r="M18" s="622"/>
      <c r="N18" s="625"/>
      <c r="O18" s="618"/>
    </row>
    <row r="19" spans="1:15" ht="67" customHeight="1" x14ac:dyDescent="0.35">
      <c r="A19" s="603">
        <v>3</v>
      </c>
      <c r="B19" s="632" t="s">
        <v>816</v>
      </c>
      <c r="C19" s="605" t="s">
        <v>880</v>
      </c>
      <c r="D19" s="84" t="s">
        <v>881</v>
      </c>
      <c r="E19" s="606" t="s">
        <v>710</v>
      </c>
      <c r="F19" s="607" t="s">
        <v>709</v>
      </c>
      <c r="G19" s="604" t="s">
        <v>882</v>
      </c>
      <c r="H19" s="610" t="s">
        <v>883</v>
      </c>
      <c r="I19" s="610" t="s">
        <v>5</v>
      </c>
      <c r="J19" s="610" t="s">
        <v>884</v>
      </c>
      <c r="K19" s="85" t="s">
        <v>850</v>
      </c>
      <c r="L19" s="36" t="s">
        <v>5</v>
      </c>
      <c r="M19" s="31" t="s">
        <v>885</v>
      </c>
      <c r="N19" s="610" t="s">
        <v>8</v>
      </c>
      <c r="O19" s="617" t="s">
        <v>853</v>
      </c>
    </row>
    <row r="20" spans="1:15" ht="80.5" customHeight="1" x14ac:dyDescent="0.35">
      <c r="A20" s="603"/>
      <c r="B20" s="632"/>
      <c r="C20" s="605"/>
      <c r="D20" s="33" t="s">
        <v>886</v>
      </c>
      <c r="E20" s="606"/>
      <c r="F20" s="608"/>
      <c r="G20" s="604"/>
      <c r="H20" s="610"/>
      <c r="I20" s="610"/>
      <c r="J20" s="610"/>
      <c r="K20" s="605" t="s">
        <v>259</v>
      </c>
      <c r="L20" s="610" t="s">
        <v>8</v>
      </c>
      <c r="M20" s="604" t="s">
        <v>887</v>
      </c>
      <c r="N20" s="610"/>
      <c r="O20" s="617"/>
    </row>
    <row r="21" spans="1:15" ht="54" customHeight="1" x14ac:dyDescent="0.35">
      <c r="A21" s="603"/>
      <c r="B21" s="632"/>
      <c r="C21" s="605"/>
      <c r="D21" s="31" t="s">
        <v>888</v>
      </c>
      <c r="E21" s="606"/>
      <c r="F21" s="27"/>
      <c r="G21" s="604"/>
      <c r="H21" s="610"/>
      <c r="I21" s="610"/>
      <c r="J21" s="610"/>
      <c r="K21" s="605"/>
      <c r="L21" s="610"/>
      <c r="M21" s="604"/>
      <c r="N21" s="610"/>
      <c r="O21" s="617"/>
    </row>
    <row r="22" spans="1:15" ht="50.15" customHeight="1" x14ac:dyDescent="0.35">
      <c r="A22" s="603"/>
      <c r="B22" s="632"/>
      <c r="C22" s="605"/>
      <c r="D22" s="31" t="s">
        <v>889</v>
      </c>
      <c r="E22" s="606"/>
      <c r="F22" s="27"/>
      <c r="G22" s="604"/>
      <c r="H22" s="610"/>
      <c r="I22" s="610"/>
      <c r="J22" s="610"/>
      <c r="K22" s="605"/>
      <c r="L22" s="610"/>
      <c r="M22" s="604"/>
      <c r="N22" s="610"/>
      <c r="O22" s="617"/>
    </row>
    <row r="23" spans="1:15" ht="50.15" customHeight="1" x14ac:dyDescent="0.35">
      <c r="A23" s="603"/>
      <c r="B23" s="632"/>
      <c r="C23" s="605"/>
      <c r="D23" s="29" t="s">
        <v>890</v>
      </c>
      <c r="E23" s="606"/>
      <c r="F23" s="27"/>
      <c r="G23" s="604"/>
      <c r="H23" s="610"/>
      <c r="I23" s="610"/>
      <c r="J23" s="610"/>
      <c r="K23" s="605" t="s">
        <v>260</v>
      </c>
      <c r="L23" s="610" t="s">
        <v>5</v>
      </c>
      <c r="M23" s="604" t="s">
        <v>891</v>
      </c>
      <c r="N23" s="610"/>
      <c r="O23" s="617"/>
    </row>
    <row r="24" spans="1:15" ht="188.15" customHeight="1" x14ac:dyDescent="0.35">
      <c r="A24" s="603"/>
      <c r="B24" s="632"/>
      <c r="C24" s="605"/>
      <c r="D24" s="47" t="s">
        <v>892</v>
      </c>
      <c r="E24" s="606"/>
      <c r="F24" s="27"/>
      <c r="G24" s="604"/>
      <c r="H24" s="610"/>
      <c r="I24" s="610"/>
      <c r="J24" s="610"/>
      <c r="K24" s="605"/>
      <c r="L24" s="610"/>
      <c r="M24" s="604"/>
      <c r="N24" s="610"/>
      <c r="O24" s="617"/>
    </row>
    <row r="25" spans="1:15" ht="56.15" customHeight="1" x14ac:dyDescent="0.35">
      <c r="A25" s="603"/>
      <c r="B25" s="632"/>
      <c r="C25" s="605"/>
      <c r="D25" s="44" t="s">
        <v>893</v>
      </c>
      <c r="E25" s="606"/>
      <c r="F25" s="27"/>
      <c r="G25" s="604"/>
      <c r="H25" s="610"/>
      <c r="I25" s="610"/>
      <c r="J25" s="610"/>
      <c r="K25" s="605" t="s">
        <v>261</v>
      </c>
      <c r="L25" s="610" t="s">
        <v>13</v>
      </c>
      <c r="M25" s="604" t="s">
        <v>729</v>
      </c>
      <c r="N25" s="610"/>
      <c r="O25" s="617"/>
    </row>
    <row r="26" spans="1:15" ht="42" x14ac:dyDescent="0.35">
      <c r="A26" s="603"/>
      <c r="B26" s="632"/>
      <c r="C26" s="605"/>
      <c r="D26" s="44" t="s">
        <v>894</v>
      </c>
      <c r="E26" s="606"/>
      <c r="F26" s="27"/>
      <c r="G26" s="604"/>
      <c r="H26" s="610"/>
      <c r="I26" s="610"/>
      <c r="J26" s="610"/>
      <c r="K26" s="605"/>
      <c r="L26" s="610"/>
      <c r="M26" s="604"/>
      <c r="N26" s="610"/>
      <c r="O26" s="617"/>
    </row>
    <row r="27" spans="1:15" ht="73" customHeight="1" thickBot="1" x14ac:dyDescent="0.4">
      <c r="A27" s="631"/>
      <c r="B27" s="633"/>
      <c r="C27" s="634"/>
      <c r="D27" s="45" t="s">
        <v>895</v>
      </c>
      <c r="E27" s="607"/>
      <c r="F27" s="27"/>
      <c r="G27" s="635"/>
      <c r="H27" s="649"/>
      <c r="I27" s="649"/>
      <c r="J27" s="649"/>
      <c r="K27" s="634"/>
      <c r="L27" s="649"/>
      <c r="M27" s="635"/>
      <c r="N27" s="649"/>
      <c r="O27" s="660"/>
    </row>
    <row r="28" spans="1:15" ht="15" customHeight="1" thickBot="1" x14ac:dyDescent="0.4">
      <c r="A28" s="650"/>
      <c r="B28" s="651"/>
      <c r="C28" s="651"/>
      <c r="D28" s="651"/>
      <c r="E28" s="651"/>
      <c r="F28" s="651"/>
      <c r="G28" s="651"/>
      <c r="H28" s="651"/>
      <c r="I28" s="651"/>
      <c r="J28" s="651"/>
      <c r="K28" s="651"/>
      <c r="L28" s="651"/>
      <c r="M28" s="651"/>
      <c r="N28" s="651"/>
      <c r="O28" s="652"/>
    </row>
    <row r="29" spans="1:15" ht="34.5" customHeight="1" x14ac:dyDescent="0.35">
      <c r="A29" s="653">
        <v>4</v>
      </c>
      <c r="B29" s="655" t="s">
        <v>714</v>
      </c>
      <c r="C29" s="656" t="s">
        <v>896</v>
      </c>
      <c r="D29" s="28" t="s">
        <v>715</v>
      </c>
      <c r="E29" s="657" t="s">
        <v>713</v>
      </c>
      <c r="F29" s="648"/>
      <c r="G29" s="655" t="s">
        <v>897</v>
      </c>
      <c r="H29" s="664" t="s">
        <v>898</v>
      </c>
      <c r="I29" s="664" t="s">
        <v>5</v>
      </c>
      <c r="J29" s="664" t="s">
        <v>899</v>
      </c>
      <c r="K29" s="86" t="s">
        <v>850</v>
      </c>
      <c r="L29" s="35" t="s">
        <v>5</v>
      </c>
      <c r="M29" s="30" t="s">
        <v>900</v>
      </c>
      <c r="N29" s="666" t="s">
        <v>13</v>
      </c>
      <c r="O29" s="646"/>
    </row>
    <row r="30" spans="1:15" ht="37.5" customHeight="1" x14ac:dyDescent="0.35">
      <c r="A30" s="654"/>
      <c r="B30" s="604"/>
      <c r="C30" s="603"/>
      <c r="D30" s="29" t="s">
        <v>716</v>
      </c>
      <c r="E30" s="658"/>
      <c r="F30" s="659"/>
      <c r="G30" s="604"/>
      <c r="H30" s="610"/>
      <c r="I30" s="610"/>
      <c r="J30" s="610"/>
      <c r="K30" s="605" t="s">
        <v>259</v>
      </c>
      <c r="L30" s="610" t="s">
        <v>8</v>
      </c>
      <c r="M30" s="604" t="s">
        <v>727</v>
      </c>
      <c r="N30" s="667"/>
      <c r="O30" s="647"/>
    </row>
    <row r="31" spans="1:15" ht="56" x14ac:dyDescent="0.35">
      <c r="A31" s="654"/>
      <c r="B31" s="604"/>
      <c r="C31" s="603"/>
      <c r="D31" s="32" t="s">
        <v>717</v>
      </c>
      <c r="E31" s="658"/>
      <c r="F31" s="659"/>
      <c r="G31" s="604"/>
      <c r="H31" s="610"/>
      <c r="I31" s="610"/>
      <c r="J31" s="610"/>
      <c r="K31" s="605"/>
      <c r="L31" s="610"/>
      <c r="M31" s="604"/>
      <c r="N31" s="667"/>
      <c r="O31" s="647"/>
    </row>
    <row r="32" spans="1:15" ht="14.5" customHeight="1" x14ac:dyDescent="0.35">
      <c r="A32" s="654"/>
      <c r="B32" s="604"/>
      <c r="C32" s="603"/>
      <c r="D32" s="633" t="s">
        <v>718</v>
      </c>
      <c r="E32" s="658"/>
      <c r="F32" s="659"/>
      <c r="G32" s="604"/>
      <c r="H32" s="610"/>
      <c r="I32" s="610"/>
      <c r="J32" s="610"/>
      <c r="K32" s="605" t="s">
        <v>260</v>
      </c>
      <c r="L32" s="610" t="s">
        <v>5</v>
      </c>
      <c r="M32" s="604" t="s">
        <v>728</v>
      </c>
      <c r="N32" s="667"/>
      <c r="O32" s="647"/>
    </row>
    <row r="33" spans="1:15" x14ac:dyDescent="0.35">
      <c r="A33" s="654"/>
      <c r="B33" s="604"/>
      <c r="C33" s="603"/>
      <c r="D33" s="671"/>
      <c r="E33" s="658"/>
      <c r="F33" s="659"/>
      <c r="G33" s="604"/>
      <c r="H33" s="610"/>
      <c r="I33" s="610"/>
      <c r="J33" s="610"/>
      <c r="K33" s="605"/>
      <c r="L33" s="610"/>
      <c r="M33" s="604"/>
      <c r="N33" s="667"/>
      <c r="O33" s="647"/>
    </row>
    <row r="34" spans="1:15" ht="14.5" customHeight="1" x14ac:dyDescent="0.35">
      <c r="A34" s="654"/>
      <c r="B34" s="604"/>
      <c r="C34" s="603"/>
      <c r="D34" s="671"/>
      <c r="E34" s="658"/>
      <c r="F34" s="659"/>
      <c r="G34" s="604"/>
      <c r="H34" s="610"/>
      <c r="I34" s="610"/>
      <c r="J34" s="610"/>
      <c r="K34" s="634" t="s">
        <v>261</v>
      </c>
      <c r="L34" s="649" t="s">
        <v>13</v>
      </c>
      <c r="M34" s="635" t="s">
        <v>729</v>
      </c>
      <c r="N34" s="667"/>
      <c r="O34" s="647"/>
    </row>
    <row r="35" spans="1:15" x14ac:dyDescent="0.35">
      <c r="A35" s="654"/>
      <c r="B35" s="604"/>
      <c r="C35" s="603"/>
      <c r="D35" s="671"/>
      <c r="E35" s="658"/>
      <c r="F35" s="659"/>
      <c r="G35" s="604"/>
      <c r="H35" s="610"/>
      <c r="I35" s="610"/>
      <c r="J35" s="610"/>
      <c r="K35" s="661"/>
      <c r="L35" s="663"/>
      <c r="M35" s="665"/>
      <c r="N35" s="667"/>
      <c r="O35" s="647"/>
    </row>
    <row r="36" spans="1:15" x14ac:dyDescent="0.35">
      <c r="A36" s="654"/>
      <c r="B36" s="604"/>
      <c r="C36" s="603"/>
      <c r="D36" s="671"/>
      <c r="E36" s="658"/>
      <c r="F36" s="659"/>
      <c r="G36" s="604"/>
      <c r="H36" s="610"/>
      <c r="I36" s="610"/>
      <c r="J36" s="610"/>
      <c r="K36" s="661"/>
      <c r="L36" s="663"/>
      <c r="M36" s="665"/>
      <c r="N36" s="667"/>
      <c r="O36" s="647"/>
    </row>
    <row r="37" spans="1:15" ht="278.14999999999998" customHeight="1" x14ac:dyDescent="0.35">
      <c r="A37" s="654"/>
      <c r="B37" s="604"/>
      <c r="C37" s="603"/>
      <c r="D37" s="672"/>
      <c r="E37" s="658"/>
      <c r="F37" s="659"/>
      <c r="G37" s="604"/>
      <c r="H37" s="610"/>
      <c r="I37" s="610"/>
      <c r="J37" s="610"/>
      <c r="K37" s="662"/>
      <c r="L37" s="664"/>
      <c r="M37" s="655"/>
      <c r="N37" s="667"/>
      <c r="O37" s="648"/>
    </row>
    <row r="38" spans="1:15" ht="126" x14ac:dyDescent="0.35">
      <c r="A38" s="668">
        <v>5</v>
      </c>
      <c r="B38" s="669" t="s">
        <v>818</v>
      </c>
      <c r="C38" s="668" t="s">
        <v>901</v>
      </c>
      <c r="D38" s="38" t="s">
        <v>730</v>
      </c>
      <c r="E38" s="618" t="s">
        <v>739</v>
      </c>
      <c r="F38" s="670"/>
      <c r="G38" s="620" t="s">
        <v>902</v>
      </c>
      <c r="H38" s="620" t="s">
        <v>903</v>
      </c>
      <c r="I38" s="620" t="s">
        <v>5</v>
      </c>
      <c r="J38" s="618" t="s">
        <v>904</v>
      </c>
      <c r="K38" s="82" t="s">
        <v>850</v>
      </c>
      <c r="L38" s="50" t="s">
        <v>5</v>
      </c>
      <c r="M38" s="38" t="s">
        <v>740</v>
      </c>
      <c r="N38" s="674" t="s">
        <v>13</v>
      </c>
      <c r="O38" s="670"/>
    </row>
    <row r="39" spans="1:15" ht="42" x14ac:dyDescent="0.35">
      <c r="A39" s="668"/>
      <c r="B39" s="669"/>
      <c r="C39" s="668"/>
      <c r="D39" s="39" t="s">
        <v>731</v>
      </c>
      <c r="E39" s="618"/>
      <c r="F39" s="670"/>
      <c r="G39" s="620"/>
      <c r="H39" s="620"/>
      <c r="I39" s="620"/>
      <c r="J39" s="618"/>
      <c r="K39" s="82" t="s">
        <v>259</v>
      </c>
      <c r="L39" s="50" t="s">
        <v>8</v>
      </c>
      <c r="M39" s="38" t="s">
        <v>741</v>
      </c>
      <c r="N39" s="674"/>
      <c r="O39" s="670"/>
    </row>
    <row r="40" spans="1:15" ht="42" x14ac:dyDescent="0.35">
      <c r="A40" s="668"/>
      <c r="B40" s="669"/>
      <c r="C40" s="668"/>
      <c r="D40" s="618" t="s">
        <v>732</v>
      </c>
      <c r="E40" s="618"/>
      <c r="F40" s="670"/>
      <c r="G40" s="620"/>
      <c r="H40" s="620"/>
      <c r="I40" s="620"/>
      <c r="J40" s="618"/>
      <c r="K40" s="82" t="s">
        <v>260</v>
      </c>
      <c r="L40" s="50" t="s">
        <v>5</v>
      </c>
      <c r="M40" s="38" t="s">
        <v>728</v>
      </c>
      <c r="N40" s="674"/>
      <c r="O40" s="670"/>
    </row>
    <row r="41" spans="1:15" x14ac:dyDescent="0.35">
      <c r="A41" s="668"/>
      <c r="B41" s="669"/>
      <c r="C41" s="668"/>
      <c r="D41" s="618"/>
      <c r="E41" s="618"/>
      <c r="F41" s="670"/>
      <c r="G41" s="620"/>
      <c r="H41" s="620"/>
      <c r="I41" s="620"/>
      <c r="J41" s="618"/>
      <c r="K41" s="619" t="s">
        <v>261</v>
      </c>
      <c r="L41" s="620" t="s">
        <v>5</v>
      </c>
      <c r="M41" s="618" t="s">
        <v>742</v>
      </c>
      <c r="N41" s="674"/>
      <c r="O41" s="670"/>
    </row>
    <row r="42" spans="1:15" ht="71.150000000000006" customHeight="1" x14ac:dyDescent="0.35">
      <c r="A42" s="668"/>
      <c r="B42" s="669"/>
      <c r="C42" s="668"/>
      <c r="D42" s="618"/>
      <c r="E42" s="618"/>
      <c r="F42" s="670"/>
      <c r="G42" s="620"/>
      <c r="H42" s="620"/>
      <c r="I42" s="620"/>
      <c r="J42" s="618"/>
      <c r="K42" s="619"/>
      <c r="L42" s="620"/>
      <c r="M42" s="618"/>
      <c r="N42" s="674"/>
      <c r="O42" s="670"/>
    </row>
    <row r="43" spans="1:15" x14ac:dyDescent="0.35">
      <c r="A43" s="653">
        <v>6</v>
      </c>
      <c r="B43" s="655" t="s">
        <v>820</v>
      </c>
      <c r="C43" s="656" t="s">
        <v>744</v>
      </c>
      <c r="D43" s="655" t="s">
        <v>745</v>
      </c>
      <c r="E43" s="655" t="s">
        <v>754</v>
      </c>
      <c r="F43" s="647"/>
      <c r="G43" s="664" t="s">
        <v>905</v>
      </c>
      <c r="H43" s="663" t="s">
        <v>201</v>
      </c>
      <c r="I43" s="664" t="s">
        <v>201</v>
      </c>
      <c r="J43" s="666"/>
      <c r="K43" s="662" t="s">
        <v>850</v>
      </c>
      <c r="L43" s="664" t="s">
        <v>8</v>
      </c>
      <c r="M43" s="655" t="s">
        <v>753</v>
      </c>
      <c r="N43" s="675" t="s">
        <v>8</v>
      </c>
      <c r="O43" s="659"/>
    </row>
    <row r="44" spans="1:15" x14ac:dyDescent="0.35">
      <c r="A44" s="654"/>
      <c r="B44" s="604"/>
      <c r="C44" s="603"/>
      <c r="D44" s="604"/>
      <c r="E44" s="604"/>
      <c r="F44" s="647"/>
      <c r="G44" s="610"/>
      <c r="H44" s="663"/>
      <c r="I44" s="610"/>
      <c r="J44" s="667"/>
      <c r="K44" s="605"/>
      <c r="L44" s="610"/>
      <c r="M44" s="604"/>
      <c r="N44" s="675"/>
      <c r="O44" s="659"/>
    </row>
    <row r="45" spans="1:15" x14ac:dyDescent="0.35">
      <c r="A45" s="654"/>
      <c r="B45" s="604"/>
      <c r="C45" s="603"/>
      <c r="D45" s="604"/>
      <c r="E45" s="604"/>
      <c r="F45" s="647"/>
      <c r="G45" s="610"/>
      <c r="H45" s="663"/>
      <c r="I45" s="610"/>
      <c r="J45" s="667"/>
      <c r="K45" s="605"/>
      <c r="L45" s="610"/>
      <c r="M45" s="604"/>
      <c r="N45" s="675"/>
      <c r="O45" s="659"/>
    </row>
    <row r="46" spans="1:15" x14ac:dyDescent="0.35">
      <c r="A46" s="654"/>
      <c r="B46" s="604"/>
      <c r="C46" s="603"/>
      <c r="D46" s="604"/>
      <c r="E46" s="604"/>
      <c r="F46" s="647"/>
      <c r="G46" s="610"/>
      <c r="H46" s="663"/>
      <c r="I46" s="610"/>
      <c r="J46" s="667"/>
      <c r="K46" s="605"/>
      <c r="L46" s="610"/>
      <c r="M46" s="604"/>
      <c r="N46" s="675"/>
      <c r="O46" s="659"/>
    </row>
    <row r="47" spans="1:15" x14ac:dyDescent="0.35">
      <c r="A47" s="654"/>
      <c r="B47" s="604"/>
      <c r="C47" s="603"/>
      <c r="D47" s="604"/>
      <c r="E47" s="604"/>
      <c r="F47" s="647"/>
      <c r="G47" s="610"/>
      <c r="H47" s="663"/>
      <c r="I47" s="610"/>
      <c r="J47" s="667"/>
      <c r="K47" s="605"/>
      <c r="L47" s="610"/>
      <c r="M47" s="604"/>
      <c r="N47" s="675"/>
      <c r="O47" s="659"/>
    </row>
    <row r="48" spans="1:15" x14ac:dyDescent="0.35">
      <c r="A48" s="654"/>
      <c r="B48" s="604"/>
      <c r="C48" s="603"/>
      <c r="D48" s="604"/>
      <c r="E48" s="604"/>
      <c r="F48" s="647"/>
      <c r="G48" s="610"/>
      <c r="H48" s="663"/>
      <c r="I48" s="610"/>
      <c r="J48" s="667"/>
      <c r="K48" s="605"/>
      <c r="L48" s="610"/>
      <c r="M48" s="604"/>
      <c r="N48" s="675"/>
      <c r="O48" s="659"/>
    </row>
    <row r="49" spans="1:15" x14ac:dyDescent="0.35">
      <c r="A49" s="654"/>
      <c r="B49" s="604"/>
      <c r="C49" s="603"/>
      <c r="D49" s="44" t="s">
        <v>746</v>
      </c>
      <c r="E49" s="604"/>
      <c r="F49" s="647"/>
      <c r="G49" s="610"/>
      <c r="H49" s="663"/>
      <c r="I49" s="610"/>
      <c r="J49" s="667"/>
      <c r="K49" s="87" t="s">
        <v>260</v>
      </c>
      <c r="L49" s="75" t="s">
        <v>8</v>
      </c>
      <c r="M49" s="47"/>
      <c r="N49" s="675"/>
      <c r="O49" s="659"/>
    </row>
    <row r="50" spans="1:15" ht="120.65" customHeight="1" thickBot="1" x14ac:dyDescent="0.4">
      <c r="A50" s="680"/>
      <c r="B50" s="635"/>
      <c r="C50" s="631"/>
      <c r="D50" s="45" t="s">
        <v>747</v>
      </c>
      <c r="E50" s="635"/>
      <c r="F50" s="673"/>
      <c r="G50" s="649"/>
      <c r="H50" s="663"/>
      <c r="I50" s="649"/>
      <c r="J50" s="679"/>
      <c r="K50" s="88" t="s">
        <v>261</v>
      </c>
      <c r="L50" s="89" t="s">
        <v>8</v>
      </c>
      <c r="M50" s="45" t="s">
        <v>742</v>
      </c>
      <c r="N50" s="675"/>
      <c r="O50" s="659"/>
    </row>
    <row r="51" spans="1:15" ht="15" thickBot="1" x14ac:dyDescent="0.4">
      <c r="A51" s="90"/>
      <c r="B51" s="91"/>
      <c r="C51" s="92"/>
      <c r="D51" s="91"/>
      <c r="E51" s="93"/>
      <c r="F51" s="94"/>
      <c r="G51" s="95"/>
      <c r="H51" s="95"/>
      <c r="I51" s="96"/>
      <c r="J51" s="97"/>
      <c r="K51" s="92"/>
      <c r="L51" s="95"/>
      <c r="M51" s="91"/>
      <c r="N51" s="98"/>
      <c r="O51" s="99"/>
    </row>
    <row r="52" spans="1:15" ht="42" customHeight="1" x14ac:dyDescent="0.35">
      <c r="A52" s="653">
        <v>7</v>
      </c>
      <c r="B52" s="628" t="s">
        <v>821</v>
      </c>
      <c r="C52" s="637" t="s">
        <v>906</v>
      </c>
      <c r="D52" s="628" t="s">
        <v>756</v>
      </c>
      <c r="E52" s="628" t="s">
        <v>774</v>
      </c>
      <c r="F52" s="676" t="s">
        <v>775</v>
      </c>
      <c r="G52" s="625" t="s">
        <v>907</v>
      </c>
      <c r="H52" s="625" t="s">
        <v>201</v>
      </c>
      <c r="I52" s="625" t="s">
        <v>908</v>
      </c>
      <c r="J52" s="628" t="s">
        <v>909</v>
      </c>
      <c r="K52" s="100" t="s">
        <v>850</v>
      </c>
      <c r="L52" s="49" t="s">
        <v>5</v>
      </c>
      <c r="M52" s="48" t="s">
        <v>777</v>
      </c>
      <c r="N52" s="49" t="s">
        <v>5</v>
      </c>
      <c r="O52" s="48" t="s">
        <v>910</v>
      </c>
    </row>
    <row r="53" spans="1:15" ht="42" x14ac:dyDescent="0.35">
      <c r="A53" s="654"/>
      <c r="B53" s="618"/>
      <c r="C53" s="668"/>
      <c r="D53" s="618"/>
      <c r="E53" s="618"/>
      <c r="F53" s="677"/>
      <c r="G53" s="620"/>
      <c r="H53" s="620"/>
      <c r="I53" s="620"/>
      <c r="J53" s="618"/>
      <c r="K53" s="82" t="s">
        <v>260</v>
      </c>
      <c r="L53" s="50" t="s">
        <v>5</v>
      </c>
      <c r="M53" s="38" t="s">
        <v>778</v>
      </c>
      <c r="N53" s="50" t="s">
        <v>5</v>
      </c>
      <c r="O53" s="38" t="s">
        <v>910</v>
      </c>
    </row>
    <row r="54" spans="1:15" ht="365.5" customHeight="1" x14ac:dyDescent="0.35">
      <c r="A54" s="654"/>
      <c r="B54" s="618"/>
      <c r="C54" s="668"/>
      <c r="D54" s="618"/>
      <c r="E54" s="618"/>
      <c r="F54" s="678"/>
      <c r="G54" s="620"/>
      <c r="H54" s="620"/>
      <c r="I54" s="620"/>
      <c r="J54" s="618"/>
      <c r="K54" s="82" t="s">
        <v>261</v>
      </c>
      <c r="L54" s="50" t="s">
        <v>13</v>
      </c>
      <c r="M54" s="38" t="s">
        <v>779</v>
      </c>
      <c r="N54" s="50" t="s">
        <v>5</v>
      </c>
      <c r="O54" s="38" t="s">
        <v>910</v>
      </c>
    </row>
    <row r="55" spans="1:15" ht="154" x14ac:dyDescent="0.35">
      <c r="A55" s="101">
        <v>8</v>
      </c>
      <c r="B55" s="47" t="s">
        <v>822</v>
      </c>
      <c r="C55" s="102" t="s">
        <v>911</v>
      </c>
      <c r="D55" s="46" t="s">
        <v>780</v>
      </c>
      <c r="E55" s="46" t="s">
        <v>787</v>
      </c>
      <c r="F55" s="22"/>
      <c r="G55" s="75" t="s">
        <v>912</v>
      </c>
      <c r="H55" s="29"/>
      <c r="I55" s="36" t="s">
        <v>913</v>
      </c>
      <c r="J55" s="36" t="s">
        <v>914</v>
      </c>
      <c r="K55" s="85" t="s">
        <v>261</v>
      </c>
      <c r="L55" s="36" t="s">
        <v>13</v>
      </c>
      <c r="M55" s="29" t="s">
        <v>788</v>
      </c>
      <c r="N55" s="36" t="s">
        <v>5</v>
      </c>
      <c r="O55" s="29" t="s">
        <v>915</v>
      </c>
    </row>
    <row r="56" spans="1:15" ht="384.65" customHeight="1" x14ac:dyDescent="0.35">
      <c r="A56" s="103">
        <v>9</v>
      </c>
      <c r="B56" s="38" t="s">
        <v>823</v>
      </c>
      <c r="C56" s="104" t="s">
        <v>916</v>
      </c>
      <c r="D56" s="52" t="s">
        <v>790</v>
      </c>
      <c r="E56" s="38" t="s">
        <v>802</v>
      </c>
      <c r="F56" s="105"/>
      <c r="G56" s="50" t="s">
        <v>917</v>
      </c>
      <c r="H56" s="38"/>
      <c r="I56" s="38"/>
      <c r="J56" s="106" t="s">
        <v>918</v>
      </c>
      <c r="K56" s="38"/>
      <c r="L56" s="50" t="s">
        <v>5</v>
      </c>
      <c r="M56" s="38" t="s">
        <v>919</v>
      </c>
      <c r="N56" s="50" t="s">
        <v>5</v>
      </c>
      <c r="O56" s="38" t="s">
        <v>920</v>
      </c>
    </row>
    <row r="57" spans="1:15" ht="126" x14ac:dyDescent="0.35">
      <c r="A57" s="107">
        <v>10</v>
      </c>
      <c r="B57" s="29" t="s">
        <v>825</v>
      </c>
      <c r="C57" s="108" t="s">
        <v>804</v>
      </c>
      <c r="D57" s="29" t="s">
        <v>803</v>
      </c>
      <c r="E57" s="29" t="s">
        <v>806</v>
      </c>
      <c r="F57" s="109"/>
      <c r="G57" s="36" t="s">
        <v>921</v>
      </c>
      <c r="H57" s="36" t="s">
        <v>13</v>
      </c>
      <c r="I57" s="36" t="s">
        <v>5</v>
      </c>
      <c r="J57" s="29"/>
      <c r="K57" s="29"/>
      <c r="L57" s="29"/>
      <c r="M57" s="29"/>
      <c r="N57" s="29"/>
      <c r="O57" s="29" t="s">
        <v>922</v>
      </c>
    </row>
    <row r="58" spans="1:15" ht="100" customHeight="1" x14ac:dyDescent="0.35">
      <c r="A58" s="103">
        <v>11</v>
      </c>
      <c r="B58" s="38" t="s">
        <v>827</v>
      </c>
      <c r="C58" s="53" t="s">
        <v>807</v>
      </c>
      <c r="D58" s="38" t="s">
        <v>810</v>
      </c>
      <c r="E58" s="38" t="s">
        <v>811</v>
      </c>
      <c r="F58" s="105"/>
      <c r="G58" s="50" t="s">
        <v>923</v>
      </c>
      <c r="H58" s="50" t="s">
        <v>13</v>
      </c>
      <c r="I58" s="50" t="s">
        <v>13</v>
      </c>
      <c r="J58" s="38"/>
      <c r="K58" s="38"/>
      <c r="L58" s="38"/>
      <c r="M58" s="38"/>
      <c r="N58" s="38"/>
      <c r="O58" s="38" t="s">
        <v>922</v>
      </c>
    </row>
  </sheetData>
  <mergeCells count="140">
    <mergeCell ref="H52:H54"/>
    <mergeCell ref="I52:I54"/>
    <mergeCell ref="J52:J54"/>
    <mergeCell ref="M43:M48"/>
    <mergeCell ref="N43:N50"/>
    <mergeCell ref="O43:O50"/>
    <mergeCell ref="A52:A54"/>
    <mergeCell ref="B52:B54"/>
    <mergeCell ref="C52:C54"/>
    <mergeCell ref="D52:D54"/>
    <mergeCell ref="E52:E54"/>
    <mergeCell ref="F52:F54"/>
    <mergeCell ref="G52:G54"/>
    <mergeCell ref="G43:G50"/>
    <mergeCell ref="H43:H50"/>
    <mergeCell ref="I43:I50"/>
    <mergeCell ref="J43:J50"/>
    <mergeCell ref="K43:K48"/>
    <mergeCell ref="L43:L48"/>
    <mergeCell ref="A43:A50"/>
    <mergeCell ref="B43:B50"/>
    <mergeCell ref="C43:C50"/>
    <mergeCell ref="D43:D48"/>
    <mergeCell ref="E43:E50"/>
    <mergeCell ref="F43:F50"/>
    <mergeCell ref="H38:H42"/>
    <mergeCell ref="I38:I42"/>
    <mergeCell ref="J38:J42"/>
    <mergeCell ref="N38:N42"/>
    <mergeCell ref="O38:O42"/>
    <mergeCell ref="D40:D42"/>
    <mergeCell ref="K41:K42"/>
    <mergeCell ref="L41:L42"/>
    <mergeCell ref="M41:M42"/>
    <mergeCell ref="A38:A42"/>
    <mergeCell ref="B38:B42"/>
    <mergeCell ref="C38:C42"/>
    <mergeCell ref="E38:E42"/>
    <mergeCell ref="F38:F42"/>
    <mergeCell ref="G38:G42"/>
    <mergeCell ref="D32:D37"/>
    <mergeCell ref="K32:K33"/>
    <mergeCell ref="L32:L33"/>
    <mergeCell ref="M32:M33"/>
    <mergeCell ref="K34:K37"/>
    <mergeCell ref="L34:L37"/>
    <mergeCell ref="M34:M37"/>
    <mergeCell ref="G29:G37"/>
    <mergeCell ref="H29:H37"/>
    <mergeCell ref="I29:I37"/>
    <mergeCell ref="J29:J37"/>
    <mergeCell ref="N29:N37"/>
    <mergeCell ref="O29:O37"/>
    <mergeCell ref="K30:K31"/>
    <mergeCell ref="L30:L31"/>
    <mergeCell ref="M30:M31"/>
    <mergeCell ref="M23:M24"/>
    <mergeCell ref="K25:K27"/>
    <mergeCell ref="L25:L27"/>
    <mergeCell ref="M25:M27"/>
    <mergeCell ref="A28:O28"/>
    <mergeCell ref="A29:A37"/>
    <mergeCell ref="B29:B37"/>
    <mergeCell ref="C29:C37"/>
    <mergeCell ref="E29:E37"/>
    <mergeCell ref="F29:F37"/>
    <mergeCell ref="H19:H27"/>
    <mergeCell ref="I19:I27"/>
    <mergeCell ref="J19:J27"/>
    <mergeCell ref="N19:N27"/>
    <mergeCell ref="O19:O27"/>
    <mergeCell ref="K20:K22"/>
    <mergeCell ref="L20:L22"/>
    <mergeCell ref="M20:M22"/>
    <mergeCell ref="K23:K24"/>
    <mergeCell ref="L23:L24"/>
    <mergeCell ref="D17:D18"/>
    <mergeCell ref="K17:K18"/>
    <mergeCell ref="L17:L18"/>
    <mergeCell ref="M17:M18"/>
    <mergeCell ref="H12:H18"/>
    <mergeCell ref="I12:I18"/>
    <mergeCell ref="J12:J18"/>
    <mergeCell ref="M3:M4"/>
    <mergeCell ref="A19:A27"/>
    <mergeCell ref="B19:B27"/>
    <mergeCell ref="C19:C27"/>
    <mergeCell ref="E19:E27"/>
    <mergeCell ref="F19:F20"/>
    <mergeCell ref="G19:G27"/>
    <mergeCell ref="D14:D15"/>
    <mergeCell ref="K15:K16"/>
    <mergeCell ref="L15:L16"/>
    <mergeCell ref="A12:A18"/>
    <mergeCell ref="B12:B18"/>
    <mergeCell ref="C12:C18"/>
    <mergeCell ref="E12:E18"/>
    <mergeCell ref="F12:F18"/>
    <mergeCell ref="G12:G18"/>
    <mergeCell ref="N3:N11"/>
    <mergeCell ref="O3:O11"/>
    <mergeCell ref="K5:K6"/>
    <mergeCell ref="L5:L6"/>
    <mergeCell ref="M5:M6"/>
    <mergeCell ref="K7:K8"/>
    <mergeCell ref="L7:L8"/>
    <mergeCell ref="O12:O18"/>
    <mergeCell ref="K13:K14"/>
    <mergeCell ref="L13:L14"/>
    <mergeCell ref="M13:M14"/>
    <mergeCell ref="M7:M8"/>
    <mergeCell ref="K9:K11"/>
    <mergeCell ref="L9:L11"/>
    <mergeCell ref="M9:M11"/>
    <mergeCell ref="N12:N18"/>
    <mergeCell ref="M15:M16"/>
    <mergeCell ref="O1:O2"/>
    <mergeCell ref="A3:A11"/>
    <mergeCell ref="B3:B11"/>
    <mergeCell ref="C3:C11"/>
    <mergeCell ref="E3:E11"/>
    <mergeCell ref="F3:F11"/>
    <mergeCell ref="G3:G11"/>
    <mergeCell ref="H3:H11"/>
    <mergeCell ref="I3:I11"/>
    <mergeCell ref="J3:J11"/>
    <mergeCell ref="G1:G2"/>
    <mergeCell ref="H1:H2"/>
    <mergeCell ref="I1:I2"/>
    <mergeCell ref="J1:J2"/>
    <mergeCell ref="K1:M1"/>
    <mergeCell ref="N1:N2"/>
    <mergeCell ref="A1:A2"/>
    <mergeCell ref="B1:B2"/>
    <mergeCell ref="C1:C2"/>
    <mergeCell ref="D1:D2"/>
    <mergeCell ref="E1:E2"/>
    <mergeCell ref="F1:F2"/>
    <mergeCell ref="K3:K4"/>
    <mergeCell ref="L3:L4"/>
  </mergeCells>
  <pageMargins left="0.7" right="0.7" top="0.75" bottom="0.75" header="0.3" footer="0.3"/>
  <pageSetup scale="28" fitToWidth="0"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67"/>
  <sheetViews>
    <sheetView showGridLines="0" topLeftCell="B1" zoomScale="90" zoomScaleNormal="90" workbookViewId="0">
      <pane xSplit="2" ySplit="2" topLeftCell="D3" activePane="bottomRight" state="frozen"/>
      <selection activeCell="B1" sqref="B1"/>
      <selection pane="topRight" activeCell="D1" sqref="D1"/>
      <selection pane="bottomLeft" activeCell="B3" sqref="B3"/>
      <selection pane="bottomRight" activeCell="C3" sqref="C3:C11"/>
    </sheetView>
  </sheetViews>
  <sheetFormatPr defaultRowHeight="14.5" x14ac:dyDescent="0.35"/>
  <cols>
    <col min="1" max="1" width="3.453125" style="20" customWidth="1"/>
    <col min="2" max="2" width="7.7265625" style="78" customWidth="1"/>
    <col min="3" max="3" width="14.7265625" style="129" customWidth="1"/>
    <col min="4" max="4" width="32.26953125" customWidth="1"/>
    <col min="5" max="5" width="62.54296875" customWidth="1"/>
    <col min="6" max="6" width="15" bestFit="1" customWidth="1"/>
    <col min="7" max="7" width="49.54296875" customWidth="1"/>
    <col min="8" max="8" width="61.54296875" customWidth="1"/>
    <col min="9" max="9" width="11" customWidth="1"/>
    <col min="15" max="15" width="11.453125" bestFit="1" customWidth="1"/>
    <col min="16" max="16" width="21.81640625" customWidth="1"/>
    <col min="17" max="17" width="38.7265625" customWidth="1"/>
  </cols>
  <sheetData>
    <row r="1" spans="1:17" ht="20.25" customHeight="1" x14ac:dyDescent="0.35">
      <c r="A1" s="534" t="s">
        <v>257</v>
      </c>
      <c r="B1" s="536" t="s">
        <v>258</v>
      </c>
      <c r="C1" s="536" t="s">
        <v>262</v>
      </c>
      <c r="D1" s="536" t="s">
        <v>263</v>
      </c>
      <c r="E1" s="530" t="s">
        <v>264</v>
      </c>
      <c r="F1" s="532" t="s">
        <v>265</v>
      </c>
      <c r="G1" s="579" t="s">
        <v>266</v>
      </c>
      <c r="H1" s="536" t="s">
        <v>267</v>
      </c>
      <c r="I1" s="528" t="s">
        <v>268</v>
      </c>
      <c r="J1" s="529"/>
      <c r="K1" s="581"/>
      <c r="L1" s="528" t="s">
        <v>269</v>
      </c>
      <c r="M1" s="529"/>
      <c r="N1" s="529"/>
      <c r="O1" s="529"/>
      <c r="P1" s="23" t="s">
        <v>270</v>
      </c>
      <c r="Q1" s="530" t="s">
        <v>271</v>
      </c>
    </row>
    <row r="2" spans="1:17" ht="24.75" customHeight="1" x14ac:dyDescent="0.35">
      <c r="A2" s="535"/>
      <c r="B2" s="537"/>
      <c r="C2" s="537"/>
      <c r="D2" s="537"/>
      <c r="E2" s="531"/>
      <c r="F2" s="533"/>
      <c r="G2" s="580"/>
      <c r="H2" s="537"/>
      <c r="I2" s="24" t="s">
        <v>272</v>
      </c>
      <c r="J2" s="24" t="s">
        <v>273</v>
      </c>
      <c r="K2" s="25" t="s">
        <v>274</v>
      </c>
      <c r="L2" s="24" t="s">
        <v>275</v>
      </c>
      <c r="M2" s="24" t="s">
        <v>276</v>
      </c>
      <c r="N2" s="24" t="s">
        <v>277</v>
      </c>
      <c r="O2" s="18" t="s">
        <v>278</v>
      </c>
      <c r="P2" s="24" t="s">
        <v>279</v>
      </c>
      <c r="Q2" s="531"/>
    </row>
    <row r="3" spans="1:17" ht="67.5" customHeight="1" x14ac:dyDescent="0.35">
      <c r="A3" s="546">
        <v>1</v>
      </c>
      <c r="B3" s="548" t="s">
        <v>280</v>
      </c>
      <c r="C3" s="549" t="s">
        <v>281</v>
      </c>
      <c r="D3" s="142" t="s">
        <v>282</v>
      </c>
      <c r="E3" s="142" t="s">
        <v>283</v>
      </c>
      <c r="F3" s="143" t="s">
        <v>13</v>
      </c>
      <c r="G3" s="538" t="s">
        <v>284</v>
      </c>
      <c r="H3" s="144" t="s">
        <v>678</v>
      </c>
      <c r="I3" s="143" t="s">
        <v>289</v>
      </c>
      <c r="J3" s="143" t="s">
        <v>285</v>
      </c>
      <c r="K3" s="143" t="s">
        <v>285</v>
      </c>
      <c r="L3" s="145"/>
      <c r="M3" s="145"/>
      <c r="N3" s="145"/>
      <c r="O3" s="145"/>
      <c r="P3" s="538" t="s">
        <v>711</v>
      </c>
      <c r="Q3" s="538" t="s">
        <v>692</v>
      </c>
    </row>
    <row r="4" spans="1:17" ht="50.15" customHeight="1" x14ac:dyDescent="0.35">
      <c r="A4" s="546"/>
      <c r="B4" s="548"/>
      <c r="C4" s="549"/>
      <c r="D4" s="142" t="s">
        <v>286</v>
      </c>
      <c r="E4" s="142" t="s">
        <v>287</v>
      </c>
      <c r="F4" s="143" t="s">
        <v>8</v>
      </c>
      <c r="G4" s="550"/>
      <c r="H4" s="144" t="s">
        <v>288</v>
      </c>
      <c r="I4" s="143" t="s">
        <v>289</v>
      </c>
      <c r="J4" s="143" t="s">
        <v>285</v>
      </c>
      <c r="K4" s="143" t="s">
        <v>289</v>
      </c>
      <c r="L4" s="145"/>
      <c r="M4" s="145"/>
      <c r="N4" s="145"/>
      <c r="O4" s="145"/>
      <c r="P4" s="538"/>
      <c r="Q4" s="538"/>
    </row>
    <row r="5" spans="1:17" ht="71.5" customHeight="1" x14ac:dyDescent="0.35">
      <c r="A5" s="546"/>
      <c r="B5" s="548"/>
      <c r="C5" s="549"/>
      <c r="D5" s="137" t="s">
        <v>290</v>
      </c>
      <c r="E5" s="137" t="s">
        <v>291</v>
      </c>
      <c r="F5" s="143" t="s">
        <v>13</v>
      </c>
      <c r="G5" s="550"/>
      <c r="H5" s="144" t="s">
        <v>679</v>
      </c>
      <c r="I5" s="143" t="s">
        <v>289</v>
      </c>
      <c r="J5" s="143" t="s">
        <v>289</v>
      </c>
      <c r="K5" s="143" t="s">
        <v>289</v>
      </c>
      <c r="L5" s="145"/>
      <c r="M5" s="145"/>
      <c r="N5" s="145"/>
      <c r="O5" s="145"/>
      <c r="P5" s="538"/>
      <c r="Q5" s="538"/>
    </row>
    <row r="6" spans="1:17" ht="32.15" customHeight="1" x14ac:dyDescent="0.35">
      <c r="A6" s="546"/>
      <c r="B6" s="548"/>
      <c r="C6" s="549"/>
      <c r="D6" s="142" t="s">
        <v>292</v>
      </c>
      <c r="E6" s="142" t="s">
        <v>293</v>
      </c>
      <c r="F6" s="143" t="s">
        <v>5</v>
      </c>
      <c r="G6" s="550"/>
      <c r="H6" s="144" t="s">
        <v>294</v>
      </c>
      <c r="I6" s="143" t="s">
        <v>285</v>
      </c>
      <c r="J6" s="143" t="s">
        <v>285</v>
      </c>
      <c r="K6" s="143" t="s">
        <v>285</v>
      </c>
      <c r="L6" s="145"/>
      <c r="M6" s="145"/>
      <c r="N6" s="145"/>
      <c r="O6" s="145"/>
      <c r="P6" s="538"/>
      <c r="Q6" s="538"/>
    </row>
    <row r="7" spans="1:17" ht="25" x14ac:dyDescent="0.35">
      <c r="A7" s="546"/>
      <c r="B7" s="548"/>
      <c r="C7" s="549"/>
      <c r="D7" s="142" t="s">
        <v>295</v>
      </c>
      <c r="E7" s="142" t="s">
        <v>296</v>
      </c>
      <c r="F7" s="143" t="s">
        <v>5</v>
      </c>
      <c r="G7" s="550"/>
      <c r="H7" s="144" t="s">
        <v>294</v>
      </c>
      <c r="I7" s="143" t="s">
        <v>285</v>
      </c>
      <c r="J7" s="143" t="s">
        <v>285</v>
      </c>
      <c r="K7" s="143" t="s">
        <v>285</v>
      </c>
      <c r="L7" s="145"/>
      <c r="M7" s="145"/>
      <c r="N7" s="145"/>
      <c r="O7" s="145"/>
      <c r="P7" s="538"/>
      <c r="Q7" s="538"/>
    </row>
    <row r="8" spans="1:17" ht="59.15" customHeight="1" x14ac:dyDescent="0.35">
      <c r="A8" s="546"/>
      <c r="B8" s="548"/>
      <c r="C8" s="549"/>
      <c r="D8" s="142" t="s">
        <v>297</v>
      </c>
      <c r="E8" s="142" t="s">
        <v>298</v>
      </c>
      <c r="F8" s="143" t="s">
        <v>5</v>
      </c>
      <c r="G8" s="550"/>
      <c r="H8" s="144" t="s">
        <v>299</v>
      </c>
      <c r="I8" s="143" t="s">
        <v>289</v>
      </c>
      <c r="J8" s="143" t="s">
        <v>285</v>
      </c>
      <c r="K8" s="143" t="s">
        <v>285</v>
      </c>
      <c r="L8" s="145"/>
      <c r="M8" s="145"/>
      <c r="N8" s="145"/>
      <c r="O8" s="145"/>
      <c r="P8" s="538"/>
      <c r="Q8" s="538"/>
    </row>
    <row r="9" spans="1:17" ht="36" customHeight="1" x14ac:dyDescent="0.35">
      <c r="A9" s="546"/>
      <c r="B9" s="548"/>
      <c r="C9" s="549"/>
      <c r="D9" s="142" t="s">
        <v>300</v>
      </c>
      <c r="E9" s="142" t="s">
        <v>301</v>
      </c>
      <c r="F9" s="143" t="s">
        <v>13</v>
      </c>
      <c r="G9" s="550"/>
      <c r="H9" s="138" t="s">
        <v>680</v>
      </c>
      <c r="I9" s="146" t="s">
        <v>285</v>
      </c>
      <c r="J9" s="146" t="s">
        <v>285</v>
      </c>
      <c r="K9" s="146" t="s">
        <v>289</v>
      </c>
      <c r="L9" s="145"/>
      <c r="M9" s="145"/>
      <c r="N9" s="145"/>
      <c r="O9" s="145"/>
      <c r="P9" s="538"/>
      <c r="Q9" s="538"/>
    </row>
    <row r="10" spans="1:17" ht="32.5" customHeight="1" x14ac:dyDescent="0.35">
      <c r="A10" s="546"/>
      <c r="B10" s="548"/>
      <c r="C10" s="549"/>
      <c r="D10" s="142" t="s">
        <v>302</v>
      </c>
      <c r="E10" s="142" t="s">
        <v>303</v>
      </c>
      <c r="F10" s="143" t="s">
        <v>5</v>
      </c>
      <c r="G10" s="550"/>
      <c r="H10" s="144" t="s">
        <v>294</v>
      </c>
      <c r="I10" s="143" t="s">
        <v>285</v>
      </c>
      <c r="J10" s="143" t="s">
        <v>285</v>
      </c>
      <c r="K10" s="143" t="s">
        <v>285</v>
      </c>
      <c r="L10" s="145"/>
      <c r="M10" s="145"/>
      <c r="N10" s="145"/>
      <c r="O10" s="145"/>
      <c r="P10" s="538"/>
      <c r="Q10" s="538"/>
    </row>
    <row r="11" spans="1:17" ht="25" x14ac:dyDescent="0.35">
      <c r="A11" s="547"/>
      <c r="B11" s="548"/>
      <c r="C11" s="549"/>
      <c r="D11" s="142" t="s">
        <v>304</v>
      </c>
      <c r="E11" s="142" t="s">
        <v>305</v>
      </c>
      <c r="F11" s="143" t="s">
        <v>5</v>
      </c>
      <c r="G11" s="550"/>
      <c r="H11" s="138" t="s">
        <v>681</v>
      </c>
      <c r="I11" s="146" t="s">
        <v>285</v>
      </c>
      <c r="J11" s="146" t="s">
        <v>285</v>
      </c>
      <c r="K11" s="146" t="s">
        <v>285</v>
      </c>
      <c r="L11" s="145"/>
      <c r="M11" s="145"/>
      <c r="N11" s="145"/>
      <c r="O11" s="145"/>
      <c r="P11" s="538"/>
      <c r="Q11" s="538"/>
    </row>
    <row r="12" spans="1:17" ht="43.5" customHeight="1" x14ac:dyDescent="0.35">
      <c r="A12" s="539">
        <v>2</v>
      </c>
      <c r="B12" s="542" t="s">
        <v>280</v>
      </c>
      <c r="C12" s="543" t="s">
        <v>306</v>
      </c>
      <c r="D12" s="147" t="s">
        <v>307</v>
      </c>
      <c r="E12" s="147" t="s">
        <v>308</v>
      </c>
      <c r="F12" s="148" t="s">
        <v>8</v>
      </c>
      <c r="G12" s="544" t="s">
        <v>815</v>
      </c>
      <c r="H12" s="149" t="s">
        <v>309</v>
      </c>
      <c r="I12" s="148" t="s">
        <v>289</v>
      </c>
      <c r="J12" s="148" t="s">
        <v>285</v>
      </c>
      <c r="K12" s="148" t="s">
        <v>289</v>
      </c>
      <c r="L12" s="150"/>
      <c r="M12" s="150"/>
      <c r="N12" s="150"/>
      <c r="O12" s="150"/>
      <c r="P12" s="545"/>
      <c r="Q12" s="545"/>
    </row>
    <row r="13" spans="1:17" ht="49.75" customHeight="1" x14ac:dyDescent="0.35">
      <c r="A13" s="540"/>
      <c r="B13" s="542"/>
      <c r="C13" s="543"/>
      <c r="D13" s="147" t="s">
        <v>310</v>
      </c>
      <c r="E13" s="147" t="s">
        <v>311</v>
      </c>
      <c r="F13" s="148" t="s">
        <v>8</v>
      </c>
      <c r="G13" s="544"/>
      <c r="H13" s="151" t="s">
        <v>312</v>
      </c>
      <c r="I13" s="152" t="s">
        <v>289</v>
      </c>
      <c r="J13" s="152" t="s">
        <v>285</v>
      </c>
      <c r="K13" s="152" t="s">
        <v>289</v>
      </c>
      <c r="L13" s="150"/>
      <c r="M13" s="150"/>
      <c r="N13" s="150"/>
      <c r="O13" s="150"/>
      <c r="P13" s="545"/>
      <c r="Q13" s="545"/>
    </row>
    <row r="14" spans="1:17" ht="55.5" customHeight="1" x14ac:dyDescent="0.35">
      <c r="A14" s="540"/>
      <c r="B14" s="542"/>
      <c r="C14" s="543"/>
      <c r="D14" s="153" t="s">
        <v>313</v>
      </c>
      <c r="E14" s="153" t="s">
        <v>314</v>
      </c>
      <c r="F14" s="148" t="s">
        <v>13</v>
      </c>
      <c r="G14" s="544"/>
      <c r="H14" s="151" t="s">
        <v>315</v>
      </c>
      <c r="I14" s="152" t="s">
        <v>289</v>
      </c>
      <c r="J14" s="152" t="s">
        <v>285</v>
      </c>
      <c r="K14" s="152" t="s">
        <v>289</v>
      </c>
      <c r="L14" s="150"/>
      <c r="M14" s="150"/>
      <c r="N14" s="150"/>
      <c r="O14" s="150"/>
      <c r="P14" s="545"/>
      <c r="Q14" s="545"/>
    </row>
    <row r="15" spans="1:17" ht="49" customHeight="1" x14ac:dyDescent="0.35">
      <c r="A15" s="540"/>
      <c r="B15" s="542"/>
      <c r="C15" s="543"/>
      <c r="D15" s="147" t="s">
        <v>316</v>
      </c>
      <c r="E15" s="147" t="s">
        <v>317</v>
      </c>
      <c r="F15" s="148" t="s">
        <v>5</v>
      </c>
      <c r="G15" s="544"/>
      <c r="H15" s="151" t="s">
        <v>294</v>
      </c>
      <c r="I15" s="152" t="s">
        <v>285</v>
      </c>
      <c r="J15" s="152" t="s">
        <v>285</v>
      </c>
      <c r="K15" s="152" t="s">
        <v>285</v>
      </c>
      <c r="L15" s="150"/>
      <c r="M15" s="150"/>
      <c r="N15" s="150"/>
      <c r="O15" s="150"/>
      <c r="P15" s="545"/>
      <c r="Q15" s="545"/>
    </row>
    <row r="16" spans="1:17" ht="186.65" customHeight="1" x14ac:dyDescent="0.35">
      <c r="A16" s="541"/>
      <c r="B16" s="542"/>
      <c r="C16" s="543"/>
      <c r="D16" s="153" t="s">
        <v>318</v>
      </c>
      <c r="E16" s="149" t="s">
        <v>319</v>
      </c>
      <c r="F16" s="148" t="s">
        <v>13</v>
      </c>
      <c r="G16" s="544"/>
      <c r="H16" s="151" t="s">
        <v>320</v>
      </c>
      <c r="I16" s="152" t="s">
        <v>289</v>
      </c>
      <c r="J16" s="152" t="s">
        <v>285</v>
      </c>
      <c r="K16" s="152" t="s">
        <v>289</v>
      </c>
      <c r="L16" s="150"/>
      <c r="M16" s="150"/>
      <c r="N16" s="150"/>
      <c r="O16" s="150"/>
      <c r="P16" s="545"/>
      <c r="Q16" s="545"/>
    </row>
    <row r="17" spans="1:17" ht="37.5" customHeight="1" x14ac:dyDescent="0.35">
      <c r="A17" s="546">
        <v>3</v>
      </c>
      <c r="B17" s="548" t="s">
        <v>280</v>
      </c>
      <c r="C17" s="578" t="s">
        <v>321</v>
      </c>
      <c r="D17" s="137" t="s">
        <v>322</v>
      </c>
      <c r="E17" s="142" t="s">
        <v>323</v>
      </c>
      <c r="F17" s="143" t="s">
        <v>8</v>
      </c>
      <c r="G17" s="582" t="s">
        <v>817</v>
      </c>
      <c r="H17" s="144" t="s">
        <v>324</v>
      </c>
      <c r="I17" s="143" t="s">
        <v>289</v>
      </c>
      <c r="J17" s="143" t="s">
        <v>285</v>
      </c>
      <c r="K17" s="143" t="s">
        <v>289</v>
      </c>
      <c r="L17" s="145"/>
      <c r="M17" s="145"/>
      <c r="N17" s="145"/>
      <c r="O17" s="145"/>
      <c r="P17" s="551" t="s">
        <v>709</v>
      </c>
      <c r="Q17" s="559" t="s">
        <v>712</v>
      </c>
    </row>
    <row r="18" spans="1:17" ht="69.650000000000006" customHeight="1" x14ac:dyDescent="0.35">
      <c r="A18" s="546"/>
      <c r="B18" s="548"/>
      <c r="C18" s="578"/>
      <c r="D18" s="142" t="s">
        <v>325</v>
      </c>
      <c r="E18" s="137" t="s">
        <v>326</v>
      </c>
      <c r="F18" s="143" t="s">
        <v>8</v>
      </c>
      <c r="G18" s="583"/>
      <c r="H18" s="144" t="s">
        <v>288</v>
      </c>
      <c r="I18" s="143" t="s">
        <v>289</v>
      </c>
      <c r="J18" s="143" t="s">
        <v>285</v>
      </c>
      <c r="K18" s="143" t="s">
        <v>289</v>
      </c>
      <c r="L18" s="145"/>
      <c r="M18" s="145"/>
      <c r="N18" s="145"/>
      <c r="O18" s="145"/>
      <c r="P18" s="551"/>
      <c r="Q18" s="559"/>
    </row>
    <row r="19" spans="1:17" ht="37.5" x14ac:dyDescent="0.35">
      <c r="A19" s="546"/>
      <c r="B19" s="548"/>
      <c r="C19" s="578"/>
      <c r="D19" s="142" t="s">
        <v>327</v>
      </c>
      <c r="E19" s="142" t="s">
        <v>328</v>
      </c>
      <c r="F19" s="143" t="s">
        <v>5</v>
      </c>
      <c r="G19" s="583"/>
      <c r="H19" s="144" t="s">
        <v>294</v>
      </c>
      <c r="I19" s="143" t="s">
        <v>285</v>
      </c>
      <c r="J19" s="143" t="s">
        <v>285</v>
      </c>
      <c r="K19" s="143" t="s">
        <v>285</v>
      </c>
      <c r="L19" s="145"/>
      <c r="M19" s="145"/>
      <c r="N19" s="145"/>
      <c r="O19" s="145"/>
      <c r="P19" s="551"/>
      <c r="Q19" s="559"/>
    </row>
    <row r="20" spans="1:17" ht="86.5" customHeight="1" x14ac:dyDescent="0.35">
      <c r="A20" s="546"/>
      <c r="B20" s="548"/>
      <c r="C20" s="578"/>
      <c r="D20" s="142" t="s">
        <v>329</v>
      </c>
      <c r="E20" s="154" t="s">
        <v>330</v>
      </c>
      <c r="F20" s="143" t="s">
        <v>13</v>
      </c>
      <c r="G20" s="583"/>
      <c r="H20" s="144" t="s">
        <v>331</v>
      </c>
      <c r="I20" s="143" t="s">
        <v>285</v>
      </c>
      <c r="J20" s="143" t="s">
        <v>289</v>
      </c>
      <c r="K20" s="143" t="s">
        <v>289</v>
      </c>
      <c r="L20" s="145"/>
      <c r="M20" s="145"/>
      <c r="N20" s="145"/>
      <c r="O20" s="145"/>
      <c r="P20" s="551"/>
      <c r="Q20" s="559"/>
    </row>
    <row r="21" spans="1:17" ht="37.5" x14ac:dyDescent="0.35">
      <c r="A21" s="546"/>
      <c r="B21" s="548"/>
      <c r="C21" s="578"/>
      <c r="D21" s="142" t="s">
        <v>332</v>
      </c>
      <c r="E21" s="142" t="s">
        <v>333</v>
      </c>
      <c r="F21" s="143" t="s">
        <v>8</v>
      </c>
      <c r="G21" s="583"/>
      <c r="H21" s="144" t="s">
        <v>334</v>
      </c>
      <c r="I21" s="143" t="s">
        <v>285</v>
      </c>
      <c r="J21" s="143" t="s">
        <v>289</v>
      </c>
      <c r="K21" s="143" t="s">
        <v>289</v>
      </c>
      <c r="L21" s="145"/>
      <c r="M21" s="145"/>
      <c r="N21" s="145"/>
      <c r="O21" s="145"/>
      <c r="P21" s="551"/>
      <c r="Q21" s="559"/>
    </row>
    <row r="22" spans="1:17" ht="100" customHeight="1" x14ac:dyDescent="0.35">
      <c r="A22" s="546"/>
      <c r="B22" s="548"/>
      <c r="C22" s="578"/>
      <c r="D22" s="142" t="s">
        <v>335</v>
      </c>
      <c r="E22" s="142" t="s">
        <v>336</v>
      </c>
      <c r="F22" s="143" t="s">
        <v>5</v>
      </c>
      <c r="G22" s="583"/>
      <c r="H22" s="144" t="s">
        <v>337</v>
      </c>
      <c r="I22" s="143" t="s">
        <v>285</v>
      </c>
      <c r="J22" s="143" t="s">
        <v>285</v>
      </c>
      <c r="K22" s="143" t="s">
        <v>285</v>
      </c>
      <c r="L22" s="145"/>
      <c r="M22" s="145"/>
      <c r="N22" s="145"/>
      <c r="O22" s="145"/>
      <c r="P22" s="551"/>
      <c r="Q22" s="559"/>
    </row>
    <row r="23" spans="1:17" ht="37.5" x14ac:dyDescent="0.35">
      <c r="A23" s="546"/>
      <c r="B23" s="548"/>
      <c r="C23" s="578"/>
      <c r="D23" s="142" t="s">
        <v>338</v>
      </c>
      <c r="E23" s="142" t="s">
        <v>339</v>
      </c>
      <c r="F23" s="143" t="s">
        <v>13</v>
      </c>
      <c r="G23" s="583"/>
      <c r="H23" s="144" t="s">
        <v>340</v>
      </c>
      <c r="I23" s="143" t="s">
        <v>289</v>
      </c>
      <c r="J23" s="143" t="s">
        <v>285</v>
      </c>
      <c r="K23" s="143" t="s">
        <v>289</v>
      </c>
      <c r="L23" s="145"/>
      <c r="M23" s="145"/>
      <c r="N23" s="145"/>
      <c r="O23" s="145"/>
      <c r="P23" s="551"/>
      <c r="Q23" s="559"/>
    </row>
    <row r="24" spans="1:17" ht="25" x14ac:dyDescent="0.35">
      <c r="A24" s="546"/>
      <c r="B24" s="548"/>
      <c r="C24" s="578"/>
      <c r="D24" s="142" t="s">
        <v>341</v>
      </c>
      <c r="E24" s="142" t="s">
        <v>342</v>
      </c>
      <c r="F24" s="143" t="s">
        <v>5</v>
      </c>
      <c r="G24" s="583"/>
      <c r="H24" s="144" t="s">
        <v>294</v>
      </c>
      <c r="I24" s="143" t="s">
        <v>285</v>
      </c>
      <c r="J24" s="143" t="s">
        <v>285</v>
      </c>
      <c r="K24" s="143" t="s">
        <v>285</v>
      </c>
      <c r="L24" s="145"/>
      <c r="M24" s="145"/>
      <c r="N24" s="145"/>
      <c r="O24" s="145"/>
      <c r="P24" s="551"/>
      <c r="Q24" s="559"/>
    </row>
    <row r="25" spans="1:17" ht="358.5" customHeight="1" x14ac:dyDescent="0.35">
      <c r="A25" s="546"/>
      <c r="B25" s="548"/>
      <c r="C25" s="578"/>
      <c r="D25" s="142" t="s">
        <v>343</v>
      </c>
      <c r="E25" s="142" t="s">
        <v>344</v>
      </c>
      <c r="F25" s="143" t="s">
        <v>5</v>
      </c>
      <c r="G25" s="583"/>
      <c r="H25" s="144" t="s">
        <v>294</v>
      </c>
      <c r="I25" s="143" t="s">
        <v>285</v>
      </c>
      <c r="J25" s="143" t="s">
        <v>285</v>
      </c>
      <c r="K25" s="143" t="s">
        <v>285</v>
      </c>
      <c r="L25" s="145"/>
      <c r="M25" s="145"/>
      <c r="N25" s="145"/>
      <c r="O25" s="145"/>
      <c r="P25" s="551"/>
      <c r="Q25" s="559"/>
    </row>
    <row r="26" spans="1:17" ht="24.65" customHeight="1" x14ac:dyDescent="0.35">
      <c r="A26" s="553">
        <v>4</v>
      </c>
      <c r="B26" s="542" t="s">
        <v>345</v>
      </c>
      <c r="C26" s="543" t="s">
        <v>346</v>
      </c>
      <c r="D26" s="155" t="s">
        <v>724</v>
      </c>
      <c r="E26" s="156" t="s">
        <v>719</v>
      </c>
      <c r="F26" s="157" t="s">
        <v>5</v>
      </c>
      <c r="G26" s="554" t="s">
        <v>714</v>
      </c>
      <c r="H26" s="158" t="s">
        <v>971</v>
      </c>
      <c r="I26" s="148" t="s">
        <v>289</v>
      </c>
      <c r="J26" s="148" t="s">
        <v>285</v>
      </c>
      <c r="K26" s="148" t="s">
        <v>285</v>
      </c>
      <c r="L26" s="150"/>
      <c r="M26" s="150"/>
      <c r="N26" s="150"/>
      <c r="O26" s="150"/>
      <c r="P26" s="545"/>
      <c r="Q26" s="554" t="s">
        <v>713</v>
      </c>
    </row>
    <row r="27" spans="1:17" ht="42" x14ac:dyDescent="0.35">
      <c r="A27" s="540"/>
      <c r="B27" s="542"/>
      <c r="C27" s="543"/>
      <c r="D27" s="155" t="s">
        <v>725</v>
      </c>
      <c r="E27" s="156" t="s">
        <v>720</v>
      </c>
      <c r="F27" s="157" t="s">
        <v>8</v>
      </c>
      <c r="G27" s="554"/>
      <c r="H27" s="158" t="s">
        <v>972</v>
      </c>
      <c r="I27" s="148" t="s">
        <v>289</v>
      </c>
      <c r="J27" s="148" t="s">
        <v>285</v>
      </c>
      <c r="K27" s="148" t="s">
        <v>285</v>
      </c>
      <c r="L27" s="150"/>
      <c r="M27" s="150"/>
      <c r="N27" s="150"/>
      <c r="O27" s="150"/>
      <c r="P27" s="545"/>
      <c r="Q27" s="554"/>
    </row>
    <row r="28" spans="1:17" ht="37.5" x14ac:dyDescent="0.35">
      <c r="A28" s="541"/>
      <c r="B28" s="542"/>
      <c r="C28" s="543"/>
      <c r="D28" s="159" t="s">
        <v>723</v>
      </c>
      <c r="E28" s="156" t="s">
        <v>721</v>
      </c>
      <c r="F28" s="157" t="s">
        <v>5</v>
      </c>
      <c r="G28" s="554"/>
      <c r="H28" s="158"/>
      <c r="I28" s="150"/>
      <c r="J28" s="150"/>
      <c r="K28" s="150"/>
      <c r="L28" s="150"/>
      <c r="M28" s="150"/>
      <c r="N28" s="150"/>
      <c r="O28" s="150"/>
      <c r="P28" s="545"/>
      <c r="Q28" s="554"/>
    </row>
    <row r="29" spans="1:17" ht="74.150000000000006" customHeight="1" x14ac:dyDescent="0.35">
      <c r="A29" s="541"/>
      <c r="B29" s="542"/>
      <c r="C29" s="543"/>
      <c r="D29" s="158" t="s">
        <v>726</v>
      </c>
      <c r="E29" s="156" t="s">
        <v>722</v>
      </c>
      <c r="F29" s="157" t="s">
        <v>13</v>
      </c>
      <c r="G29" s="554"/>
      <c r="H29" s="158" t="s">
        <v>973</v>
      </c>
      <c r="I29" s="160" t="s">
        <v>289</v>
      </c>
      <c r="J29" s="160" t="s">
        <v>285</v>
      </c>
      <c r="K29" s="160" t="s">
        <v>285</v>
      </c>
      <c r="L29" s="150"/>
      <c r="M29" s="150"/>
      <c r="N29" s="150"/>
      <c r="O29" s="150"/>
      <c r="P29" s="545"/>
      <c r="Q29" s="554"/>
    </row>
    <row r="30" spans="1:17" ht="87" customHeight="1" x14ac:dyDescent="0.35">
      <c r="A30" s="555">
        <v>5</v>
      </c>
      <c r="B30" s="548" t="s">
        <v>345</v>
      </c>
      <c r="C30" s="549" t="s">
        <v>819</v>
      </c>
      <c r="D30" s="140" t="s">
        <v>737</v>
      </c>
      <c r="E30" s="161" t="s">
        <v>733</v>
      </c>
      <c r="F30" s="162" t="s">
        <v>5</v>
      </c>
      <c r="G30" s="557" t="s">
        <v>818</v>
      </c>
      <c r="H30" s="140" t="s">
        <v>974</v>
      </c>
      <c r="I30" s="148" t="s">
        <v>289</v>
      </c>
      <c r="J30" s="148" t="s">
        <v>285</v>
      </c>
      <c r="K30" s="148" t="s">
        <v>285</v>
      </c>
      <c r="L30" s="145"/>
      <c r="M30" s="145"/>
      <c r="N30" s="145"/>
      <c r="O30" s="145"/>
      <c r="P30" s="558"/>
      <c r="Q30" s="552" t="s">
        <v>743</v>
      </c>
    </row>
    <row r="31" spans="1:17" ht="31" customHeight="1" x14ac:dyDescent="0.35">
      <c r="A31" s="556"/>
      <c r="B31" s="548"/>
      <c r="C31" s="549"/>
      <c r="D31" s="139" t="s">
        <v>734</v>
      </c>
      <c r="E31" s="140" t="s">
        <v>736</v>
      </c>
      <c r="F31" s="162" t="s">
        <v>8</v>
      </c>
      <c r="G31" s="557"/>
      <c r="H31" s="140"/>
      <c r="I31" s="145"/>
      <c r="J31" s="145"/>
      <c r="K31" s="145"/>
      <c r="L31" s="145"/>
      <c r="M31" s="145"/>
      <c r="N31" s="145"/>
      <c r="O31" s="145"/>
      <c r="P31" s="558"/>
      <c r="Q31" s="552"/>
    </row>
    <row r="32" spans="1:17" ht="130.5" customHeight="1" x14ac:dyDescent="0.35">
      <c r="A32" s="556"/>
      <c r="B32" s="548"/>
      <c r="C32" s="549"/>
      <c r="D32" s="145" t="s">
        <v>735</v>
      </c>
      <c r="E32" s="163" t="s">
        <v>738</v>
      </c>
      <c r="F32" s="162" t="s">
        <v>13</v>
      </c>
      <c r="G32" s="557"/>
      <c r="H32" s="140"/>
      <c r="I32" s="145"/>
      <c r="J32" s="145"/>
      <c r="K32" s="145"/>
      <c r="L32" s="145"/>
      <c r="M32" s="145"/>
      <c r="N32" s="145"/>
      <c r="O32" s="145"/>
      <c r="P32" s="558"/>
      <c r="Q32" s="552"/>
    </row>
    <row r="33" spans="1:17" ht="68.5" customHeight="1" x14ac:dyDescent="0.35">
      <c r="A33" s="19">
        <v>7</v>
      </c>
      <c r="B33" s="575" t="s">
        <v>345</v>
      </c>
      <c r="C33" s="576" t="s">
        <v>744</v>
      </c>
      <c r="D33" s="164" t="s">
        <v>773</v>
      </c>
      <c r="E33" s="165" t="s">
        <v>748</v>
      </c>
      <c r="F33" s="166" t="s">
        <v>8</v>
      </c>
      <c r="G33" s="158" t="s">
        <v>820</v>
      </c>
      <c r="H33" s="158" t="s">
        <v>975</v>
      </c>
      <c r="I33" s="148" t="s">
        <v>289</v>
      </c>
      <c r="J33" s="148" t="s">
        <v>285</v>
      </c>
      <c r="K33" s="148" t="s">
        <v>285</v>
      </c>
      <c r="L33" s="167"/>
      <c r="M33" s="167"/>
      <c r="N33" s="167"/>
      <c r="O33" s="167"/>
      <c r="P33" s="560"/>
      <c r="Q33" s="554" t="s">
        <v>755</v>
      </c>
    </row>
    <row r="34" spans="1:17" ht="35.5" customHeight="1" x14ac:dyDescent="0.35">
      <c r="A34" s="43"/>
      <c r="B34" s="575"/>
      <c r="C34" s="576"/>
      <c r="D34" s="164" t="s">
        <v>749</v>
      </c>
      <c r="E34" s="168" t="s">
        <v>750</v>
      </c>
      <c r="F34" s="166" t="s">
        <v>8</v>
      </c>
      <c r="G34" s="158"/>
      <c r="H34" s="169" t="s">
        <v>976</v>
      </c>
      <c r="I34" s="148" t="s">
        <v>289</v>
      </c>
      <c r="J34" s="148" t="s">
        <v>285</v>
      </c>
      <c r="K34" s="148" t="s">
        <v>285</v>
      </c>
      <c r="L34" s="167"/>
      <c r="M34" s="167"/>
      <c r="N34" s="167"/>
      <c r="O34" s="167"/>
      <c r="P34" s="560"/>
      <c r="Q34" s="554"/>
    </row>
    <row r="35" spans="1:17" ht="74.150000000000006" customHeight="1" x14ac:dyDescent="0.35">
      <c r="A35" s="43"/>
      <c r="B35" s="575"/>
      <c r="C35" s="576"/>
      <c r="D35" s="164" t="s">
        <v>751</v>
      </c>
      <c r="E35" s="168" t="s">
        <v>752</v>
      </c>
      <c r="F35" s="166" t="s">
        <v>8</v>
      </c>
      <c r="G35" s="158"/>
      <c r="H35" s="158" t="s">
        <v>973</v>
      </c>
      <c r="I35" s="148" t="s">
        <v>289</v>
      </c>
      <c r="J35" s="148" t="s">
        <v>285</v>
      </c>
      <c r="K35" s="148" t="s">
        <v>285</v>
      </c>
      <c r="L35" s="167"/>
      <c r="M35" s="167"/>
      <c r="N35" s="167"/>
      <c r="O35" s="167"/>
      <c r="P35" s="560"/>
      <c r="Q35" s="554"/>
    </row>
    <row r="36" spans="1:17" ht="143.15" customHeight="1" x14ac:dyDescent="0.35">
      <c r="A36" s="111">
        <v>8</v>
      </c>
      <c r="B36" s="548" t="s">
        <v>347</v>
      </c>
      <c r="C36" s="549" t="s">
        <v>757</v>
      </c>
      <c r="D36" s="154" t="s">
        <v>758</v>
      </c>
      <c r="E36" s="163" t="s">
        <v>772</v>
      </c>
      <c r="F36" s="143" t="s">
        <v>5</v>
      </c>
      <c r="G36" s="552" t="s">
        <v>821</v>
      </c>
      <c r="H36" s="141" t="s">
        <v>977</v>
      </c>
      <c r="I36" s="145"/>
      <c r="J36" s="145"/>
      <c r="K36" s="145"/>
      <c r="L36" s="145"/>
      <c r="M36" s="145"/>
      <c r="N36" s="145"/>
      <c r="O36" s="145"/>
      <c r="P36" s="561" t="s">
        <v>776</v>
      </c>
      <c r="Q36" s="552" t="s">
        <v>774</v>
      </c>
    </row>
    <row r="37" spans="1:17" ht="28" customHeight="1" x14ac:dyDescent="0.35">
      <c r="A37" s="111"/>
      <c r="B37" s="548"/>
      <c r="C37" s="549"/>
      <c r="D37" s="154" t="s">
        <v>759</v>
      </c>
      <c r="E37" s="170" t="s">
        <v>760</v>
      </c>
      <c r="F37" s="143" t="s">
        <v>8</v>
      </c>
      <c r="G37" s="552"/>
      <c r="H37" s="140"/>
      <c r="I37" s="145"/>
      <c r="J37" s="145"/>
      <c r="K37" s="145"/>
      <c r="L37" s="145"/>
      <c r="M37" s="145"/>
      <c r="N37" s="145"/>
      <c r="O37" s="145"/>
      <c r="P37" s="561"/>
      <c r="Q37" s="552"/>
    </row>
    <row r="38" spans="1:17" ht="28" x14ac:dyDescent="0.35">
      <c r="A38" s="111"/>
      <c r="B38" s="548"/>
      <c r="C38" s="549"/>
      <c r="D38" s="154" t="s">
        <v>761</v>
      </c>
      <c r="E38" s="170" t="s">
        <v>762</v>
      </c>
      <c r="F38" s="143" t="s">
        <v>13</v>
      </c>
      <c r="G38" s="552"/>
      <c r="H38" s="141"/>
      <c r="I38" s="145"/>
      <c r="J38" s="145"/>
      <c r="K38" s="145"/>
      <c r="L38" s="145"/>
      <c r="M38" s="145"/>
      <c r="N38" s="145"/>
      <c r="O38" s="145"/>
      <c r="P38" s="561"/>
      <c r="Q38" s="552"/>
    </row>
    <row r="39" spans="1:17" ht="56" x14ac:dyDescent="0.35">
      <c r="A39" s="111"/>
      <c r="B39" s="548"/>
      <c r="C39" s="549"/>
      <c r="D39" s="154" t="s">
        <v>763</v>
      </c>
      <c r="E39" s="163" t="s">
        <v>765</v>
      </c>
      <c r="F39" s="143" t="s">
        <v>5</v>
      </c>
      <c r="G39" s="552"/>
      <c r="H39" s="140"/>
      <c r="I39" s="145"/>
      <c r="J39" s="145"/>
      <c r="K39" s="145"/>
      <c r="L39" s="145"/>
      <c r="M39" s="145"/>
      <c r="N39" s="145"/>
      <c r="O39" s="145"/>
      <c r="P39" s="561"/>
      <c r="Q39" s="552"/>
    </row>
    <row r="40" spans="1:17" ht="105.65" customHeight="1" x14ac:dyDescent="0.35">
      <c r="A40" s="111"/>
      <c r="B40" s="548"/>
      <c r="C40" s="549"/>
      <c r="D40" s="562" t="s">
        <v>764</v>
      </c>
      <c r="E40" s="170" t="s">
        <v>766</v>
      </c>
      <c r="F40" s="143" t="s">
        <v>5</v>
      </c>
      <c r="G40" s="552"/>
      <c r="H40" s="141"/>
      <c r="I40" s="145"/>
      <c r="J40" s="145"/>
      <c r="K40" s="145"/>
      <c r="L40" s="145"/>
      <c r="M40" s="145"/>
      <c r="N40" s="145"/>
      <c r="O40" s="145"/>
      <c r="P40" s="561"/>
      <c r="Q40" s="552"/>
    </row>
    <row r="41" spans="1:17" ht="70" x14ac:dyDescent="0.35">
      <c r="A41" s="111"/>
      <c r="B41" s="548"/>
      <c r="C41" s="549"/>
      <c r="D41" s="562"/>
      <c r="E41" s="170" t="s">
        <v>767</v>
      </c>
      <c r="F41" s="143" t="s">
        <v>5</v>
      </c>
      <c r="G41" s="552"/>
      <c r="H41" s="170"/>
      <c r="I41" s="145"/>
      <c r="J41" s="145"/>
      <c r="K41" s="145"/>
      <c r="L41" s="145"/>
      <c r="M41" s="145"/>
      <c r="N41" s="145"/>
      <c r="O41" s="145"/>
      <c r="P41" s="561"/>
      <c r="Q41" s="552"/>
    </row>
    <row r="42" spans="1:17" ht="70" x14ac:dyDescent="0.35">
      <c r="A42" s="111"/>
      <c r="B42" s="548"/>
      <c r="C42" s="549"/>
      <c r="D42" s="562"/>
      <c r="E42" s="170" t="s">
        <v>768</v>
      </c>
      <c r="F42" s="143" t="s">
        <v>5</v>
      </c>
      <c r="G42" s="552"/>
      <c r="H42" s="170"/>
      <c r="I42" s="145"/>
      <c r="J42" s="145"/>
      <c r="K42" s="145"/>
      <c r="L42" s="145"/>
      <c r="M42" s="145"/>
      <c r="N42" s="145"/>
      <c r="O42" s="145"/>
      <c r="P42" s="561"/>
      <c r="Q42" s="552"/>
    </row>
    <row r="43" spans="1:17" ht="70" x14ac:dyDescent="0.35">
      <c r="A43" s="111"/>
      <c r="B43" s="548"/>
      <c r="C43" s="549"/>
      <c r="D43" s="562"/>
      <c r="E43" s="140" t="s">
        <v>769</v>
      </c>
      <c r="F43" s="143" t="s">
        <v>5</v>
      </c>
      <c r="G43" s="552"/>
      <c r="H43" s="170"/>
      <c r="I43" s="145"/>
      <c r="J43" s="145"/>
      <c r="K43" s="145"/>
      <c r="L43" s="145"/>
      <c r="M43" s="145"/>
      <c r="N43" s="145"/>
      <c r="O43" s="145"/>
      <c r="P43" s="561"/>
      <c r="Q43" s="552"/>
    </row>
    <row r="44" spans="1:17" ht="50" x14ac:dyDescent="0.35">
      <c r="A44" s="111"/>
      <c r="B44" s="548"/>
      <c r="C44" s="549"/>
      <c r="D44" s="562"/>
      <c r="E44" s="161" t="s">
        <v>770</v>
      </c>
      <c r="F44" s="143" t="s">
        <v>5</v>
      </c>
      <c r="G44" s="552"/>
      <c r="H44" s="170"/>
      <c r="I44" s="145"/>
      <c r="J44" s="145"/>
      <c r="K44" s="145"/>
      <c r="L44" s="145"/>
      <c r="M44" s="145"/>
      <c r="N44" s="145"/>
      <c r="O44" s="145"/>
      <c r="P44" s="561"/>
      <c r="Q44" s="552"/>
    </row>
    <row r="45" spans="1:17" ht="87.5" x14ac:dyDescent="0.35">
      <c r="A45" s="111"/>
      <c r="B45" s="548"/>
      <c r="C45" s="549"/>
      <c r="D45" s="562"/>
      <c r="E45" s="161" t="s">
        <v>771</v>
      </c>
      <c r="F45" s="143" t="s">
        <v>5</v>
      </c>
      <c r="G45" s="552"/>
      <c r="H45" s="170"/>
      <c r="I45" s="145"/>
      <c r="J45" s="145"/>
      <c r="K45" s="145"/>
      <c r="L45" s="145"/>
      <c r="M45" s="145"/>
      <c r="N45" s="145"/>
      <c r="O45" s="145"/>
      <c r="P45" s="561"/>
      <c r="Q45" s="552"/>
    </row>
    <row r="46" spans="1:17" ht="56.15" customHeight="1" x14ac:dyDescent="0.35">
      <c r="A46" s="51">
        <v>9</v>
      </c>
      <c r="B46" s="575" t="s">
        <v>347</v>
      </c>
      <c r="C46" s="576" t="s">
        <v>781</v>
      </c>
      <c r="D46" s="164" t="s">
        <v>782</v>
      </c>
      <c r="E46" s="171" t="s">
        <v>786</v>
      </c>
      <c r="F46" s="166" t="s">
        <v>13</v>
      </c>
      <c r="G46" s="577" t="s">
        <v>822</v>
      </c>
      <c r="H46" s="155" t="s">
        <v>977</v>
      </c>
      <c r="I46" s="167"/>
      <c r="J46" s="167"/>
      <c r="K46" s="167"/>
      <c r="L46" s="167"/>
      <c r="M46" s="167"/>
      <c r="N46" s="167"/>
      <c r="O46" s="167"/>
      <c r="P46" s="560"/>
      <c r="Q46" s="563" t="s">
        <v>789</v>
      </c>
    </row>
    <row r="47" spans="1:17" ht="25" x14ac:dyDescent="0.35">
      <c r="A47" s="26"/>
      <c r="B47" s="575"/>
      <c r="C47" s="576"/>
      <c r="D47" s="164" t="s">
        <v>783</v>
      </c>
      <c r="E47" s="172"/>
      <c r="F47" s="166" t="s">
        <v>13</v>
      </c>
      <c r="G47" s="577"/>
      <c r="H47" s="158"/>
      <c r="I47" s="167"/>
      <c r="J47" s="167"/>
      <c r="K47" s="167"/>
      <c r="L47" s="167"/>
      <c r="M47" s="167"/>
      <c r="N47" s="167"/>
      <c r="O47" s="167"/>
      <c r="P47" s="560"/>
      <c r="Q47" s="563"/>
    </row>
    <row r="48" spans="1:17" ht="25" x14ac:dyDescent="0.35">
      <c r="A48" s="26"/>
      <c r="B48" s="575"/>
      <c r="C48" s="576"/>
      <c r="D48" s="164" t="s">
        <v>784</v>
      </c>
      <c r="E48" s="171" t="s">
        <v>785</v>
      </c>
      <c r="F48" s="166" t="s">
        <v>13</v>
      </c>
      <c r="G48" s="577"/>
      <c r="H48" s="158"/>
      <c r="I48" s="167"/>
      <c r="J48" s="167"/>
      <c r="K48" s="167"/>
      <c r="L48" s="167"/>
      <c r="M48" s="167"/>
      <c r="N48" s="167"/>
      <c r="O48" s="167"/>
      <c r="P48" s="560"/>
      <c r="Q48" s="563"/>
    </row>
    <row r="49" spans="1:17" ht="148.5" customHeight="1" x14ac:dyDescent="0.35">
      <c r="A49" s="26"/>
      <c r="B49" s="548" t="s">
        <v>347</v>
      </c>
      <c r="C49" s="549" t="s">
        <v>791</v>
      </c>
      <c r="D49" s="154" t="s">
        <v>792</v>
      </c>
      <c r="E49" s="173" t="s">
        <v>801</v>
      </c>
      <c r="F49" s="143" t="s">
        <v>5</v>
      </c>
      <c r="G49" s="559" t="s">
        <v>824</v>
      </c>
      <c r="H49" s="170"/>
      <c r="I49" s="145"/>
      <c r="J49" s="145"/>
      <c r="K49" s="145"/>
      <c r="L49" s="145"/>
      <c r="M49" s="145"/>
      <c r="N49" s="145"/>
      <c r="O49" s="145"/>
      <c r="P49" s="558"/>
      <c r="Q49" s="552" t="s">
        <v>802</v>
      </c>
    </row>
    <row r="50" spans="1:17" ht="28" x14ac:dyDescent="0.35">
      <c r="A50" s="26"/>
      <c r="B50" s="548"/>
      <c r="C50" s="549"/>
      <c r="D50" s="154" t="s">
        <v>793</v>
      </c>
      <c r="E50" s="173" t="s">
        <v>794</v>
      </c>
      <c r="F50" s="143" t="s">
        <v>5</v>
      </c>
      <c r="G50" s="552"/>
      <c r="H50" s="170"/>
      <c r="I50" s="145"/>
      <c r="J50" s="145"/>
      <c r="K50" s="145"/>
      <c r="L50" s="145"/>
      <c r="M50" s="145"/>
      <c r="N50" s="145"/>
      <c r="O50" s="145"/>
      <c r="P50" s="558"/>
      <c r="Q50" s="552"/>
    </row>
    <row r="51" spans="1:17" ht="28" x14ac:dyDescent="0.35">
      <c r="A51" s="26"/>
      <c r="B51" s="548"/>
      <c r="C51" s="549"/>
      <c r="D51" s="154" t="s">
        <v>795</v>
      </c>
      <c r="E51" s="173" t="s">
        <v>796</v>
      </c>
      <c r="F51" s="143" t="s">
        <v>5</v>
      </c>
      <c r="G51" s="552"/>
      <c r="H51" s="170"/>
      <c r="I51" s="145"/>
      <c r="J51" s="145"/>
      <c r="K51" s="145"/>
      <c r="L51" s="145"/>
      <c r="M51" s="145"/>
      <c r="N51" s="145"/>
      <c r="O51" s="145"/>
      <c r="P51" s="558"/>
      <c r="Q51" s="552"/>
    </row>
    <row r="52" spans="1:17" ht="28" x14ac:dyDescent="0.35">
      <c r="A52" s="26"/>
      <c r="B52" s="548"/>
      <c r="C52" s="549"/>
      <c r="D52" s="154" t="s">
        <v>797</v>
      </c>
      <c r="E52" s="173" t="s">
        <v>798</v>
      </c>
      <c r="F52" s="143" t="s">
        <v>5</v>
      </c>
      <c r="G52" s="552"/>
      <c r="H52" s="170"/>
      <c r="I52" s="145"/>
      <c r="J52" s="145"/>
      <c r="K52" s="145"/>
      <c r="L52" s="145"/>
      <c r="M52" s="145"/>
      <c r="N52" s="145"/>
      <c r="O52" s="145"/>
      <c r="P52" s="558"/>
      <c r="Q52" s="552"/>
    </row>
    <row r="53" spans="1:17" ht="28" x14ac:dyDescent="0.35">
      <c r="A53" s="26"/>
      <c r="B53" s="548"/>
      <c r="C53" s="549"/>
      <c r="D53" s="154" t="s">
        <v>799</v>
      </c>
      <c r="E53" s="173" t="s">
        <v>800</v>
      </c>
      <c r="F53" s="143" t="s">
        <v>5</v>
      </c>
      <c r="G53" s="552"/>
      <c r="H53" s="170"/>
      <c r="I53" s="145"/>
      <c r="J53" s="145"/>
      <c r="K53" s="145"/>
      <c r="L53" s="145"/>
      <c r="M53" s="145"/>
      <c r="N53" s="145"/>
      <c r="O53" s="145"/>
      <c r="P53" s="558"/>
      <c r="Q53" s="552"/>
    </row>
    <row r="54" spans="1:17" ht="192.65" customHeight="1" x14ac:dyDescent="0.35">
      <c r="A54" s="566">
        <v>10</v>
      </c>
      <c r="B54" s="174" t="s">
        <v>347</v>
      </c>
      <c r="C54" s="175" t="s">
        <v>804</v>
      </c>
      <c r="D54" s="147" t="s">
        <v>805</v>
      </c>
      <c r="E54" s="155" t="s">
        <v>803</v>
      </c>
      <c r="F54" s="148" t="s">
        <v>808</v>
      </c>
      <c r="G54" s="171" t="s">
        <v>826</v>
      </c>
      <c r="H54" s="158"/>
      <c r="I54" s="150"/>
      <c r="J54" s="150"/>
      <c r="K54" s="150"/>
      <c r="L54" s="150"/>
      <c r="M54" s="150"/>
      <c r="N54" s="150"/>
      <c r="O54" s="150"/>
      <c r="P54" s="150"/>
      <c r="Q54" s="155" t="s">
        <v>809</v>
      </c>
    </row>
    <row r="55" spans="1:17" ht="128.15" customHeight="1" x14ac:dyDescent="0.35">
      <c r="A55" s="540"/>
      <c r="B55" s="176" t="s">
        <v>347</v>
      </c>
      <c r="C55" s="177" t="s">
        <v>807</v>
      </c>
      <c r="D55" s="154" t="s">
        <v>812</v>
      </c>
      <c r="E55" s="140" t="s">
        <v>810</v>
      </c>
      <c r="F55" s="143" t="s">
        <v>5</v>
      </c>
      <c r="G55" s="173" t="s">
        <v>828</v>
      </c>
      <c r="H55" s="140"/>
      <c r="I55" s="145"/>
      <c r="J55" s="145"/>
      <c r="K55" s="145"/>
      <c r="L55" s="145"/>
      <c r="M55" s="145"/>
      <c r="N55" s="145"/>
      <c r="O55" s="145"/>
      <c r="P55" s="145"/>
      <c r="Q55" s="140" t="s">
        <v>813</v>
      </c>
    </row>
    <row r="56" spans="1:17" x14ac:dyDescent="0.35">
      <c r="A56" s="567"/>
      <c r="B56" s="112"/>
      <c r="C56" s="113"/>
      <c r="D56" s="114"/>
      <c r="F56" s="115"/>
      <c r="G56" s="115"/>
      <c r="I56" s="116"/>
      <c r="J56" s="116"/>
      <c r="K56" s="116"/>
      <c r="L56" s="116"/>
      <c r="M56" s="116"/>
      <c r="N56" s="116"/>
      <c r="O56" s="117"/>
      <c r="P56" s="118"/>
      <c r="Q56" s="37"/>
    </row>
    <row r="57" spans="1:17" x14ac:dyDescent="0.35">
      <c r="A57" s="567"/>
      <c r="B57" s="119"/>
      <c r="C57" s="120"/>
      <c r="D57" s="121"/>
      <c r="E57" s="122"/>
      <c r="F57" s="123"/>
      <c r="G57" s="123"/>
      <c r="H57" s="124"/>
      <c r="I57" s="125"/>
      <c r="J57" s="125"/>
      <c r="K57" s="125"/>
      <c r="L57" s="125"/>
      <c r="M57" s="125"/>
      <c r="N57" s="125"/>
      <c r="O57" s="126"/>
      <c r="P57" s="127"/>
      <c r="Q57" s="127"/>
    </row>
    <row r="58" spans="1:17" x14ac:dyDescent="0.35">
      <c r="A58" s="567"/>
      <c r="B58" s="119"/>
      <c r="C58" s="120"/>
      <c r="D58" s="121"/>
      <c r="F58" s="123"/>
      <c r="G58" s="123"/>
      <c r="H58" s="124"/>
      <c r="I58" s="125"/>
      <c r="J58" s="125"/>
      <c r="K58" s="125"/>
      <c r="L58" s="125"/>
      <c r="M58" s="125"/>
      <c r="N58" s="125"/>
      <c r="O58" s="126"/>
      <c r="P58" s="127"/>
      <c r="Q58" s="127"/>
    </row>
    <row r="59" spans="1:17" x14ac:dyDescent="0.35">
      <c r="A59" s="567"/>
      <c r="B59" s="119"/>
      <c r="C59" s="120"/>
      <c r="D59" s="121"/>
      <c r="E59" s="122"/>
      <c r="F59" s="123"/>
      <c r="G59" s="123"/>
      <c r="H59" s="124"/>
      <c r="I59" s="125"/>
      <c r="J59" s="125"/>
      <c r="K59" s="125"/>
      <c r="L59" s="125"/>
      <c r="M59" s="125"/>
      <c r="N59" s="125"/>
      <c r="O59" s="126"/>
      <c r="P59" s="127"/>
      <c r="Q59" s="127"/>
    </row>
    <row r="60" spans="1:17" x14ac:dyDescent="0.35">
      <c r="A60" s="567"/>
      <c r="B60" s="119"/>
      <c r="C60" s="120"/>
      <c r="D60" s="121"/>
      <c r="F60" s="123"/>
      <c r="G60" s="123"/>
      <c r="H60" s="124"/>
      <c r="I60" s="125"/>
      <c r="J60" s="125"/>
      <c r="K60" s="125"/>
      <c r="L60" s="125"/>
      <c r="M60" s="125"/>
      <c r="N60" s="125"/>
      <c r="O60" s="126"/>
      <c r="P60" s="127"/>
      <c r="Q60" s="127"/>
    </row>
    <row r="61" spans="1:17" x14ac:dyDescent="0.35">
      <c r="A61" s="567"/>
      <c r="B61" s="119"/>
      <c r="C61" s="76"/>
      <c r="D61" s="54"/>
      <c r="E61" s="55"/>
      <c r="F61" s="56"/>
      <c r="G61" s="56"/>
      <c r="H61" s="57"/>
      <c r="I61" s="58"/>
      <c r="J61" s="58"/>
      <c r="K61" s="58"/>
      <c r="L61" s="58"/>
      <c r="M61" s="58"/>
      <c r="N61" s="58"/>
      <c r="O61" s="59"/>
      <c r="P61" s="40"/>
      <c r="Q61" s="40"/>
    </row>
    <row r="62" spans="1:17" x14ac:dyDescent="0.35">
      <c r="A62" s="567"/>
      <c r="B62" s="119"/>
      <c r="C62" s="76"/>
      <c r="D62" s="54"/>
      <c r="E62" s="55"/>
      <c r="F62" s="56"/>
      <c r="G62" s="56"/>
      <c r="H62" s="57"/>
      <c r="I62" s="58"/>
      <c r="J62" s="58"/>
      <c r="K62" s="58"/>
      <c r="L62" s="58"/>
      <c r="M62" s="58"/>
      <c r="N62" s="58"/>
      <c r="O62" s="59"/>
      <c r="P62" s="40"/>
      <c r="Q62" s="40"/>
    </row>
    <row r="63" spans="1:17" x14ac:dyDescent="0.35">
      <c r="A63" s="568"/>
      <c r="B63" s="128"/>
      <c r="C63" s="77"/>
      <c r="D63" s="60"/>
      <c r="E63" s="61"/>
      <c r="F63" s="62"/>
      <c r="G63" s="62"/>
      <c r="H63" s="63"/>
      <c r="I63" s="64"/>
      <c r="J63" s="64"/>
      <c r="K63" s="64"/>
      <c r="L63" s="64"/>
      <c r="M63" s="64"/>
      <c r="N63" s="64"/>
      <c r="O63" s="65"/>
      <c r="P63" s="40"/>
      <c r="Q63" s="40"/>
    </row>
    <row r="64" spans="1:17" x14ac:dyDescent="0.35">
      <c r="A64" s="547">
        <v>11</v>
      </c>
      <c r="B64" s="571"/>
      <c r="C64" s="573"/>
      <c r="D64" s="42"/>
      <c r="E64" s="66"/>
      <c r="F64" s="67"/>
      <c r="G64" s="67"/>
      <c r="H64" s="68"/>
      <c r="I64" s="40"/>
      <c r="J64" s="40"/>
      <c r="K64" s="40"/>
      <c r="L64" s="40"/>
      <c r="M64" s="40"/>
      <c r="N64" s="40"/>
      <c r="O64" s="41"/>
      <c r="P64" s="40"/>
      <c r="Q64" s="40"/>
    </row>
    <row r="65" spans="1:17" x14ac:dyDescent="0.35">
      <c r="A65" s="569"/>
      <c r="B65" s="571"/>
      <c r="C65" s="573"/>
      <c r="D65" s="42"/>
      <c r="E65" s="68"/>
      <c r="F65" s="40"/>
      <c r="G65" s="40"/>
      <c r="H65" s="68"/>
      <c r="I65" s="40"/>
      <c r="J65" s="40"/>
      <c r="K65" s="40"/>
      <c r="L65" s="40"/>
      <c r="M65" s="40"/>
      <c r="N65" s="40"/>
      <c r="O65" s="41"/>
      <c r="P65" s="40"/>
      <c r="Q65" s="40"/>
    </row>
    <row r="66" spans="1:17" x14ac:dyDescent="0.35">
      <c r="A66" s="569"/>
      <c r="B66" s="571"/>
      <c r="C66" s="573"/>
      <c r="D66" s="42"/>
      <c r="E66" s="69"/>
      <c r="F66" s="40"/>
      <c r="G66" s="40"/>
      <c r="H66" s="68"/>
      <c r="I66" s="40"/>
      <c r="J66" s="40"/>
      <c r="K66" s="40"/>
      <c r="L66" s="40"/>
      <c r="M66" s="40"/>
      <c r="N66" s="40"/>
      <c r="O66" s="41"/>
      <c r="P66" s="40"/>
      <c r="Q66" s="40"/>
    </row>
    <row r="67" spans="1:17" ht="15" thickBot="1" x14ac:dyDescent="0.4">
      <c r="A67" s="570"/>
      <c r="B67" s="572"/>
      <c r="C67" s="574"/>
      <c r="D67" s="70"/>
      <c r="E67" s="71"/>
      <c r="F67" s="72"/>
      <c r="G67" s="72"/>
      <c r="H67" s="73"/>
      <c r="I67" s="72"/>
      <c r="J67" s="72"/>
      <c r="K67" s="72"/>
      <c r="L67" s="72"/>
      <c r="M67" s="72"/>
      <c r="N67" s="72"/>
      <c r="O67" s="74"/>
      <c r="P67" s="72"/>
      <c r="Q67" s="72"/>
    </row>
  </sheetData>
  <mergeCells count="65">
    <mergeCell ref="A54:A63"/>
    <mergeCell ref="A64:A67"/>
    <mergeCell ref="B64:B67"/>
    <mergeCell ref="C64:C67"/>
    <mergeCell ref="B46:B48"/>
    <mergeCell ref="C46:C48"/>
    <mergeCell ref="G46:G48"/>
    <mergeCell ref="P46:P48"/>
    <mergeCell ref="Q46:Q48"/>
    <mergeCell ref="B49:B53"/>
    <mergeCell ref="C49:C53"/>
    <mergeCell ref="G49:G53"/>
    <mergeCell ref="P49:P53"/>
    <mergeCell ref="Q49:Q53"/>
    <mergeCell ref="B33:B35"/>
    <mergeCell ref="C33:C35"/>
    <mergeCell ref="P33:P35"/>
    <mergeCell ref="Q33:Q35"/>
    <mergeCell ref="B36:B45"/>
    <mergeCell ref="C36:C45"/>
    <mergeCell ref="G36:G45"/>
    <mergeCell ref="P36:P45"/>
    <mergeCell ref="Q36:Q45"/>
    <mergeCell ref="D40:D45"/>
    <mergeCell ref="P17:P25"/>
    <mergeCell ref="Q30:Q32"/>
    <mergeCell ref="A26:A29"/>
    <mergeCell ref="B26:B29"/>
    <mergeCell ref="C26:C29"/>
    <mergeCell ref="G26:G29"/>
    <mergeCell ref="P26:P29"/>
    <mergeCell ref="Q26:Q29"/>
    <mergeCell ref="A30:A32"/>
    <mergeCell ref="B30:B32"/>
    <mergeCell ref="C30:C32"/>
    <mergeCell ref="G30:G32"/>
    <mergeCell ref="P30:P32"/>
    <mergeCell ref="Q17:Q25"/>
    <mergeCell ref="A17:A25"/>
    <mergeCell ref="B17:B25"/>
    <mergeCell ref="Q3:Q11"/>
    <mergeCell ref="A12:A16"/>
    <mergeCell ref="B12:B16"/>
    <mergeCell ref="C12:C16"/>
    <mergeCell ref="G12:G16"/>
    <mergeCell ref="P12:P16"/>
    <mergeCell ref="Q12:Q16"/>
    <mergeCell ref="A3:A11"/>
    <mergeCell ref="B3:B11"/>
    <mergeCell ref="C3:C11"/>
    <mergeCell ref="G3:G11"/>
    <mergeCell ref="P3:P11"/>
    <mergeCell ref="C17:C25"/>
    <mergeCell ref="G1:G2"/>
    <mergeCell ref="H1:H2"/>
    <mergeCell ref="I1:K1"/>
    <mergeCell ref="G17:G25"/>
    <mergeCell ref="L1:O1"/>
    <mergeCell ref="Q1:Q2"/>
    <mergeCell ref="F1:F2"/>
    <mergeCell ref="A1:A2"/>
    <mergeCell ref="B1:B2"/>
    <mergeCell ref="C1:C2"/>
    <mergeCell ref="D1:D2"/>
    <mergeCell ref="E1:E2"/>
  </mergeCell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67"/>
  <sheetViews>
    <sheetView showGridLines="0" topLeftCell="B1" zoomScale="90" zoomScaleNormal="90" workbookViewId="0">
      <pane xSplit="2" ySplit="2" topLeftCell="D50" activePane="bottomRight" state="frozen"/>
      <selection activeCell="B1" sqref="B1"/>
      <selection pane="topRight" activeCell="D1" sqref="D1"/>
      <selection pane="bottomLeft" activeCell="B3" sqref="B3"/>
      <selection pane="bottomRight" activeCell="B1" sqref="B1:H55"/>
    </sheetView>
  </sheetViews>
  <sheetFormatPr defaultRowHeight="14.5" x14ac:dyDescent="0.35"/>
  <cols>
    <col min="1" max="1" width="3.453125" style="20" customWidth="1"/>
    <col min="2" max="2" width="7.7265625" style="78" customWidth="1"/>
    <col min="3" max="4" width="14.7265625" style="129" customWidth="1"/>
    <col min="5" max="5" width="32.26953125" customWidth="1"/>
    <col min="6" max="6" width="62.54296875" customWidth="1"/>
    <col min="7" max="7" width="15" bestFit="1" customWidth="1"/>
    <col min="8" max="8" width="15" customWidth="1"/>
    <col min="9" max="9" width="49.54296875" customWidth="1"/>
    <col min="10" max="10" width="61.54296875" customWidth="1"/>
    <col min="11" max="11" width="11" customWidth="1"/>
    <col min="17" max="17" width="11.453125" bestFit="1" customWidth="1"/>
    <col min="18" max="18" width="21.81640625" customWidth="1"/>
    <col min="19" max="19" width="38.7265625" customWidth="1"/>
  </cols>
  <sheetData>
    <row r="1" spans="1:19" ht="20.25" customHeight="1" x14ac:dyDescent="0.35">
      <c r="A1" s="534" t="s">
        <v>257</v>
      </c>
      <c r="B1" s="536" t="s">
        <v>258</v>
      </c>
      <c r="C1" s="536" t="s">
        <v>262</v>
      </c>
      <c r="D1" s="536" t="s">
        <v>1500</v>
      </c>
      <c r="E1" s="536" t="s">
        <v>263</v>
      </c>
      <c r="F1" s="530" t="s">
        <v>264</v>
      </c>
      <c r="G1" s="532" t="s">
        <v>265</v>
      </c>
      <c r="H1" s="532" t="s">
        <v>1499</v>
      </c>
      <c r="I1" s="579" t="s">
        <v>266</v>
      </c>
      <c r="J1" s="536" t="s">
        <v>267</v>
      </c>
      <c r="K1" s="528" t="s">
        <v>268</v>
      </c>
      <c r="L1" s="529"/>
      <c r="M1" s="581"/>
      <c r="N1" s="528" t="s">
        <v>269</v>
      </c>
      <c r="O1" s="529"/>
      <c r="P1" s="529"/>
      <c r="Q1" s="529"/>
      <c r="R1" s="23" t="s">
        <v>270</v>
      </c>
      <c r="S1" s="530" t="s">
        <v>271</v>
      </c>
    </row>
    <row r="2" spans="1:19" ht="24.75" customHeight="1" x14ac:dyDescent="0.35">
      <c r="A2" s="535"/>
      <c r="B2" s="537"/>
      <c r="C2" s="537"/>
      <c r="D2" s="537"/>
      <c r="E2" s="537"/>
      <c r="F2" s="531"/>
      <c r="G2" s="533"/>
      <c r="H2" s="533"/>
      <c r="I2" s="580"/>
      <c r="J2" s="537"/>
      <c r="K2" s="24" t="s">
        <v>272</v>
      </c>
      <c r="L2" s="24" t="s">
        <v>273</v>
      </c>
      <c r="M2" s="25" t="s">
        <v>274</v>
      </c>
      <c r="N2" s="24" t="s">
        <v>275</v>
      </c>
      <c r="O2" s="24" t="s">
        <v>276</v>
      </c>
      <c r="P2" s="24" t="s">
        <v>277</v>
      </c>
      <c r="Q2" s="18" t="s">
        <v>278</v>
      </c>
      <c r="R2" s="24" t="s">
        <v>279</v>
      </c>
      <c r="S2" s="531"/>
    </row>
    <row r="3" spans="1:19" ht="67.5" customHeight="1" x14ac:dyDescent="0.35">
      <c r="A3" s="546">
        <v>1</v>
      </c>
      <c r="B3" s="548" t="s">
        <v>280</v>
      </c>
      <c r="C3" s="549" t="s">
        <v>281</v>
      </c>
      <c r="D3" s="181" t="s">
        <v>222</v>
      </c>
      <c r="E3" s="142" t="s">
        <v>282</v>
      </c>
      <c r="F3" s="142" t="s">
        <v>283</v>
      </c>
      <c r="G3" s="143" t="s">
        <v>13</v>
      </c>
      <c r="H3" s="143">
        <v>3</v>
      </c>
      <c r="I3" s="538" t="s">
        <v>284</v>
      </c>
      <c r="J3" s="144" t="s">
        <v>678</v>
      </c>
      <c r="K3" s="143" t="s">
        <v>289</v>
      </c>
      <c r="L3" s="143" t="s">
        <v>285</v>
      </c>
      <c r="M3" s="143" t="s">
        <v>285</v>
      </c>
      <c r="N3" s="145"/>
      <c r="O3" s="145"/>
      <c r="P3" s="145"/>
      <c r="Q3" s="145"/>
      <c r="R3" s="538" t="s">
        <v>711</v>
      </c>
      <c r="S3" s="538" t="s">
        <v>692</v>
      </c>
    </row>
    <row r="4" spans="1:19" ht="50.15" customHeight="1" x14ac:dyDescent="0.35">
      <c r="A4" s="546"/>
      <c r="B4" s="548"/>
      <c r="C4" s="549"/>
      <c r="D4" s="181" t="s">
        <v>222</v>
      </c>
      <c r="E4" s="142" t="s">
        <v>286</v>
      </c>
      <c r="F4" s="142" t="s">
        <v>287</v>
      </c>
      <c r="G4" s="143" t="s">
        <v>8</v>
      </c>
      <c r="H4" s="143">
        <v>2</v>
      </c>
      <c r="I4" s="550"/>
      <c r="J4" s="144" t="s">
        <v>288</v>
      </c>
      <c r="K4" s="143" t="s">
        <v>289</v>
      </c>
      <c r="L4" s="143" t="s">
        <v>285</v>
      </c>
      <c r="M4" s="143" t="s">
        <v>289</v>
      </c>
      <c r="N4" s="145"/>
      <c r="O4" s="145"/>
      <c r="P4" s="145"/>
      <c r="Q4" s="145"/>
      <c r="R4" s="538"/>
      <c r="S4" s="538"/>
    </row>
    <row r="5" spans="1:19" ht="71.5" customHeight="1" x14ac:dyDescent="0.35">
      <c r="A5" s="546"/>
      <c r="B5" s="548"/>
      <c r="C5" s="549"/>
      <c r="D5" s="181" t="s">
        <v>222</v>
      </c>
      <c r="E5" s="137" t="s">
        <v>290</v>
      </c>
      <c r="F5" s="137" t="s">
        <v>291</v>
      </c>
      <c r="G5" s="143" t="s">
        <v>13</v>
      </c>
      <c r="H5" s="143">
        <v>3</v>
      </c>
      <c r="I5" s="550"/>
      <c r="J5" s="144" t="s">
        <v>679</v>
      </c>
      <c r="K5" s="143" t="s">
        <v>289</v>
      </c>
      <c r="L5" s="143" t="s">
        <v>289</v>
      </c>
      <c r="M5" s="143" t="s">
        <v>289</v>
      </c>
      <c r="N5" s="145"/>
      <c r="O5" s="145"/>
      <c r="P5" s="145"/>
      <c r="Q5" s="145"/>
      <c r="R5" s="538"/>
      <c r="S5" s="538"/>
    </row>
    <row r="6" spans="1:19" ht="32.15" customHeight="1" x14ac:dyDescent="0.35">
      <c r="A6" s="546"/>
      <c r="B6" s="548"/>
      <c r="C6" s="549"/>
      <c r="D6" s="181" t="s">
        <v>222</v>
      </c>
      <c r="E6" s="142" t="s">
        <v>292</v>
      </c>
      <c r="F6" s="142" t="s">
        <v>293</v>
      </c>
      <c r="G6" s="143" t="s">
        <v>5</v>
      </c>
      <c r="H6" s="143">
        <v>5</v>
      </c>
      <c r="I6" s="550"/>
      <c r="J6" s="144" t="s">
        <v>294</v>
      </c>
      <c r="K6" s="143" t="s">
        <v>285</v>
      </c>
      <c r="L6" s="143" t="s">
        <v>285</v>
      </c>
      <c r="M6" s="143" t="s">
        <v>285</v>
      </c>
      <c r="N6" s="145"/>
      <c r="O6" s="145"/>
      <c r="P6" s="145"/>
      <c r="Q6" s="145"/>
      <c r="R6" s="538"/>
      <c r="S6" s="538"/>
    </row>
    <row r="7" spans="1:19" ht="25" x14ac:dyDescent="0.35">
      <c r="A7" s="546"/>
      <c r="B7" s="548"/>
      <c r="C7" s="549"/>
      <c r="D7" s="181" t="s">
        <v>222</v>
      </c>
      <c r="E7" s="142" t="s">
        <v>295</v>
      </c>
      <c r="F7" s="142" t="s">
        <v>296</v>
      </c>
      <c r="G7" s="143" t="s">
        <v>5</v>
      </c>
      <c r="H7" s="143">
        <v>5</v>
      </c>
      <c r="I7" s="550"/>
      <c r="J7" s="144" t="s">
        <v>294</v>
      </c>
      <c r="K7" s="143" t="s">
        <v>285</v>
      </c>
      <c r="L7" s="143" t="s">
        <v>285</v>
      </c>
      <c r="M7" s="143" t="s">
        <v>285</v>
      </c>
      <c r="N7" s="145"/>
      <c r="O7" s="145"/>
      <c r="P7" s="145"/>
      <c r="Q7" s="145"/>
      <c r="R7" s="538"/>
      <c r="S7" s="538"/>
    </row>
    <row r="8" spans="1:19" ht="59.15" customHeight="1" x14ac:dyDescent="0.35">
      <c r="A8" s="546"/>
      <c r="B8" s="548"/>
      <c r="C8" s="549"/>
      <c r="D8" s="181" t="s">
        <v>222</v>
      </c>
      <c r="E8" s="142" t="s">
        <v>297</v>
      </c>
      <c r="F8" s="142" t="s">
        <v>298</v>
      </c>
      <c r="G8" s="143" t="s">
        <v>5</v>
      </c>
      <c r="H8" s="143">
        <v>4</v>
      </c>
      <c r="I8" s="550"/>
      <c r="J8" s="144" t="s">
        <v>299</v>
      </c>
      <c r="K8" s="143" t="s">
        <v>289</v>
      </c>
      <c r="L8" s="143" t="s">
        <v>285</v>
      </c>
      <c r="M8" s="143" t="s">
        <v>285</v>
      </c>
      <c r="N8" s="145"/>
      <c r="O8" s="145"/>
      <c r="P8" s="145"/>
      <c r="Q8" s="145"/>
      <c r="R8" s="538"/>
      <c r="S8" s="538"/>
    </row>
    <row r="9" spans="1:19" ht="36" customHeight="1" x14ac:dyDescent="0.35">
      <c r="A9" s="546"/>
      <c r="B9" s="548"/>
      <c r="C9" s="549"/>
      <c r="D9" s="181" t="s">
        <v>222</v>
      </c>
      <c r="E9" s="142" t="s">
        <v>300</v>
      </c>
      <c r="F9" s="142" t="s">
        <v>301</v>
      </c>
      <c r="G9" s="143" t="s">
        <v>13</v>
      </c>
      <c r="H9" s="143">
        <v>3</v>
      </c>
      <c r="I9" s="550"/>
      <c r="J9" s="138" t="s">
        <v>680</v>
      </c>
      <c r="K9" s="146" t="s">
        <v>285</v>
      </c>
      <c r="L9" s="146" t="s">
        <v>285</v>
      </c>
      <c r="M9" s="146" t="s">
        <v>289</v>
      </c>
      <c r="N9" s="145"/>
      <c r="O9" s="145"/>
      <c r="P9" s="145"/>
      <c r="Q9" s="145"/>
      <c r="R9" s="538"/>
      <c r="S9" s="538"/>
    </row>
    <row r="10" spans="1:19" ht="32.5" customHeight="1" x14ac:dyDescent="0.35">
      <c r="A10" s="546"/>
      <c r="B10" s="548"/>
      <c r="C10" s="549"/>
      <c r="D10" s="181" t="s">
        <v>222</v>
      </c>
      <c r="E10" s="142" t="s">
        <v>302</v>
      </c>
      <c r="F10" s="142" t="s">
        <v>303</v>
      </c>
      <c r="G10" s="143" t="s">
        <v>5</v>
      </c>
      <c r="H10" s="143">
        <v>5</v>
      </c>
      <c r="I10" s="550"/>
      <c r="J10" s="144" t="s">
        <v>294</v>
      </c>
      <c r="K10" s="143" t="s">
        <v>285</v>
      </c>
      <c r="L10" s="143" t="s">
        <v>285</v>
      </c>
      <c r="M10" s="143" t="s">
        <v>285</v>
      </c>
      <c r="N10" s="145"/>
      <c r="O10" s="145"/>
      <c r="P10" s="145"/>
      <c r="Q10" s="145"/>
      <c r="R10" s="538"/>
      <c r="S10" s="538"/>
    </row>
    <row r="11" spans="1:19" ht="25" x14ac:dyDescent="0.35">
      <c r="A11" s="547"/>
      <c r="B11" s="548"/>
      <c r="C11" s="549"/>
      <c r="D11" s="181" t="s">
        <v>222</v>
      </c>
      <c r="E11" s="142" t="s">
        <v>304</v>
      </c>
      <c r="F11" s="142" t="s">
        <v>305</v>
      </c>
      <c r="G11" s="143" t="s">
        <v>5</v>
      </c>
      <c r="H11" s="143">
        <v>4</v>
      </c>
      <c r="I11" s="550"/>
      <c r="J11" s="138" t="s">
        <v>681</v>
      </c>
      <c r="K11" s="146" t="s">
        <v>285</v>
      </c>
      <c r="L11" s="146" t="s">
        <v>285</v>
      </c>
      <c r="M11" s="146" t="s">
        <v>285</v>
      </c>
      <c r="N11" s="145"/>
      <c r="O11" s="145"/>
      <c r="P11" s="145"/>
      <c r="Q11" s="145"/>
      <c r="R11" s="538"/>
      <c r="S11" s="538"/>
    </row>
    <row r="12" spans="1:19" ht="43.5" customHeight="1" x14ac:dyDescent="0.35">
      <c r="A12" s="539">
        <v>2</v>
      </c>
      <c r="B12" s="542" t="s">
        <v>280</v>
      </c>
      <c r="C12" s="543" t="s">
        <v>306</v>
      </c>
      <c r="D12" s="175" t="s">
        <v>1428</v>
      </c>
      <c r="E12" s="147" t="s">
        <v>307</v>
      </c>
      <c r="F12" s="147" t="s">
        <v>308</v>
      </c>
      <c r="G12" s="148" t="s">
        <v>8</v>
      </c>
      <c r="H12" s="148">
        <v>2</v>
      </c>
      <c r="I12" s="544" t="s">
        <v>815</v>
      </c>
      <c r="J12" s="149" t="s">
        <v>309</v>
      </c>
      <c r="K12" s="148" t="s">
        <v>289</v>
      </c>
      <c r="L12" s="148" t="s">
        <v>285</v>
      </c>
      <c r="M12" s="148" t="s">
        <v>289</v>
      </c>
      <c r="N12" s="150"/>
      <c r="O12" s="150"/>
      <c r="P12" s="150"/>
      <c r="Q12" s="150"/>
      <c r="R12" s="545"/>
      <c r="S12" s="545"/>
    </row>
    <row r="13" spans="1:19" ht="49.75" customHeight="1" x14ac:dyDescent="0.35">
      <c r="A13" s="540"/>
      <c r="B13" s="542"/>
      <c r="C13" s="543"/>
      <c r="D13" s="175" t="s">
        <v>1428</v>
      </c>
      <c r="E13" s="147" t="s">
        <v>310</v>
      </c>
      <c r="F13" s="147" t="s">
        <v>311</v>
      </c>
      <c r="G13" s="148" t="s">
        <v>8</v>
      </c>
      <c r="H13" s="148">
        <v>2</v>
      </c>
      <c r="I13" s="544"/>
      <c r="J13" s="151" t="s">
        <v>312</v>
      </c>
      <c r="K13" s="152" t="s">
        <v>289</v>
      </c>
      <c r="L13" s="152" t="s">
        <v>285</v>
      </c>
      <c r="M13" s="152" t="s">
        <v>289</v>
      </c>
      <c r="N13" s="150"/>
      <c r="O13" s="150"/>
      <c r="P13" s="150"/>
      <c r="Q13" s="150"/>
      <c r="R13" s="545"/>
      <c r="S13" s="545"/>
    </row>
    <row r="14" spans="1:19" ht="55.5" customHeight="1" x14ac:dyDescent="0.35">
      <c r="A14" s="540"/>
      <c r="B14" s="542"/>
      <c r="C14" s="543"/>
      <c r="D14" s="175" t="s">
        <v>1428</v>
      </c>
      <c r="E14" s="153" t="s">
        <v>313</v>
      </c>
      <c r="F14" s="153" t="s">
        <v>314</v>
      </c>
      <c r="G14" s="148" t="s">
        <v>13</v>
      </c>
      <c r="H14" s="148">
        <v>3</v>
      </c>
      <c r="I14" s="544"/>
      <c r="J14" s="151" t="s">
        <v>315</v>
      </c>
      <c r="K14" s="152" t="s">
        <v>289</v>
      </c>
      <c r="L14" s="152" t="s">
        <v>285</v>
      </c>
      <c r="M14" s="152" t="s">
        <v>289</v>
      </c>
      <c r="N14" s="150"/>
      <c r="O14" s="150"/>
      <c r="P14" s="150"/>
      <c r="Q14" s="150"/>
      <c r="R14" s="545"/>
      <c r="S14" s="545"/>
    </row>
    <row r="15" spans="1:19" ht="49" customHeight="1" x14ac:dyDescent="0.35">
      <c r="A15" s="540"/>
      <c r="B15" s="542"/>
      <c r="C15" s="543"/>
      <c r="D15" s="175" t="s">
        <v>1428</v>
      </c>
      <c r="E15" s="147" t="s">
        <v>316</v>
      </c>
      <c r="F15" s="147" t="s">
        <v>317</v>
      </c>
      <c r="G15" s="148" t="s">
        <v>5</v>
      </c>
      <c r="H15" s="148">
        <v>5</v>
      </c>
      <c r="I15" s="544"/>
      <c r="J15" s="151" t="s">
        <v>294</v>
      </c>
      <c r="K15" s="152" t="s">
        <v>285</v>
      </c>
      <c r="L15" s="152" t="s">
        <v>285</v>
      </c>
      <c r="M15" s="152" t="s">
        <v>285</v>
      </c>
      <c r="N15" s="150"/>
      <c r="O15" s="150"/>
      <c r="P15" s="150"/>
      <c r="Q15" s="150"/>
      <c r="R15" s="545"/>
      <c r="S15" s="545"/>
    </row>
    <row r="16" spans="1:19" ht="186.65" customHeight="1" x14ac:dyDescent="0.35">
      <c r="A16" s="541"/>
      <c r="B16" s="542"/>
      <c r="C16" s="543"/>
      <c r="D16" s="175" t="s">
        <v>1428</v>
      </c>
      <c r="E16" s="153" t="s">
        <v>318</v>
      </c>
      <c r="F16" s="149" t="s">
        <v>319</v>
      </c>
      <c r="G16" s="148" t="s">
        <v>13</v>
      </c>
      <c r="H16" s="148">
        <v>3</v>
      </c>
      <c r="I16" s="544"/>
      <c r="J16" s="151" t="s">
        <v>320</v>
      </c>
      <c r="K16" s="152" t="s">
        <v>289</v>
      </c>
      <c r="L16" s="152" t="s">
        <v>285</v>
      </c>
      <c r="M16" s="152" t="s">
        <v>289</v>
      </c>
      <c r="N16" s="150"/>
      <c r="O16" s="150"/>
      <c r="P16" s="150"/>
      <c r="Q16" s="150"/>
      <c r="R16" s="545"/>
      <c r="S16" s="545"/>
    </row>
    <row r="17" spans="1:19" ht="37.5" customHeight="1" x14ac:dyDescent="0.35">
      <c r="A17" s="546">
        <v>3</v>
      </c>
      <c r="B17" s="548" t="s">
        <v>280</v>
      </c>
      <c r="C17" s="578" t="s">
        <v>321</v>
      </c>
      <c r="D17" s="182" t="s">
        <v>1451</v>
      </c>
      <c r="E17" s="137" t="s">
        <v>322</v>
      </c>
      <c r="F17" s="142" t="s">
        <v>323</v>
      </c>
      <c r="G17" s="143" t="s">
        <v>8</v>
      </c>
      <c r="H17" s="143">
        <v>2</v>
      </c>
      <c r="I17" s="582" t="s">
        <v>817</v>
      </c>
      <c r="J17" s="144" t="s">
        <v>324</v>
      </c>
      <c r="K17" s="143" t="s">
        <v>289</v>
      </c>
      <c r="L17" s="143" t="s">
        <v>285</v>
      </c>
      <c r="M17" s="143" t="s">
        <v>289</v>
      </c>
      <c r="N17" s="145"/>
      <c r="O17" s="145"/>
      <c r="P17" s="145"/>
      <c r="Q17" s="145"/>
      <c r="R17" s="551" t="s">
        <v>709</v>
      </c>
      <c r="S17" s="559" t="s">
        <v>712</v>
      </c>
    </row>
    <row r="18" spans="1:19" ht="69.650000000000006" customHeight="1" x14ac:dyDescent="0.35">
      <c r="A18" s="546"/>
      <c r="B18" s="548"/>
      <c r="C18" s="578"/>
      <c r="D18" s="182" t="s">
        <v>1451</v>
      </c>
      <c r="E18" s="142" t="s">
        <v>325</v>
      </c>
      <c r="F18" s="137" t="s">
        <v>326</v>
      </c>
      <c r="G18" s="143" t="s">
        <v>8</v>
      </c>
      <c r="H18" s="143">
        <v>2</v>
      </c>
      <c r="I18" s="583"/>
      <c r="J18" s="144" t="s">
        <v>288</v>
      </c>
      <c r="K18" s="143" t="s">
        <v>289</v>
      </c>
      <c r="L18" s="143" t="s">
        <v>285</v>
      </c>
      <c r="M18" s="143" t="s">
        <v>289</v>
      </c>
      <c r="N18" s="145"/>
      <c r="O18" s="145"/>
      <c r="P18" s="145"/>
      <c r="Q18" s="145"/>
      <c r="R18" s="551"/>
      <c r="S18" s="559"/>
    </row>
    <row r="19" spans="1:19" ht="37.5" x14ac:dyDescent="0.35">
      <c r="A19" s="546"/>
      <c r="B19" s="548"/>
      <c r="C19" s="578"/>
      <c r="D19" s="182" t="s">
        <v>1451</v>
      </c>
      <c r="E19" s="142" t="s">
        <v>327</v>
      </c>
      <c r="F19" s="142" t="s">
        <v>328</v>
      </c>
      <c r="G19" s="143" t="s">
        <v>5</v>
      </c>
      <c r="H19" s="143">
        <v>5</v>
      </c>
      <c r="I19" s="583"/>
      <c r="J19" s="144" t="s">
        <v>294</v>
      </c>
      <c r="K19" s="143" t="s">
        <v>285</v>
      </c>
      <c r="L19" s="143" t="s">
        <v>285</v>
      </c>
      <c r="M19" s="143" t="s">
        <v>285</v>
      </c>
      <c r="N19" s="145"/>
      <c r="O19" s="145"/>
      <c r="P19" s="145"/>
      <c r="Q19" s="145"/>
      <c r="R19" s="551"/>
      <c r="S19" s="559"/>
    </row>
    <row r="20" spans="1:19" ht="86.5" customHeight="1" x14ac:dyDescent="0.35">
      <c r="A20" s="546"/>
      <c r="B20" s="548"/>
      <c r="C20" s="578"/>
      <c r="D20" s="182" t="s">
        <v>1451</v>
      </c>
      <c r="E20" s="142" t="s">
        <v>329</v>
      </c>
      <c r="F20" s="154" t="s">
        <v>330</v>
      </c>
      <c r="G20" s="143" t="s">
        <v>13</v>
      </c>
      <c r="H20" s="143">
        <v>3</v>
      </c>
      <c r="I20" s="583"/>
      <c r="J20" s="144" t="s">
        <v>331</v>
      </c>
      <c r="K20" s="143" t="s">
        <v>285</v>
      </c>
      <c r="L20" s="143" t="s">
        <v>289</v>
      </c>
      <c r="M20" s="143" t="s">
        <v>289</v>
      </c>
      <c r="N20" s="145"/>
      <c r="O20" s="145"/>
      <c r="P20" s="145"/>
      <c r="Q20" s="145"/>
      <c r="R20" s="551"/>
      <c r="S20" s="559"/>
    </row>
    <row r="21" spans="1:19" ht="37.5" x14ac:dyDescent="0.35">
      <c r="A21" s="546"/>
      <c r="B21" s="548"/>
      <c r="C21" s="578"/>
      <c r="D21" s="182" t="s">
        <v>1451</v>
      </c>
      <c r="E21" s="142" t="s">
        <v>332</v>
      </c>
      <c r="F21" s="142" t="s">
        <v>333</v>
      </c>
      <c r="G21" s="143" t="s">
        <v>8</v>
      </c>
      <c r="H21" s="143">
        <v>2</v>
      </c>
      <c r="I21" s="583"/>
      <c r="J21" s="144" t="s">
        <v>334</v>
      </c>
      <c r="K21" s="143" t="s">
        <v>285</v>
      </c>
      <c r="L21" s="143" t="s">
        <v>289</v>
      </c>
      <c r="M21" s="143" t="s">
        <v>289</v>
      </c>
      <c r="N21" s="145"/>
      <c r="O21" s="145"/>
      <c r="P21" s="145"/>
      <c r="Q21" s="145"/>
      <c r="R21" s="551"/>
      <c r="S21" s="559"/>
    </row>
    <row r="22" spans="1:19" ht="100" customHeight="1" x14ac:dyDescent="0.35">
      <c r="A22" s="546"/>
      <c r="B22" s="548"/>
      <c r="C22" s="578"/>
      <c r="D22" s="182" t="s">
        <v>1451</v>
      </c>
      <c r="E22" s="142" t="s">
        <v>335</v>
      </c>
      <c r="F22" s="142" t="s">
        <v>336</v>
      </c>
      <c r="G22" s="143" t="s">
        <v>5</v>
      </c>
      <c r="H22" s="143">
        <v>5</v>
      </c>
      <c r="I22" s="583"/>
      <c r="J22" s="144" t="s">
        <v>337</v>
      </c>
      <c r="K22" s="143" t="s">
        <v>285</v>
      </c>
      <c r="L22" s="143" t="s">
        <v>285</v>
      </c>
      <c r="M22" s="143" t="s">
        <v>285</v>
      </c>
      <c r="N22" s="145"/>
      <c r="O22" s="145"/>
      <c r="P22" s="145"/>
      <c r="Q22" s="145"/>
      <c r="R22" s="551"/>
      <c r="S22" s="559"/>
    </row>
    <row r="23" spans="1:19" ht="37.5" x14ac:dyDescent="0.35">
      <c r="A23" s="546"/>
      <c r="B23" s="548"/>
      <c r="C23" s="578"/>
      <c r="D23" s="182" t="s">
        <v>1451</v>
      </c>
      <c r="E23" s="142" t="s">
        <v>338</v>
      </c>
      <c r="F23" s="142" t="s">
        <v>339</v>
      </c>
      <c r="G23" s="143" t="s">
        <v>13</v>
      </c>
      <c r="H23" s="143">
        <v>3</v>
      </c>
      <c r="I23" s="583"/>
      <c r="J23" s="144" t="s">
        <v>340</v>
      </c>
      <c r="K23" s="143" t="s">
        <v>289</v>
      </c>
      <c r="L23" s="143" t="s">
        <v>285</v>
      </c>
      <c r="M23" s="143" t="s">
        <v>289</v>
      </c>
      <c r="N23" s="145"/>
      <c r="O23" s="145"/>
      <c r="P23" s="145"/>
      <c r="Q23" s="145"/>
      <c r="R23" s="551"/>
      <c r="S23" s="559"/>
    </row>
    <row r="24" spans="1:19" ht="25" x14ac:dyDescent="0.35">
      <c r="A24" s="546"/>
      <c r="B24" s="548"/>
      <c r="C24" s="578"/>
      <c r="D24" s="182" t="s">
        <v>1451</v>
      </c>
      <c r="E24" s="142" t="s">
        <v>341</v>
      </c>
      <c r="F24" s="142" t="s">
        <v>342</v>
      </c>
      <c r="G24" s="143" t="s">
        <v>5</v>
      </c>
      <c r="H24" s="143">
        <v>5</v>
      </c>
      <c r="I24" s="583"/>
      <c r="J24" s="144" t="s">
        <v>294</v>
      </c>
      <c r="K24" s="143" t="s">
        <v>285</v>
      </c>
      <c r="L24" s="143" t="s">
        <v>285</v>
      </c>
      <c r="M24" s="143" t="s">
        <v>285</v>
      </c>
      <c r="N24" s="145"/>
      <c r="O24" s="145"/>
      <c r="P24" s="145"/>
      <c r="Q24" s="145"/>
      <c r="R24" s="551"/>
      <c r="S24" s="559"/>
    </row>
    <row r="25" spans="1:19" ht="358.5" customHeight="1" x14ac:dyDescent="0.35">
      <c r="A25" s="546"/>
      <c r="B25" s="548"/>
      <c r="C25" s="578"/>
      <c r="D25" s="182" t="s">
        <v>1451</v>
      </c>
      <c r="E25" s="142" t="s">
        <v>343</v>
      </c>
      <c r="F25" s="142" t="s">
        <v>344</v>
      </c>
      <c r="G25" s="143" t="s">
        <v>5</v>
      </c>
      <c r="H25" s="143">
        <v>5</v>
      </c>
      <c r="I25" s="583"/>
      <c r="J25" s="144" t="s">
        <v>294</v>
      </c>
      <c r="K25" s="143" t="s">
        <v>285</v>
      </c>
      <c r="L25" s="143" t="s">
        <v>285</v>
      </c>
      <c r="M25" s="143" t="s">
        <v>285</v>
      </c>
      <c r="N25" s="145"/>
      <c r="O25" s="145"/>
      <c r="P25" s="145"/>
      <c r="Q25" s="145"/>
      <c r="R25" s="551"/>
      <c r="S25" s="559"/>
    </row>
    <row r="26" spans="1:19" ht="24.65" customHeight="1" x14ac:dyDescent="0.35">
      <c r="A26" s="553">
        <v>4</v>
      </c>
      <c r="B26" s="542" t="s">
        <v>345</v>
      </c>
      <c r="C26" s="543" t="s">
        <v>346</v>
      </c>
      <c r="D26" s="175" t="s">
        <v>1452</v>
      </c>
      <c r="E26" s="155" t="s">
        <v>724</v>
      </c>
      <c r="F26" s="156" t="s">
        <v>719</v>
      </c>
      <c r="G26" s="157" t="s">
        <v>5</v>
      </c>
      <c r="H26" s="157">
        <v>4</v>
      </c>
      <c r="I26" s="554" t="s">
        <v>714</v>
      </c>
      <c r="J26" s="158" t="s">
        <v>971</v>
      </c>
      <c r="K26" s="148" t="s">
        <v>289</v>
      </c>
      <c r="L26" s="148" t="s">
        <v>285</v>
      </c>
      <c r="M26" s="148" t="s">
        <v>285</v>
      </c>
      <c r="N26" s="150"/>
      <c r="O26" s="150"/>
      <c r="P26" s="150"/>
      <c r="Q26" s="150"/>
      <c r="R26" s="545"/>
      <c r="S26" s="554" t="s">
        <v>713</v>
      </c>
    </row>
    <row r="27" spans="1:19" ht="42" x14ac:dyDescent="0.35">
      <c r="A27" s="540"/>
      <c r="B27" s="542"/>
      <c r="C27" s="543"/>
      <c r="D27" s="175" t="s">
        <v>1452</v>
      </c>
      <c r="E27" s="155" t="s">
        <v>725</v>
      </c>
      <c r="F27" s="156" t="s">
        <v>720</v>
      </c>
      <c r="G27" s="157" t="s">
        <v>8</v>
      </c>
      <c r="H27" s="157">
        <v>2</v>
      </c>
      <c r="I27" s="554"/>
      <c r="J27" s="158" t="s">
        <v>972</v>
      </c>
      <c r="K27" s="148" t="s">
        <v>289</v>
      </c>
      <c r="L27" s="148" t="s">
        <v>285</v>
      </c>
      <c r="M27" s="148" t="s">
        <v>285</v>
      </c>
      <c r="N27" s="150"/>
      <c r="O27" s="150"/>
      <c r="P27" s="150"/>
      <c r="Q27" s="150"/>
      <c r="R27" s="545"/>
      <c r="S27" s="554"/>
    </row>
    <row r="28" spans="1:19" ht="37.5" x14ac:dyDescent="0.35">
      <c r="A28" s="541"/>
      <c r="B28" s="542"/>
      <c r="C28" s="543"/>
      <c r="D28" s="175" t="s">
        <v>1452</v>
      </c>
      <c r="E28" s="159" t="s">
        <v>723</v>
      </c>
      <c r="F28" s="156" t="s">
        <v>721</v>
      </c>
      <c r="G28" s="157" t="s">
        <v>5</v>
      </c>
      <c r="H28" s="157">
        <v>4</v>
      </c>
      <c r="I28" s="554"/>
      <c r="J28" s="158"/>
      <c r="K28" s="150"/>
      <c r="L28" s="150"/>
      <c r="M28" s="150"/>
      <c r="N28" s="150"/>
      <c r="O28" s="150"/>
      <c r="P28" s="150"/>
      <c r="Q28" s="150"/>
      <c r="R28" s="545"/>
      <c r="S28" s="554"/>
    </row>
    <row r="29" spans="1:19" ht="74.150000000000006" customHeight="1" x14ac:dyDescent="0.35">
      <c r="A29" s="541"/>
      <c r="B29" s="542"/>
      <c r="C29" s="543"/>
      <c r="D29" s="175" t="s">
        <v>1452</v>
      </c>
      <c r="E29" s="158" t="s">
        <v>726</v>
      </c>
      <c r="F29" s="156" t="s">
        <v>722</v>
      </c>
      <c r="G29" s="157" t="s">
        <v>13</v>
      </c>
      <c r="H29" s="157">
        <v>3</v>
      </c>
      <c r="I29" s="554"/>
      <c r="J29" s="158" t="s">
        <v>973</v>
      </c>
      <c r="K29" s="160" t="s">
        <v>289</v>
      </c>
      <c r="L29" s="160" t="s">
        <v>285</v>
      </c>
      <c r="M29" s="160" t="s">
        <v>285</v>
      </c>
      <c r="N29" s="150"/>
      <c r="O29" s="150"/>
      <c r="P29" s="150"/>
      <c r="Q29" s="150"/>
      <c r="R29" s="545"/>
      <c r="S29" s="554"/>
    </row>
    <row r="30" spans="1:19" ht="87" customHeight="1" x14ac:dyDescent="0.35">
      <c r="A30" s="555">
        <v>5</v>
      </c>
      <c r="B30" s="548" t="s">
        <v>345</v>
      </c>
      <c r="C30" s="549" t="s">
        <v>819</v>
      </c>
      <c r="D30" s="181" t="s">
        <v>1453</v>
      </c>
      <c r="E30" s="140" t="s">
        <v>737</v>
      </c>
      <c r="F30" s="161" t="s">
        <v>733</v>
      </c>
      <c r="G30" s="162" t="s">
        <v>5</v>
      </c>
      <c r="H30" s="162">
        <v>4</v>
      </c>
      <c r="I30" s="557" t="s">
        <v>818</v>
      </c>
      <c r="J30" s="140" t="s">
        <v>974</v>
      </c>
      <c r="K30" s="148" t="s">
        <v>289</v>
      </c>
      <c r="L30" s="148" t="s">
        <v>285</v>
      </c>
      <c r="M30" s="148" t="s">
        <v>285</v>
      </c>
      <c r="N30" s="145"/>
      <c r="O30" s="145"/>
      <c r="P30" s="145"/>
      <c r="Q30" s="145"/>
      <c r="R30" s="558"/>
      <c r="S30" s="552" t="s">
        <v>743</v>
      </c>
    </row>
    <row r="31" spans="1:19" ht="31" customHeight="1" x14ac:dyDescent="0.35">
      <c r="A31" s="556"/>
      <c r="B31" s="548"/>
      <c r="C31" s="549"/>
      <c r="D31" s="181" t="s">
        <v>1453</v>
      </c>
      <c r="E31" s="139" t="s">
        <v>734</v>
      </c>
      <c r="F31" s="140" t="s">
        <v>736</v>
      </c>
      <c r="G31" s="162" t="s">
        <v>8</v>
      </c>
      <c r="H31" s="162">
        <v>2</v>
      </c>
      <c r="I31" s="557"/>
      <c r="J31" s="140"/>
      <c r="K31" s="145"/>
      <c r="L31" s="145"/>
      <c r="M31" s="145"/>
      <c r="N31" s="145"/>
      <c r="O31" s="145"/>
      <c r="P31" s="145"/>
      <c r="Q31" s="145"/>
      <c r="R31" s="558"/>
      <c r="S31" s="552"/>
    </row>
    <row r="32" spans="1:19" ht="130.5" customHeight="1" x14ac:dyDescent="0.35">
      <c r="A32" s="556"/>
      <c r="B32" s="548"/>
      <c r="C32" s="549"/>
      <c r="D32" s="181" t="s">
        <v>1453</v>
      </c>
      <c r="E32" s="145" t="s">
        <v>735</v>
      </c>
      <c r="F32" s="163" t="s">
        <v>738</v>
      </c>
      <c r="G32" s="162" t="s">
        <v>13</v>
      </c>
      <c r="H32" s="162">
        <v>3</v>
      </c>
      <c r="I32" s="557"/>
      <c r="J32" s="140"/>
      <c r="K32" s="145"/>
      <c r="L32" s="145"/>
      <c r="M32" s="145"/>
      <c r="N32" s="145"/>
      <c r="O32" s="145"/>
      <c r="P32" s="145"/>
      <c r="Q32" s="145"/>
      <c r="R32" s="558"/>
      <c r="S32" s="552"/>
    </row>
    <row r="33" spans="1:19" ht="68.5" customHeight="1" x14ac:dyDescent="0.35">
      <c r="A33" s="19">
        <v>7</v>
      </c>
      <c r="B33" s="575" t="s">
        <v>345</v>
      </c>
      <c r="C33" s="576" t="s">
        <v>744</v>
      </c>
      <c r="D33" s="180" t="s">
        <v>1432</v>
      </c>
      <c r="E33" s="164" t="s">
        <v>773</v>
      </c>
      <c r="F33" s="165" t="s">
        <v>748</v>
      </c>
      <c r="G33" s="166" t="s">
        <v>8</v>
      </c>
      <c r="H33" s="166">
        <v>2</v>
      </c>
      <c r="I33" s="158" t="s">
        <v>820</v>
      </c>
      <c r="J33" s="158" t="s">
        <v>975</v>
      </c>
      <c r="K33" s="148" t="s">
        <v>289</v>
      </c>
      <c r="L33" s="148" t="s">
        <v>285</v>
      </c>
      <c r="M33" s="148" t="s">
        <v>285</v>
      </c>
      <c r="N33" s="167"/>
      <c r="O33" s="167"/>
      <c r="P33" s="167"/>
      <c r="Q33" s="167"/>
      <c r="R33" s="560"/>
      <c r="S33" s="554" t="s">
        <v>755</v>
      </c>
    </row>
    <row r="34" spans="1:19" ht="35.5" customHeight="1" x14ac:dyDescent="0.35">
      <c r="A34" s="43"/>
      <c r="B34" s="575"/>
      <c r="C34" s="576"/>
      <c r="D34" s="180" t="s">
        <v>1432</v>
      </c>
      <c r="E34" s="164" t="s">
        <v>749</v>
      </c>
      <c r="F34" s="168" t="s">
        <v>750</v>
      </c>
      <c r="G34" s="166" t="s">
        <v>8</v>
      </c>
      <c r="H34" s="166">
        <v>2</v>
      </c>
      <c r="I34" s="158"/>
      <c r="J34" s="169" t="s">
        <v>976</v>
      </c>
      <c r="K34" s="148" t="s">
        <v>289</v>
      </c>
      <c r="L34" s="148" t="s">
        <v>285</v>
      </c>
      <c r="M34" s="148" t="s">
        <v>285</v>
      </c>
      <c r="N34" s="167"/>
      <c r="O34" s="167"/>
      <c r="P34" s="167"/>
      <c r="Q34" s="167"/>
      <c r="R34" s="560"/>
      <c r="S34" s="554"/>
    </row>
    <row r="35" spans="1:19" ht="74.150000000000006" customHeight="1" x14ac:dyDescent="0.35">
      <c r="A35" s="43"/>
      <c r="B35" s="575"/>
      <c r="C35" s="576"/>
      <c r="D35" s="180" t="s">
        <v>1432</v>
      </c>
      <c r="E35" s="164" t="s">
        <v>751</v>
      </c>
      <c r="F35" s="168" t="s">
        <v>752</v>
      </c>
      <c r="G35" s="166" t="s">
        <v>8</v>
      </c>
      <c r="H35" s="166">
        <v>2</v>
      </c>
      <c r="I35" s="158"/>
      <c r="J35" s="158" t="s">
        <v>973</v>
      </c>
      <c r="K35" s="148" t="s">
        <v>289</v>
      </c>
      <c r="L35" s="148" t="s">
        <v>285</v>
      </c>
      <c r="M35" s="148" t="s">
        <v>285</v>
      </c>
      <c r="N35" s="167"/>
      <c r="O35" s="167"/>
      <c r="P35" s="167"/>
      <c r="Q35" s="167"/>
      <c r="R35" s="560"/>
      <c r="S35" s="554"/>
    </row>
    <row r="36" spans="1:19" ht="143.15" customHeight="1" x14ac:dyDescent="0.35">
      <c r="A36" s="111">
        <v>8</v>
      </c>
      <c r="B36" s="548" t="s">
        <v>347</v>
      </c>
      <c r="C36" s="549" t="s">
        <v>757</v>
      </c>
      <c r="D36" s="181" t="s">
        <v>1454</v>
      </c>
      <c r="E36" s="154" t="s">
        <v>758</v>
      </c>
      <c r="F36" s="163" t="s">
        <v>772</v>
      </c>
      <c r="G36" s="143" t="s">
        <v>5</v>
      </c>
      <c r="H36" s="143">
        <v>4</v>
      </c>
      <c r="I36" s="552" t="s">
        <v>821</v>
      </c>
      <c r="J36" s="141" t="s">
        <v>977</v>
      </c>
      <c r="K36" s="145"/>
      <c r="L36" s="145"/>
      <c r="M36" s="145"/>
      <c r="N36" s="145"/>
      <c r="O36" s="145"/>
      <c r="P36" s="145"/>
      <c r="Q36" s="145"/>
      <c r="R36" s="561" t="s">
        <v>776</v>
      </c>
      <c r="S36" s="552" t="s">
        <v>774</v>
      </c>
    </row>
    <row r="37" spans="1:19" ht="28" customHeight="1" x14ac:dyDescent="0.35">
      <c r="A37" s="111"/>
      <c r="B37" s="548"/>
      <c r="C37" s="549"/>
      <c r="D37" s="181" t="s">
        <v>1454</v>
      </c>
      <c r="E37" s="154" t="s">
        <v>759</v>
      </c>
      <c r="F37" s="170" t="s">
        <v>760</v>
      </c>
      <c r="G37" s="143" t="s">
        <v>8</v>
      </c>
      <c r="H37" s="143">
        <v>2</v>
      </c>
      <c r="I37" s="552"/>
      <c r="J37" s="140"/>
      <c r="K37" s="145"/>
      <c r="L37" s="145"/>
      <c r="M37" s="145"/>
      <c r="N37" s="145"/>
      <c r="O37" s="145"/>
      <c r="P37" s="145"/>
      <c r="Q37" s="145"/>
      <c r="R37" s="561"/>
      <c r="S37" s="552"/>
    </row>
    <row r="38" spans="1:19" ht="28" x14ac:dyDescent="0.35">
      <c r="A38" s="111"/>
      <c r="B38" s="548"/>
      <c r="C38" s="549"/>
      <c r="D38" s="181" t="s">
        <v>1454</v>
      </c>
      <c r="E38" s="154" t="s">
        <v>761</v>
      </c>
      <c r="F38" s="170" t="s">
        <v>762</v>
      </c>
      <c r="G38" s="143" t="s">
        <v>13</v>
      </c>
      <c r="H38" s="143">
        <v>3</v>
      </c>
      <c r="I38" s="552"/>
      <c r="J38" s="141"/>
      <c r="K38" s="145"/>
      <c r="L38" s="145"/>
      <c r="M38" s="145"/>
      <c r="N38" s="145"/>
      <c r="O38" s="145"/>
      <c r="P38" s="145"/>
      <c r="Q38" s="145"/>
      <c r="R38" s="561"/>
      <c r="S38" s="552"/>
    </row>
    <row r="39" spans="1:19" ht="56" x14ac:dyDescent="0.35">
      <c r="A39" s="111"/>
      <c r="B39" s="548"/>
      <c r="C39" s="549"/>
      <c r="D39" s="181" t="s">
        <v>1454</v>
      </c>
      <c r="E39" s="154" t="s">
        <v>763</v>
      </c>
      <c r="F39" s="163" t="s">
        <v>765</v>
      </c>
      <c r="G39" s="143" t="s">
        <v>5</v>
      </c>
      <c r="H39" s="143">
        <v>4</v>
      </c>
      <c r="I39" s="552"/>
      <c r="J39" s="140"/>
      <c r="K39" s="145"/>
      <c r="L39" s="145"/>
      <c r="M39" s="145"/>
      <c r="N39" s="145"/>
      <c r="O39" s="145"/>
      <c r="P39" s="145"/>
      <c r="Q39" s="145"/>
      <c r="R39" s="561"/>
      <c r="S39" s="552"/>
    </row>
    <row r="40" spans="1:19" ht="105.65" customHeight="1" x14ac:dyDescent="0.35">
      <c r="A40" s="111"/>
      <c r="B40" s="548"/>
      <c r="C40" s="549"/>
      <c r="D40" s="181" t="s">
        <v>1454</v>
      </c>
      <c r="E40" s="562" t="s">
        <v>764</v>
      </c>
      <c r="F40" s="170" t="s">
        <v>766</v>
      </c>
      <c r="G40" s="143" t="s">
        <v>5</v>
      </c>
      <c r="H40" s="143">
        <v>4</v>
      </c>
      <c r="I40" s="552"/>
      <c r="J40" s="141"/>
      <c r="K40" s="145"/>
      <c r="L40" s="145"/>
      <c r="M40" s="145"/>
      <c r="N40" s="145"/>
      <c r="O40" s="145"/>
      <c r="P40" s="145"/>
      <c r="Q40" s="145"/>
      <c r="R40" s="561"/>
      <c r="S40" s="552"/>
    </row>
    <row r="41" spans="1:19" ht="70" x14ac:dyDescent="0.35">
      <c r="A41" s="111"/>
      <c r="B41" s="548"/>
      <c r="C41" s="549"/>
      <c r="D41" s="181"/>
      <c r="E41" s="562"/>
      <c r="F41" s="170" t="s">
        <v>767</v>
      </c>
      <c r="G41" s="143" t="s">
        <v>5</v>
      </c>
      <c r="H41" s="143">
        <v>4</v>
      </c>
      <c r="I41" s="552"/>
      <c r="J41" s="170"/>
      <c r="K41" s="145"/>
      <c r="L41" s="145"/>
      <c r="M41" s="145"/>
      <c r="N41" s="145"/>
      <c r="O41" s="145"/>
      <c r="P41" s="145"/>
      <c r="Q41" s="145"/>
      <c r="R41" s="561"/>
      <c r="S41" s="552"/>
    </row>
    <row r="42" spans="1:19" ht="70" x14ac:dyDescent="0.35">
      <c r="A42" s="111"/>
      <c r="B42" s="548"/>
      <c r="C42" s="549"/>
      <c r="D42" s="181"/>
      <c r="E42" s="562"/>
      <c r="F42" s="170" t="s">
        <v>768</v>
      </c>
      <c r="G42" s="143" t="s">
        <v>5</v>
      </c>
      <c r="H42" s="143">
        <v>4</v>
      </c>
      <c r="I42" s="552"/>
      <c r="J42" s="170"/>
      <c r="K42" s="145"/>
      <c r="L42" s="145"/>
      <c r="M42" s="145"/>
      <c r="N42" s="145"/>
      <c r="O42" s="145"/>
      <c r="P42" s="145"/>
      <c r="Q42" s="145"/>
      <c r="R42" s="561"/>
      <c r="S42" s="552"/>
    </row>
    <row r="43" spans="1:19" ht="70" x14ac:dyDescent="0.35">
      <c r="A43" s="111"/>
      <c r="B43" s="548"/>
      <c r="C43" s="549"/>
      <c r="D43" s="181"/>
      <c r="E43" s="562"/>
      <c r="F43" s="140" t="s">
        <v>769</v>
      </c>
      <c r="G43" s="143" t="s">
        <v>5</v>
      </c>
      <c r="H43" s="143">
        <v>4</v>
      </c>
      <c r="I43" s="552"/>
      <c r="J43" s="170"/>
      <c r="K43" s="145"/>
      <c r="L43" s="145"/>
      <c r="M43" s="145"/>
      <c r="N43" s="145"/>
      <c r="O43" s="145"/>
      <c r="P43" s="145"/>
      <c r="Q43" s="145"/>
      <c r="R43" s="561"/>
      <c r="S43" s="552"/>
    </row>
    <row r="44" spans="1:19" ht="50" x14ac:dyDescent="0.35">
      <c r="A44" s="111"/>
      <c r="B44" s="548"/>
      <c r="C44" s="549"/>
      <c r="D44" s="181"/>
      <c r="E44" s="562"/>
      <c r="F44" s="161" t="s">
        <v>770</v>
      </c>
      <c r="G44" s="143" t="s">
        <v>5</v>
      </c>
      <c r="H44" s="143">
        <v>4</v>
      </c>
      <c r="I44" s="552"/>
      <c r="J44" s="170"/>
      <c r="K44" s="145"/>
      <c r="L44" s="145"/>
      <c r="M44" s="145"/>
      <c r="N44" s="145"/>
      <c r="O44" s="145"/>
      <c r="P44" s="145"/>
      <c r="Q44" s="145"/>
      <c r="R44" s="561"/>
      <c r="S44" s="552"/>
    </row>
    <row r="45" spans="1:19" ht="87.5" x14ac:dyDescent="0.35">
      <c r="A45" s="111"/>
      <c r="B45" s="548"/>
      <c r="C45" s="549"/>
      <c r="D45" s="181"/>
      <c r="E45" s="562"/>
      <c r="F45" s="161" t="s">
        <v>771</v>
      </c>
      <c r="G45" s="143" t="s">
        <v>5</v>
      </c>
      <c r="H45" s="143">
        <v>4</v>
      </c>
      <c r="I45" s="552"/>
      <c r="J45" s="170"/>
      <c r="K45" s="145"/>
      <c r="L45" s="145"/>
      <c r="M45" s="145"/>
      <c r="N45" s="145"/>
      <c r="O45" s="145"/>
      <c r="P45" s="145"/>
      <c r="Q45" s="145"/>
      <c r="R45" s="561"/>
      <c r="S45" s="552"/>
    </row>
    <row r="46" spans="1:19" ht="56.15" customHeight="1" x14ac:dyDescent="0.35">
      <c r="A46" s="51">
        <v>9</v>
      </c>
      <c r="B46" s="575" t="s">
        <v>347</v>
      </c>
      <c r="C46" s="576" t="s">
        <v>781</v>
      </c>
      <c r="D46" s="180" t="s">
        <v>1455</v>
      </c>
      <c r="E46" s="164" t="s">
        <v>782</v>
      </c>
      <c r="F46" s="171" t="s">
        <v>786</v>
      </c>
      <c r="G46" s="166" t="s">
        <v>13</v>
      </c>
      <c r="H46" s="166">
        <v>3</v>
      </c>
      <c r="I46" s="577" t="s">
        <v>822</v>
      </c>
      <c r="J46" s="155" t="s">
        <v>977</v>
      </c>
      <c r="K46" s="167"/>
      <c r="L46" s="167"/>
      <c r="M46" s="167"/>
      <c r="N46" s="167"/>
      <c r="O46" s="167"/>
      <c r="P46" s="167"/>
      <c r="Q46" s="167"/>
      <c r="R46" s="560"/>
      <c r="S46" s="563" t="s">
        <v>789</v>
      </c>
    </row>
    <row r="47" spans="1:19" ht="25" x14ac:dyDescent="0.35">
      <c r="A47" s="26"/>
      <c r="B47" s="575"/>
      <c r="C47" s="576"/>
      <c r="D47" s="180" t="s">
        <v>1455</v>
      </c>
      <c r="E47" s="164" t="s">
        <v>783</v>
      </c>
      <c r="F47" s="172"/>
      <c r="G47" s="166" t="s">
        <v>13</v>
      </c>
      <c r="H47" s="166">
        <v>3</v>
      </c>
      <c r="I47" s="577"/>
      <c r="J47" s="158"/>
      <c r="K47" s="167"/>
      <c r="L47" s="167"/>
      <c r="M47" s="167"/>
      <c r="N47" s="167"/>
      <c r="O47" s="167"/>
      <c r="P47" s="167"/>
      <c r="Q47" s="167"/>
      <c r="R47" s="560"/>
      <c r="S47" s="563"/>
    </row>
    <row r="48" spans="1:19" ht="25" x14ac:dyDescent="0.35">
      <c r="A48" s="26"/>
      <c r="B48" s="575"/>
      <c r="C48" s="576"/>
      <c r="D48" s="180" t="s">
        <v>1455</v>
      </c>
      <c r="E48" s="164" t="s">
        <v>784</v>
      </c>
      <c r="F48" s="171" t="s">
        <v>785</v>
      </c>
      <c r="G48" s="166" t="s">
        <v>13</v>
      </c>
      <c r="H48" s="166">
        <v>3</v>
      </c>
      <c r="I48" s="577"/>
      <c r="J48" s="158"/>
      <c r="K48" s="167"/>
      <c r="L48" s="167"/>
      <c r="M48" s="167"/>
      <c r="N48" s="167"/>
      <c r="O48" s="167"/>
      <c r="P48" s="167"/>
      <c r="Q48" s="167"/>
      <c r="R48" s="560"/>
      <c r="S48" s="563"/>
    </row>
    <row r="49" spans="1:19" ht="148.5" customHeight="1" x14ac:dyDescent="0.35">
      <c r="A49" s="26"/>
      <c r="B49" s="548" t="s">
        <v>347</v>
      </c>
      <c r="C49" s="549" t="s">
        <v>791</v>
      </c>
      <c r="D49" s="181" t="s">
        <v>1435</v>
      </c>
      <c r="E49" s="154" t="s">
        <v>792</v>
      </c>
      <c r="F49" s="173" t="s">
        <v>801</v>
      </c>
      <c r="G49" s="143" t="s">
        <v>5</v>
      </c>
      <c r="H49" s="143">
        <v>4</v>
      </c>
      <c r="I49" s="559" t="s">
        <v>824</v>
      </c>
      <c r="J49" s="170"/>
      <c r="K49" s="145"/>
      <c r="L49" s="145"/>
      <c r="M49" s="145"/>
      <c r="N49" s="145"/>
      <c r="O49" s="145"/>
      <c r="P49" s="145"/>
      <c r="Q49" s="145"/>
      <c r="R49" s="558"/>
      <c r="S49" s="552" t="s">
        <v>802</v>
      </c>
    </row>
    <row r="50" spans="1:19" ht="28" x14ac:dyDescent="0.35">
      <c r="A50" s="26"/>
      <c r="B50" s="548"/>
      <c r="C50" s="549"/>
      <c r="D50" s="181" t="s">
        <v>1435</v>
      </c>
      <c r="E50" s="154" t="s">
        <v>793</v>
      </c>
      <c r="F50" s="173" t="s">
        <v>794</v>
      </c>
      <c r="G50" s="143" t="s">
        <v>5</v>
      </c>
      <c r="H50" s="143">
        <v>4</v>
      </c>
      <c r="I50" s="552"/>
      <c r="J50" s="170"/>
      <c r="K50" s="145"/>
      <c r="L50" s="145"/>
      <c r="M50" s="145"/>
      <c r="N50" s="145"/>
      <c r="O50" s="145"/>
      <c r="P50" s="145"/>
      <c r="Q50" s="145"/>
      <c r="R50" s="558"/>
      <c r="S50" s="552"/>
    </row>
    <row r="51" spans="1:19" ht="28" x14ac:dyDescent="0.35">
      <c r="A51" s="26"/>
      <c r="B51" s="548"/>
      <c r="C51" s="549"/>
      <c r="D51" s="181" t="s">
        <v>1435</v>
      </c>
      <c r="E51" s="154" t="s">
        <v>795</v>
      </c>
      <c r="F51" s="173" t="s">
        <v>796</v>
      </c>
      <c r="G51" s="143" t="s">
        <v>5</v>
      </c>
      <c r="H51" s="143">
        <v>4</v>
      </c>
      <c r="I51" s="552"/>
      <c r="J51" s="170"/>
      <c r="K51" s="145"/>
      <c r="L51" s="145"/>
      <c r="M51" s="145"/>
      <c r="N51" s="145"/>
      <c r="O51" s="145"/>
      <c r="P51" s="145"/>
      <c r="Q51" s="145"/>
      <c r="R51" s="558"/>
      <c r="S51" s="552"/>
    </row>
    <row r="52" spans="1:19" ht="28" x14ac:dyDescent="0.35">
      <c r="A52" s="26"/>
      <c r="B52" s="548"/>
      <c r="C52" s="549"/>
      <c r="D52" s="181" t="s">
        <v>1435</v>
      </c>
      <c r="E52" s="154" t="s">
        <v>797</v>
      </c>
      <c r="F52" s="173" t="s">
        <v>798</v>
      </c>
      <c r="G52" s="143" t="s">
        <v>5</v>
      </c>
      <c r="H52" s="143">
        <v>4</v>
      </c>
      <c r="I52" s="552"/>
      <c r="J52" s="170"/>
      <c r="K52" s="145"/>
      <c r="L52" s="145"/>
      <c r="M52" s="145"/>
      <c r="N52" s="145"/>
      <c r="O52" s="145"/>
      <c r="P52" s="145"/>
      <c r="Q52" s="145"/>
      <c r="R52" s="558"/>
      <c r="S52" s="552"/>
    </row>
    <row r="53" spans="1:19" ht="28" x14ac:dyDescent="0.35">
      <c r="A53" s="26"/>
      <c r="B53" s="548"/>
      <c r="C53" s="549"/>
      <c r="D53" s="181" t="s">
        <v>1435</v>
      </c>
      <c r="E53" s="154" t="s">
        <v>799</v>
      </c>
      <c r="F53" s="173" t="s">
        <v>800</v>
      </c>
      <c r="G53" s="143" t="s">
        <v>5</v>
      </c>
      <c r="H53" s="143">
        <v>4</v>
      </c>
      <c r="I53" s="552"/>
      <c r="J53" s="170"/>
      <c r="K53" s="145"/>
      <c r="L53" s="145"/>
      <c r="M53" s="145"/>
      <c r="N53" s="145"/>
      <c r="O53" s="145"/>
      <c r="P53" s="145"/>
      <c r="Q53" s="145"/>
      <c r="R53" s="558"/>
      <c r="S53" s="552"/>
    </row>
    <row r="54" spans="1:19" ht="192.65" customHeight="1" x14ac:dyDescent="0.35">
      <c r="A54" s="566">
        <v>10</v>
      </c>
      <c r="B54" s="174" t="s">
        <v>347</v>
      </c>
      <c r="C54" s="175" t="s">
        <v>804</v>
      </c>
      <c r="D54" s="175" t="s">
        <v>1456</v>
      </c>
      <c r="E54" s="147" t="s">
        <v>805</v>
      </c>
      <c r="F54" s="155" t="s">
        <v>803</v>
      </c>
      <c r="G54" s="148" t="s">
        <v>808</v>
      </c>
      <c r="H54" s="148">
        <v>4</v>
      </c>
      <c r="I54" s="171" t="s">
        <v>826</v>
      </c>
      <c r="J54" s="158"/>
      <c r="K54" s="150"/>
      <c r="L54" s="150"/>
      <c r="M54" s="150"/>
      <c r="N54" s="150"/>
      <c r="O54" s="150"/>
      <c r="P54" s="150"/>
      <c r="Q54" s="150"/>
      <c r="R54" s="150"/>
      <c r="S54" s="155" t="s">
        <v>809</v>
      </c>
    </row>
    <row r="55" spans="1:19" ht="128.15" customHeight="1" x14ac:dyDescent="0.35">
      <c r="A55" s="540"/>
      <c r="B55" s="176" t="s">
        <v>347</v>
      </c>
      <c r="C55" s="177" t="s">
        <v>807</v>
      </c>
      <c r="D55" s="177" t="s">
        <v>1437</v>
      </c>
      <c r="E55" s="154" t="s">
        <v>812</v>
      </c>
      <c r="F55" s="140" t="s">
        <v>810</v>
      </c>
      <c r="G55" s="143" t="s">
        <v>5</v>
      </c>
      <c r="H55" s="143">
        <v>4</v>
      </c>
      <c r="I55" s="173" t="s">
        <v>828</v>
      </c>
      <c r="J55" s="140"/>
      <c r="K55" s="145"/>
      <c r="L55" s="145"/>
      <c r="M55" s="145"/>
      <c r="N55" s="145"/>
      <c r="O55" s="145"/>
      <c r="P55" s="145"/>
      <c r="Q55" s="145"/>
      <c r="R55" s="145"/>
      <c r="S55" s="140" t="s">
        <v>813</v>
      </c>
    </row>
    <row r="56" spans="1:19" x14ac:dyDescent="0.35">
      <c r="A56" s="567"/>
      <c r="B56" s="112"/>
      <c r="C56" s="113"/>
      <c r="D56" s="113"/>
      <c r="E56" s="114"/>
      <c r="G56" s="115"/>
      <c r="H56" s="115"/>
      <c r="I56" s="115"/>
      <c r="K56" s="116"/>
      <c r="L56" s="116"/>
      <c r="M56" s="116"/>
      <c r="N56" s="116"/>
      <c r="O56" s="116"/>
      <c r="P56" s="116"/>
      <c r="Q56" s="117"/>
      <c r="R56" s="118"/>
      <c r="S56" s="37"/>
    </row>
    <row r="57" spans="1:19" x14ac:dyDescent="0.35">
      <c r="A57" s="567"/>
      <c r="B57" s="119"/>
      <c r="C57" s="120"/>
      <c r="D57" s="120"/>
      <c r="E57" s="121"/>
      <c r="F57" s="122"/>
      <c r="G57" s="123"/>
      <c r="H57" s="123"/>
      <c r="I57" s="123"/>
      <c r="J57" s="124"/>
      <c r="K57" s="125"/>
      <c r="L57" s="125"/>
      <c r="M57" s="125"/>
      <c r="N57" s="125"/>
      <c r="O57" s="125"/>
      <c r="P57" s="125"/>
      <c r="Q57" s="126"/>
      <c r="R57" s="127"/>
      <c r="S57" s="127"/>
    </row>
    <row r="58" spans="1:19" x14ac:dyDescent="0.35">
      <c r="A58" s="567"/>
      <c r="B58" s="119"/>
      <c r="C58" s="120"/>
      <c r="D58" s="120"/>
      <c r="E58" s="121"/>
      <c r="G58" s="123"/>
      <c r="H58" s="123"/>
      <c r="I58" s="123"/>
      <c r="J58" s="124"/>
      <c r="K58" s="125"/>
      <c r="L58" s="125"/>
      <c r="M58" s="125"/>
      <c r="N58" s="125"/>
      <c r="O58" s="125"/>
      <c r="P58" s="125"/>
      <c r="Q58" s="126"/>
      <c r="R58" s="127"/>
      <c r="S58" s="127"/>
    </row>
    <row r="59" spans="1:19" x14ac:dyDescent="0.35">
      <c r="A59" s="567"/>
      <c r="B59" s="119"/>
      <c r="C59" s="120"/>
      <c r="D59" s="120"/>
      <c r="E59" s="121"/>
      <c r="F59" s="122"/>
      <c r="G59" s="123"/>
      <c r="H59" s="123"/>
      <c r="I59" s="123"/>
      <c r="J59" s="124"/>
      <c r="K59" s="125"/>
      <c r="L59" s="125"/>
      <c r="M59" s="125"/>
      <c r="N59" s="125"/>
      <c r="O59" s="125"/>
      <c r="P59" s="125"/>
      <c r="Q59" s="126"/>
      <c r="R59" s="127"/>
      <c r="S59" s="127"/>
    </row>
    <row r="60" spans="1:19" x14ac:dyDescent="0.35">
      <c r="A60" s="567"/>
      <c r="B60" s="119"/>
      <c r="C60" s="120"/>
      <c r="D60" s="120"/>
      <c r="E60" s="121"/>
      <c r="G60" s="123"/>
      <c r="H60" s="123"/>
      <c r="I60" s="123"/>
      <c r="J60" s="124"/>
      <c r="K60" s="125"/>
      <c r="L60" s="125"/>
      <c r="M60" s="125"/>
      <c r="N60" s="125"/>
      <c r="O60" s="125"/>
      <c r="P60" s="125"/>
      <c r="Q60" s="126"/>
      <c r="R60" s="127"/>
      <c r="S60" s="127"/>
    </row>
    <row r="61" spans="1:19" x14ac:dyDescent="0.35">
      <c r="A61" s="567"/>
      <c r="B61" s="119"/>
      <c r="C61" s="76"/>
      <c r="D61" s="76"/>
      <c r="E61" s="54"/>
      <c r="F61" s="55"/>
      <c r="G61" s="56"/>
      <c r="H61" s="56"/>
      <c r="I61" s="56"/>
      <c r="J61" s="57"/>
      <c r="K61" s="58"/>
      <c r="L61" s="58"/>
      <c r="M61" s="58"/>
      <c r="N61" s="58"/>
      <c r="O61" s="58"/>
      <c r="P61" s="58"/>
      <c r="Q61" s="59"/>
      <c r="R61" s="40"/>
      <c r="S61" s="40"/>
    </row>
    <row r="62" spans="1:19" x14ac:dyDescent="0.35">
      <c r="A62" s="567"/>
      <c r="B62" s="119"/>
      <c r="C62" s="76"/>
      <c r="D62" s="76"/>
      <c r="E62" s="54"/>
      <c r="F62" s="55"/>
      <c r="G62" s="56"/>
      <c r="H62" s="56"/>
      <c r="I62" s="56"/>
      <c r="J62" s="57"/>
      <c r="K62" s="58"/>
      <c r="L62" s="58"/>
      <c r="M62" s="58"/>
      <c r="N62" s="58"/>
      <c r="O62" s="58"/>
      <c r="P62" s="58"/>
      <c r="Q62" s="59"/>
      <c r="R62" s="40"/>
      <c r="S62" s="40"/>
    </row>
    <row r="63" spans="1:19" x14ac:dyDescent="0.35">
      <c r="A63" s="568"/>
      <c r="B63" s="128"/>
      <c r="C63" s="77"/>
      <c r="D63" s="77"/>
      <c r="E63" s="60"/>
      <c r="F63" s="61"/>
      <c r="G63" s="62"/>
      <c r="H63" s="62"/>
      <c r="I63" s="62"/>
      <c r="J63" s="63"/>
      <c r="K63" s="64"/>
      <c r="L63" s="64"/>
      <c r="M63" s="64"/>
      <c r="N63" s="64"/>
      <c r="O63" s="64"/>
      <c r="P63" s="64"/>
      <c r="Q63" s="65"/>
      <c r="R63" s="40"/>
      <c r="S63" s="40"/>
    </row>
    <row r="64" spans="1:19" x14ac:dyDescent="0.35">
      <c r="A64" s="547">
        <v>11</v>
      </c>
      <c r="B64" s="571"/>
      <c r="C64" s="573"/>
      <c r="D64" s="178"/>
      <c r="E64" s="42"/>
      <c r="F64" s="66"/>
      <c r="G64" s="67"/>
      <c r="H64" s="67"/>
      <c r="I64" s="67"/>
      <c r="J64" s="68"/>
      <c r="K64" s="40"/>
      <c r="L64" s="40"/>
      <c r="M64" s="40"/>
      <c r="N64" s="40"/>
      <c r="O64" s="40"/>
      <c r="P64" s="40"/>
      <c r="Q64" s="41"/>
      <c r="R64" s="40"/>
      <c r="S64" s="40"/>
    </row>
    <row r="65" spans="1:19" x14ac:dyDescent="0.35">
      <c r="A65" s="569"/>
      <c r="B65" s="571"/>
      <c r="C65" s="573"/>
      <c r="D65" s="178"/>
      <c r="E65" s="42"/>
      <c r="F65" s="68"/>
      <c r="G65" s="40"/>
      <c r="H65" s="40"/>
      <c r="I65" s="40"/>
      <c r="J65" s="68"/>
      <c r="K65" s="40"/>
      <c r="L65" s="40"/>
      <c r="M65" s="40"/>
      <c r="N65" s="40"/>
      <c r="O65" s="40"/>
      <c r="P65" s="40"/>
      <c r="Q65" s="41"/>
      <c r="R65" s="40"/>
      <c r="S65" s="40"/>
    </row>
    <row r="66" spans="1:19" x14ac:dyDescent="0.35">
      <c r="A66" s="569"/>
      <c r="B66" s="571"/>
      <c r="C66" s="573"/>
      <c r="D66" s="178"/>
      <c r="E66" s="42"/>
      <c r="F66" s="69"/>
      <c r="G66" s="40"/>
      <c r="H66" s="40"/>
      <c r="I66" s="40"/>
      <c r="J66" s="68"/>
      <c r="K66" s="40"/>
      <c r="L66" s="40"/>
      <c r="M66" s="40"/>
      <c r="N66" s="40"/>
      <c r="O66" s="40"/>
      <c r="P66" s="40"/>
      <c r="Q66" s="41"/>
      <c r="R66" s="40"/>
      <c r="S66" s="40"/>
    </row>
    <row r="67" spans="1:19" ht="15" thickBot="1" x14ac:dyDescent="0.4">
      <c r="A67" s="570"/>
      <c r="B67" s="572"/>
      <c r="C67" s="574"/>
      <c r="D67" s="179"/>
      <c r="E67" s="70"/>
      <c r="F67" s="71"/>
      <c r="G67" s="72"/>
      <c r="H67" s="72"/>
      <c r="I67" s="72"/>
      <c r="J67" s="73"/>
      <c r="K67" s="72"/>
      <c r="L67" s="72"/>
      <c r="M67" s="72"/>
      <c r="N67" s="72"/>
      <c r="O67" s="72"/>
      <c r="P67" s="72"/>
      <c r="Q67" s="74"/>
      <c r="R67" s="72"/>
      <c r="S67" s="72"/>
    </row>
  </sheetData>
  <mergeCells count="67">
    <mergeCell ref="A54:A63"/>
    <mergeCell ref="A64:A67"/>
    <mergeCell ref="B64:B67"/>
    <mergeCell ref="C64:C67"/>
    <mergeCell ref="H1:H2"/>
    <mergeCell ref="D1:D2"/>
    <mergeCell ref="B46:B48"/>
    <mergeCell ref="C46:C48"/>
    <mergeCell ref="B33:B35"/>
    <mergeCell ref="C33:C35"/>
    <mergeCell ref="A30:A32"/>
    <mergeCell ref="B30:B32"/>
    <mergeCell ref="C30:C32"/>
    <mergeCell ref="A17:A25"/>
    <mergeCell ref="B17:B25"/>
    <mergeCell ref="C17:C25"/>
    <mergeCell ref="I46:I48"/>
    <mergeCell ref="R46:R48"/>
    <mergeCell ref="S46:S48"/>
    <mergeCell ref="B49:B53"/>
    <mergeCell ref="C49:C53"/>
    <mergeCell ref="I49:I53"/>
    <mergeCell ref="R49:R53"/>
    <mergeCell ref="S49:S53"/>
    <mergeCell ref="R33:R35"/>
    <mergeCell ref="S33:S35"/>
    <mergeCell ref="B36:B45"/>
    <mergeCell ref="C36:C45"/>
    <mergeCell ref="I36:I45"/>
    <mergeCell ref="R36:R45"/>
    <mergeCell ref="S36:S45"/>
    <mergeCell ref="E40:E45"/>
    <mergeCell ref="I30:I32"/>
    <mergeCell ref="R30:R32"/>
    <mergeCell ref="S30:S32"/>
    <mergeCell ref="A26:A29"/>
    <mergeCell ref="B26:B29"/>
    <mergeCell ref="C26:C29"/>
    <mergeCell ref="I26:I29"/>
    <mergeCell ref="R26:R29"/>
    <mergeCell ref="S26:S29"/>
    <mergeCell ref="I17:I25"/>
    <mergeCell ref="R17:R25"/>
    <mergeCell ref="S17:S25"/>
    <mergeCell ref="S3:S11"/>
    <mergeCell ref="A12:A16"/>
    <mergeCell ref="B12:B16"/>
    <mergeCell ref="C12:C16"/>
    <mergeCell ref="I12:I16"/>
    <mergeCell ref="R12:R16"/>
    <mergeCell ref="S12:S16"/>
    <mergeCell ref="A3:A11"/>
    <mergeCell ref="B3:B11"/>
    <mergeCell ref="C3:C11"/>
    <mergeCell ref="I3:I11"/>
    <mergeCell ref="R3:R11"/>
    <mergeCell ref="I1:I2"/>
    <mergeCell ref="J1:J2"/>
    <mergeCell ref="K1:M1"/>
    <mergeCell ref="N1:Q1"/>
    <mergeCell ref="S1:S2"/>
    <mergeCell ref="G1:G2"/>
    <mergeCell ref="A1:A2"/>
    <mergeCell ref="B1:B2"/>
    <mergeCell ref="C1:C2"/>
    <mergeCell ref="E1:E2"/>
    <mergeCell ref="F1:F2"/>
  </mergeCells>
  <dataValidations count="1">
    <dataValidation type="list" allowBlank="1" showInputMessage="1" showErrorMessage="1" sqref="H3:H55" xr:uid="{00000000-0002-0000-0F00-000000000000}">
      <formula1>"1,2,3,4,5"</formula1>
    </dataValidation>
  </dataValidations>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3"/>
  <sheetViews>
    <sheetView showGridLines="0" workbookViewId="0">
      <selection activeCell="I29" sqref="I29"/>
    </sheetView>
  </sheetViews>
  <sheetFormatPr defaultRowHeight="13.5" customHeight="1" x14ac:dyDescent="0.35"/>
  <cols>
    <col min="1" max="1" width="43.7265625" customWidth="1"/>
    <col min="4" max="4" width="13.81640625" customWidth="1"/>
    <col min="8" max="8" width="11.54296875" customWidth="1"/>
    <col min="12" max="12" width="10.26953125" customWidth="1"/>
  </cols>
  <sheetData>
    <row r="1" spans="1:13" ht="13.5" customHeight="1" thickBot="1" x14ac:dyDescent="0.5">
      <c r="A1" s="17" t="s">
        <v>256</v>
      </c>
    </row>
    <row r="2" spans="1:13" ht="13.5" customHeight="1" thickBot="1" x14ac:dyDescent="0.4">
      <c r="A2" s="738" t="s">
        <v>232</v>
      </c>
      <c r="B2" s="740" t="s">
        <v>181</v>
      </c>
      <c r="C2" s="741"/>
      <c r="D2" s="742"/>
      <c r="E2" s="740" t="s">
        <v>182</v>
      </c>
      <c r="F2" s="741"/>
      <c r="G2" s="741"/>
      <c r="H2" s="742"/>
      <c r="I2" s="743" t="s">
        <v>233</v>
      </c>
      <c r="J2" s="744"/>
      <c r="L2" s="684"/>
      <c r="M2" s="685"/>
    </row>
    <row r="3" spans="1:13" ht="13.5" customHeight="1" thickBot="1" x14ac:dyDescent="0.4">
      <c r="A3" s="739"/>
      <c r="B3" s="1" t="s">
        <v>44</v>
      </c>
      <c r="C3" s="1" t="s">
        <v>193</v>
      </c>
      <c r="D3" s="1" t="s">
        <v>234</v>
      </c>
      <c r="E3" s="1" t="s">
        <v>44</v>
      </c>
      <c r="F3" s="1" t="s">
        <v>193</v>
      </c>
      <c r="G3" s="1" t="s">
        <v>234</v>
      </c>
      <c r="H3" s="1" t="s">
        <v>235</v>
      </c>
      <c r="I3" s="745"/>
      <c r="J3" s="746"/>
    </row>
    <row r="4" spans="1:13" ht="13.5" customHeight="1" thickTop="1" thickBot="1" x14ac:dyDescent="0.4">
      <c r="A4" s="2" t="s">
        <v>236</v>
      </c>
      <c r="B4" s="3"/>
      <c r="C4" s="3"/>
      <c r="D4" s="3"/>
      <c r="E4" s="747"/>
      <c r="F4" s="748"/>
      <c r="G4" s="748"/>
      <c r="H4" s="749"/>
      <c r="I4" s="684"/>
      <c r="J4" s="685"/>
    </row>
    <row r="5" spans="1:13" ht="13.5" customHeight="1" thickBot="1" x14ac:dyDescent="0.4">
      <c r="A5" s="16" t="s">
        <v>237</v>
      </c>
      <c r="B5" s="5"/>
      <c r="C5" s="5"/>
      <c r="D5" s="5"/>
      <c r="E5" s="716"/>
      <c r="F5" s="717"/>
      <c r="G5" s="717"/>
      <c r="H5" s="718"/>
      <c r="I5" s="731"/>
      <c r="J5" s="732"/>
    </row>
    <row r="6" spans="1:13" ht="13.5" customHeight="1" thickBot="1" x14ac:dyDescent="0.4">
      <c r="A6" s="6" t="s">
        <v>238</v>
      </c>
      <c r="B6" s="713"/>
      <c r="C6" s="714"/>
      <c r="D6" s="725"/>
      <c r="E6" s="713"/>
      <c r="F6" s="714"/>
      <c r="G6" s="714"/>
      <c r="H6" s="725"/>
      <c r="I6" s="713"/>
      <c r="J6" s="715"/>
    </row>
    <row r="7" spans="1:13" ht="13.5" customHeight="1" thickBot="1" x14ac:dyDescent="0.4">
      <c r="A7" s="6" t="s">
        <v>239</v>
      </c>
      <c r="B7" s="713"/>
      <c r="C7" s="714"/>
      <c r="D7" s="725"/>
      <c r="E7" s="713"/>
      <c r="F7" s="714"/>
      <c r="G7" s="714"/>
      <c r="H7" s="725"/>
      <c r="I7" s="713"/>
      <c r="J7" s="715"/>
    </row>
    <row r="8" spans="1:13" ht="13.5" customHeight="1" thickBot="1" x14ac:dyDescent="0.4">
      <c r="A8" s="15" t="s">
        <v>240</v>
      </c>
      <c r="B8" s="702"/>
      <c r="C8" s="733"/>
      <c r="D8" s="8"/>
      <c r="E8" s="9"/>
      <c r="F8" s="9"/>
      <c r="G8" s="8"/>
      <c r="H8" s="8"/>
      <c r="I8" s="702"/>
      <c r="J8" s="703"/>
    </row>
    <row r="9" spans="1:13" ht="13.5" customHeight="1" thickBot="1" x14ac:dyDescent="0.4">
      <c r="A9" s="10" t="s">
        <v>241</v>
      </c>
      <c r="B9" s="719"/>
      <c r="C9" s="734"/>
      <c r="D9" s="735"/>
      <c r="E9" s="719"/>
      <c r="F9" s="734"/>
      <c r="G9" s="734"/>
      <c r="H9" s="735"/>
      <c r="I9" s="719"/>
      <c r="J9" s="720"/>
    </row>
    <row r="10" spans="1:13" ht="13.5" customHeight="1" thickBot="1" x14ac:dyDescent="0.4">
      <c r="A10" s="6" t="s">
        <v>242</v>
      </c>
      <c r="B10" s="723"/>
      <c r="C10" s="736"/>
      <c r="D10" s="737"/>
      <c r="E10" s="723"/>
      <c r="F10" s="736"/>
      <c r="G10" s="736"/>
      <c r="H10" s="737"/>
      <c r="I10" s="723"/>
      <c r="J10" s="724"/>
    </row>
    <row r="11" spans="1:13" ht="13.5" customHeight="1" thickBot="1" x14ac:dyDescent="0.4">
      <c r="A11" s="7" t="s">
        <v>243</v>
      </c>
      <c r="B11" s="726"/>
      <c r="C11" s="727"/>
      <c r="D11" s="728"/>
      <c r="E11" s="689"/>
      <c r="F11" s="690"/>
      <c r="G11" s="690"/>
      <c r="H11" s="691"/>
      <c r="I11" s="729"/>
      <c r="J11" s="730"/>
    </row>
    <row r="12" spans="1:13" ht="13.5" customHeight="1" thickBot="1" x14ac:dyDescent="0.4">
      <c r="A12" s="10" t="s">
        <v>244</v>
      </c>
      <c r="B12" s="716"/>
      <c r="C12" s="717"/>
      <c r="D12" s="718"/>
      <c r="E12" s="716"/>
      <c r="F12" s="717"/>
      <c r="G12" s="717"/>
      <c r="H12" s="718"/>
      <c r="I12" s="719"/>
      <c r="J12" s="720"/>
    </row>
    <row r="13" spans="1:13" ht="13.5" customHeight="1" thickBot="1" x14ac:dyDescent="0.4">
      <c r="A13" s="6" t="s">
        <v>245</v>
      </c>
      <c r="B13" s="713"/>
      <c r="C13" s="714"/>
      <c r="D13" s="725"/>
      <c r="E13" s="713"/>
      <c r="F13" s="714"/>
      <c r="G13" s="714"/>
      <c r="H13" s="725"/>
      <c r="I13" s="721"/>
      <c r="J13" s="722"/>
    </row>
    <row r="14" spans="1:13" ht="13.5" customHeight="1" thickBot="1" x14ac:dyDescent="0.4">
      <c r="A14" s="6" t="s">
        <v>246</v>
      </c>
      <c r="B14" s="713"/>
      <c r="C14" s="714"/>
      <c r="D14" s="714"/>
      <c r="E14" s="714"/>
      <c r="F14" s="714"/>
      <c r="G14" s="714"/>
      <c r="H14" s="725"/>
      <c r="I14" s="723"/>
      <c r="J14" s="724"/>
    </row>
    <row r="15" spans="1:13" ht="13.5" customHeight="1" thickBot="1" x14ac:dyDescent="0.4">
      <c r="A15" s="6" t="s">
        <v>247</v>
      </c>
      <c r="B15" s="704"/>
      <c r="C15" s="705"/>
      <c r="D15" s="705"/>
      <c r="E15" s="705"/>
      <c r="F15" s="705"/>
      <c r="G15" s="706"/>
      <c r="H15" s="707"/>
      <c r="I15" s="709"/>
      <c r="J15" s="710"/>
    </row>
    <row r="16" spans="1:13" ht="13.5" customHeight="1" thickBot="1" x14ac:dyDescent="0.4">
      <c r="A16" s="6" t="s">
        <v>248</v>
      </c>
      <c r="B16" s="704"/>
      <c r="C16" s="705"/>
      <c r="D16" s="705"/>
      <c r="E16" s="705"/>
      <c r="F16" s="705"/>
      <c r="G16" s="706"/>
      <c r="H16" s="708"/>
      <c r="I16" s="711"/>
      <c r="J16" s="712"/>
    </row>
    <row r="17" spans="1:10" ht="13.5" customHeight="1" thickBot="1" x14ac:dyDescent="0.4">
      <c r="A17" s="6" t="s">
        <v>249</v>
      </c>
      <c r="B17" s="713"/>
      <c r="C17" s="714"/>
      <c r="D17" s="714"/>
      <c r="E17" s="714"/>
      <c r="F17" s="714"/>
      <c r="G17" s="714"/>
      <c r="H17" s="714"/>
      <c r="I17" s="714"/>
      <c r="J17" s="715"/>
    </row>
    <row r="18" spans="1:10" ht="13.5" customHeight="1" thickBot="1" x14ac:dyDescent="0.4">
      <c r="A18" s="7" t="s">
        <v>250</v>
      </c>
      <c r="B18" s="689"/>
      <c r="C18" s="690"/>
      <c r="D18" s="691"/>
      <c r="E18" s="689"/>
      <c r="F18" s="690"/>
      <c r="G18" s="690"/>
      <c r="H18" s="691"/>
      <c r="I18" s="702"/>
      <c r="J18" s="703"/>
    </row>
    <row r="19" spans="1:10" ht="13.5" customHeight="1" thickBot="1" x14ac:dyDescent="0.4">
      <c r="A19" s="10" t="s">
        <v>251</v>
      </c>
      <c r="B19" s="694"/>
      <c r="C19" s="695"/>
      <c r="D19" s="696"/>
      <c r="E19" s="694"/>
      <c r="F19" s="695"/>
      <c r="G19" s="695"/>
      <c r="H19" s="696"/>
      <c r="I19" s="697"/>
      <c r="J19" s="698"/>
    </row>
    <row r="20" spans="1:10" ht="13.5" customHeight="1" thickBot="1" x14ac:dyDescent="0.4">
      <c r="A20" s="7" t="s">
        <v>252</v>
      </c>
      <c r="B20" s="686"/>
      <c r="C20" s="687"/>
      <c r="D20" s="688"/>
      <c r="E20" s="689"/>
      <c r="F20" s="690"/>
      <c r="G20" s="690"/>
      <c r="H20" s="691"/>
      <c r="I20" s="692"/>
      <c r="J20" s="693"/>
    </row>
    <row r="21" spans="1:10" ht="13.5" customHeight="1" thickBot="1" x14ac:dyDescent="0.4">
      <c r="A21" s="4" t="s">
        <v>253</v>
      </c>
      <c r="B21" s="694"/>
      <c r="C21" s="695"/>
      <c r="D21" s="695"/>
      <c r="E21" s="695"/>
      <c r="F21" s="695"/>
      <c r="G21" s="696"/>
      <c r="H21" s="11"/>
      <c r="I21" s="697"/>
      <c r="J21" s="698"/>
    </row>
    <row r="22" spans="1:10" ht="13.5" customHeight="1" thickBot="1" x14ac:dyDescent="0.4">
      <c r="A22" s="12" t="s">
        <v>254</v>
      </c>
      <c r="B22" s="699"/>
      <c r="C22" s="700"/>
      <c r="D22" s="700"/>
      <c r="E22" s="700"/>
      <c r="F22" s="700"/>
      <c r="G22" s="700"/>
      <c r="H22" s="700"/>
      <c r="I22" s="700"/>
      <c r="J22" s="701"/>
    </row>
    <row r="23" spans="1:10" ht="13.5" customHeight="1" thickBot="1" x14ac:dyDescent="0.4">
      <c r="A23" s="13" t="s">
        <v>255</v>
      </c>
      <c r="B23" s="681"/>
      <c r="C23" s="682"/>
      <c r="D23" s="682"/>
      <c r="E23" s="682"/>
      <c r="F23" s="682"/>
      <c r="G23" s="682"/>
      <c r="H23" s="682"/>
      <c r="I23" s="683"/>
      <c r="J23" s="14"/>
    </row>
  </sheetData>
  <mergeCells count="48">
    <mergeCell ref="A2:A3"/>
    <mergeCell ref="B2:D2"/>
    <mergeCell ref="E2:H2"/>
    <mergeCell ref="I2:J3"/>
    <mergeCell ref="E4:H4"/>
    <mergeCell ref="I4:J4"/>
    <mergeCell ref="B11:D11"/>
    <mergeCell ref="E11:H11"/>
    <mergeCell ref="I11:J11"/>
    <mergeCell ref="E5:H5"/>
    <mergeCell ref="I5:J5"/>
    <mergeCell ref="B6:D6"/>
    <mergeCell ref="E6:H6"/>
    <mergeCell ref="I6:J6"/>
    <mergeCell ref="B7:D7"/>
    <mergeCell ref="E7:H7"/>
    <mergeCell ref="I7:J7"/>
    <mergeCell ref="B8:C8"/>
    <mergeCell ref="I8:J8"/>
    <mergeCell ref="B9:D10"/>
    <mergeCell ref="E9:H10"/>
    <mergeCell ref="I9:J10"/>
    <mergeCell ref="I15:J15"/>
    <mergeCell ref="B16:G16"/>
    <mergeCell ref="I16:J16"/>
    <mergeCell ref="B17:J17"/>
    <mergeCell ref="B12:D12"/>
    <mergeCell ref="E12:H12"/>
    <mergeCell ref="I12:J14"/>
    <mergeCell ref="B13:D13"/>
    <mergeCell ref="E13:H13"/>
    <mergeCell ref="B14:H14"/>
    <mergeCell ref="B23:I23"/>
    <mergeCell ref="L2:M2"/>
    <mergeCell ref="B20:D20"/>
    <mergeCell ref="E20:H20"/>
    <mergeCell ref="I20:J20"/>
    <mergeCell ref="B21:G21"/>
    <mergeCell ref="I21:J21"/>
    <mergeCell ref="B22:J22"/>
    <mergeCell ref="B18:D18"/>
    <mergeCell ref="E18:H18"/>
    <mergeCell ref="I18:J18"/>
    <mergeCell ref="B19:D19"/>
    <mergeCell ref="E19:H19"/>
    <mergeCell ref="I19:J19"/>
    <mergeCell ref="B15:G15"/>
    <mergeCell ref="H15:H1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J14"/>
  <sheetViews>
    <sheetView showGridLines="0" zoomScale="80" zoomScaleNormal="80" workbookViewId="0">
      <pane xSplit="4" ySplit="5" topLeftCell="E6" activePane="bottomRight" state="frozen"/>
      <selection pane="topRight" activeCell="E1" sqref="E1"/>
      <selection pane="bottomLeft" activeCell="A6" sqref="A6"/>
      <selection pane="bottomRight" activeCell="A6" sqref="A6"/>
    </sheetView>
  </sheetViews>
  <sheetFormatPr defaultRowHeight="14.5" x14ac:dyDescent="0.35"/>
  <cols>
    <col min="1" max="1" width="3" customWidth="1"/>
    <col min="2" max="2" width="15.81640625" customWidth="1"/>
    <col min="3" max="3" width="21.81640625" customWidth="1"/>
    <col min="4" max="4" width="28.81640625" bestFit="1" customWidth="1"/>
    <col min="5" max="5" width="25.54296875" customWidth="1"/>
    <col min="6" max="6" width="28.453125" customWidth="1"/>
    <col min="7" max="7" width="21.81640625" customWidth="1"/>
    <col min="8" max="8" width="42.26953125" customWidth="1"/>
    <col min="9" max="9" width="59.7265625" customWidth="1"/>
    <col min="10" max="10" width="45.54296875" customWidth="1"/>
  </cols>
  <sheetData>
    <row r="2" spans="2:10" ht="18.5" x14ac:dyDescent="0.45">
      <c r="B2" s="17" t="s">
        <v>979</v>
      </c>
    </row>
    <row r="3" spans="2:10" ht="15" thickBot="1" x14ac:dyDescent="0.4"/>
    <row r="4" spans="2:10" ht="15" customHeight="1" x14ac:dyDescent="0.35">
      <c r="B4" s="754" t="s">
        <v>232</v>
      </c>
      <c r="C4" s="755"/>
      <c r="D4" s="743" t="s">
        <v>980</v>
      </c>
      <c r="E4" s="743" t="s">
        <v>981</v>
      </c>
      <c r="F4" s="755" t="s">
        <v>982</v>
      </c>
      <c r="G4" s="759" t="s">
        <v>983</v>
      </c>
      <c r="H4" s="751" t="s">
        <v>984</v>
      </c>
      <c r="I4" s="751" t="s">
        <v>985</v>
      </c>
      <c r="J4" s="751" t="s">
        <v>986</v>
      </c>
    </row>
    <row r="5" spans="2:10" ht="24.75" customHeight="1" x14ac:dyDescent="0.35">
      <c r="B5" s="756"/>
      <c r="C5" s="757"/>
      <c r="D5" s="758"/>
      <c r="E5" s="758"/>
      <c r="F5" s="757"/>
      <c r="G5" s="760"/>
      <c r="H5" s="752"/>
      <c r="I5" s="752"/>
      <c r="J5" s="752"/>
    </row>
    <row r="6" spans="2:10" ht="50" x14ac:dyDescent="0.35">
      <c r="B6" s="750" t="s">
        <v>987</v>
      </c>
      <c r="C6" s="130" t="s">
        <v>237</v>
      </c>
      <c r="D6" s="131" t="s">
        <v>988</v>
      </c>
      <c r="E6" s="130"/>
      <c r="F6" s="130"/>
      <c r="G6" s="130"/>
      <c r="H6" s="130" t="s">
        <v>989</v>
      </c>
      <c r="I6" s="132" t="s">
        <v>990</v>
      </c>
      <c r="J6" s="133" t="s">
        <v>953</v>
      </c>
    </row>
    <row r="7" spans="2:10" ht="37.5" x14ac:dyDescent="0.35">
      <c r="B7" s="750"/>
      <c r="C7" s="130" t="s">
        <v>238</v>
      </c>
      <c r="D7" s="131" t="s">
        <v>991</v>
      </c>
      <c r="E7" s="130"/>
      <c r="F7" s="131" t="s">
        <v>992</v>
      </c>
      <c r="G7" s="130"/>
      <c r="H7" s="130" t="s">
        <v>993</v>
      </c>
      <c r="I7" s="132" t="s">
        <v>994</v>
      </c>
      <c r="J7" s="133" t="s">
        <v>200</v>
      </c>
    </row>
    <row r="8" spans="2:10" ht="100" x14ac:dyDescent="0.35">
      <c r="B8" s="750"/>
      <c r="C8" s="130" t="s">
        <v>239</v>
      </c>
      <c r="D8" s="130"/>
      <c r="E8" s="131" t="s">
        <v>995</v>
      </c>
      <c r="F8" s="131" t="s">
        <v>996</v>
      </c>
      <c r="G8" s="130"/>
      <c r="H8" s="131" t="s">
        <v>997</v>
      </c>
      <c r="I8" s="132" t="s">
        <v>998</v>
      </c>
      <c r="J8" s="134" t="s">
        <v>999</v>
      </c>
    </row>
    <row r="9" spans="2:10" ht="25" x14ac:dyDescent="0.35">
      <c r="B9" s="750"/>
      <c r="C9" s="130" t="s">
        <v>240</v>
      </c>
      <c r="D9" s="131" t="s">
        <v>1000</v>
      </c>
      <c r="E9" s="753" t="s">
        <v>1001</v>
      </c>
      <c r="F9" s="753"/>
      <c r="G9" s="130"/>
      <c r="H9" s="130" t="s">
        <v>1002</v>
      </c>
      <c r="I9" s="132" t="s">
        <v>1001</v>
      </c>
      <c r="J9" s="133" t="s">
        <v>948</v>
      </c>
    </row>
    <row r="10" spans="2:10" ht="29" x14ac:dyDescent="0.35">
      <c r="B10" s="750" t="s">
        <v>486</v>
      </c>
      <c r="C10" s="130" t="s">
        <v>241</v>
      </c>
      <c r="D10" s="130"/>
      <c r="E10" s="753" t="s">
        <v>1003</v>
      </c>
      <c r="F10" s="753"/>
      <c r="G10" s="130"/>
      <c r="H10" s="130" t="s">
        <v>1004</v>
      </c>
      <c r="I10" s="132" t="s">
        <v>1003</v>
      </c>
      <c r="J10" s="135" t="s">
        <v>1005</v>
      </c>
    </row>
    <row r="11" spans="2:10" ht="50" x14ac:dyDescent="0.35">
      <c r="B11" s="750"/>
      <c r="C11" s="130" t="s">
        <v>242</v>
      </c>
      <c r="D11" s="136" t="s">
        <v>1006</v>
      </c>
      <c r="E11" s="136" t="s">
        <v>1007</v>
      </c>
      <c r="F11" s="136" t="s">
        <v>1008</v>
      </c>
      <c r="G11" s="130"/>
      <c r="H11" s="131" t="s">
        <v>1009</v>
      </c>
      <c r="I11" s="136" t="s">
        <v>1010</v>
      </c>
      <c r="J11" s="133" t="s">
        <v>947</v>
      </c>
    </row>
    <row r="12" spans="2:10" ht="159.5" x14ac:dyDescent="0.35">
      <c r="B12" s="750" t="s">
        <v>1011</v>
      </c>
      <c r="C12" s="130" t="s">
        <v>1012</v>
      </c>
      <c r="D12" s="131" t="s">
        <v>1013</v>
      </c>
      <c r="E12" s="131" t="s">
        <v>1014</v>
      </c>
      <c r="F12" s="131" t="s">
        <v>1015</v>
      </c>
      <c r="G12" s="131" t="s">
        <v>1016</v>
      </c>
      <c r="H12" s="131" t="s">
        <v>1017</v>
      </c>
      <c r="I12" s="132" t="s">
        <v>1018</v>
      </c>
      <c r="J12" s="134" t="s">
        <v>1019</v>
      </c>
    </row>
    <row r="13" spans="2:10" ht="145" x14ac:dyDescent="0.35">
      <c r="B13" s="750"/>
      <c r="C13" s="130" t="s">
        <v>1020</v>
      </c>
      <c r="D13" s="130"/>
      <c r="E13" s="130"/>
      <c r="F13" s="130"/>
      <c r="G13" s="130"/>
      <c r="H13" s="131" t="s">
        <v>1021</v>
      </c>
      <c r="I13" s="132" t="s">
        <v>1022</v>
      </c>
      <c r="J13" s="134" t="s">
        <v>1023</v>
      </c>
    </row>
    <row r="14" spans="2:10" ht="72.5" x14ac:dyDescent="0.35">
      <c r="B14" s="750"/>
      <c r="C14" s="130" t="s">
        <v>1024</v>
      </c>
      <c r="D14" s="131" t="s">
        <v>1025</v>
      </c>
      <c r="E14" s="131" t="s">
        <v>1026</v>
      </c>
      <c r="F14" s="130"/>
      <c r="G14" s="131" t="s">
        <v>1027</v>
      </c>
      <c r="H14" s="131" t="s">
        <v>1028</v>
      </c>
      <c r="I14" s="132" t="s">
        <v>1029</v>
      </c>
      <c r="J14" s="134" t="s">
        <v>1030</v>
      </c>
    </row>
  </sheetData>
  <mergeCells count="13">
    <mergeCell ref="B12:B14"/>
    <mergeCell ref="I4:I5"/>
    <mergeCell ref="J4:J5"/>
    <mergeCell ref="B6:B9"/>
    <mergeCell ref="E9:F9"/>
    <mergeCell ref="B10:B11"/>
    <mergeCell ref="E10:F10"/>
    <mergeCell ref="B4:C5"/>
    <mergeCell ref="D4:D5"/>
    <mergeCell ref="E4:E5"/>
    <mergeCell ref="F4:F5"/>
    <mergeCell ref="G4:G5"/>
    <mergeCell ref="H4:H5"/>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tint="-0.14999847407452621"/>
  </sheetPr>
  <dimension ref="A1:AC88"/>
  <sheetViews>
    <sheetView showGridLines="0" zoomScale="87" zoomScaleNormal="87" workbookViewId="0">
      <selection sqref="A1:AC3"/>
    </sheetView>
  </sheetViews>
  <sheetFormatPr defaultColWidth="9.81640625" defaultRowHeight="12.5" x14ac:dyDescent="0.25"/>
  <cols>
    <col min="1" max="2" width="9.81640625" style="21"/>
    <col min="3" max="3" width="24.1796875" style="21" customWidth="1"/>
    <col min="4" max="16384" width="9.81640625" style="21"/>
  </cols>
  <sheetData>
    <row r="1" spans="1:29" x14ac:dyDescent="0.25">
      <c r="A1" s="511" t="s">
        <v>2147</v>
      </c>
      <c r="B1" s="511"/>
      <c r="C1" s="511"/>
      <c r="D1" s="511"/>
      <c r="E1" s="511"/>
      <c r="F1" s="511"/>
      <c r="G1" s="511"/>
      <c r="H1" s="511"/>
      <c r="I1" s="511"/>
      <c r="J1" s="511"/>
      <c r="K1" s="511"/>
      <c r="L1" s="511"/>
      <c r="M1" s="511"/>
      <c r="N1" s="511"/>
      <c r="O1" s="511"/>
      <c r="P1" s="511"/>
      <c r="Q1" s="511"/>
      <c r="R1" s="511"/>
      <c r="S1" s="511"/>
      <c r="T1" s="511"/>
      <c r="U1" s="511"/>
      <c r="V1" s="511"/>
      <c r="W1" s="511"/>
      <c r="X1" s="511"/>
      <c r="Y1" s="511"/>
      <c r="Z1" s="511"/>
      <c r="AA1" s="511"/>
      <c r="AB1" s="511"/>
      <c r="AC1" s="511"/>
    </row>
    <row r="2" spans="1:29" x14ac:dyDescent="0.25">
      <c r="A2" s="511"/>
      <c r="B2" s="511"/>
      <c r="C2" s="511"/>
      <c r="D2" s="511"/>
      <c r="E2" s="511"/>
      <c r="F2" s="511"/>
      <c r="G2" s="511"/>
      <c r="H2" s="511"/>
      <c r="I2" s="511"/>
      <c r="J2" s="511"/>
      <c r="K2" s="511"/>
      <c r="L2" s="511"/>
      <c r="M2" s="511"/>
      <c r="N2" s="511"/>
      <c r="O2" s="511"/>
      <c r="P2" s="511"/>
      <c r="Q2" s="511"/>
      <c r="R2" s="511"/>
      <c r="S2" s="511"/>
      <c r="T2" s="511"/>
      <c r="U2" s="511"/>
      <c r="V2" s="511"/>
      <c r="W2" s="511"/>
      <c r="X2" s="511"/>
      <c r="Y2" s="511"/>
      <c r="Z2" s="511"/>
      <c r="AA2" s="511"/>
      <c r="AB2" s="511"/>
      <c r="AC2" s="511"/>
    </row>
    <row r="3" spans="1:29" x14ac:dyDescent="0.25">
      <c r="A3" s="511"/>
      <c r="B3" s="511"/>
      <c r="C3" s="511"/>
      <c r="D3" s="511"/>
      <c r="E3" s="511"/>
      <c r="F3" s="511"/>
      <c r="G3" s="511"/>
      <c r="H3" s="511"/>
      <c r="I3" s="511"/>
      <c r="J3" s="511"/>
      <c r="K3" s="511"/>
      <c r="L3" s="511"/>
      <c r="M3" s="511"/>
      <c r="N3" s="511"/>
      <c r="O3" s="511"/>
      <c r="P3" s="511"/>
      <c r="Q3" s="511"/>
      <c r="R3" s="511"/>
      <c r="S3" s="511"/>
      <c r="T3" s="511"/>
      <c r="U3" s="511"/>
      <c r="V3" s="511"/>
      <c r="W3" s="511"/>
      <c r="X3" s="511"/>
      <c r="Y3" s="511"/>
      <c r="Z3" s="511"/>
      <c r="AA3" s="511"/>
      <c r="AB3" s="511"/>
      <c r="AC3" s="511"/>
    </row>
    <row r="4" spans="1:29" x14ac:dyDescent="0.25">
      <c r="A4" s="763" t="s">
        <v>2188</v>
      </c>
      <c r="B4" s="763"/>
      <c r="C4" s="763"/>
      <c r="D4" s="763"/>
      <c r="E4" s="763"/>
      <c r="F4" s="763"/>
      <c r="G4" s="763"/>
      <c r="H4" s="763"/>
      <c r="I4" s="763"/>
      <c r="J4" s="763"/>
      <c r="K4" s="763"/>
      <c r="L4" s="763"/>
      <c r="M4" s="763"/>
      <c r="N4" s="763"/>
      <c r="O4" s="763"/>
      <c r="P4" s="763"/>
      <c r="Q4" s="763"/>
      <c r="R4" s="763"/>
      <c r="S4" s="763"/>
      <c r="T4" s="763"/>
      <c r="U4" s="763"/>
      <c r="V4" s="763"/>
      <c r="W4" s="763"/>
      <c r="X4" s="763"/>
      <c r="Y4" s="763"/>
      <c r="Z4" s="763"/>
      <c r="AA4" s="763"/>
      <c r="AB4" s="763"/>
      <c r="AC4" s="763"/>
    </row>
    <row r="5" spans="1:29" x14ac:dyDescent="0.25">
      <c r="A5" s="763"/>
      <c r="B5" s="763"/>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3"/>
      <c r="AC5" s="763"/>
    </row>
    <row r="6" spans="1:29" ht="13" x14ac:dyDescent="0.25">
      <c r="A6" s="229" t="s">
        <v>1709</v>
      </c>
      <c r="B6" s="761" t="s">
        <v>651</v>
      </c>
      <c r="C6" s="761"/>
      <c r="D6" s="761"/>
      <c r="E6" s="761"/>
      <c r="F6" s="761"/>
      <c r="G6" s="761"/>
      <c r="H6" s="761"/>
      <c r="I6" s="762" t="s">
        <v>652</v>
      </c>
      <c r="J6" s="762"/>
      <c r="K6" s="762"/>
      <c r="L6" s="762"/>
      <c r="M6" s="762"/>
      <c r="N6" s="762"/>
      <c r="O6" s="762"/>
      <c r="P6" s="762"/>
      <c r="Q6" s="762"/>
      <c r="R6" s="762"/>
      <c r="S6" s="762"/>
      <c r="T6" s="762"/>
      <c r="U6" s="762"/>
      <c r="V6" s="762"/>
      <c r="W6" s="762"/>
      <c r="X6" s="762"/>
      <c r="Y6" s="762"/>
      <c r="Z6" s="762"/>
      <c r="AA6" s="762"/>
      <c r="AB6" s="762"/>
      <c r="AC6" s="762"/>
    </row>
    <row r="7" spans="1:29" ht="39" x14ac:dyDescent="0.25">
      <c r="A7" s="247" t="s">
        <v>356</v>
      </c>
      <c r="B7" s="247" t="s">
        <v>358</v>
      </c>
      <c r="C7" s="247" t="s">
        <v>0</v>
      </c>
      <c r="D7" s="247" t="s">
        <v>179</v>
      </c>
      <c r="E7" s="247" t="s">
        <v>42</v>
      </c>
      <c r="F7" s="247" t="s">
        <v>4</v>
      </c>
      <c r="G7" s="247" t="s">
        <v>197</v>
      </c>
      <c r="H7" s="247" t="s">
        <v>357</v>
      </c>
      <c r="I7" s="247" t="s">
        <v>232</v>
      </c>
      <c r="J7" s="247" t="s">
        <v>179</v>
      </c>
      <c r="K7" s="247" t="s">
        <v>348</v>
      </c>
      <c r="L7" s="247" t="s">
        <v>349</v>
      </c>
      <c r="M7" s="247" t="s">
        <v>350</v>
      </c>
      <c r="N7" s="247" t="s">
        <v>351</v>
      </c>
      <c r="O7" s="247" t="s">
        <v>352</v>
      </c>
      <c r="P7" s="247" t="s">
        <v>353</v>
      </c>
      <c r="Q7" s="247" t="s">
        <v>354</v>
      </c>
      <c r="R7" s="247" t="s">
        <v>179</v>
      </c>
      <c r="S7" s="247" t="s">
        <v>355</v>
      </c>
      <c r="T7" s="247" t="s">
        <v>643</v>
      </c>
      <c r="U7" s="247" t="s">
        <v>644</v>
      </c>
      <c r="V7" s="247" t="s">
        <v>645</v>
      </c>
      <c r="W7" s="247" t="s">
        <v>47</v>
      </c>
      <c r="X7" s="247" t="s">
        <v>140</v>
      </c>
      <c r="Y7" s="247" t="s">
        <v>56</v>
      </c>
      <c r="Z7" s="247" t="s">
        <v>233</v>
      </c>
      <c r="AA7" s="247" t="s">
        <v>181</v>
      </c>
      <c r="AB7" s="247" t="s">
        <v>646</v>
      </c>
      <c r="AC7" s="247" t="s">
        <v>647</v>
      </c>
    </row>
    <row r="8" spans="1:29" ht="200" x14ac:dyDescent="0.25">
      <c r="A8" s="248">
        <v>1</v>
      </c>
      <c r="B8" s="249" t="s">
        <v>14</v>
      </c>
      <c r="C8" s="249" t="s">
        <v>2189</v>
      </c>
      <c r="D8" s="249" t="s">
        <v>47</v>
      </c>
      <c r="E8" s="249" t="s">
        <v>47</v>
      </c>
      <c r="F8" s="249" t="s">
        <v>13</v>
      </c>
      <c r="G8" s="249" t="s">
        <v>13</v>
      </c>
      <c r="H8" s="249" t="s">
        <v>261</v>
      </c>
      <c r="I8" s="249" t="s">
        <v>359</v>
      </c>
      <c r="J8" s="249" t="s">
        <v>360</v>
      </c>
      <c r="K8" s="249" t="s">
        <v>361</v>
      </c>
      <c r="L8" s="249" t="s">
        <v>362</v>
      </c>
      <c r="M8" s="249" t="s">
        <v>181</v>
      </c>
      <c r="N8" s="249" t="s">
        <v>363</v>
      </c>
      <c r="O8" s="249" t="s">
        <v>364</v>
      </c>
      <c r="P8" s="249" t="s">
        <v>260</v>
      </c>
      <c r="Q8" s="250" t="s">
        <v>365</v>
      </c>
      <c r="R8" s="251" t="s">
        <v>181</v>
      </c>
      <c r="S8" s="248" t="s">
        <v>13</v>
      </c>
      <c r="T8" s="252"/>
      <c r="U8" s="252"/>
      <c r="V8" s="252"/>
      <c r="W8" s="252" t="s">
        <v>648</v>
      </c>
      <c r="X8" s="252"/>
      <c r="Y8" s="252"/>
      <c r="Z8" s="252"/>
      <c r="AA8" s="252" t="s">
        <v>648</v>
      </c>
      <c r="AB8" s="252"/>
      <c r="AC8" s="252"/>
    </row>
    <row r="9" spans="1:29" ht="112.5" x14ac:dyDescent="0.25">
      <c r="A9" s="248">
        <v>2</v>
      </c>
      <c r="B9" s="249" t="s">
        <v>15</v>
      </c>
      <c r="C9" s="249" t="s">
        <v>16</v>
      </c>
      <c r="D9" s="249" t="s">
        <v>181</v>
      </c>
      <c r="E9" s="249" t="s">
        <v>44</v>
      </c>
      <c r="F9" s="249" t="s">
        <v>8</v>
      </c>
      <c r="G9" s="249" t="s">
        <v>8</v>
      </c>
      <c r="H9" s="249" t="s">
        <v>366</v>
      </c>
      <c r="I9" s="249" t="s">
        <v>367</v>
      </c>
      <c r="J9" s="249" t="s">
        <v>360</v>
      </c>
      <c r="K9" s="249" t="s">
        <v>368</v>
      </c>
      <c r="L9" s="249" t="s">
        <v>369</v>
      </c>
      <c r="M9" s="249" t="s">
        <v>181</v>
      </c>
      <c r="N9" s="249" t="s">
        <v>44</v>
      </c>
      <c r="O9" s="249" t="s">
        <v>370</v>
      </c>
      <c r="P9" s="249" t="s">
        <v>366</v>
      </c>
      <c r="Q9" s="250" t="s">
        <v>44</v>
      </c>
      <c r="R9" s="251" t="s">
        <v>181</v>
      </c>
      <c r="S9" s="248" t="s">
        <v>8</v>
      </c>
      <c r="T9" s="252" t="s">
        <v>648</v>
      </c>
      <c r="U9" s="252"/>
      <c r="V9" s="252"/>
      <c r="W9" s="252"/>
      <c r="X9" s="252"/>
      <c r="Y9" s="252"/>
      <c r="Z9" s="252"/>
      <c r="AA9" s="252" t="s">
        <v>648</v>
      </c>
      <c r="AB9" s="252"/>
      <c r="AC9" s="252"/>
    </row>
    <row r="10" spans="1:29" ht="150" x14ac:dyDescent="0.25">
      <c r="A10" s="248">
        <v>3</v>
      </c>
      <c r="B10" s="249" t="s">
        <v>17</v>
      </c>
      <c r="C10" s="249" t="s">
        <v>18</v>
      </c>
      <c r="D10" s="249" t="s">
        <v>47</v>
      </c>
      <c r="E10" s="249" t="s">
        <v>47</v>
      </c>
      <c r="F10" s="249" t="s">
        <v>13</v>
      </c>
      <c r="G10" s="249">
        <v>0</v>
      </c>
      <c r="H10" s="249" t="s">
        <v>371</v>
      </c>
      <c r="I10" s="249" t="s">
        <v>372</v>
      </c>
      <c r="J10" s="249" t="s">
        <v>360</v>
      </c>
      <c r="K10" s="249" t="s">
        <v>373</v>
      </c>
      <c r="L10" s="249" t="s">
        <v>362</v>
      </c>
      <c r="M10" s="249" t="s">
        <v>374</v>
      </c>
      <c r="N10" s="249" t="s">
        <v>375</v>
      </c>
      <c r="O10" s="249" t="s">
        <v>364</v>
      </c>
      <c r="P10" s="249" t="s">
        <v>376</v>
      </c>
      <c r="Q10" s="250" t="s">
        <v>365</v>
      </c>
      <c r="R10" s="251" t="s">
        <v>377</v>
      </c>
      <c r="S10" s="248" t="s">
        <v>13</v>
      </c>
      <c r="T10" s="252"/>
      <c r="U10" s="252"/>
      <c r="V10" s="252"/>
      <c r="W10" s="252" t="s">
        <v>648</v>
      </c>
      <c r="X10" s="252"/>
      <c r="Y10" s="252"/>
      <c r="Z10" s="252"/>
      <c r="AA10" s="252" t="s">
        <v>648</v>
      </c>
      <c r="AB10" s="252" t="s">
        <v>648</v>
      </c>
      <c r="AC10" s="252"/>
    </row>
    <row r="11" spans="1:29" ht="112.5" x14ac:dyDescent="0.25">
      <c r="A11" s="248">
        <v>4</v>
      </c>
      <c r="B11" s="249" t="s">
        <v>19</v>
      </c>
      <c r="C11" s="249" t="s">
        <v>20</v>
      </c>
      <c r="D11" s="249" t="s">
        <v>181</v>
      </c>
      <c r="E11" s="249" t="s">
        <v>194</v>
      </c>
      <c r="F11" s="249" t="s">
        <v>8</v>
      </c>
      <c r="G11" s="249" t="s">
        <v>8</v>
      </c>
      <c r="H11" s="249" t="s">
        <v>378</v>
      </c>
      <c r="I11" s="249" t="s">
        <v>367</v>
      </c>
      <c r="J11" s="249" t="s">
        <v>360</v>
      </c>
      <c r="K11" s="249" t="s">
        <v>379</v>
      </c>
      <c r="L11" s="249" t="s">
        <v>369</v>
      </c>
      <c r="M11" s="249" t="s">
        <v>181</v>
      </c>
      <c r="N11" s="249" t="s">
        <v>193</v>
      </c>
      <c r="O11" s="249" t="s">
        <v>380</v>
      </c>
      <c r="P11" s="249" t="s">
        <v>381</v>
      </c>
      <c r="Q11" s="250" t="s">
        <v>382</v>
      </c>
      <c r="R11" s="251" t="s">
        <v>181</v>
      </c>
      <c r="S11" s="248" t="s">
        <v>8</v>
      </c>
      <c r="T11" s="252" t="s">
        <v>648</v>
      </c>
      <c r="U11" s="252"/>
      <c r="V11" s="252"/>
      <c r="W11" s="252"/>
      <c r="X11" s="252"/>
      <c r="Y11" s="252"/>
      <c r="Z11" s="252"/>
      <c r="AA11" s="252" t="s">
        <v>648</v>
      </c>
      <c r="AB11" s="252"/>
      <c r="AC11" s="252"/>
    </row>
    <row r="12" spans="1:29" ht="112.5" x14ac:dyDescent="0.25">
      <c r="A12" s="248">
        <v>5</v>
      </c>
      <c r="B12" s="249" t="s">
        <v>21</v>
      </c>
      <c r="C12" s="249" t="s">
        <v>22</v>
      </c>
      <c r="D12" s="249" t="s">
        <v>47</v>
      </c>
      <c r="E12" s="249" t="s">
        <v>47</v>
      </c>
      <c r="F12" s="249" t="s">
        <v>8</v>
      </c>
      <c r="G12" s="249">
        <v>0</v>
      </c>
      <c r="H12" s="249" t="s">
        <v>383</v>
      </c>
      <c r="I12" s="249" t="s">
        <v>367</v>
      </c>
      <c r="J12" s="249" t="s">
        <v>384</v>
      </c>
      <c r="K12" s="249" t="s">
        <v>385</v>
      </c>
      <c r="L12" s="249" t="s">
        <v>183</v>
      </c>
      <c r="M12" s="249" t="s">
        <v>386</v>
      </c>
      <c r="N12" s="249" t="s">
        <v>387</v>
      </c>
      <c r="O12" s="249" t="s">
        <v>364</v>
      </c>
      <c r="P12" s="249" t="s">
        <v>388</v>
      </c>
      <c r="Q12" s="250" t="s">
        <v>389</v>
      </c>
      <c r="R12" s="251" t="s">
        <v>181</v>
      </c>
      <c r="S12" s="248" t="s">
        <v>8</v>
      </c>
      <c r="T12" s="252"/>
      <c r="U12" s="252"/>
      <c r="V12" s="252"/>
      <c r="W12" s="252" t="s">
        <v>648</v>
      </c>
      <c r="X12" s="252" t="s">
        <v>648</v>
      </c>
      <c r="Y12" s="252"/>
      <c r="Z12" s="252"/>
      <c r="AA12" s="252" t="s">
        <v>648</v>
      </c>
      <c r="AB12" s="252"/>
      <c r="AC12" s="252"/>
    </row>
    <row r="13" spans="1:29" ht="162.5" x14ac:dyDescent="0.25">
      <c r="A13" s="248">
        <v>6</v>
      </c>
      <c r="B13" s="249" t="s">
        <v>23</v>
      </c>
      <c r="C13" s="249" t="s">
        <v>24</v>
      </c>
      <c r="D13" s="249" t="s">
        <v>181</v>
      </c>
      <c r="E13" s="249" t="s">
        <v>193</v>
      </c>
      <c r="F13" s="249" t="s">
        <v>8</v>
      </c>
      <c r="G13" s="249">
        <v>0</v>
      </c>
      <c r="H13" s="249" t="s">
        <v>261</v>
      </c>
      <c r="I13" s="249" t="s">
        <v>372</v>
      </c>
      <c r="J13" s="249" t="s">
        <v>369</v>
      </c>
      <c r="K13" s="249" t="s">
        <v>390</v>
      </c>
      <c r="L13" s="249" t="s">
        <v>369</v>
      </c>
      <c r="M13" s="249" t="s">
        <v>181</v>
      </c>
      <c r="N13" s="249" t="s">
        <v>391</v>
      </c>
      <c r="O13" s="249" t="s">
        <v>364</v>
      </c>
      <c r="P13" s="249" t="s">
        <v>392</v>
      </c>
      <c r="Q13" s="250" t="s">
        <v>193</v>
      </c>
      <c r="R13" s="251" t="s">
        <v>181</v>
      </c>
      <c r="S13" s="248" t="s">
        <v>8</v>
      </c>
      <c r="T13" s="252" t="s">
        <v>648</v>
      </c>
      <c r="U13" s="252"/>
      <c r="V13" s="252"/>
      <c r="W13" s="252"/>
      <c r="X13" s="252"/>
      <c r="Y13" s="252"/>
      <c r="Z13" s="252"/>
      <c r="AA13" s="252" t="s">
        <v>648</v>
      </c>
      <c r="AB13" s="252"/>
      <c r="AC13" s="252"/>
    </row>
    <row r="14" spans="1:29" ht="200" x14ac:dyDescent="0.25">
      <c r="A14" s="248">
        <v>7</v>
      </c>
      <c r="B14" s="249" t="s">
        <v>25</v>
      </c>
      <c r="C14" s="249" t="s">
        <v>27</v>
      </c>
      <c r="D14" s="249" t="s">
        <v>181</v>
      </c>
      <c r="E14" s="249" t="s">
        <v>44</v>
      </c>
      <c r="F14" s="249" t="s">
        <v>8</v>
      </c>
      <c r="G14" s="249">
        <v>0</v>
      </c>
      <c r="H14" s="249" t="s">
        <v>393</v>
      </c>
      <c r="I14" s="249" t="s">
        <v>394</v>
      </c>
      <c r="J14" s="249" t="s">
        <v>395</v>
      </c>
      <c r="K14" s="249" t="s">
        <v>396</v>
      </c>
      <c r="L14" s="249" t="s">
        <v>369</v>
      </c>
      <c r="M14" s="249" t="s">
        <v>397</v>
      </c>
      <c r="N14" s="249" t="s">
        <v>44</v>
      </c>
      <c r="O14" s="249" t="s">
        <v>398</v>
      </c>
      <c r="P14" s="249" t="s">
        <v>399</v>
      </c>
      <c r="Q14" s="250" t="s">
        <v>44</v>
      </c>
      <c r="R14" s="251" t="s">
        <v>181</v>
      </c>
      <c r="S14" s="248" t="s">
        <v>8</v>
      </c>
      <c r="T14" s="252" t="s">
        <v>648</v>
      </c>
      <c r="U14" s="252"/>
      <c r="V14" s="252"/>
      <c r="W14" s="252"/>
      <c r="X14" s="252"/>
      <c r="Y14" s="252"/>
      <c r="Z14" s="252"/>
      <c r="AA14" s="252" t="s">
        <v>648</v>
      </c>
      <c r="AB14" s="252"/>
      <c r="AC14" s="252"/>
    </row>
    <row r="15" spans="1:29" ht="337.5" x14ac:dyDescent="0.25">
      <c r="A15" s="248">
        <v>8</v>
      </c>
      <c r="B15" s="249" t="s">
        <v>1</v>
      </c>
      <c r="C15" s="249" t="s">
        <v>2190</v>
      </c>
      <c r="D15" s="249" t="s">
        <v>180</v>
      </c>
      <c r="E15" s="249" t="s">
        <v>188</v>
      </c>
      <c r="F15" s="249" t="s">
        <v>5</v>
      </c>
      <c r="G15" s="249" t="s">
        <v>5</v>
      </c>
      <c r="H15" s="249" t="s">
        <v>400</v>
      </c>
      <c r="I15" s="249" t="s">
        <v>401</v>
      </c>
      <c r="J15" s="249" t="s">
        <v>402</v>
      </c>
      <c r="K15" s="249" t="s">
        <v>403</v>
      </c>
      <c r="L15" s="249" t="s">
        <v>404</v>
      </c>
      <c r="M15" s="249" t="s">
        <v>405</v>
      </c>
      <c r="N15" s="249" t="s">
        <v>406</v>
      </c>
      <c r="O15" s="249" t="s">
        <v>407</v>
      </c>
      <c r="P15" s="249" t="s">
        <v>408</v>
      </c>
      <c r="Q15" s="250" t="s">
        <v>409</v>
      </c>
      <c r="R15" s="251" t="s">
        <v>410</v>
      </c>
      <c r="S15" s="248" t="s">
        <v>5</v>
      </c>
      <c r="T15" s="252" t="s">
        <v>648</v>
      </c>
      <c r="U15" s="252" t="s">
        <v>649</v>
      </c>
      <c r="V15" s="252" t="s">
        <v>649</v>
      </c>
      <c r="W15" s="252"/>
      <c r="X15" s="252" t="s">
        <v>648</v>
      </c>
      <c r="Y15" s="252"/>
      <c r="Z15" s="252" t="s">
        <v>649</v>
      </c>
      <c r="AA15" s="252" t="s">
        <v>181</v>
      </c>
      <c r="AB15" s="252" t="s">
        <v>648</v>
      </c>
      <c r="AC15" s="252" t="s">
        <v>648</v>
      </c>
    </row>
    <row r="16" spans="1:29" ht="200" x14ac:dyDescent="0.25">
      <c r="A16" s="248">
        <v>9</v>
      </c>
      <c r="B16" s="249" t="s">
        <v>26</v>
      </c>
      <c r="C16" s="249" t="s">
        <v>28</v>
      </c>
      <c r="D16" s="249" t="s">
        <v>181</v>
      </c>
      <c r="E16" s="249" t="s">
        <v>193</v>
      </c>
      <c r="F16" s="249" t="s">
        <v>13</v>
      </c>
      <c r="G16" s="249">
        <v>0</v>
      </c>
      <c r="H16" s="249" t="s">
        <v>261</v>
      </c>
      <c r="I16" s="249" t="s">
        <v>411</v>
      </c>
      <c r="J16" s="249" t="s">
        <v>412</v>
      </c>
      <c r="K16" s="249" t="s">
        <v>413</v>
      </c>
      <c r="L16" s="249" t="s">
        <v>414</v>
      </c>
      <c r="M16" s="249" t="s">
        <v>405</v>
      </c>
      <c r="N16" s="249" t="s">
        <v>259</v>
      </c>
      <c r="O16" s="249" t="s">
        <v>370</v>
      </c>
      <c r="P16" s="249" t="s">
        <v>415</v>
      </c>
      <c r="Q16" s="250" t="s">
        <v>382</v>
      </c>
      <c r="R16" s="251" t="s">
        <v>181</v>
      </c>
      <c r="S16" s="248" t="s">
        <v>13</v>
      </c>
      <c r="T16" s="252" t="s">
        <v>648</v>
      </c>
      <c r="U16" s="252"/>
      <c r="V16" s="252"/>
      <c r="W16" s="252"/>
      <c r="X16" s="252"/>
      <c r="Y16" s="252"/>
      <c r="Z16" s="252"/>
      <c r="AA16" s="252" t="s">
        <v>648</v>
      </c>
      <c r="AB16" s="252"/>
      <c r="AC16" s="252"/>
    </row>
    <row r="17" spans="1:29" ht="162.5" x14ac:dyDescent="0.25">
      <c r="A17" s="248">
        <v>10</v>
      </c>
      <c r="B17" s="249" t="s">
        <v>6</v>
      </c>
      <c r="C17" s="249" t="s">
        <v>7</v>
      </c>
      <c r="D17" s="249" t="s">
        <v>180</v>
      </c>
      <c r="E17" s="249" t="s">
        <v>45</v>
      </c>
      <c r="F17" s="249" t="s">
        <v>8</v>
      </c>
      <c r="G17" s="249">
        <v>0</v>
      </c>
      <c r="H17" s="249" t="s">
        <v>416</v>
      </c>
      <c r="I17" s="249" t="s">
        <v>417</v>
      </c>
      <c r="J17" s="249" t="s">
        <v>360</v>
      </c>
      <c r="K17" s="249" t="s">
        <v>418</v>
      </c>
      <c r="L17" s="249" t="s">
        <v>369</v>
      </c>
      <c r="M17" s="249" t="s">
        <v>405</v>
      </c>
      <c r="N17" s="249" t="s">
        <v>419</v>
      </c>
      <c r="O17" s="249" t="s">
        <v>364</v>
      </c>
      <c r="P17" s="249" t="s">
        <v>420</v>
      </c>
      <c r="Q17" s="250" t="s">
        <v>419</v>
      </c>
      <c r="R17" s="251" t="s">
        <v>181</v>
      </c>
      <c r="S17" s="248" t="s">
        <v>8</v>
      </c>
      <c r="T17" s="252" t="s">
        <v>648</v>
      </c>
      <c r="U17" s="252"/>
      <c r="V17" s="252"/>
      <c r="W17" s="252"/>
      <c r="X17" s="252"/>
      <c r="Y17" s="252"/>
      <c r="Z17" s="252" t="s">
        <v>648</v>
      </c>
      <c r="AA17" s="252" t="s">
        <v>648</v>
      </c>
      <c r="AB17" s="252" t="s">
        <v>648</v>
      </c>
      <c r="AC17" s="252"/>
    </row>
    <row r="18" spans="1:29" ht="112.5" x14ac:dyDescent="0.25">
      <c r="A18" s="248">
        <v>11</v>
      </c>
      <c r="B18" s="249" t="s">
        <v>29</v>
      </c>
      <c r="C18" s="249" t="s">
        <v>30</v>
      </c>
      <c r="D18" s="249" t="s">
        <v>181</v>
      </c>
      <c r="E18" s="249" t="s">
        <v>44</v>
      </c>
      <c r="F18" s="249" t="s">
        <v>8</v>
      </c>
      <c r="G18" s="249">
        <v>0</v>
      </c>
      <c r="H18" s="249" t="s">
        <v>416</v>
      </c>
      <c r="I18" s="249" t="s">
        <v>367</v>
      </c>
      <c r="J18" s="249" t="s">
        <v>360</v>
      </c>
      <c r="K18" s="249" t="s">
        <v>421</v>
      </c>
      <c r="L18" s="249" t="s">
        <v>369</v>
      </c>
      <c r="M18" s="249" t="s">
        <v>181</v>
      </c>
      <c r="N18" s="249" t="s">
        <v>422</v>
      </c>
      <c r="O18" s="249" t="s">
        <v>380</v>
      </c>
      <c r="P18" s="249" t="s">
        <v>423</v>
      </c>
      <c r="Q18" s="250" t="s">
        <v>44</v>
      </c>
      <c r="R18" s="251" t="s">
        <v>181</v>
      </c>
      <c r="S18" s="248" t="s">
        <v>8</v>
      </c>
      <c r="T18" s="252" t="s">
        <v>648</v>
      </c>
      <c r="U18" s="252"/>
      <c r="V18" s="252"/>
      <c r="W18" s="252"/>
      <c r="X18" s="252"/>
      <c r="Y18" s="252"/>
      <c r="Z18" s="252"/>
      <c r="AA18" s="252" t="s">
        <v>648</v>
      </c>
      <c r="AB18" s="252"/>
      <c r="AC18" s="252"/>
    </row>
    <row r="19" spans="1:29" ht="237.5" x14ac:dyDescent="0.25">
      <c r="A19" s="248">
        <v>12</v>
      </c>
      <c r="B19" s="249" t="s">
        <v>31</v>
      </c>
      <c r="C19" s="249" t="s">
        <v>32</v>
      </c>
      <c r="D19" s="249" t="s">
        <v>180</v>
      </c>
      <c r="E19" s="249" t="s">
        <v>43</v>
      </c>
      <c r="F19" s="249" t="s">
        <v>8</v>
      </c>
      <c r="G19" s="249">
        <v>0</v>
      </c>
      <c r="H19" s="249" t="s">
        <v>378</v>
      </c>
      <c r="I19" s="249" t="s">
        <v>372</v>
      </c>
      <c r="J19" s="249" t="s">
        <v>412</v>
      </c>
      <c r="K19" s="249" t="s">
        <v>424</v>
      </c>
      <c r="L19" s="249" t="s">
        <v>405</v>
      </c>
      <c r="M19" s="249" t="s">
        <v>405</v>
      </c>
      <c r="N19" s="249" t="s">
        <v>425</v>
      </c>
      <c r="O19" s="249" t="s">
        <v>370</v>
      </c>
      <c r="P19" s="249" t="s">
        <v>426</v>
      </c>
      <c r="Q19" s="250" t="s">
        <v>409</v>
      </c>
      <c r="R19" s="251" t="s">
        <v>410</v>
      </c>
      <c r="S19" s="248" t="s">
        <v>8</v>
      </c>
      <c r="T19" s="252" t="s">
        <v>648</v>
      </c>
      <c r="U19" s="252" t="s">
        <v>649</v>
      </c>
      <c r="V19" s="252" t="s">
        <v>649</v>
      </c>
      <c r="W19" s="252"/>
      <c r="X19" s="252" t="s">
        <v>648</v>
      </c>
      <c r="Y19" s="252"/>
      <c r="Z19" s="252" t="s">
        <v>649</v>
      </c>
      <c r="AA19" s="252" t="s">
        <v>181</v>
      </c>
      <c r="AB19" s="252" t="s">
        <v>648</v>
      </c>
      <c r="AC19" s="252" t="s">
        <v>648</v>
      </c>
    </row>
    <row r="20" spans="1:29" ht="300" x14ac:dyDescent="0.25">
      <c r="A20" s="248">
        <v>13</v>
      </c>
      <c r="B20" s="249" t="s">
        <v>33</v>
      </c>
      <c r="C20" s="249" t="s">
        <v>34</v>
      </c>
      <c r="D20" s="249" t="s">
        <v>47</v>
      </c>
      <c r="E20" s="249" t="s">
        <v>47</v>
      </c>
      <c r="F20" s="249" t="s">
        <v>8</v>
      </c>
      <c r="G20" s="249">
        <v>0</v>
      </c>
      <c r="H20" s="249" t="s">
        <v>378</v>
      </c>
      <c r="I20" s="249" t="s">
        <v>372</v>
      </c>
      <c r="J20" s="249" t="s">
        <v>427</v>
      </c>
      <c r="K20" s="249" t="s">
        <v>428</v>
      </c>
      <c r="L20" s="249" t="s">
        <v>362</v>
      </c>
      <c r="M20" s="249" t="s">
        <v>181</v>
      </c>
      <c r="N20" s="249" t="s">
        <v>425</v>
      </c>
      <c r="O20" s="249" t="s">
        <v>370</v>
      </c>
      <c r="P20" s="249" t="s">
        <v>429</v>
      </c>
      <c r="Q20" s="250" t="s">
        <v>365</v>
      </c>
      <c r="R20" s="251" t="s">
        <v>181</v>
      </c>
      <c r="S20" s="248" t="s">
        <v>8</v>
      </c>
      <c r="T20" s="252"/>
      <c r="U20" s="252"/>
      <c r="V20" s="252"/>
      <c r="W20" s="252"/>
      <c r="X20" s="252" t="s">
        <v>649</v>
      </c>
      <c r="Y20" s="252"/>
      <c r="Z20" s="252"/>
      <c r="AA20" s="252" t="s">
        <v>648</v>
      </c>
      <c r="AB20" s="252"/>
      <c r="AC20" s="252"/>
    </row>
    <row r="21" spans="1:29" ht="212.5" x14ac:dyDescent="0.25">
      <c r="A21" s="248">
        <v>14</v>
      </c>
      <c r="B21" s="249" t="s">
        <v>9</v>
      </c>
      <c r="C21" s="249" t="s">
        <v>10</v>
      </c>
      <c r="D21" s="249" t="s">
        <v>183</v>
      </c>
      <c r="E21" s="249" t="s">
        <v>46</v>
      </c>
      <c r="F21" s="249" t="s">
        <v>8</v>
      </c>
      <c r="G21" s="249">
        <v>0</v>
      </c>
      <c r="H21" s="249" t="s">
        <v>430</v>
      </c>
      <c r="I21" s="249" t="s">
        <v>411</v>
      </c>
      <c r="J21" s="249" t="s">
        <v>360</v>
      </c>
      <c r="K21" s="249" t="s">
        <v>431</v>
      </c>
      <c r="L21" s="249" t="s">
        <v>432</v>
      </c>
      <c r="M21" s="249" t="s">
        <v>397</v>
      </c>
      <c r="N21" s="249" t="s">
        <v>433</v>
      </c>
      <c r="O21" s="249" t="s">
        <v>364</v>
      </c>
      <c r="P21" s="249" t="s">
        <v>381</v>
      </c>
      <c r="Q21" s="250" t="s">
        <v>433</v>
      </c>
      <c r="R21" s="251" t="s">
        <v>181</v>
      </c>
      <c r="S21" s="248" t="s">
        <v>8</v>
      </c>
      <c r="T21" s="252"/>
      <c r="U21" s="252"/>
      <c r="V21" s="252"/>
      <c r="W21" s="252" t="s">
        <v>648</v>
      </c>
      <c r="X21" s="252" t="s">
        <v>648</v>
      </c>
      <c r="Y21" s="252"/>
      <c r="Z21" s="252" t="s">
        <v>649</v>
      </c>
      <c r="AA21" s="252" t="s">
        <v>648</v>
      </c>
      <c r="AB21" s="252"/>
      <c r="AC21" s="252"/>
    </row>
    <row r="22" spans="1:29" ht="150" x14ac:dyDescent="0.25">
      <c r="A22" s="248">
        <v>15</v>
      </c>
      <c r="B22" s="249" t="s">
        <v>35</v>
      </c>
      <c r="C22" s="249" t="s">
        <v>37</v>
      </c>
      <c r="D22" s="249" t="s">
        <v>181</v>
      </c>
      <c r="E22" s="249" t="s">
        <v>36</v>
      </c>
      <c r="F22" s="249" t="s">
        <v>8</v>
      </c>
      <c r="G22" s="249">
        <v>0</v>
      </c>
      <c r="H22" s="249"/>
      <c r="I22" s="249" t="s">
        <v>372</v>
      </c>
      <c r="J22" s="249" t="s">
        <v>360</v>
      </c>
      <c r="K22" s="249" t="s">
        <v>421</v>
      </c>
      <c r="L22" s="249" t="s">
        <v>369</v>
      </c>
      <c r="M22" s="249" t="s">
        <v>181</v>
      </c>
      <c r="N22" s="249" t="s">
        <v>434</v>
      </c>
      <c r="O22" s="249" t="s">
        <v>380</v>
      </c>
      <c r="P22" s="249" t="s">
        <v>435</v>
      </c>
      <c r="Q22" s="250" t="s">
        <v>36</v>
      </c>
      <c r="R22" s="251" t="s">
        <v>181</v>
      </c>
      <c r="S22" s="248" t="s">
        <v>8</v>
      </c>
      <c r="T22" s="252" t="s">
        <v>648</v>
      </c>
      <c r="U22" s="252"/>
      <c r="V22" s="252"/>
      <c r="W22" s="252"/>
      <c r="X22" s="252"/>
      <c r="Y22" s="252"/>
      <c r="Z22" s="252"/>
      <c r="AA22" s="252" t="s">
        <v>648</v>
      </c>
      <c r="AB22" s="252"/>
      <c r="AC22" s="252"/>
    </row>
    <row r="23" spans="1:29" ht="150" x14ac:dyDescent="0.25">
      <c r="A23" s="248">
        <v>16</v>
      </c>
      <c r="B23" s="249" t="s">
        <v>38</v>
      </c>
      <c r="C23" s="249" t="s">
        <v>39</v>
      </c>
      <c r="D23" s="249" t="s">
        <v>47</v>
      </c>
      <c r="E23" s="249" t="s">
        <v>47</v>
      </c>
      <c r="F23" s="249" t="s">
        <v>8</v>
      </c>
      <c r="G23" s="249">
        <v>0</v>
      </c>
      <c r="H23" s="249" t="s">
        <v>436</v>
      </c>
      <c r="I23" s="249" t="s">
        <v>372</v>
      </c>
      <c r="J23" s="249" t="s">
        <v>402</v>
      </c>
      <c r="K23" s="249" t="s">
        <v>437</v>
      </c>
      <c r="L23" s="249" t="s">
        <v>362</v>
      </c>
      <c r="M23" s="249" t="s">
        <v>438</v>
      </c>
      <c r="N23" s="249" t="s">
        <v>439</v>
      </c>
      <c r="O23" s="249" t="s">
        <v>380</v>
      </c>
      <c r="P23" s="249" t="s">
        <v>376</v>
      </c>
      <c r="Q23" s="250" t="s">
        <v>365</v>
      </c>
      <c r="R23" s="251" t="s">
        <v>181</v>
      </c>
      <c r="S23" s="248" t="s">
        <v>8</v>
      </c>
      <c r="T23" s="252"/>
      <c r="U23" s="252"/>
      <c r="V23" s="252"/>
      <c r="W23" s="252" t="s">
        <v>648</v>
      </c>
      <c r="X23" s="252"/>
      <c r="Y23" s="252"/>
      <c r="Z23" s="252"/>
      <c r="AA23" s="252" t="s">
        <v>648</v>
      </c>
      <c r="AB23" s="252"/>
      <c r="AC23" s="252"/>
    </row>
    <row r="24" spans="1:29" ht="162.5" x14ac:dyDescent="0.25">
      <c r="A24" s="248">
        <v>17</v>
      </c>
      <c r="B24" s="249" t="s">
        <v>40</v>
      </c>
      <c r="C24" s="249" t="s">
        <v>41</v>
      </c>
      <c r="D24" s="249" t="s">
        <v>181</v>
      </c>
      <c r="E24" s="249" t="s">
        <v>193</v>
      </c>
      <c r="F24" s="249" t="s">
        <v>8</v>
      </c>
      <c r="G24" s="249">
        <v>0</v>
      </c>
      <c r="H24" s="249" t="s">
        <v>371</v>
      </c>
      <c r="I24" s="249" t="s">
        <v>372</v>
      </c>
      <c r="J24" s="249" t="s">
        <v>360</v>
      </c>
      <c r="K24" s="249" t="s">
        <v>440</v>
      </c>
      <c r="L24" s="249" t="s">
        <v>441</v>
      </c>
      <c r="M24" s="249" t="s">
        <v>181</v>
      </c>
      <c r="N24" s="249" t="s">
        <v>442</v>
      </c>
      <c r="O24" s="249" t="s">
        <v>364</v>
      </c>
      <c r="P24" s="249" t="s">
        <v>443</v>
      </c>
      <c r="Q24" s="250" t="s">
        <v>193</v>
      </c>
      <c r="R24" s="251" t="s">
        <v>181</v>
      </c>
      <c r="S24" s="248" t="s">
        <v>13</v>
      </c>
      <c r="T24" s="252" t="s">
        <v>648</v>
      </c>
      <c r="U24" s="252"/>
      <c r="V24" s="252"/>
      <c r="W24" s="252"/>
      <c r="X24" s="252"/>
      <c r="Y24" s="252"/>
      <c r="Z24" s="252"/>
      <c r="AA24" s="252" t="s">
        <v>648</v>
      </c>
      <c r="AB24" s="252"/>
      <c r="AC24" s="252"/>
    </row>
    <row r="25" spans="1:29" ht="150" x14ac:dyDescent="0.25">
      <c r="A25" s="248">
        <v>18</v>
      </c>
      <c r="B25" s="249" t="s">
        <v>48</v>
      </c>
      <c r="C25" s="249" t="s">
        <v>49</v>
      </c>
      <c r="D25" s="249" t="s">
        <v>182</v>
      </c>
      <c r="E25" s="249" t="s">
        <v>50</v>
      </c>
      <c r="F25" s="249" t="s">
        <v>13</v>
      </c>
      <c r="G25" s="249">
        <v>0</v>
      </c>
      <c r="H25" s="249" t="s">
        <v>378</v>
      </c>
      <c r="I25" s="249" t="s">
        <v>401</v>
      </c>
      <c r="J25" s="249" t="s">
        <v>412</v>
      </c>
      <c r="K25" s="249" t="s">
        <v>444</v>
      </c>
      <c r="L25" s="249" t="s">
        <v>369</v>
      </c>
      <c r="M25" s="249" t="s">
        <v>182</v>
      </c>
      <c r="N25" s="249" t="s">
        <v>445</v>
      </c>
      <c r="O25" s="249" t="s">
        <v>446</v>
      </c>
      <c r="P25" s="249" t="s">
        <v>447</v>
      </c>
      <c r="Q25" s="250" t="s">
        <v>448</v>
      </c>
      <c r="R25" s="251" t="s">
        <v>149</v>
      </c>
      <c r="S25" s="248" t="s">
        <v>13</v>
      </c>
      <c r="T25" s="252" t="s">
        <v>648</v>
      </c>
      <c r="U25" s="252" t="s">
        <v>649</v>
      </c>
      <c r="V25" s="252"/>
      <c r="W25" s="252" t="s">
        <v>648</v>
      </c>
      <c r="X25" s="252"/>
      <c r="Y25" s="252"/>
      <c r="Z25" s="252"/>
      <c r="AA25" s="252"/>
      <c r="AB25" s="252" t="s">
        <v>648</v>
      </c>
      <c r="AC25" s="252"/>
    </row>
    <row r="26" spans="1:29" ht="150" x14ac:dyDescent="0.25">
      <c r="A26" s="248">
        <v>19</v>
      </c>
      <c r="B26" s="249" t="s">
        <v>51</v>
      </c>
      <c r="C26" s="249" t="s">
        <v>52</v>
      </c>
      <c r="D26" s="249" t="s">
        <v>180</v>
      </c>
      <c r="E26" s="249" t="s">
        <v>53</v>
      </c>
      <c r="F26" s="249" t="s">
        <v>8</v>
      </c>
      <c r="G26" s="249">
        <v>0</v>
      </c>
      <c r="H26" s="249" t="s">
        <v>261</v>
      </c>
      <c r="I26" s="249" t="s">
        <v>449</v>
      </c>
      <c r="J26" s="249" t="s">
        <v>395</v>
      </c>
      <c r="K26" s="249" t="s">
        <v>450</v>
      </c>
      <c r="L26" s="249" t="s">
        <v>405</v>
      </c>
      <c r="M26" s="249" t="s">
        <v>405</v>
      </c>
      <c r="N26" s="249" t="s">
        <v>405</v>
      </c>
      <c r="O26" s="249" t="s">
        <v>446</v>
      </c>
      <c r="P26" s="249" t="s">
        <v>451</v>
      </c>
      <c r="Q26" s="250" t="s">
        <v>452</v>
      </c>
      <c r="R26" s="251" t="s">
        <v>410</v>
      </c>
      <c r="S26" s="248" t="s">
        <v>8</v>
      </c>
      <c r="T26" s="252" t="s">
        <v>648</v>
      </c>
      <c r="U26" s="252" t="s">
        <v>648</v>
      </c>
      <c r="V26" s="252" t="s">
        <v>648</v>
      </c>
      <c r="W26" s="252"/>
      <c r="X26" s="252" t="s">
        <v>648</v>
      </c>
      <c r="Y26" s="252"/>
      <c r="Z26" s="252"/>
      <c r="AA26" s="252" t="s">
        <v>648</v>
      </c>
      <c r="AB26" s="252" t="s">
        <v>648</v>
      </c>
      <c r="AC26" s="252" t="s">
        <v>648</v>
      </c>
    </row>
    <row r="27" spans="1:29" ht="100" x14ac:dyDescent="0.25">
      <c r="A27" s="248">
        <v>20</v>
      </c>
      <c r="B27" s="249" t="s">
        <v>54</v>
      </c>
      <c r="C27" s="249" t="s">
        <v>55</v>
      </c>
      <c r="D27" s="249" t="s">
        <v>56</v>
      </c>
      <c r="E27" s="249" t="s">
        <v>56</v>
      </c>
      <c r="F27" s="249" t="s">
        <v>8</v>
      </c>
      <c r="G27" s="249">
        <v>0</v>
      </c>
      <c r="H27" s="249" t="s">
        <v>260</v>
      </c>
      <c r="I27" s="249" t="s">
        <v>411</v>
      </c>
      <c r="J27" s="249" t="s">
        <v>412</v>
      </c>
      <c r="K27" s="249" t="s">
        <v>453</v>
      </c>
      <c r="L27" s="249" t="s">
        <v>405</v>
      </c>
      <c r="M27" s="249" t="s">
        <v>405</v>
      </c>
      <c r="N27" s="249" t="s">
        <v>454</v>
      </c>
      <c r="O27" s="249" t="s">
        <v>364</v>
      </c>
      <c r="P27" s="249" t="s">
        <v>455</v>
      </c>
      <c r="Q27" s="250" t="s">
        <v>56</v>
      </c>
      <c r="R27" s="251" t="s">
        <v>181</v>
      </c>
      <c r="S27" s="248" t="s">
        <v>8</v>
      </c>
      <c r="T27" s="252"/>
      <c r="U27" s="252"/>
      <c r="V27" s="252"/>
      <c r="W27" s="252"/>
      <c r="X27" s="252"/>
      <c r="Y27" s="252" t="s">
        <v>648</v>
      </c>
      <c r="Z27" s="252"/>
      <c r="AA27" s="252" t="s">
        <v>648</v>
      </c>
      <c r="AB27" s="252"/>
      <c r="AC27" s="252"/>
    </row>
    <row r="28" spans="1:29" ht="112.5" x14ac:dyDescent="0.25">
      <c r="A28" s="248">
        <v>21</v>
      </c>
      <c r="B28" s="249" t="s">
        <v>2</v>
      </c>
      <c r="C28" s="249" t="s">
        <v>206</v>
      </c>
      <c r="D28" s="249" t="s">
        <v>181</v>
      </c>
      <c r="E28" s="249" t="s">
        <v>193</v>
      </c>
      <c r="F28" s="249" t="s">
        <v>5</v>
      </c>
      <c r="G28" s="249">
        <v>0</v>
      </c>
      <c r="H28" s="249" t="s">
        <v>456</v>
      </c>
      <c r="I28" s="249" t="s">
        <v>401</v>
      </c>
      <c r="J28" s="249" t="s">
        <v>360</v>
      </c>
      <c r="K28" s="249" t="s">
        <v>457</v>
      </c>
      <c r="L28" s="249" t="s">
        <v>369</v>
      </c>
      <c r="M28" s="249" t="s">
        <v>180</v>
      </c>
      <c r="N28" s="249" t="s">
        <v>193</v>
      </c>
      <c r="O28" s="249" t="s">
        <v>370</v>
      </c>
      <c r="P28" s="249" t="s">
        <v>458</v>
      </c>
      <c r="Q28" s="250" t="s">
        <v>193</v>
      </c>
      <c r="R28" s="251" t="s">
        <v>181</v>
      </c>
      <c r="S28" s="248" t="s">
        <v>5</v>
      </c>
      <c r="T28" s="252" t="s">
        <v>648</v>
      </c>
      <c r="U28" s="252"/>
      <c r="V28" s="252"/>
      <c r="W28" s="252"/>
      <c r="X28" s="252"/>
      <c r="Y28" s="252"/>
      <c r="Z28" s="252"/>
      <c r="AA28" s="252" t="s">
        <v>648</v>
      </c>
      <c r="AB28" s="252"/>
      <c r="AC28" s="252"/>
    </row>
    <row r="29" spans="1:29" ht="112.5" x14ac:dyDescent="0.25">
      <c r="A29" s="248">
        <v>22</v>
      </c>
      <c r="B29" s="249" t="s">
        <v>11</v>
      </c>
      <c r="C29" s="249" t="s">
        <v>12</v>
      </c>
      <c r="D29" s="249" t="s">
        <v>181</v>
      </c>
      <c r="E29" s="249" t="s">
        <v>188</v>
      </c>
      <c r="F29" s="249" t="s">
        <v>13</v>
      </c>
      <c r="G29" s="249">
        <v>0</v>
      </c>
      <c r="H29" s="249" t="s">
        <v>260</v>
      </c>
      <c r="I29" s="249" t="s">
        <v>459</v>
      </c>
      <c r="J29" s="249" t="s">
        <v>460</v>
      </c>
      <c r="K29" s="249" t="s">
        <v>461</v>
      </c>
      <c r="L29" s="249" t="s">
        <v>462</v>
      </c>
      <c r="M29" s="249" t="s">
        <v>405</v>
      </c>
      <c r="N29" s="249" t="s">
        <v>405</v>
      </c>
      <c r="O29" s="249" t="s">
        <v>370</v>
      </c>
      <c r="P29" s="249" t="s">
        <v>463</v>
      </c>
      <c r="Q29" s="250" t="s">
        <v>462</v>
      </c>
      <c r="R29" s="251" t="s">
        <v>181</v>
      </c>
      <c r="S29" s="248" t="s">
        <v>13</v>
      </c>
      <c r="T29" s="252"/>
      <c r="U29" s="252"/>
      <c r="V29" s="252"/>
      <c r="W29" s="252"/>
      <c r="X29" s="252" t="s">
        <v>648</v>
      </c>
      <c r="Y29" s="252"/>
      <c r="Z29" s="252"/>
      <c r="AA29" s="252" t="s">
        <v>648</v>
      </c>
      <c r="AB29" s="252"/>
      <c r="AC29" s="252"/>
    </row>
    <row r="30" spans="1:29" ht="150" x14ac:dyDescent="0.25">
      <c r="A30" s="248">
        <v>23</v>
      </c>
      <c r="B30" s="249" t="s">
        <v>57</v>
      </c>
      <c r="C30" s="249" t="s">
        <v>58</v>
      </c>
      <c r="D30" s="249" t="s">
        <v>181</v>
      </c>
      <c r="E30" s="249" t="s">
        <v>188</v>
      </c>
      <c r="F30" s="249" t="s">
        <v>13</v>
      </c>
      <c r="G30" s="249">
        <v>0</v>
      </c>
      <c r="H30" s="249" t="s">
        <v>416</v>
      </c>
      <c r="I30" s="249" t="s">
        <v>449</v>
      </c>
      <c r="J30" s="249" t="s">
        <v>360</v>
      </c>
      <c r="K30" s="249" t="s">
        <v>464</v>
      </c>
      <c r="L30" s="249" t="s">
        <v>369</v>
      </c>
      <c r="M30" s="249" t="s">
        <v>182</v>
      </c>
      <c r="N30" s="249" t="s">
        <v>405</v>
      </c>
      <c r="O30" s="249" t="s">
        <v>364</v>
      </c>
      <c r="P30" s="249" t="s">
        <v>430</v>
      </c>
      <c r="Q30" s="250" t="s">
        <v>465</v>
      </c>
      <c r="R30" s="251" t="s">
        <v>181</v>
      </c>
      <c r="S30" s="248" t="s">
        <v>13</v>
      </c>
      <c r="T30" s="252" t="s">
        <v>648</v>
      </c>
      <c r="U30" s="252"/>
      <c r="V30" s="252"/>
      <c r="W30" s="252"/>
      <c r="X30" s="252"/>
      <c r="Y30" s="252"/>
      <c r="Z30" s="252"/>
      <c r="AA30" s="252" t="s">
        <v>648</v>
      </c>
      <c r="AB30" s="252"/>
      <c r="AC30" s="252"/>
    </row>
    <row r="31" spans="1:29" ht="175" x14ac:dyDescent="0.25">
      <c r="A31" s="248">
        <v>24</v>
      </c>
      <c r="B31" s="249" t="s">
        <v>59</v>
      </c>
      <c r="C31" s="249" t="s">
        <v>60</v>
      </c>
      <c r="D31" s="249" t="s">
        <v>181</v>
      </c>
      <c r="E31" s="249" t="s">
        <v>61</v>
      </c>
      <c r="F31" s="249" t="s">
        <v>8</v>
      </c>
      <c r="G31" s="249">
        <v>0</v>
      </c>
      <c r="H31" s="249" t="s">
        <v>430</v>
      </c>
      <c r="I31" s="249" t="s">
        <v>411</v>
      </c>
      <c r="J31" s="249" t="s">
        <v>427</v>
      </c>
      <c r="K31" s="249" t="s">
        <v>466</v>
      </c>
      <c r="L31" s="249" t="s">
        <v>369</v>
      </c>
      <c r="M31" s="249" t="s">
        <v>467</v>
      </c>
      <c r="N31" s="249" t="s">
        <v>61</v>
      </c>
      <c r="O31" s="249" t="s">
        <v>364</v>
      </c>
      <c r="P31" s="249" t="s">
        <v>430</v>
      </c>
      <c r="Q31" s="250" t="s">
        <v>61</v>
      </c>
      <c r="R31" s="251" t="s">
        <v>181</v>
      </c>
      <c r="S31" s="248" t="s">
        <v>8</v>
      </c>
      <c r="T31" s="252" t="s">
        <v>648</v>
      </c>
      <c r="U31" s="252" t="s">
        <v>649</v>
      </c>
      <c r="V31" s="252" t="s">
        <v>648</v>
      </c>
      <c r="W31" s="252" t="s">
        <v>648</v>
      </c>
      <c r="X31" s="252" t="s">
        <v>648</v>
      </c>
      <c r="Y31" s="252"/>
      <c r="Z31" s="252" t="s">
        <v>648</v>
      </c>
      <c r="AA31" s="252" t="s">
        <v>648</v>
      </c>
      <c r="AB31" s="252"/>
      <c r="AC31" s="252"/>
    </row>
    <row r="32" spans="1:29" ht="112.5" x14ac:dyDescent="0.25">
      <c r="A32" s="248">
        <v>25</v>
      </c>
      <c r="B32" s="249" t="s">
        <v>62</v>
      </c>
      <c r="C32" s="249" t="s">
        <v>63</v>
      </c>
      <c r="D32" s="249" t="s">
        <v>47</v>
      </c>
      <c r="E32" s="249" t="s">
        <v>47</v>
      </c>
      <c r="F32" s="249" t="s">
        <v>8</v>
      </c>
      <c r="G32" s="249">
        <v>0</v>
      </c>
      <c r="H32" s="249" t="s">
        <v>260</v>
      </c>
      <c r="I32" s="249" t="s">
        <v>411</v>
      </c>
      <c r="J32" s="249" t="s">
        <v>360</v>
      </c>
      <c r="K32" s="249" t="s">
        <v>468</v>
      </c>
      <c r="L32" s="249" t="s">
        <v>362</v>
      </c>
      <c r="M32" s="249" t="s">
        <v>181</v>
      </c>
      <c r="N32" s="249" t="s">
        <v>405</v>
      </c>
      <c r="O32" s="249" t="s">
        <v>364</v>
      </c>
      <c r="P32" s="249" t="s">
        <v>469</v>
      </c>
      <c r="Q32" s="250" t="s">
        <v>365</v>
      </c>
      <c r="R32" s="251" t="s">
        <v>181</v>
      </c>
      <c r="S32" s="248" t="s">
        <v>8</v>
      </c>
      <c r="T32" s="252"/>
      <c r="U32" s="252"/>
      <c r="V32" s="252"/>
      <c r="W32" s="252" t="s">
        <v>648</v>
      </c>
      <c r="X32" s="252"/>
      <c r="Y32" s="252"/>
      <c r="Z32" s="252"/>
      <c r="AA32" s="252" t="s">
        <v>648</v>
      </c>
      <c r="AB32" s="252"/>
      <c r="AC32" s="252"/>
    </row>
    <row r="33" spans="1:29" ht="187.5" x14ac:dyDescent="0.25">
      <c r="A33" s="248">
        <v>26</v>
      </c>
      <c r="B33" s="249" t="s">
        <v>64</v>
      </c>
      <c r="C33" s="249" t="s">
        <v>65</v>
      </c>
      <c r="D33" s="249" t="s">
        <v>181</v>
      </c>
      <c r="E33" s="249" t="s">
        <v>188</v>
      </c>
      <c r="F33" s="249" t="s">
        <v>8</v>
      </c>
      <c r="G33" s="249">
        <v>0</v>
      </c>
      <c r="H33" s="249" t="s">
        <v>470</v>
      </c>
      <c r="I33" s="249" t="s">
        <v>411</v>
      </c>
      <c r="J33" s="249" t="s">
        <v>471</v>
      </c>
      <c r="K33" s="249" t="s">
        <v>472</v>
      </c>
      <c r="L33" s="249" t="s">
        <v>369</v>
      </c>
      <c r="M33" s="249" t="s">
        <v>181</v>
      </c>
      <c r="N33" s="249" t="s">
        <v>473</v>
      </c>
      <c r="O33" s="249" t="s">
        <v>364</v>
      </c>
      <c r="P33" s="249" t="s">
        <v>376</v>
      </c>
      <c r="Q33" s="250" t="s">
        <v>465</v>
      </c>
      <c r="R33" s="251" t="s">
        <v>181</v>
      </c>
      <c r="S33" s="248" t="s">
        <v>8</v>
      </c>
      <c r="T33" s="252" t="s">
        <v>648</v>
      </c>
      <c r="U33" s="252"/>
      <c r="V33" s="252"/>
      <c r="W33" s="252"/>
      <c r="X33" s="252"/>
      <c r="Y33" s="252"/>
      <c r="Z33" s="252"/>
      <c r="AA33" s="252" t="s">
        <v>648</v>
      </c>
      <c r="AB33" s="252"/>
      <c r="AC33" s="252"/>
    </row>
    <row r="34" spans="1:29" ht="62.5" x14ac:dyDescent="0.25">
      <c r="A34" s="248">
        <v>27</v>
      </c>
      <c r="B34" s="249" t="s">
        <v>66</v>
      </c>
      <c r="C34" s="249" t="s">
        <v>67</v>
      </c>
      <c r="D34" s="249" t="s">
        <v>68</v>
      </c>
      <c r="E34" s="249" t="s">
        <v>68</v>
      </c>
      <c r="F34" s="249" t="s">
        <v>8</v>
      </c>
      <c r="G34" s="249">
        <v>0</v>
      </c>
      <c r="H34" s="249" t="s">
        <v>261</v>
      </c>
      <c r="I34" s="249" t="s">
        <v>459</v>
      </c>
      <c r="J34" s="249" t="s">
        <v>360</v>
      </c>
      <c r="K34" s="249" t="s">
        <v>474</v>
      </c>
      <c r="L34" s="249" t="s">
        <v>362</v>
      </c>
      <c r="M34" s="249" t="s">
        <v>182</v>
      </c>
      <c r="N34" s="249" t="s">
        <v>405</v>
      </c>
      <c r="O34" s="249" t="s">
        <v>370</v>
      </c>
      <c r="P34" s="249" t="s">
        <v>475</v>
      </c>
      <c r="Q34" s="250" t="s">
        <v>68</v>
      </c>
      <c r="R34" s="251" t="s">
        <v>181</v>
      </c>
      <c r="S34" s="248" t="s">
        <v>8</v>
      </c>
      <c r="T34" s="252"/>
      <c r="U34" s="252"/>
      <c r="V34" s="252"/>
      <c r="W34" s="252" t="s">
        <v>648</v>
      </c>
      <c r="X34" s="252"/>
      <c r="Y34" s="252"/>
      <c r="Z34" s="252"/>
      <c r="AA34" s="252" t="s">
        <v>648</v>
      </c>
      <c r="AB34" s="252"/>
      <c r="AC34" s="252"/>
    </row>
    <row r="35" spans="1:29" ht="75" x14ac:dyDescent="0.25">
      <c r="A35" s="248">
        <v>28</v>
      </c>
      <c r="B35" s="249" t="s">
        <v>69</v>
      </c>
      <c r="C35" s="249" t="s">
        <v>70</v>
      </c>
      <c r="D35" s="249" t="s">
        <v>47</v>
      </c>
      <c r="E35" s="249" t="s">
        <v>184</v>
      </c>
      <c r="F35" s="249" t="s">
        <v>8</v>
      </c>
      <c r="G35" s="249">
        <v>0</v>
      </c>
      <c r="H35" s="249" t="s">
        <v>430</v>
      </c>
      <c r="I35" s="249" t="s">
        <v>411</v>
      </c>
      <c r="J35" s="249" t="s">
        <v>360</v>
      </c>
      <c r="K35" s="249" t="s">
        <v>476</v>
      </c>
      <c r="L35" s="249" t="s">
        <v>362</v>
      </c>
      <c r="M35" s="249" t="s">
        <v>397</v>
      </c>
      <c r="N35" s="249" t="s">
        <v>405</v>
      </c>
      <c r="O35" s="249" t="s">
        <v>364</v>
      </c>
      <c r="P35" s="249" t="s">
        <v>381</v>
      </c>
      <c r="Q35" s="250" t="s">
        <v>365</v>
      </c>
      <c r="R35" s="251" t="s">
        <v>181</v>
      </c>
      <c r="S35" s="248" t="s">
        <v>8</v>
      </c>
      <c r="T35" s="252"/>
      <c r="U35" s="252"/>
      <c r="V35" s="252"/>
      <c r="W35" s="252" t="s">
        <v>648</v>
      </c>
      <c r="X35" s="252"/>
      <c r="Y35" s="252"/>
      <c r="Z35" s="252"/>
      <c r="AA35" s="252" t="s">
        <v>648</v>
      </c>
      <c r="AB35" s="252"/>
      <c r="AC35" s="252"/>
    </row>
    <row r="36" spans="1:29" ht="112.5" x14ac:dyDescent="0.25">
      <c r="A36" s="248">
        <v>29</v>
      </c>
      <c r="B36" s="249" t="s">
        <v>71</v>
      </c>
      <c r="C36" s="249" t="s">
        <v>72</v>
      </c>
      <c r="D36" s="249" t="s">
        <v>47</v>
      </c>
      <c r="E36" s="249" t="s">
        <v>47</v>
      </c>
      <c r="F36" s="249" t="s">
        <v>8</v>
      </c>
      <c r="G36" s="249">
        <v>0</v>
      </c>
      <c r="H36" s="249" t="s">
        <v>260</v>
      </c>
      <c r="I36" s="249" t="s">
        <v>459</v>
      </c>
      <c r="J36" s="249" t="s">
        <v>477</v>
      </c>
      <c r="K36" s="249" t="s">
        <v>478</v>
      </c>
      <c r="L36" s="249" t="s">
        <v>362</v>
      </c>
      <c r="M36" s="249" t="s">
        <v>479</v>
      </c>
      <c r="N36" s="249" t="s">
        <v>480</v>
      </c>
      <c r="O36" s="249" t="s">
        <v>446</v>
      </c>
      <c r="P36" s="249" t="s">
        <v>475</v>
      </c>
      <c r="Q36" s="250" t="s">
        <v>365</v>
      </c>
      <c r="R36" s="251" t="s">
        <v>181</v>
      </c>
      <c r="S36" s="248" t="s">
        <v>8</v>
      </c>
      <c r="T36" s="252"/>
      <c r="U36" s="252"/>
      <c r="V36" s="252"/>
      <c r="W36" s="252" t="s">
        <v>648</v>
      </c>
      <c r="X36" s="252"/>
      <c r="Y36" s="252"/>
      <c r="Z36" s="252"/>
      <c r="AA36" s="252" t="s">
        <v>648</v>
      </c>
      <c r="AB36" s="252"/>
      <c r="AC36" s="252"/>
    </row>
    <row r="37" spans="1:29" ht="112.5" x14ac:dyDescent="0.25">
      <c r="A37" s="248">
        <v>30</v>
      </c>
      <c r="B37" s="249" t="s">
        <v>73</v>
      </c>
      <c r="C37" s="249" t="s">
        <v>74</v>
      </c>
      <c r="D37" s="249" t="s">
        <v>182</v>
      </c>
      <c r="E37" s="249" t="s">
        <v>75</v>
      </c>
      <c r="F37" s="249" t="s">
        <v>8</v>
      </c>
      <c r="G37" s="249" t="s">
        <v>8</v>
      </c>
      <c r="H37" s="249" t="s">
        <v>416</v>
      </c>
      <c r="I37" s="249" t="s">
        <v>367</v>
      </c>
      <c r="J37" s="249" t="s">
        <v>360</v>
      </c>
      <c r="K37" s="249" t="s">
        <v>481</v>
      </c>
      <c r="L37" s="249" t="s">
        <v>369</v>
      </c>
      <c r="M37" s="249" t="s">
        <v>182</v>
      </c>
      <c r="N37" s="249" t="s">
        <v>482</v>
      </c>
      <c r="O37" s="249" t="s">
        <v>364</v>
      </c>
      <c r="P37" s="249" t="s">
        <v>483</v>
      </c>
      <c r="Q37" s="250" t="s">
        <v>484</v>
      </c>
      <c r="R37" s="251" t="s">
        <v>149</v>
      </c>
      <c r="S37" s="248" t="s">
        <v>8</v>
      </c>
      <c r="T37" s="252" t="s">
        <v>648</v>
      </c>
      <c r="U37" s="252"/>
      <c r="V37" s="252"/>
      <c r="W37" s="252"/>
      <c r="X37" s="252"/>
      <c r="Y37" s="252"/>
      <c r="Z37" s="252"/>
      <c r="AA37" s="252"/>
      <c r="AB37" s="252" t="s">
        <v>648</v>
      </c>
      <c r="AC37" s="252"/>
    </row>
    <row r="38" spans="1:29" ht="50" x14ac:dyDescent="0.25">
      <c r="A38" s="248">
        <v>31</v>
      </c>
      <c r="B38" s="249" t="s">
        <v>76</v>
      </c>
      <c r="C38" s="249" t="s">
        <v>77</v>
      </c>
      <c r="D38" s="249" t="s">
        <v>181</v>
      </c>
      <c r="E38" s="249" t="s">
        <v>188</v>
      </c>
      <c r="F38" s="249" t="s">
        <v>8</v>
      </c>
      <c r="G38" s="249">
        <v>0</v>
      </c>
      <c r="H38" s="249" t="s">
        <v>430</v>
      </c>
      <c r="I38" s="249" t="s">
        <v>411</v>
      </c>
      <c r="J38" s="249" t="s">
        <v>360</v>
      </c>
      <c r="K38" s="249" t="s">
        <v>485</v>
      </c>
      <c r="L38" s="249" t="s">
        <v>369</v>
      </c>
      <c r="M38" s="249" t="s">
        <v>181</v>
      </c>
      <c r="N38" s="249" t="s">
        <v>44</v>
      </c>
      <c r="O38" s="249" t="s">
        <v>364</v>
      </c>
      <c r="P38" s="249" t="s">
        <v>483</v>
      </c>
      <c r="Q38" s="250" t="s">
        <v>465</v>
      </c>
      <c r="R38" s="251" t="s">
        <v>181</v>
      </c>
      <c r="S38" s="248" t="s">
        <v>8</v>
      </c>
      <c r="T38" s="252" t="s">
        <v>648</v>
      </c>
      <c r="U38" s="252"/>
      <c r="V38" s="252"/>
      <c r="W38" s="252"/>
      <c r="X38" s="252"/>
      <c r="Y38" s="252"/>
      <c r="Z38" s="252"/>
      <c r="AA38" s="252" t="s">
        <v>648</v>
      </c>
      <c r="AB38" s="252"/>
      <c r="AC38" s="252"/>
    </row>
    <row r="39" spans="1:29" ht="187.5" x14ac:dyDescent="0.25">
      <c r="A39" s="248">
        <v>32</v>
      </c>
      <c r="B39" s="249" t="s">
        <v>78</v>
      </c>
      <c r="C39" s="249" t="s">
        <v>79</v>
      </c>
      <c r="D39" s="249" t="s">
        <v>181</v>
      </c>
      <c r="E39" s="249" t="s">
        <v>188</v>
      </c>
      <c r="F39" s="249" t="s">
        <v>13</v>
      </c>
      <c r="G39" s="249">
        <v>0</v>
      </c>
      <c r="H39" s="249" t="s">
        <v>260</v>
      </c>
      <c r="I39" s="249" t="s">
        <v>486</v>
      </c>
      <c r="J39" s="249" t="s">
        <v>487</v>
      </c>
      <c r="K39" s="249" t="s">
        <v>488</v>
      </c>
      <c r="L39" s="249"/>
      <c r="M39" s="249" t="s">
        <v>479</v>
      </c>
      <c r="N39" s="249" t="s">
        <v>489</v>
      </c>
      <c r="O39" s="249" t="s">
        <v>446</v>
      </c>
      <c r="P39" s="249" t="s">
        <v>490</v>
      </c>
      <c r="Q39" s="250" t="s">
        <v>491</v>
      </c>
      <c r="R39" s="251" t="s">
        <v>181</v>
      </c>
      <c r="S39" s="248" t="s">
        <v>13</v>
      </c>
      <c r="T39" s="252"/>
      <c r="U39" s="252"/>
      <c r="V39" s="252"/>
      <c r="W39" s="252" t="s">
        <v>648</v>
      </c>
      <c r="X39" s="252" t="s">
        <v>648</v>
      </c>
      <c r="Y39" s="252"/>
      <c r="Z39" s="252"/>
      <c r="AA39" s="252" t="s">
        <v>648</v>
      </c>
      <c r="AB39" s="252"/>
      <c r="AC39" s="252"/>
    </row>
    <row r="40" spans="1:29" ht="71.5" customHeight="1" x14ac:dyDescent="0.25">
      <c r="A40" s="248">
        <v>33</v>
      </c>
      <c r="B40" s="249" t="s">
        <v>3</v>
      </c>
      <c r="C40" s="249" t="s">
        <v>207</v>
      </c>
      <c r="D40" s="249" t="s">
        <v>181</v>
      </c>
      <c r="E40" s="249" t="s">
        <v>187</v>
      </c>
      <c r="F40" s="249" t="s">
        <v>5</v>
      </c>
      <c r="G40" s="249">
        <v>0</v>
      </c>
      <c r="H40" s="249" t="s">
        <v>492</v>
      </c>
      <c r="I40" s="249" t="s">
        <v>493</v>
      </c>
      <c r="J40" s="249" t="s">
        <v>360</v>
      </c>
      <c r="K40" s="249" t="s">
        <v>494</v>
      </c>
      <c r="L40" s="249" t="s">
        <v>369</v>
      </c>
      <c r="M40" s="249" t="s">
        <v>495</v>
      </c>
      <c r="N40" s="249" t="s">
        <v>44</v>
      </c>
      <c r="O40" s="249" t="s">
        <v>446</v>
      </c>
      <c r="P40" s="249" t="s">
        <v>496</v>
      </c>
      <c r="Q40" s="250" t="s">
        <v>44</v>
      </c>
      <c r="R40" s="251" t="s">
        <v>497</v>
      </c>
      <c r="S40" s="248" t="s">
        <v>5</v>
      </c>
      <c r="T40" s="252" t="s">
        <v>648</v>
      </c>
      <c r="U40" s="252"/>
      <c r="V40" s="252"/>
      <c r="W40" s="252"/>
      <c r="X40" s="252"/>
      <c r="Y40" s="252"/>
      <c r="Z40" s="252"/>
      <c r="AA40" s="252" t="s">
        <v>648</v>
      </c>
      <c r="AB40" s="252" t="s">
        <v>648</v>
      </c>
      <c r="AC40" s="252"/>
    </row>
    <row r="41" spans="1:29" ht="112.5" x14ac:dyDescent="0.25">
      <c r="A41" s="248">
        <v>34</v>
      </c>
      <c r="B41" s="249" t="s">
        <v>80</v>
      </c>
      <c r="C41" s="249" t="s">
        <v>81</v>
      </c>
      <c r="D41" s="249" t="s">
        <v>182</v>
      </c>
      <c r="E41" s="249" t="s">
        <v>82</v>
      </c>
      <c r="F41" s="249" t="s">
        <v>13</v>
      </c>
      <c r="G41" s="249">
        <v>0</v>
      </c>
      <c r="H41" s="249" t="s">
        <v>498</v>
      </c>
      <c r="I41" s="249" t="s">
        <v>499</v>
      </c>
      <c r="J41" s="249" t="s">
        <v>360</v>
      </c>
      <c r="K41" s="249" t="s">
        <v>500</v>
      </c>
      <c r="L41" s="249" t="s">
        <v>369</v>
      </c>
      <c r="M41" s="249" t="s">
        <v>182</v>
      </c>
      <c r="N41" s="249" t="s">
        <v>82</v>
      </c>
      <c r="O41" s="249" t="s">
        <v>446</v>
      </c>
      <c r="P41" s="249" t="s">
        <v>501</v>
      </c>
      <c r="Q41" s="250" t="s">
        <v>502</v>
      </c>
      <c r="R41" s="251" t="s">
        <v>149</v>
      </c>
      <c r="S41" s="248" t="s">
        <v>13</v>
      </c>
      <c r="T41" s="252"/>
      <c r="U41" s="252" t="s">
        <v>648</v>
      </c>
      <c r="V41" s="252"/>
      <c r="W41" s="252"/>
      <c r="X41" s="252"/>
      <c r="Y41" s="252"/>
      <c r="Z41" s="252"/>
      <c r="AA41" s="252"/>
      <c r="AB41" s="252" t="s">
        <v>648</v>
      </c>
      <c r="AC41" s="252"/>
    </row>
    <row r="42" spans="1:29" ht="50" x14ac:dyDescent="0.25">
      <c r="A42" s="248">
        <v>35</v>
      </c>
      <c r="B42" s="249" t="s">
        <v>83</v>
      </c>
      <c r="C42" s="249" t="s">
        <v>84</v>
      </c>
      <c r="D42" s="249" t="s">
        <v>181</v>
      </c>
      <c r="E42" s="249" t="s">
        <v>188</v>
      </c>
      <c r="F42" s="249" t="s">
        <v>8</v>
      </c>
      <c r="G42" s="249">
        <v>0</v>
      </c>
      <c r="H42" s="249" t="s">
        <v>430</v>
      </c>
      <c r="I42" s="249" t="s">
        <v>411</v>
      </c>
      <c r="J42" s="249" t="s">
        <v>360</v>
      </c>
      <c r="K42" s="249" t="s">
        <v>503</v>
      </c>
      <c r="L42" s="249" t="s">
        <v>369</v>
      </c>
      <c r="M42" s="249" t="s">
        <v>181</v>
      </c>
      <c r="N42" s="249" t="s">
        <v>504</v>
      </c>
      <c r="O42" s="249" t="s">
        <v>364</v>
      </c>
      <c r="P42" s="249" t="s">
        <v>381</v>
      </c>
      <c r="Q42" s="250" t="s">
        <v>465</v>
      </c>
      <c r="R42" s="251" t="s">
        <v>181</v>
      </c>
      <c r="S42" s="248" t="s">
        <v>8</v>
      </c>
      <c r="T42" s="252" t="s">
        <v>648</v>
      </c>
      <c r="U42" s="252"/>
      <c r="V42" s="252"/>
      <c r="W42" s="252"/>
      <c r="X42" s="252"/>
      <c r="Y42" s="252"/>
      <c r="Z42" s="252"/>
      <c r="AA42" s="252" t="s">
        <v>648</v>
      </c>
      <c r="AB42" s="252"/>
      <c r="AC42" s="252"/>
    </row>
    <row r="43" spans="1:29" ht="75" x14ac:dyDescent="0.25">
      <c r="A43" s="248">
        <v>36</v>
      </c>
      <c r="B43" s="249" t="s">
        <v>85</v>
      </c>
      <c r="C43" s="249" t="s">
        <v>86</v>
      </c>
      <c r="D43" s="249" t="s">
        <v>181</v>
      </c>
      <c r="E43" s="249" t="s">
        <v>188</v>
      </c>
      <c r="F43" s="249" t="s">
        <v>8</v>
      </c>
      <c r="G43" s="249">
        <v>0</v>
      </c>
      <c r="H43" s="249" t="s">
        <v>378</v>
      </c>
      <c r="I43" s="249" t="s">
        <v>499</v>
      </c>
      <c r="J43" s="249" t="s">
        <v>412</v>
      </c>
      <c r="K43" s="249" t="s">
        <v>505</v>
      </c>
      <c r="L43" s="249" t="s">
        <v>180</v>
      </c>
      <c r="M43" s="249" t="s">
        <v>181</v>
      </c>
      <c r="N43" s="249" t="s">
        <v>405</v>
      </c>
      <c r="O43" s="249" t="s">
        <v>364</v>
      </c>
      <c r="P43" s="249" t="s">
        <v>506</v>
      </c>
      <c r="Q43" s="250" t="s">
        <v>465</v>
      </c>
      <c r="R43" s="251" t="s">
        <v>181</v>
      </c>
      <c r="S43" s="248" t="s">
        <v>8</v>
      </c>
      <c r="T43" s="252" t="s">
        <v>648</v>
      </c>
      <c r="U43" s="252"/>
      <c r="V43" s="252"/>
      <c r="W43" s="252"/>
      <c r="X43" s="252"/>
      <c r="Y43" s="252"/>
      <c r="Z43" s="252"/>
      <c r="AA43" s="252" t="s">
        <v>648</v>
      </c>
      <c r="AB43" s="252"/>
      <c r="AC43" s="252"/>
    </row>
    <row r="44" spans="1:29" ht="187.5" x14ac:dyDescent="0.25">
      <c r="A44" s="248">
        <v>37</v>
      </c>
      <c r="B44" s="249" t="s">
        <v>87</v>
      </c>
      <c r="C44" s="249" t="s">
        <v>88</v>
      </c>
      <c r="D44" s="249" t="s">
        <v>181</v>
      </c>
      <c r="E44" s="249" t="s">
        <v>44</v>
      </c>
      <c r="F44" s="249" t="s">
        <v>8</v>
      </c>
      <c r="G44" s="249">
        <v>0</v>
      </c>
      <c r="H44" s="249" t="s">
        <v>260</v>
      </c>
      <c r="I44" s="249" t="s">
        <v>486</v>
      </c>
      <c r="J44" s="249" t="s">
        <v>460</v>
      </c>
      <c r="K44" s="249" t="s">
        <v>507</v>
      </c>
      <c r="L44" s="249" t="s">
        <v>369</v>
      </c>
      <c r="M44" s="249" t="s">
        <v>181</v>
      </c>
      <c r="N44" s="249" t="s">
        <v>44</v>
      </c>
      <c r="O44" s="249" t="s">
        <v>364</v>
      </c>
      <c r="P44" s="249" t="s">
        <v>508</v>
      </c>
      <c r="Q44" s="250" t="s">
        <v>44</v>
      </c>
      <c r="R44" s="251" t="s">
        <v>181</v>
      </c>
      <c r="S44" s="248" t="s">
        <v>8</v>
      </c>
      <c r="T44" s="252" t="s">
        <v>648</v>
      </c>
      <c r="U44" s="252"/>
      <c r="V44" s="252"/>
      <c r="W44" s="252"/>
      <c r="X44" s="252"/>
      <c r="Y44" s="252"/>
      <c r="Z44" s="252"/>
      <c r="AA44" s="252" t="s">
        <v>648</v>
      </c>
      <c r="AB44" s="252"/>
      <c r="AC44" s="252"/>
    </row>
    <row r="45" spans="1:29" ht="137.5" x14ac:dyDescent="0.25">
      <c r="A45" s="248">
        <v>38</v>
      </c>
      <c r="B45" s="249" t="s">
        <v>89</v>
      </c>
      <c r="C45" s="249" t="s">
        <v>90</v>
      </c>
      <c r="D45" s="249" t="s">
        <v>181</v>
      </c>
      <c r="E45" s="249" t="s">
        <v>44</v>
      </c>
      <c r="F45" s="249" t="s">
        <v>8</v>
      </c>
      <c r="G45" s="249">
        <v>0</v>
      </c>
      <c r="H45" s="249" t="s">
        <v>366</v>
      </c>
      <c r="I45" s="249" t="s">
        <v>499</v>
      </c>
      <c r="J45" s="249" t="s">
        <v>360</v>
      </c>
      <c r="K45" s="249" t="s">
        <v>509</v>
      </c>
      <c r="L45" s="249" t="s">
        <v>369</v>
      </c>
      <c r="M45" s="249" t="s">
        <v>479</v>
      </c>
      <c r="N45" s="249" t="s">
        <v>405</v>
      </c>
      <c r="O45" s="249" t="s">
        <v>446</v>
      </c>
      <c r="P45" s="249" t="s">
        <v>366</v>
      </c>
      <c r="Q45" s="250" t="s">
        <v>44</v>
      </c>
      <c r="R45" s="251" t="s">
        <v>181</v>
      </c>
      <c r="S45" s="248" t="s">
        <v>8</v>
      </c>
      <c r="T45" s="252" t="s">
        <v>648</v>
      </c>
      <c r="U45" s="252"/>
      <c r="V45" s="252"/>
      <c r="W45" s="252"/>
      <c r="X45" s="252"/>
      <c r="Y45" s="252"/>
      <c r="Z45" s="252"/>
      <c r="AA45" s="252" t="s">
        <v>648</v>
      </c>
      <c r="AB45" s="252"/>
      <c r="AC45" s="252"/>
    </row>
    <row r="46" spans="1:29" ht="75" x14ac:dyDescent="0.25">
      <c r="A46" s="248">
        <v>39</v>
      </c>
      <c r="B46" s="249" t="s">
        <v>91</v>
      </c>
      <c r="C46" s="249" t="s">
        <v>92</v>
      </c>
      <c r="D46" s="249" t="s">
        <v>181</v>
      </c>
      <c r="E46" s="249" t="s">
        <v>189</v>
      </c>
      <c r="F46" s="249" t="s">
        <v>8</v>
      </c>
      <c r="G46" s="249">
        <v>0</v>
      </c>
      <c r="H46" s="249" t="s">
        <v>430</v>
      </c>
      <c r="I46" s="249" t="s">
        <v>411</v>
      </c>
      <c r="J46" s="249" t="s">
        <v>471</v>
      </c>
      <c r="K46" s="249" t="s">
        <v>510</v>
      </c>
      <c r="L46" s="249" t="s">
        <v>369</v>
      </c>
      <c r="M46" s="249" t="s">
        <v>511</v>
      </c>
      <c r="N46" s="249" t="s">
        <v>512</v>
      </c>
      <c r="O46" s="249" t="s">
        <v>364</v>
      </c>
      <c r="P46" s="249" t="s">
        <v>381</v>
      </c>
      <c r="Q46" s="250" t="s">
        <v>189</v>
      </c>
      <c r="R46" s="251" t="s">
        <v>181</v>
      </c>
      <c r="S46" s="248" t="s">
        <v>8</v>
      </c>
      <c r="T46" s="252" t="s">
        <v>648</v>
      </c>
      <c r="U46" s="252"/>
      <c r="V46" s="252"/>
      <c r="W46" s="252" t="s">
        <v>648</v>
      </c>
      <c r="X46" s="252"/>
      <c r="Y46" s="252"/>
      <c r="Z46" s="252"/>
      <c r="AA46" s="252" t="s">
        <v>648</v>
      </c>
      <c r="AB46" s="252"/>
      <c r="AC46" s="252"/>
    </row>
    <row r="47" spans="1:29" ht="137.5" x14ac:dyDescent="0.25">
      <c r="A47" s="248">
        <v>40</v>
      </c>
      <c r="B47" s="249" t="s">
        <v>93</v>
      </c>
      <c r="C47" s="249" t="s">
        <v>94</v>
      </c>
      <c r="D47" s="249" t="s">
        <v>182</v>
      </c>
      <c r="E47" s="249" t="s">
        <v>190</v>
      </c>
      <c r="F47" s="249" t="s">
        <v>8</v>
      </c>
      <c r="G47" s="249">
        <v>0</v>
      </c>
      <c r="H47" s="249" t="s">
        <v>260</v>
      </c>
      <c r="I47" s="249" t="s">
        <v>486</v>
      </c>
      <c r="J47" s="249" t="s">
        <v>360</v>
      </c>
      <c r="K47" s="249" t="s">
        <v>513</v>
      </c>
      <c r="L47" s="249" t="s">
        <v>362</v>
      </c>
      <c r="M47" s="249" t="s">
        <v>182</v>
      </c>
      <c r="N47" s="249" t="s">
        <v>405</v>
      </c>
      <c r="O47" s="249" t="s">
        <v>364</v>
      </c>
      <c r="P47" s="249" t="s">
        <v>514</v>
      </c>
      <c r="Q47" s="250" t="s">
        <v>515</v>
      </c>
      <c r="R47" s="251" t="s">
        <v>181</v>
      </c>
      <c r="S47" s="248" t="s">
        <v>8</v>
      </c>
      <c r="T47" s="252" t="s">
        <v>648</v>
      </c>
      <c r="U47" s="252"/>
      <c r="V47" s="252"/>
      <c r="W47" s="252"/>
      <c r="X47" s="252" t="s">
        <v>648</v>
      </c>
      <c r="Y47" s="252"/>
      <c r="Z47" s="252"/>
      <c r="AA47" s="252" t="s">
        <v>648</v>
      </c>
      <c r="AB47" s="252"/>
      <c r="AC47" s="252"/>
    </row>
    <row r="48" spans="1:29" ht="112.5" x14ac:dyDescent="0.25">
      <c r="A48" s="248">
        <v>41</v>
      </c>
      <c r="B48" s="249" t="s">
        <v>95</v>
      </c>
      <c r="C48" s="249" t="s">
        <v>96</v>
      </c>
      <c r="D48" s="249" t="s">
        <v>181</v>
      </c>
      <c r="E48" s="249" t="s">
        <v>188</v>
      </c>
      <c r="F48" s="249" t="s">
        <v>8</v>
      </c>
      <c r="G48" s="249">
        <v>0</v>
      </c>
      <c r="H48" s="249" t="s">
        <v>516</v>
      </c>
      <c r="I48" s="249" t="s">
        <v>367</v>
      </c>
      <c r="J48" s="249" t="s">
        <v>517</v>
      </c>
      <c r="K48" s="249" t="s">
        <v>518</v>
      </c>
      <c r="L48" s="249" t="s">
        <v>432</v>
      </c>
      <c r="M48" s="249" t="s">
        <v>182</v>
      </c>
      <c r="N48" s="249" t="s">
        <v>405</v>
      </c>
      <c r="O48" s="249" t="s">
        <v>364</v>
      </c>
      <c r="P48" s="249" t="s">
        <v>443</v>
      </c>
      <c r="Q48" s="250" t="s">
        <v>188</v>
      </c>
      <c r="R48" s="251" t="s">
        <v>181</v>
      </c>
      <c r="S48" s="248" t="s">
        <v>8</v>
      </c>
      <c r="T48" s="252" t="s">
        <v>648</v>
      </c>
      <c r="U48" s="252"/>
      <c r="V48" s="252"/>
      <c r="W48" s="252"/>
      <c r="X48" s="252"/>
      <c r="Y48" s="252"/>
      <c r="Z48" s="252"/>
      <c r="AA48" s="252" t="s">
        <v>648</v>
      </c>
      <c r="AB48" s="252"/>
      <c r="AC48" s="252"/>
    </row>
    <row r="49" spans="1:29" ht="50" x14ac:dyDescent="0.25">
      <c r="A49" s="248">
        <v>42</v>
      </c>
      <c r="B49" s="249" t="s">
        <v>97</v>
      </c>
      <c r="C49" s="249" t="s">
        <v>98</v>
      </c>
      <c r="D49" s="249" t="s">
        <v>47</v>
      </c>
      <c r="E49" s="249" t="s">
        <v>184</v>
      </c>
      <c r="F49" s="249" t="s">
        <v>8</v>
      </c>
      <c r="G49" s="249">
        <v>0</v>
      </c>
      <c r="H49" s="249" t="s">
        <v>430</v>
      </c>
      <c r="I49" s="249" t="s">
        <v>411</v>
      </c>
      <c r="J49" s="249" t="s">
        <v>360</v>
      </c>
      <c r="K49" s="249" t="s">
        <v>519</v>
      </c>
      <c r="L49" s="249" t="s">
        <v>362</v>
      </c>
      <c r="M49" s="249" t="s">
        <v>511</v>
      </c>
      <c r="N49" s="249" t="s">
        <v>405</v>
      </c>
      <c r="O49" s="249" t="s">
        <v>364</v>
      </c>
      <c r="P49" s="249" t="s">
        <v>381</v>
      </c>
      <c r="Q49" s="250" t="s">
        <v>365</v>
      </c>
      <c r="R49" s="251" t="s">
        <v>520</v>
      </c>
      <c r="S49" s="248" t="s">
        <v>8</v>
      </c>
      <c r="T49" s="252"/>
      <c r="U49" s="252"/>
      <c r="V49" s="252"/>
      <c r="W49" s="252" t="s">
        <v>648</v>
      </c>
      <c r="X49" s="252"/>
      <c r="Y49" s="252"/>
      <c r="Z49" s="252"/>
      <c r="AA49" s="252"/>
      <c r="AB49" s="252"/>
      <c r="AC49" s="252"/>
    </row>
    <row r="50" spans="1:29" ht="112.5" x14ac:dyDescent="0.25">
      <c r="A50" s="248">
        <v>43</v>
      </c>
      <c r="B50" s="249" t="s">
        <v>99</v>
      </c>
      <c r="C50" s="249" t="s">
        <v>100</v>
      </c>
      <c r="D50" s="249" t="s">
        <v>47</v>
      </c>
      <c r="E50" s="249" t="s">
        <v>101</v>
      </c>
      <c r="F50" s="249" t="s">
        <v>8</v>
      </c>
      <c r="G50" s="249">
        <v>0</v>
      </c>
      <c r="H50" s="249" t="s">
        <v>430</v>
      </c>
      <c r="I50" s="249" t="s">
        <v>367</v>
      </c>
      <c r="J50" s="249" t="s">
        <v>427</v>
      </c>
      <c r="K50" s="249" t="s">
        <v>521</v>
      </c>
      <c r="L50" s="249" t="s">
        <v>432</v>
      </c>
      <c r="M50" s="249" t="s">
        <v>520</v>
      </c>
      <c r="N50" s="249" t="s">
        <v>101</v>
      </c>
      <c r="O50" s="249" t="s">
        <v>446</v>
      </c>
      <c r="P50" s="249" t="s">
        <v>381</v>
      </c>
      <c r="Q50" s="250" t="s">
        <v>101</v>
      </c>
      <c r="R50" s="251" t="s">
        <v>181</v>
      </c>
      <c r="S50" s="248" t="s">
        <v>8</v>
      </c>
      <c r="T50" s="252"/>
      <c r="U50" s="252"/>
      <c r="V50" s="252"/>
      <c r="W50" s="252" t="s">
        <v>648</v>
      </c>
      <c r="X50" s="252"/>
      <c r="Y50" s="252"/>
      <c r="Z50" s="252" t="s">
        <v>648</v>
      </c>
      <c r="AA50" s="252" t="s">
        <v>648</v>
      </c>
      <c r="AB50" s="252"/>
      <c r="AC50" s="252"/>
    </row>
    <row r="51" spans="1:29" ht="50" x14ac:dyDescent="0.25">
      <c r="A51" s="248">
        <v>44</v>
      </c>
      <c r="B51" s="249" t="s">
        <v>102</v>
      </c>
      <c r="C51" s="249" t="s">
        <v>103</v>
      </c>
      <c r="D51" s="249" t="s">
        <v>181</v>
      </c>
      <c r="E51" s="249" t="s">
        <v>44</v>
      </c>
      <c r="F51" s="249" t="s">
        <v>8</v>
      </c>
      <c r="G51" s="249">
        <v>0</v>
      </c>
      <c r="H51" s="249" t="s">
        <v>378</v>
      </c>
      <c r="I51" s="249" t="s">
        <v>411</v>
      </c>
      <c r="J51" s="249" t="s">
        <v>522</v>
      </c>
      <c r="K51" s="249" t="s">
        <v>523</v>
      </c>
      <c r="L51" s="249" t="s">
        <v>369</v>
      </c>
      <c r="M51" s="249" t="s">
        <v>181</v>
      </c>
      <c r="N51" s="249" t="s">
        <v>44</v>
      </c>
      <c r="O51" s="249" t="s">
        <v>364</v>
      </c>
      <c r="P51" s="249" t="s">
        <v>378</v>
      </c>
      <c r="Q51" s="250" t="s">
        <v>44</v>
      </c>
      <c r="R51" s="251" t="s">
        <v>181</v>
      </c>
      <c r="S51" s="248" t="s">
        <v>8</v>
      </c>
      <c r="T51" s="252" t="s">
        <v>648</v>
      </c>
      <c r="U51" s="252"/>
      <c r="V51" s="252"/>
      <c r="W51" s="252"/>
      <c r="X51" s="252"/>
      <c r="Y51" s="252"/>
      <c r="Z51" s="252"/>
      <c r="AA51" s="252" t="s">
        <v>648</v>
      </c>
      <c r="AB51" s="252"/>
      <c r="AC51" s="252"/>
    </row>
    <row r="52" spans="1:29" ht="112.5" x14ac:dyDescent="0.25">
      <c r="A52" s="248">
        <v>45</v>
      </c>
      <c r="B52" s="249" t="s">
        <v>104</v>
      </c>
      <c r="C52" s="249" t="s">
        <v>105</v>
      </c>
      <c r="D52" s="249" t="s">
        <v>181</v>
      </c>
      <c r="E52" s="249" t="s">
        <v>44</v>
      </c>
      <c r="F52" s="249" t="s">
        <v>8</v>
      </c>
      <c r="G52" s="249">
        <v>0</v>
      </c>
      <c r="H52" s="249" t="s">
        <v>416</v>
      </c>
      <c r="I52" s="249" t="s">
        <v>367</v>
      </c>
      <c r="J52" s="249" t="s">
        <v>412</v>
      </c>
      <c r="K52" s="249" t="s">
        <v>524</v>
      </c>
      <c r="L52" s="249" t="s">
        <v>369</v>
      </c>
      <c r="M52" s="249" t="s">
        <v>181</v>
      </c>
      <c r="N52" s="249" t="s">
        <v>44</v>
      </c>
      <c r="O52" s="249" t="s">
        <v>370</v>
      </c>
      <c r="P52" s="249" t="s">
        <v>525</v>
      </c>
      <c r="Q52" s="250" t="s">
        <v>44</v>
      </c>
      <c r="R52" s="251" t="s">
        <v>181</v>
      </c>
      <c r="S52" s="248" t="s">
        <v>8</v>
      </c>
      <c r="T52" s="252" t="s">
        <v>648</v>
      </c>
      <c r="U52" s="252"/>
      <c r="V52" s="252"/>
      <c r="W52" s="252"/>
      <c r="X52" s="252"/>
      <c r="Y52" s="252"/>
      <c r="Z52" s="252"/>
      <c r="AA52" s="252" t="s">
        <v>648</v>
      </c>
      <c r="AB52" s="252"/>
      <c r="AC52" s="252"/>
    </row>
    <row r="53" spans="1:29" ht="112.5" x14ac:dyDescent="0.25">
      <c r="A53" s="248">
        <v>46</v>
      </c>
      <c r="B53" s="249" t="s">
        <v>106</v>
      </c>
      <c r="C53" s="249" t="s">
        <v>107</v>
      </c>
      <c r="D53" s="249" t="s">
        <v>182</v>
      </c>
      <c r="E53" s="249" t="s">
        <v>108</v>
      </c>
      <c r="F53" s="249" t="s">
        <v>13</v>
      </c>
      <c r="G53" s="249">
        <v>0</v>
      </c>
      <c r="H53" s="249" t="s">
        <v>430</v>
      </c>
      <c r="I53" s="249" t="s">
        <v>359</v>
      </c>
      <c r="J53" s="249" t="s">
        <v>360</v>
      </c>
      <c r="K53" s="249" t="s">
        <v>526</v>
      </c>
      <c r="L53" s="249" t="s">
        <v>432</v>
      </c>
      <c r="M53" s="249" t="s">
        <v>520</v>
      </c>
      <c r="N53" s="249" t="s">
        <v>527</v>
      </c>
      <c r="O53" s="249" t="s">
        <v>364</v>
      </c>
      <c r="P53" s="249" t="s">
        <v>528</v>
      </c>
      <c r="Q53" s="250" t="s">
        <v>527</v>
      </c>
      <c r="R53" s="251" t="s">
        <v>149</v>
      </c>
      <c r="S53" s="248" t="s">
        <v>13</v>
      </c>
      <c r="T53" s="252"/>
      <c r="U53" s="252" t="s">
        <v>648</v>
      </c>
      <c r="V53" s="252" t="s">
        <v>648</v>
      </c>
      <c r="W53" s="252"/>
      <c r="X53" s="252"/>
      <c r="Y53" s="252"/>
      <c r="Z53" s="252"/>
      <c r="AA53" s="252"/>
      <c r="AB53" s="252" t="s">
        <v>648</v>
      </c>
      <c r="AC53" s="252"/>
    </row>
    <row r="54" spans="1:29" ht="75" x14ac:dyDescent="0.25">
      <c r="A54" s="248">
        <v>47</v>
      </c>
      <c r="B54" s="249" t="s">
        <v>109</v>
      </c>
      <c r="C54" s="249" t="s">
        <v>110</v>
      </c>
      <c r="D54" s="249" t="s">
        <v>47</v>
      </c>
      <c r="E54" s="249" t="s">
        <v>47</v>
      </c>
      <c r="F54" s="249" t="s">
        <v>8</v>
      </c>
      <c r="G54" s="249">
        <v>0</v>
      </c>
      <c r="H54" s="249" t="s">
        <v>430</v>
      </c>
      <c r="I54" s="249" t="s">
        <v>411</v>
      </c>
      <c r="J54" s="249" t="s">
        <v>529</v>
      </c>
      <c r="K54" s="249" t="s">
        <v>530</v>
      </c>
      <c r="L54" s="249" t="s">
        <v>432</v>
      </c>
      <c r="M54" s="249" t="s">
        <v>531</v>
      </c>
      <c r="N54" s="249" t="s">
        <v>532</v>
      </c>
      <c r="O54" s="249" t="s">
        <v>364</v>
      </c>
      <c r="P54" s="249" t="s">
        <v>430</v>
      </c>
      <c r="Q54" s="250" t="s">
        <v>365</v>
      </c>
      <c r="R54" s="251" t="s">
        <v>520</v>
      </c>
      <c r="S54" s="248" t="s">
        <v>8</v>
      </c>
      <c r="T54" s="252"/>
      <c r="U54" s="252"/>
      <c r="V54" s="252"/>
      <c r="W54" s="252" t="s">
        <v>648</v>
      </c>
      <c r="X54" s="252"/>
      <c r="Y54" s="252"/>
      <c r="Z54" s="252"/>
      <c r="AA54" s="252"/>
      <c r="AB54" s="252"/>
      <c r="AC54" s="252"/>
    </row>
    <row r="55" spans="1:29" ht="75" x14ac:dyDescent="0.25">
      <c r="A55" s="248">
        <v>48</v>
      </c>
      <c r="B55" s="249" t="s">
        <v>111</v>
      </c>
      <c r="C55" s="249" t="s">
        <v>112</v>
      </c>
      <c r="D55" s="249" t="s">
        <v>47</v>
      </c>
      <c r="E55" s="249" t="s">
        <v>47</v>
      </c>
      <c r="F55" s="249" t="s">
        <v>8</v>
      </c>
      <c r="G55" s="249">
        <v>0</v>
      </c>
      <c r="H55" s="249" t="s">
        <v>378</v>
      </c>
      <c r="I55" s="249" t="s">
        <v>411</v>
      </c>
      <c r="J55" s="249" t="s">
        <v>360</v>
      </c>
      <c r="K55" s="249" t="s">
        <v>533</v>
      </c>
      <c r="L55" s="249" t="s">
        <v>362</v>
      </c>
      <c r="M55" s="249" t="s">
        <v>397</v>
      </c>
      <c r="N55" s="249" t="s">
        <v>534</v>
      </c>
      <c r="O55" s="249" t="s">
        <v>364</v>
      </c>
      <c r="P55" s="249" t="s">
        <v>535</v>
      </c>
      <c r="Q55" s="250" t="s">
        <v>365</v>
      </c>
      <c r="R55" s="251" t="s">
        <v>181</v>
      </c>
      <c r="S55" s="248" t="s">
        <v>8</v>
      </c>
      <c r="T55" s="252"/>
      <c r="U55" s="252"/>
      <c r="V55" s="252"/>
      <c r="W55" s="252" t="s">
        <v>648</v>
      </c>
      <c r="X55" s="252"/>
      <c r="Y55" s="252"/>
      <c r="Z55" s="252"/>
      <c r="AA55" s="252" t="s">
        <v>648</v>
      </c>
      <c r="AB55" s="252"/>
      <c r="AC55" s="252"/>
    </row>
    <row r="56" spans="1:29" ht="212.5" x14ac:dyDescent="0.25">
      <c r="A56" s="248">
        <v>49</v>
      </c>
      <c r="B56" s="249" t="s">
        <v>113</v>
      </c>
      <c r="C56" s="249" t="s">
        <v>114</v>
      </c>
      <c r="D56" s="249" t="s">
        <v>181</v>
      </c>
      <c r="E56" s="249" t="s">
        <v>188</v>
      </c>
      <c r="F56" s="249" t="s">
        <v>8</v>
      </c>
      <c r="G56" s="249">
        <v>0</v>
      </c>
      <c r="H56" s="249" t="s">
        <v>516</v>
      </c>
      <c r="I56" s="249" t="s">
        <v>411</v>
      </c>
      <c r="J56" s="249" t="s">
        <v>395</v>
      </c>
      <c r="K56" s="249" t="s">
        <v>536</v>
      </c>
      <c r="L56" s="249" t="s">
        <v>180</v>
      </c>
      <c r="M56" s="249" t="s">
        <v>405</v>
      </c>
      <c r="N56" s="249" t="s">
        <v>537</v>
      </c>
      <c r="O56" s="249" t="s">
        <v>364</v>
      </c>
      <c r="P56" s="249" t="s">
        <v>443</v>
      </c>
      <c r="Q56" s="250" t="s">
        <v>188</v>
      </c>
      <c r="R56" s="251" t="s">
        <v>181</v>
      </c>
      <c r="S56" s="248" t="s">
        <v>8</v>
      </c>
      <c r="T56" s="252" t="s">
        <v>648</v>
      </c>
      <c r="U56" s="252"/>
      <c r="V56" s="252"/>
      <c r="W56" s="252"/>
      <c r="X56" s="252"/>
      <c r="Y56" s="252"/>
      <c r="Z56" s="252"/>
      <c r="AA56" s="252" t="s">
        <v>648</v>
      </c>
      <c r="AB56" s="252"/>
      <c r="AC56" s="252"/>
    </row>
    <row r="57" spans="1:29" ht="112.5" x14ac:dyDescent="0.25">
      <c r="A57" s="248">
        <v>50</v>
      </c>
      <c r="B57" s="249" t="s">
        <v>115</v>
      </c>
      <c r="C57" s="249" t="s">
        <v>116</v>
      </c>
      <c r="D57" s="249" t="s">
        <v>181</v>
      </c>
      <c r="E57" s="249" t="s">
        <v>44</v>
      </c>
      <c r="F57" s="249" t="s">
        <v>8</v>
      </c>
      <c r="G57" s="249">
        <v>0</v>
      </c>
      <c r="H57" s="249"/>
      <c r="I57" s="249" t="s">
        <v>367</v>
      </c>
      <c r="J57" s="249" t="s">
        <v>538</v>
      </c>
      <c r="K57" s="249" t="s">
        <v>539</v>
      </c>
      <c r="L57" s="249" t="s">
        <v>369</v>
      </c>
      <c r="M57" s="249" t="s">
        <v>181</v>
      </c>
      <c r="N57" s="249" t="s">
        <v>44</v>
      </c>
      <c r="O57" s="249" t="s">
        <v>370</v>
      </c>
      <c r="P57" s="249" t="s">
        <v>540</v>
      </c>
      <c r="Q57" s="250" t="s">
        <v>44</v>
      </c>
      <c r="R57" s="251" t="s">
        <v>181</v>
      </c>
      <c r="S57" s="248" t="s">
        <v>8</v>
      </c>
      <c r="T57" s="252" t="s">
        <v>648</v>
      </c>
      <c r="U57" s="252"/>
      <c r="V57" s="252"/>
      <c r="W57" s="252"/>
      <c r="X57" s="252"/>
      <c r="Y57" s="252"/>
      <c r="Z57" s="252"/>
      <c r="AA57" s="252" t="s">
        <v>648</v>
      </c>
      <c r="AB57" s="252"/>
      <c r="AC57" s="252"/>
    </row>
    <row r="58" spans="1:29" ht="62.5" x14ac:dyDescent="0.25">
      <c r="A58" s="248">
        <v>51</v>
      </c>
      <c r="B58" s="249" t="s">
        <v>117</v>
      </c>
      <c r="C58" s="249" t="s">
        <v>118</v>
      </c>
      <c r="D58" s="249" t="s">
        <v>181</v>
      </c>
      <c r="E58" s="249" t="s">
        <v>188</v>
      </c>
      <c r="F58" s="249" t="s">
        <v>8</v>
      </c>
      <c r="G58" s="249">
        <v>0</v>
      </c>
      <c r="H58" s="249" t="s">
        <v>378</v>
      </c>
      <c r="I58" s="249" t="s">
        <v>411</v>
      </c>
      <c r="J58" s="249" t="s">
        <v>538</v>
      </c>
      <c r="K58" s="249" t="s">
        <v>541</v>
      </c>
      <c r="L58" s="249" t="s">
        <v>180</v>
      </c>
      <c r="M58" s="249" t="s">
        <v>405</v>
      </c>
      <c r="N58" s="249" t="s">
        <v>542</v>
      </c>
      <c r="O58" s="249" t="s">
        <v>364</v>
      </c>
      <c r="P58" s="249" t="s">
        <v>543</v>
      </c>
      <c r="Q58" s="250" t="s">
        <v>188</v>
      </c>
      <c r="R58" s="251" t="s">
        <v>181</v>
      </c>
      <c r="S58" s="248" t="s">
        <v>8</v>
      </c>
      <c r="T58" s="252" t="s">
        <v>648</v>
      </c>
      <c r="U58" s="252"/>
      <c r="V58" s="252"/>
      <c r="W58" s="252"/>
      <c r="X58" s="252"/>
      <c r="Y58" s="252"/>
      <c r="Z58" s="252"/>
      <c r="AA58" s="252" t="s">
        <v>648</v>
      </c>
      <c r="AB58" s="252"/>
      <c r="AC58" s="252"/>
    </row>
    <row r="59" spans="1:29" ht="112.5" x14ac:dyDescent="0.25">
      <c r="A59" s="248">
        <v>52</v>
      </c>
      <c r="B59" s="249" t="s">
        <v>119</v>
      </c>
      <c r="C59" s="249" t="s">
        <v>120</v>
      </c>
      <c r="D59" s="249" t="s">
        <v>47</v>
      </c>
      <c r="E59" s="249" t="s">
        <v>47</v>
      </c>
      <c r="F59" s="249" t="s">
        <v>8</v>
      </c>
      <c r="G59" s="249">
        <v>0</v>
      </c>
      <c r="H59" s="249" t="s">
        <v>470</v>
      </c>
      <c r="I59" s="249" t="s">
        <v>367</v>
      </c>
      <c r="J59" s="249" t="s">
        <v>360</v>
      </c>
      <c r="K59" s="249" t="s">
        <v>544</v>
      </c>
      <c r="L59" s="249" t="s">
        <v>180</v>
      </c>
      <c r="M59" s="249" t="s">
        <v>405</v>
      </c>
      <c r="N59" s="249" t="s">
        <v>545</v>
      </c>
      <c r="O59" s="249" t="s">
        <v>364</v>
      </c>
      <c r="P59" s="249" t="s">
        <v>546</v>
      </c>
      <c r="Q59" s="250" t="s">
        <v>365</v>
      </c>
      <c r="R59" s="251" t="s">
        <v>181</v>
      </c>
      <c r="S59" s="248" t="s">
        <v>8</v>
      </c>
      <c r="T59" s="252" t="s">
        <v>650</v>
      </c>
      <c r="U59" s="252"/>
      <c r="V59" s="252"/>
      <c r="W59" s="252" t="s">
        <v>648</v>
      </c>
      <c r="X59" s="252"/>
      <c r="Y59" s="252"/>
      <c r="Z59" s="252"/>
      <c r="AA59" s="252" t="s">
        <v>648</v>
      </c>
      <c r="AB59" s="252"/>
      <c r="AC59" s="252"/>
    </row>
    <row r="60" spans="1:29" ht="200" x14ac:dyDescent="0.25">
      <c r="A60" s="248">
        <v>53</v>
      </c>
      <c r="B60" s="249" t="s">
        <v>121</v>
      </c>
      <c r="C60" s="249" t="s">
        <v>122</v>
      </c>
      <c r="D60" s="249" t="s">
        <v>47</v>
      </c>
      <c r="E60" s="249" t="s">
        <v>184</v>
      </c>
      <c r="F60" s="249" t="s">
        <v>8</v>
      </c>
      <c r="G60" s="249">
        <v>0</v>
      </c>
      <c r="H60" s="249" t="s">
        <v>371</v>
      </c>
      <c r="I60" s="249" t="s">
        <v>486</v>
      </c>
      <c r="J60" s="249" t="s">
        <v>427</v>
      </c>
      <c r="K60" s="249" t="s">
        <v>547</v>
      </c>
      <c r="L60" s="249" t="s">
        <v>548</v>
      </c>
      <c r="M60" s="249" t="s">
        <v>548</v>
      </c>
      <c r="N60" s="249" t="s">
        <v>549</v>
      </c>
      <c r="O60" s="249" t="s">
        <v>364</v>
      </c>
      <c r="P60" s="249" t="s">
        <v>550</v>
      </c>
      <c r="Q60" s="250" t="s">
        <v>365</v>
      </c>
      <c r="R60" s="251" t="s">
        <v>181</v>
      </c>
      <c r="S60" s="248" t="s">
        <v>8</v>
      </c>
      <c r="T60" s="252"/>
      <c r="U60" s="252"/>
      <c r="V60" s="252"/>
      <c r="W60" s="252" t="s">
        <v>648</v>
      </c>
      <c r="X60" s="252"/>
      <c r="Y60" s="252"/>
      <c r="Z60" s="252"/>
      <c r="AA60" s="252" t="s">
        <v>648</v>
      </c>
      <c r="AB60" s="252"/>
      <c r="AC60" s="252"/>
    </row>
    <row r="61" spans="1:29" ht="187.5" x14ac:dyDescent="0.25">
      <c r="A61" s="248">
        <v>54</v>
      </c>
      <c r="B61" s="249" t="s">
        <v>123</v>
      </c>
      <c r="C61" s="249" t="s">
        <v>124</v>
      </c>
      <c r="D61" s="249" t="s">
        <v>182</v>
      </c>
      <c r="E61" s="249" t="s">
        <v>188</v>
      </c>
      <c r="F61" s="249" t="s">
        <v>5</v>
      </c>
      <c r="G61" s="249">
        <v>0</v>
      </c>
      <c r="H61" s="249" t="s">
        <v>551</v>
      </c>
      <c r="I61" s="249" t="s">
        <v>401</v>
      </c>
      <c r="J61" s="249" t="s">
        <v>360</v>
      </c>
      <c r="K61" s="249" t="s">
        <v>552</v>
      </c>
      <c r="L61" s="249" t="s">
        <v>369</v>
      </c>
      <c r="M61" s="249" t="s">
        <v>553</v>
      </c>
      <c r="N61" s="249" t="s">
        <v>554</v>
      </c>
      <c r="O61" s="249" t="s">
        <v>555</v>
      </c>
      <c r="P61" s="249" t="s">
        <v>556</v>
      </c>
      <c r="Q61" s="250" t="s">
        <v>188</v>
      </c>
      <c r="R61" s="251" t="s">
        <v>149</v>
      </c>
      <c r="S61" s="248" t="s">
        <v>5</v>
      </c>
      <c r="T61" s="252" t="s">
        <v>648</v>
      </c>
      <c r="U61" s="252"/>
      <c r="V61" s="252"/>
      <c r="W61" s="252"/>
      <c r="X61" s="252"/>
      <c r="Y61" s="252"/>
      <c r="Z61" s="252"/>
      <c r="AA61" s="252"/>
      <c r="AB61" s="252" t="s">
        <v>648</v>
      </c>
      <c r="AC61" s="252"/>
    </row>
    <row r="62" spans="1:29" ht="200" x14ac:dyDescent="0.25">
      <c r="A62" s="248">
        <v>55</v>
      </c>
      <c r="B62" s="249" t="s">
        <v>125</v>
      </c>
      <c r="C62" s="249" t="s">
        <v>126</v>
      </c>
      <c r="D62" s="249" t="s">
        <v>181</v>
      </c>
      <c r="E62" s="249" t="s">
        <v>188</v>
      </c>
      <c r="F62" s="249" t="s">
        <v>13</v>
      </c>
      <c r="G62" s="249">
        <v>0</v>
      </c>
      <c r="H62" s="249" t="s">
        <v>557</v>
      </c>
      <c r="I62" s="249" t="s">
        <v>459</v>
      </c>
      <c r="J62" s="249" t="s">
        <v>477</v>
      </c>
      <c r="K62" s="249" t="s">
        <v>558</v>
      </c>
      <c r="L62" s="249" t="s">
        <v>559</v>
      </c>
      <c r="M62" s="249" t="s">
        <v>560</v>
      </c>
      <c r="N62" s="249" t="s">
        <v>561</v>
      </c>
      <c r="O62" s="249" t="s">
        <v>555</v>
      </c>
      <c r="P62" s="249" t="s">
        <v>562</v>
      </c>
      <c r="Q62" s="250" t="s">
        <v>188</v>
      </c>
      <c r="R62" s="251" t="s">
        <v>181</v>
      </c>
      <c r="S62" s="248" t="s">
        <v>13</v>
      </c>
      <c r="T62" s="252" t="s">
        <v>648</v>
      </c>
      <c r="U62" s="252"/>
      <c r="V62" s="252"/>
      <c r="W62" s="252"/>
      <c r="X62" s="252"/>
      <c r="Y62" s="252"/>
      <c r="Z62" s="252"/>
      <c r="AA62" s="252" t="s">
        <v>648</v>
      </c>
      <c r="AB62" s="252"/>
      <c r="AC62" s="252"/>
    </row>
    <row r="63" spans="1:29" ht="112.5" x14ac:dyDescent="0.25">
      <c r="A63" s="248">
        <v>56</v>
      </c>
      <c r="B63" s="249" t="s">
        <v>127</v>
      </c>
      <c r="C63" s="249" t="s">
        <v>128</v>
      </c>
      <c r="D63" s="249" t="s">
        <v>181</v>
      </c>
      <c r="E63" s="249" t="s">
        <v>44</v>
      </c>
      <c r="F63" s="249" t="s">
        <v>8</v>
      </c>
      <c r="G63" s="249" t="s">
        <v>8</v>
      </c>
      <c r="H63" s="249" t="s">
        <v>261</v>
      </c>
      <c r="I63" s="249" t="s">
        <v>367</v>
      </c>
      <c r="J63" s="249" t="s">
        <v>360</v>
      </c>
      <c r="K63" s="249" t="s">
        <v>563</v>
      </c>
      <c r="L63" s="249" t="s">
        <v>369</v>
      </c>
      <c r="M63" s="249" t="s">
        <v>553</v>
      </c>
      <c r="N63" s="249" t="s">
        <v>564</v>
      </c>
      <c r="O63" s="249" t="s">
        <v>364</v>
      </c>
      <c r="P63" s="249" t="s">
        <v>565</v>
      </c>
      <c r="Q63" s="250" t="s">
        <v>44</v>
      </c>
      <c r="R63" s="251" t="s">
        <v>181</v>
      </c>
      <c r="S63" s="248" t="s">
        <v>8</v>
      </c>
      <c r="T63" s="252" t="s">
        <v>648</v>
      </c>
      <c r="U63" s="252"/>
      <c r="V63" s="252"/>
      <c r="W63" s="252"/>
      <c r="X63" s="252"/>
      <c r="Y63" s="252"/>
      <c r="Z63" s="252"/>
      <c r="AA63" s="252" t="s">
        <v>648</v>
      </c>
      <c r="AB63" s="252"/>
      <c r="AC63" s="252"/>
    </row>
    <row r="64" spans="1:29" ht="150" x14ac:dyDescent="0.25">
      <c r="A64" s="248">
        <v>57</v>
      </c>
      <c r="B64" s="249" t="s">
        <v>129</v>
      </c>
      <c r="C64" s="249" t="s">
        <v>130</v>
      </c>
      <c r="D64" s="249" t="s">
        <v>131</v>
      </c>
      <c r="E64" s="249" t="s">
        <v>131</v>
      </c>
      <c r="F64" s="249" t="s">
        <v>8</v>
      </c>
      <c r="G64" s="249">
        <v>0</v>
      </c>
      <c r="H64" s="249" t="s">
        <v>260</v>
      </c>
      <c r="I64" s="249" t="s">
        <v>401</v>
      </c>
      <c r="J64" s="249" t="s">
        <v>412</v>
      </c>
      <c r="K64" s="249" t="s">
        <v>566</v>
      </c>
      <c r="L64" s="249" t="s">
        <v>369</v>
      </c>
      <c r="M64" s="249" t="s">
        <v>567</v>
      </c>
      <c r="N64" s="249" t="s">
        <v>568</v>
      </c>
      <c r="O64" s="249" t="s">
        <v>555</v>
      </c>
      <c r="P64" s="249" t="s">
        <v>569</v>
      </c>
      <c r="Q64" s="250" t="s">
        <v>188</v>
      </c>
      <c r="R64" s="251" t="s">
        <v>181</v>
      </c>
      <c r="S64" s="248" t="s">
        <v>8</v>
      </c>
      <c r="T64" s="252" t="s">
        <v>648</v>
      </c>
      <c r="U64" s="252"/>
      <c r="V64" s="252"/>
      <c r="W64" s="252"/>
      <c r="X64" s="252"/>
      <c r="Y64" s="252"/>
      <c r="Z64" s="252"/>
      <c r="AA64" s="252" t="s">
        <v>648</v>
      </c>
      <c r="AB64" s="252"/>
      <c r="AC64" s="252"/>
    </row>
    <row r="65" spans="1:29" ht="112.5" x14ac:dyDescent="0.25">
      <c r="A65" s="248">
        <v>58</v>
      </c>
      <c r="B65" s="249" t="s">
        <v>132</v>
      </c>
      <c r="C65" s="249" t="s">
        <v>133</v>
      </c>
      <c r="D65" s="249" t="s">
        <v>181</v>
      </c>
      <c r="E65" s="249" t="s">
        <v>191</v>
      </c>
      <c r="F65" s="249" t="s">
        <v>8</v>
      </c>
      <c r="G65" s="249">
        <v>0</v>
      </c>
      <c r="H65" s="249" t="s">
        <v>416</v>
      </c>
      <c r="I65" s="249" t="s">
        <v>367</v>
      </c>
      <c r="J65" s="249" t="s">
        <v>360</v>
      </c>
      <c r="K65" s="249" t="s">
        <v>570</v>
      </c>
      <c r="L65" s="249" t="s">
        <v>369</v>
      </c>
      <c r="M65" s="249" t="s">
        <v>181</v>
      </c>
      <c r="N65" s="249" t="s">
        <v>571</v>
      </c>
      <c r="O65" s="249" t="s">
        <v>380</v>
      </c>
      <c r="P65" s="249" t="s">
        <v>423</v>
      </c>
      <c r="Q65" s="250" t="s">
        <v>191</v>
      </c>
      <c r="R65" s="251" t="s">
        <v>181</v>
      </c>
      <c r="S65" s="248" t="s">
        <v>8</v>
      </c>
      <c r="T65" s="252" t="s">
        <v>648</v>
      </c>
      <c r="U65" s="252"/>
      <c r="V65" s="252"/>
      <c r="W65" s="252"/>
      <c r="X65" s="252"/>
      <c r="Y65" s="252"/>
      <c r="Z65" s="252"/>
      <c r="AA65" s="252" t="s">
        <v>648</v>
      </c>
      <c r="AB65" s="252"/>
      <c r="AC65" s="252"/>
    </row>
    <row r="66" spans="1:29" ht="75" x14ac:dyDescent="0.25">
      <c r="A66" s="248">
        <v>59</v>
      </c>
      <c r="B66" s="249" t="s">
        <v>134</v>
      </c>
      <c r="C66" s="249" t="s">
        <v>135</v>
      </c>
      <c r="D66" s="249" t="s">
        <v>181</v>
      </c>
      <c r="E66" s="249" t="s">
        <v>44</v>
      </c>
      <c r="F66" s="249" t="s">
        <v>8</v>
      </c>
      <c r="G66" s="249">
        <v>0</v>
      </c>
      <c r="H66" s="249" t="s">
        <v>260</v>
      </c>
      <c r="I66" s="249" t="s">
        <v>493</v>
      </c>
      <c r="J66" s="249" t="s">
        <v>412</v>
      </c>
      <c r="K66" s="249" t="s">
        <v>572</v>
      </c>
      <c r="L66" s="249" t="s">
        <v>369</v>
      </c>
      <c r="M66" s="249" t="s">
        <v>181</v>
      </c>
      <c r="N66" s="249" t="s">
        <v>44</v>
      </c>
      <c r="O66" s="249" t="s">
        <v>446</v>
      </c>
      <c r="P66" s="249" t="s">
        <v>573</v>
      </c>
      <c r="Q66" s="250" t="s">
        <v>44</v>
      </c>
      <c r="R66" s="251" t="s">
        <v>181</v>
      </c>
      <c r="S66" s="248" t="s">
        <v>8</v>
      </c>
      <c r="T66" s="252" t="s">
        <v>648</v>
      </c>
      <c r="U66" s="252"/>
      <c r="V66" s="252"/>
      <c r="W66" s="252"/>
      <c r="X66" s="252"/>
      <c r="Y66" s="252"/>
      <c r="Z66" s="252"/>
      <c r="AA66" s="252" t="s">
        <v>648</v>
      </c>
      <c r="AB66" s="252"/>
      <c r="AC66" s="252"/>
    </row>
    <row r="67" spans="1:29" ht="312.5" x14ac:dyDescent="0.25">
      <c r="A67" s="248">
        <v>60</v>
      </c>
      <c r="B67" s="249" t="s">
        <v>136</v>
      </c>
      <c r="C67" s="249" t="s">
        <v>137</v>
      </c>
      <c r="D67" s="249" t="s">
        <v>181</v>
      </c>
      <c r="E67" s="249" t="s">
        <v>188</v>
      </c>
      <c r="F67" s="249" t="s">
        <v>13</v>
      </c>
      <c r="G67" s="249">
        <v>0</v>
      </c>
      <c r="H67" s="249" t="s">
        <v>492</v>
      </c>
      <c r="I67" s="249" t="s">
        <v>401</v>
      </c>
      <c r="J67" s="249" t="s">
        <v>574</v>
      </c>
      <c r="K67" s="249" t="s">
        <v>575</v>
      </c>
      <c r="L67" s="249" t="s">
        <v>405</v>
      </c>
      <c r="M67" s="249" t="s">
        <v>405</v>
      </c>
      <c r="N67" s="249" t="s">
        <v>259</v>
      </c>
      <c r="O67" s="249" t="s">
        <v>555</v>
      </c>
      <c r="P67" s="249" t="s">
        <v>392</v>
      </c>
      <c r="Q67" s="250" t="s">
        <v>188</v>
      </c>
      <c r="R67" s="251" t="s">
        <v>181</v>
      </c>
      <c r="S67" s="248" t="s">
        <v>13</v>
      </c>
      <c r="T67" s="252" t="s">
        <v>648</v>
      </c>
      <c r="U67" s="252"/>
      <c r="V67" s="252"/>
      <c r="W67" s="252"/>
      <c r="X67" s="252"/>
      <c r="Y67" s="252"/>
      <c r="Z67" s="252"/>
      <c r="AA67" s="252" t="s">
        <v>648</v>
      </c>
      <c r="AB67" s="252"/>
      <c r="AC67" s="252"/>
    </row>
    <row r="68" spans="1:29" ht="112.5" x14ac:dyDescent="0.25">
      <c r="A68" s="248">
        <v>61</v>
      </c>
      <c r="B68" s="249" t="s">
        <v>138</v>
      </c>
      <c r="C68" s="249" t="s">
        <v>139</v>
      </c>
      <c r="D68" s="249" t="s">
        <v>183</v>
      </c>
      <c r="E68" s="249" t="s">
        <v>140</v>
      </c>
      <c r="F68" s="249" t="s">
        <v>8</v>
      </c>
      <c r="G68" s="249">
        <v>0</v>
      </c>
      <c r="H68" s="249" t="s">
        <v>416</v>
      </c>
      <c r="I68" s="249" t="s">
        <v>411</v>
      </c>
      <c r="J68" s="249" t="s">
        <v>517</v>
      </c>
      <c r="K68" s="249" t="s">
        <v>576</v>
      </c>
      <c r="L68" s="249" t="s">
        <v>462</v>
      </c>
      <c r="M68" s="249" t="s">
        <v>181</v>
      </c>
      <c r="N68" s="249" t="s">
        <v>577</v>
      </c>
      <c r="O68" s="249" t="s">
        <v>364</v>
      </c>
      <c r="P68" s="249" t="s">
        <v>420</v>
      </c>
      <c r="Q68" s="250" t="s">
        <v>140</v>
      </c>
      <c r="R68" s="251" t="s">
        <v>181</v>
      </c>
      <c r="S68" s="248" t="s">
        <v>8</v>
      </c>
      <c r="T68" s="252"/>
      <c r="U68" s="252"/>
      <c r="V68" s="252"/>
      <c r="W68" s="252"/>
      <c r="X68" s="252" t="s">
        <v>648</v>
      </c>
      <c r="Y68" s="252"/>
      <c r="Z68" s="252"/>
      <c r="AA68" s="252" t="s">
        <v>648</v>
      </c>
      <c r="AB68" s="252"/>
      <c r="AC68" s="252"/>
    </row>
    <row r="69" spans="1:29" ht="50" x14ac:dyDescent="0.25">
      <c r="A69" s="248">
        <v>62</v>
      </c>
      <c r="B69" s="249" t="s">
        <v>141</v>
      </c>
      <c r="C69" s="249" t="s">
        <v>142</v>
      </c>
      <c r="D69" s="249" t="s">
        <v>183</v>
      </c>
      <c r="E69" s="249" t="s">
        <v>140</v>
      </c>
      <c r="F69" s="249" t="s">
        <v>8</v>
      </c>
      <c r="G69" s="249">
        <v>0</v>
      </c>
      <c r="H69" s="249" t="s">
        <v>498</v>
      </c>
      <c r="I69" s="249" t="s">
        <v>411</v>
      </c>
      <c r="J69" s="249" t="s">
        <v>360</v>
      </c>
      <c r="K69" s="249" t="s">
        <v>578</v>
      </c>
      <c r="L69" s="249" t="s">
        <v>140</v>
      </c>
      <c r="M69" s="249" t="s">
        <v>397</v>
      </c>
      <c r="N69" s="249" t="s">
        <v>462</v>
      </c>
      <c r="O69" s="249" t="s">
        <v>364</v>
      </c>
      <c r="P69" s="249" t="s">
        <v>483</v>
      </c>
      <c r="Q69" s="250" t="s">
        <v>140</v>
      </c>
      <c r="R69" s="251" t="s">
        <v>181</v>
      </c>
      <c r="S69" s="248" t="s">
        <v>8</v>
      </c>
      <c r="T69" s="252"/>
      <c r="U69" s="252"/>
      <c r="V69" s="252"/>
      <c r="W69" s="252"/>
      <c r="X69" s="252" t="s">
        <v>648</v>
      </c>
      <c r="Y69" s="252"/>
      <c r="Z69" s="252"/>
      <c r="AA69" s="252" t="s">
        <v>648</v>
      </c>
      <c r="AB69" s="252"/>
      <c r="AC69" s="252"/>
    </row>
    <row r="70" spans="1:29" ht="37.5" x14ac:dyDescent="0.25">
      <c r="A70" s="248">
        <v>63</v>
      </c>
      <c r="B70" s="249" t="s">
        <v>143</v>
      </c>
      <c r="C70" s="249" t="s">
        <v>144</v>
      </c>
      <c r="D70" s="249" t="s">
        <v>181</v>
      </c>
      <c r="E70" s="249" t="s">
        <v>191</v>
      </c>
      <c r="F70" s="249" t="s">
        <v>8</v>
      </c>
      <c r="G70" s="249">
        <v>0</v>
      </c>
      <c r="H70" s="249" t="s">
        <v>430</v>
      </c>
      <c r="I70" s="249" t="s">
        <v>411</v>
      </c>
      <c r="J70" s="249" t="s">
        <v>579</v>
      </c>
      <c r="K70" s="249" t="s">
        <v>580</v>
      </c>
      <c r="L70" s="249" t="s">
        <v>581</v>
      </c>
      <c r="M70" s="249" t="s">
        <v>181</v>
      </c>
      <c r="N70" s="249" t="s">
        <v>571</v>
      </c>
      <c r="O70" s="249" t="s">
        <v>446</v>
      </c>
      <c r="P70" s="249" t="s">
        <v>381</v>
      </c>
      <c r="Q70" s="250" t="s">
        <v>191</v>
      </c>
      <c r="R70" s="251" t="s">
        <v>181</v>
      </c>
      <c r="S70" s="248" t="s">
        <v>8</v>
      </c>
      <c r="T70" s="252" t="s">
        <v>648</v>
      </c>
      <c r="U70" s="252"/>
      <c r="V70" s="252"/>
      <c r="W70" s="252"/>
      <c r="X70" s="252"/>
      <c r="Y70" s="252"/>
      <c r="Z70" s="252"/>
      <c r="AA70" s="252" t="s">
        <v>648</v>
      </c>
      <c r="AB70" s="252"/>
      <c r="AC70" s="252"/>
    </row>
    <row r="71" spans="1:29" ht="112.5" x14ac:dyDescent="0.25">
      <c r="A71" s="248">
        <v>64</v>
      </c>
      <c r="B71" s="249" t="s">
        <v>145</v>
      </c>
      <c r="C71" s="249" t="s">
        <v>146</v>
      </c>
      <c r="D71" s="249" t="s">
        <v>181</v>
      </c>
      <c r="E71" s="249" t="s">
        <v>188</v>
      </c>
      <c r="F71" s="249" t="s">
        <v>8</v>
      </c>
      <c r="G71" s="249">
        <v>0</v>
      </c>
      <c r="H71" s="249" t="s">
        <v>430</v>
      </c>
      <c r="I71" s="249" t="s">
        <v>411</v>
      </c>
      <c r="J71" s="249" t="s">
        <v>360</v>
      </c>
      <c r="K71" s="249" t="s">
        <v>582</v>
      </c>
      <c r="L71" s="249" t="s">
        <v>369</v>
      </c>
      <c r="M71" s="249" t="s">
        <v>181</v>
      </c>
      <c r="N71" s="249" t="s">
        <v>583</v>
      </c>
      <c r="O71" s="249" t="s">
        <v>364</v>
      </c>
      <c r="P71" s="249" t="s">
        <v>443</v>
      </c>
      <c r="Q71" s="250" t="s">
        <v>188</v>
      </c>
      <c r="R71" s="251" t="s">
        <v>181</v>
      </c>
      <c r="S71" s="248" t="s">
        <v>8</v>
      </c>
      <c r="T71" s="252" t="s">
        <v>648</v>
      </c>
      <c r="U71" s="252"/>
      <c r="V71" s="252"/>
      <c r="W71" s="252"/>
      <c r="X71" s="252"/>
      <c r="Y71" s="252"/>
      <c r="Z71" s="252"/>
      <c r="AA71" s="252" t="s">
        <v>648</v>
      </c>
      <c r="AB71" s="252"/>
      <c r="AC71" s="252"/>
    </row>
    <row r="72" spans="1:29" ht="287.5" x14ac:dyDescent="0.25">
      <c r="A72" s="248">
        <v>65</v>
      </c>
      <c r="B72" s="249" t="s">
        <v>147</v>
      </c>
      <c r="C72" s="249" t="s">
        <v>148</v>
      </c>
      <c r="D72" s="249" t="s">
        <v>182</v>
      </c>
      <c r="E72" s="249" t="s">
        <v>149</v>
      </c>
      <c r="F72" s="249" t="s">
        <v>13</v>
      </c>
      <c r="G72" s="249">
        <v>0</v>
      </c>
      <c r="H72" s="249" t="s">
        <v>584</v>
      </c>
      <c r="I72" s="249" t="s">
        <v>585</v>
      </c>
      <c r="J72" s="249" t="s">
        <v>412</v>
      </c>
      <c r="K72" s="249" t="s">
        <v>586</v>
      </c>
      <c r="L72" s="249" t="s">
        <v>369</v>
      </c>
      <c r="M72" s="249" t="s">
        <v>182</v>
      </c>
      <c r="N72" s="249" t="s">
        <v>587</v>
      </c>
      <c r="O72" s="249" t="s">
        <v>364</v>
      </c>
      <c r="P72" s="249" t="s">
        <v>588</v>
      </c>
      <c r="Q72" s="250" t="s">
        <v>589</v>
      </c>
      <c r="R72" s="251" t="s">
        <v>149</v>
      </c>
      <c r="S72" s="248" t="s">
        <v>13</v>
      </c>
      <c r="T72" s="252" t="s">
        <v>648</v>
      </c>
      <c r="U72" s="252"/>
      <c r="V72" s="252"/>
      <c r="W72" s="252"/>
      <c r="X72" s="252"/>
      <c r="Y72" s="252"/>
      <c r="Z72" s="252"/>
      <c r="AA72" s="252"/>
      <c r="AB72" s="252" t="s">
        <v>648</v>
      </c>
      <c r="AC72" s="252"/>
    </row>
    <row r="73" spans="1:29" ht="87.5" x14ac:dyDescent="0.25">
      <c r="A73" s="248">
        <v>66</v>
      </c>
      <c r="B73" s="249" t="s">
        <v>150</v>
      </c>
      <c r="C73" s="249" t="s">
        <v>151</v>
      </c>
      <c r="D73" s="249" t="s">
        <v>181</v>
      </c>
      <c r="E73" s="249" t="s">
        <v>193</v>
      </c>
      <c r="F73" s="249" t="s">
        <v>8</v>
      </c>
      <c r="G73" s="249">
        <v>0</v>
      </c>
      <c r="H73" s="249" t="s">
        <v>557</v>
      </c>
      <c r="I73" s="249" t="s">
        <v>401</v>
      </c>
      <c r="J73" s="249" t="s">
        <v>360</v>
      </c>
      <c r="K73" s="249" t="s">
        <v>590</v>
      </c>
      <c r="L73" s="249" t="s">
        <v>369</v>
      </c>
      <c r="M73" s="249" t="s">
        <v>511</v>
      </c>
      <c r="N73" s="249" t="s">
        <v>591</v>
      </c>
      <c r="O73" s="249" t="s">
        <v>364</v>
      </c>
      <c r="P73" s="249" t="s">
        <v>592</v>
      </c>
      <c r="Q73" s="250" t="s">
        <v>382</v>
      </c>
      <c r="R73" s="251" t="s">
        <v>181</v>
      </c>
      <c r="S73" s="248" t="s">
        <v>8</v>
      </c>
      <c r="T73" s="252" t="s">
        <v>648</v>
      </c>
      <c r="U73" s="252"/>
      <c r="V73" s="252"/>
      <c r="W73" s="252"/>
      <c r="X73" s="252"/>
      <c r="Y73" s="252"/>
      <c r="Z73" s="252"/>
      <c r="AA73" s="252" t="s">
        <v>648</v>
      </c>
      <c r="AB73" s="252"/>
      <c r="AC73" s="252"/>
    </row>
    <row r="74" spans="1:29" ht="62.5" x14ac:dyDescent="0.25">
      <c r="A74" s="248">
        <v>67</v>
      </c>
      <c r="B74" s="249" t="s">
        <v>152</v>
      </c>
      <c r="C74" s="249" t="s">
        <v>153</v>
      </c>
      <c r="D74" s="249" t="s">
        <v>181</v>
      </c>
      <c r="E74" s="249" t="s">
        <v>44</v>
      </c>
      <c r="F74" s="249" t="s">
        <v>8</v>
      </c>
      <c r="G74" s="249">
        <v>0</v>
      </c>
      <c r="H74" s="249" t="s">
        <v>366</v>
      </c>
      <c r="I74" s="249" t="s">
        <v>401</v>
      </c>
      <c r="J74" s="249" t="s">
        <v>360</v>
      </c>
      <c r="K74" s="249" t="s">
        <v>593</v>
      </c>
      <c r="L74" s="249" t="s">
        <v>369</v>
      </c>
      <c r="M74" s="249" t="s">
        <v>182</v>
      </c>
      <c r="N74" s="249" t="s">
        <v>594</v>
      </c>
      <c r="O74" s="249" t="s">
        <v>370</v>
      </c>
      <c r="P74" s="249" t="s">
        <v>595</v>
      </c>
      <c r="Q74" s="250" t="s">
        <v>44</v>
      </c>
      <c r="R74" s="251" t="s">
        <v>181</v>
      </c>
      <c r="S74" s="248" t="s">
        <v>8</v>
      </c>
      <c r="T74" s="252" t="s">
        <v>648</v>
      </c>
      <c r="U74" s="252"/>
      <c r="V74" s="252"/>
      <c r="W74" s="252"/>
      <c r="X74" s="252"/>
      <c r="Y74" s="252"/>
      <c r="Z74" s="252"/>
      <c r="AA74" s="252" t="s">
        <v>648</v>
      </c>
      <c r="AB74" s="252"/>
      <c r="AC74" s="252"/>
    </row>
    <row r="75" spans="1:29" ht="125" x14ac:dyDescent="0.25">
      <c r="A75" s="248">
        <v>68</v>
      </c>
      <c r="B75" s="249" t="s">
        <v>154</v>
      </c>
      <c r="C75" s="249" t="s">
        <v>155</v>
      </c>
      <c r="D75" s="249" t="s">
        <v>182</v>
      </c>
      <c r="E75" s="249" t="s">
        <v>156</v>
      </c>
      <c r="F75" s="249" t="s">
        <v>13</v>
      </c>
      <c r="G75" s="249">
        <v>0</v>
      </c>
      <c r="H75" s="249" t="s">
        <v>596</v>
      </c>
      <c r="I75" s="249" t="s">
        <v>401</v>
      </c>
      <c r="J75" s="249" t="s">
        <v>460</v>
      </c>
      <c r="K75" s="249" t="s">
        <v>478</v>
      </c>
      <c r="L75" s="249" t="s">
        <v>369</v>
      </c>
      <c r="M75" s="249" t="s">
        <v>182</v>
      </c>
      <c r="N75" s="249" t="s">
        <v>597</v>
      </c>
      <c r="O75" s="249" t="s">
        <v>446</v>
      </c>
      <c r="P75" s="249" t="s">
        <v>598</v>
      </c>
      <c r="Q75" s="250" t="s">
        <v>599</v>
      </c>
      <c r="R75" s="251" t="s">
        <v>149</v>
      </c>
      <c r="S75" s="248" t="s">
        <v>13</v>
      </c>
      <c r="T75" s="252"/>
      <c r="U75" s="252"/>
      <c r="V75" s="252"/>
      <c r="W75" s="252"/>
      <c r="X75" s="252"/>
      <c r="Y75" s="252"/>
      <c r="Z75" s="252" t="s">
        <v>648</v>
      </c>
      <c r="AA75" s="252"/>
      <c r="AB75" s="252" t="s">
        <v>648</v>
      </c>
      <c r="AC75" s="252"/>
    </row>
    <row r="76" spans="1:29" ht="62.5" x14ac:dyDescent="0.25">
      <c r="A76" s="248">
        <v>69</v>
      </c>
      <c r="B76" s="249" t="s">
        <v>157</v>
      </c>
      <c r="C76" s="249" t="s">
        <v>158</v>
      </c>
      <c r="D76" s="249" t="s">
        <v>47</v>
      </c>
      <c r="E76" s="249" t="s">
        <v>47</v>
      </c>
      <c r="F76" s="249" t="s">
        <v>8</v>
      </c>
      <c r="G76" s="249">
        <v>0</v>
      </c>
      <c r="H76" s="249" t="s">
        <v>600</v>
      </c>
      <c r="I76" s="249" t="s">
        <v>411</v>
      </c>
      <c r="J76" s="249" t="s">
        <v>427</v>
      </c>
      <c r="K76" s="249" t="s">
        <v>601</v>
      </c>
      <c r="L76" s="249" t="s">
        <v>432</v>
      </c>
      <c r="M76" s="249" t="s">
        <v>181</v>
      </c>
      <c r="N76" s="249" t="s">
        <v>602</v>
      </c>
      <c r="O76" s="249" t="s">
        <v>446</v>
      </c>
      <c r="P76" s="249" t="s">
        <v>603</v>
      </c>
      <c r="Q76" s="250" t="s">
        <v>365</v>
      </c>
      <c r="R76" s="251" t="s">
        <v>181</v>
      </c>
      <c r="S76" s="248" t="s">
        <v>8</v>
      </c>
      <c r="T76" s="252"/>
      <c r="U76" s="252"/>
      <c r="V76" s="252"/>
      <c r="W76" s="252" t="s">
        <v>648</v>
      </c>
      <c r="X76" s="252"/>
      <c r="Y76" s="252"/>
      <c r="Z76" s="252"/>
      <c r="AA76" s="252" t="s">
        <v>648</v>
      </c>
      <c r="AB76" s="252"/>
      <c r="AC76" s="252"/>
    </row>
    <row r="77" spans="1:29" ht="112.5" x14ac:dyDescent="0.25">
      <c r="A77" s="248">
        <v>70</v>
      </c>
      <c r="B77" s="249" t="s">
        <v>159</v>
      </c>
      <c r="C77" s="249" t="s">
        <v>160</v>
      </c>
      <c r="D77" s="249" t="s">
        <v>181</v>
      </c>
      <c r="E77" s="249" t="s">
        <v>193</v>
      </c>
      <c r="F77" s="249" t="s">
        <v>8</v>
      </c>
      <c r="G77" s="249">
        <v>0</v>
      </c>
      <c r="H77" s="249" t="s">
        <v>261</v>
      </c>
      <c r="I77" s="249" t="s">
        <v>367</v>
      </c>
      <c r="J77" s="249" t="s">
        <v>360</v>
      </c>
      <c r="K77" s="249" t="s">
        <v>604</v>
      </c>
      <c r="L77" s="249" t="s">
        <v>369</v>
      </c>
      <c r="M77" s="249" t="s">
        <v>181</v>
      </c>
      <c r="N77" s="249" t="s">
        <v>605</v>
      </c>
      <c r="O77" s="249" t="s">
        <v>364</v>
      </c>
      <c r="P77" s="249" t="s">
        <v>501</v>
      </c>
      <c r="Q77" s="250" t="s">
        <v>382</v>
      </c>
      <c r="R77" s="251" t="s">
        <v>181</v>
      </c>
      <c r="S77" s="248" t="s">
        <v>8</v>
      </c>
      <c r="T77" s="252" t="s">
        <v>648</v>
      </c>
      <c r="U77" s="252"/>
      <c r="V77" s="252"/>
      <c r="W77" s="252"/>
      <c r="X77" s="252"/>
      <c r="Y77" s="252"/>
      <c r="Z77" s="252"/>
      <c r="AA77" s="252" t="s">
        <v>648</v>
      </c>
      <c r="AB77" s="252" t="s">
        <v>648</v>
      </c>
      <c r="AC77" s="252"/>
    </row>
    <row r="78" spans="1:29" ht="150" x14ac:dyDescent="0.25">
      <c r="A78" s="248">
        <v>71</v>
      </c>
      <c r="B78" s="249" t="s">
        <v>161</v>
      </c>
      <c r="C78" s="249" t="s">
        <v>162</v>
      </c>
      <c r="D78" s="249" t="s">
        <v>181</v>
      </c>
      <c r="E78" s="249" t="s">
        <v>192</v>
      </c>
      <c r="F78" s="249" t="s">
        <v>8</v>
      </c>
      <c r="G78" s="249">
        <v>0</v>
      </c>
      <c r="H78" s="249" t="s">
        <v>383</v>
      </c>
      <c r="I78" s="249" t="s">
        <v>606</v>
      </c>
      <c r="J78" s="249" t="s">
        <v>395</v>
      </c>
      <c r="K78" s="249" t="s">
        <v>607</v>
      </c>
      <c r="L78" s="249" t="s">
        <v>608</v>
      </c>
      <c r="M78" s="249" t="s">
        <v>511</v>
      </c>
      <c r="N78" s="249" t="s">
        <v>609</v>
      </c>
      <c r="O78" s="249" t="s">
        <v>446</v>
      </c>
      <c r="P78" s="249" t="s">
        <v>610</v>
      </c>
      <c r="Q78" s="250" t="s">
        <v>192</v>
      </c>
      <c r="R78" s="251" t="s">
        <v>181</v>
      </c>
      <c r="S78" s="248" t="s">
        <v>8</v>
      </c>
      <c r="T78" s="252" t="s">
        <v>648</v>
      </c>
      <c r="U78" s="252"/>
      <c r="V78" s="252"/>
      <c r="W78" s="252" t="s">
        <v>648</v>
      </c>
      <c r="X78" s="252"/>
      <c r="Y78" s="252"/>
      <c r="Z78" s="252"/>
      <c r="AA78" s="252" t="s">
        <v>648</v>
      </c>
      <c r="AB78" s="252"/>
      <c r="AC78" s="252"/>
    </row>
    <row r="79" spans="1:29" ht="62.5" x14ac:dyDescent="0.25">
      <c r="A79" s="248">
        <v>72</v>
      </c>
      <c r="B79" s="249" t="s">
        <v>163</v>
      </c>
      <c r="C79" s="249" t="s">
        <v>164</v>
      </c>
      <c r="D79" s="249" t="s">
        <v>181</v>
      </c>
      <c r="E79" s="249" t="s">
        <v>192</v>
      </c>
      <c r="F79" s="249" t="s">
        <v>8</v>
      </c>
      <c r="G79" s="249">
        <v>0</v>
      </c>
      <c r="H79" s="249" t="s">
        <v>430</v>
      </c>
      <c r="I79" s="249" t="s">
        <v>411</v>
      </c>
      <c r="J79" s="249" t="s">
        <v>395</v>
      </c>
      <c r="K79" s="249" t="s">
        <v>457</v>
      </c>
      <c r="L79" s="249" t="s">
        <v>611</v>
      </c>
      <c r="M79" s="249" t="s">
        <v>181</v>
      </c>
      <c r="N79" s="249" t="s">
        <v>612</v>
      </c>
      <c r="O79" s="249" t="s">
        <v>364</v>
      </c>
      <c r="P79" s="249" t="s">
        <v>381</v>
      </c>
      <c r="Q79" s="250" t="s">
        <v>192</v>
      </c>
      <c r="R79" s="251" t="s">
        <v>181</v>
      </c>
      <c r="S79" s="248" t="s">
        <v>8</v>
      </c>
      <c r="T79" s="252" t="s">
        <v>648</v>
      </c>
      <c r="U79" s="252"/>
      <c r="V79" s="252"/>
      <c r="W79" s="252" t="s">
        <v>648</v>
      </c>
      <c r="X79" s="252"/>
      <c r="Y79" s="252"/>
      <c r="Z79" s="252"/>
      <c r="AA79" s="252" t="s">
        <v>648</v>
      </c>
      <c r="AB79" s="252"/>
      <c r="AC79" s="252"/>
    </row>
    <row r="80" spans="1:29" ht="62.5" x14ac:dyDescent="0.25">
      <c r="A80" s="248">
        <v>73</v>
      </c>
      <c r="B80" s="249" t="s">
        <v>165</v>
      </c>
      <c r="C80" s="249" t="s">
        <v>166</v>
      </c>
      <c r="D80" s="249" t="s">
        <v>181</v>
      </c>
      <c r="E80" s="249" t="s">
        <v>188</v>
      </c>
      <c r="F80" s="249" t="s">
        <v>8</v>
      </c>
      <c r="G80" s="249">
        <v>0</v>
      </c>
      <c r="H80" s="249" t="s">
        <v>416</v>
      </c>
      <c r="I80" s="249" t="s">
        <v>613</v>
      </c>
      <c r="J80" s="249" t="s">
        <v>412</v>
      </c>
      <c r="K80" s="249" t="s">
        <v>614</v>
      </c>
      <c r="L80" s="249" t="s">
        <v>369</v>
      </c>
      <c r="M80" s="249" t="s">
        <v>181</v>
      </c>
      <c r="N80" s="249" t="s">
        <v>615</v>
      </c>
      <c r="O80" s="249" t="s">
        <v>364</v>
      </c>
      <c r="P80" s="249" t="s">
        <v>610</v>
      </c>
      <c r="Q80" s="250" t="s">
        <v>188</v>
      </c>
      <c r="R80" s="251" t="s">
        <v>181</v>
      </c>
      <c r="S80" s="248" t="s">
        <v>8</v>
      </c>
      <c r="T80" s="252" t="s">
        <v>648</v>
      </c>
      <c r="U80" s="252"/>
      <c r="V80" s="252"/>
      <c r="W80" s="252"/>
      <c r="X80" s="252"/>
      <c r="Y80" s="252"/>
      <c r="Z80" s="252"/>
      <c r="AA80" s="252" t="s">
        <v>648</v>
      </c>
      <c r="AB80" s="252"/>
      <c r="AC80" s="252"/>
    </row>
    <row r="81" spans="1:29" ht="75" x14ac:dyDescent="0.25">
      <c r="A81" s="248">
        <v>74</v>
      </c>
      <c r="B81" s="249" t="s">
        <v>167</v>
      </c>
      <c r="C81" s="249" t="s">
        <v>168</v>
      </c>
      <c r="D81" s="249" t="s">
        <v>56</v>
      </c>
      <c r="E81" s="249" t="s">
        <v>56</v>
      </c>
      <c r="F81" s="249" t="s">
        <v>8</v>
      </c>
      <c r="G81" s="249">
        <v>0</v>
      </c>
      <c r="H81" s="249" t="s">
        <v>616</v>
      </c>
      <c r="I81" s="249" t="s">
        <v>617</v>
      </c>
      <c r="J81" s="249" t="s">
        <v>360</v>
      </c>
      <c r="K81" s="249" t="s">
        <v>618</v>
      </c>
      <c r="L81" s="249" t="s">
        <v>369</v>
      </c>
      <c r="M81" s="249" t="s">
        <v>454</v>
      </c>
      <c r="N81" s="249" t="s">
        <v>454</v>
      </c>
      <c r="O81" s="249" t="s">
        <v>446</v>
      </c>
      <c r="P81" s="249" t="s">
        <v>358</v>
      </c>
      <c r="Q81" s="250" t="s">
        <v>56</v>
      </c>
      <c r="R81" s="251" t="s">
        <v>181</v>
      </c>
      <c r="S81" s="248" t="s">
        <v>8</v>
      </c>
      <c r="T81" s="252"/>
      <c r="U81" s="252"/>
      <c r="V81" s="252"/>
      <c r="W81" s="252"/>
      <c r="X81" s="252"/>
      <c r="Y81" s="252" t="s">
        <v>648</v>
      </c>
      <c r="Z81" s="252"/>
      <c r="AA81" s="252" t="s">
        <v>648</v>
      </c>
      <c r="AB81" s="252"/>
      <c r="AC81" s="252"/>
    </row>
    <row r="82" spans="1:29" ht="62.5" x14ac:dyDescent="0.25">
      <c r="A82" s="248">
        <v>75</v>
      </c>
      <c r="B82" s="249" t="s">
        <v>169</v>
      </c>
      <c r="C82" s="249" t="s">
        <v>170</v>
      </c>
      <c r="D82" s="249" t="s">
        <v>171</v>
      </c>
      <c r="E82" s="249" t="s">
        <v>171</v>
      </c>
      <c r="F82" s="249" t="s">
        <v>8</v>
      </c>
      <c r="G82" s="249">
        <v>0</v>
      </c>
      <c r="H82" s="249" t="s">
        <v>619</v>
      </c>
      <c r="I82" s="249" t="s">
        <v>411</v>
      </c>
      <c r="J82" s="249" t="s">
        <v>620</v>
      </c>
      <c r="K82" s="249" t="s">
        <v>621</v>
      </c>
      <c r="L82" s="249" t="s">
        <v>369</v>
      </c>
      <c r="M82" s="249" t="s">
        <v>622</v>
      </c>
      <c r="N82" s="249" t="s">
        <v>623</v>
      </c>
      <c r="O82" s="249" t="s">
        <v>364</v>
      </c>
      <c r="P82" s="249" t="s">
        <v>624</v>
      </c>
      <c r="Q82" s="250" t="s">
        <v>171</v>
      </c>
      <c r="R82" s="251" t="s">
        <v>181</v>
      </c>
      <c r="S82" s="248" t="s">
        <v>8</v>
      </c>
      <c r="T82" s="252"/>
      <c r="U82" s="252"/>
      <c r="V82" s="252"/>
      <c r="W82" s="252" t="s">
        <v>648</v>
      </c>
      <c r="X82" s="252"/>
      <c r="Y82" s="252"/>
      <c r="Z82" s="252"/>
      <c r="AA82" s="252" t="s">
        <v>648</v>
      </c>
      <c r="AB82" s="252"/>
      <c r="AC82" s="252"/>
    </row>
    <row r="83" spans="1:29" ht="187.5" x14ac:dyDescent="0.25">
      <c r="A83" s="248">
        <v>76</v>
      </c>
      <c r="B83" s="249" t="s">
        <v>172</v>
      </c>
      <c r="C83" s="249" t="s">
        <v>173</v>
      </c>
      <c r="D83" s="249" t="s">
        <v>181</v>
      </c>
      <c r="E83" s="249" t="s">
        <v>44</v>
      </c>
      <c r="F83" s="249" t="s">
        <v>8</v>
      </c>
      <c r="G83" s="249">
        <v>0</v>
      </c>
      <c r="H83" s="249" t="s">
        <v>516</v>
      </c>
      <c r="I83" s="249" t="s">
        <v>411</v>
      </c>
      <c r="J83" s="249" t="s">
        <v>477</v>
      </c>
      <c r="K83" s="249" t="s">
        <v>607</v>
      </c>
      <c r="L83" s="249" t="s">
        <v>369</v>
      </c>
      <c r="M83" s="249" t="s">
        <v>182</v>
      </c>
      <c r="N83" s="249" t="s">
        <v>625</v>
      </c>
      <c r="O83" s="249" t="s">
        <v>446</v>
      </c>
      <c r="P83" s="249" t="s">
        <v>626</v>
      </c>
      <c r="Q83" s="250" t="s">
        <v>44</v>
      </c>
      <c r="R83" s="251" t="s">
        <v>181</v>
      </c>
      <c r="S83" s="248" t="s">
        <v>8</v>
      </c>
      <c r="T83" s="252" t="s">
        <v>648</v>
      </c>
      <c r="U83" s="252"/>
      <c r="V83" s="252"/>
      <c r="W83" s="252"/>
      <c r="X83" s="252"/>
      <c r="Y83" s="252"/>
      <c r="Z83" s="252"/>
      <c r="AA83" s="252" t="s">
        <v>648</v>
      </c>
      <c r="AB83" s="252"/>
      <c r="AC83" s="252"/>
    </row>
    <row r="84" spans="1:29" ht="262.5" x14ac:dyDescent="0.25">
      <c r="A84" s="248">
        <v>77</v>
      </c>
      <c r="B84" s="249" t="s">
        <v>174</v>
      </c>
      <c r="C84" s="249" t="s">
        <v>175</v>
      </c>
      <c r="D84" s="249" t="s">
        <v>181</v>
      </c>
      <c r="E84" s="249" t="s">
        <v>188</v>
      </c>
      <c r="F84" s="249" t="s">
        <v>8</v>
      </c>
      <c r="G84" s="249">
        <v>0</v>
      </c>
      <c r="H84" s="249" t="s">
        <v>261</v>
      </c>
      <c r="I84" s="249" t="s">
        <v>411</v>
      </c>
      <c r="J84" s="249" t="s">
        <v>627</v>
      </c>
      <c r="K84" s="249" t="s">
        <v>628</v>
      </c>
      <c r="L84" s="249" t="s">
        <v>369</v>
      </c>
      <c r="M84" s="249" t="s">
        <v>182</v>
      </c>
      <c r="N84" s="249" t="s">
        <v>629</v>
      </c>
      <c r="O84" s="249" t="s">
        <v>446</v>
      </c>
      <c r="P84" s="249" t="s">
        <v>630</v>
      </c>
      <c r="Q84" s="250" t="s">
        <v>188</v>
      </c>
      <c r="R84" s="251" t="s">
        <v>181</v>
      </c>
      <c r="S84" s="248" t="s">
        <v>8</v>
      </c>
      <c r="T84" s="252" t="s">
        <v>648</v>
      </c>
      <c r="U84" s="252"/>
      <c r="V84" s="252"/>
      <c r="W84" s="252"/>
      <c r="X84" s="252"/>
      <c r="Y84" s="252"/>
      <c r="Z84" s="252"/>
      <c r="AA84" s="252" t="s">
        <v>648</v>
      </c>
      <c r="AB84" s="252"/>
      <c r="AC84" s="252"/>
    </row>
    <row r="85" spans="1:29" ht="137.5" x14ac:dyDescent="0.25">
      <c r="A85" s="248">
        <v>78</v>
      </c>
      <c r="B85" s="249" t="s">
        <v>176</v>
      </c>
      <c r="C85" s="249" t="s">
        <v>186</v>
      </c>
      <c r="D85" s="249" t="s">
        <v>47</v>
      </c>
      <c r="E85" s="249" t="s">
        <v>185</v>
      </c>
      <c r="F85" s="249" t="s">
        <v>8</v>
      </c>
      <c r="G85" s="249">
        <v>0</v>
      </c>
      <c r="H85" s="249" t="s">
        <v>416</v>
      </c>
      <c r="I85" s="249" t="s">
        <v>411</v>
      </c>
      <c r="J85" s="249" t="s">
        <v>631</v>
      </c>
      <c r="K85" s="249" t="s">
        <v>632</v>
      </c>
      <c r="L85" s="249" t="s">
        <v>633</v>
      </c>
      <c r="M85" s="249" t="s">
        <v>397</v>
      </c>
      <c r="N85" s="249" t="s">
        <v>634</v>
      </c>
      <c r="O85" s="249" t="s">
        <v>364</v>
      </c>
      <c r="P85" s="249" t="s">
        <v>430</v>
      </c>
      <c r="Q85" s="250" t="s">
        <v>635</v>
      </c>
      <c r="R85" s="251" t="s">
        <v>181</v>
      </c>
      <c r="S85" s="248" t="s">
        <v>8</v>
      </c>
      <c r="T85" s="252"/>
      <c r="U85" s="252"/>
      <c r="V85" s="252"/>
      <c r="W85" s="252" t="s">
        <v>648</v>
      </c>
      <c r="X85" s="252" t="s">
        <v>648</v>
      </c>
      <c r="Y85" s="252"/>
      <c r="Z85" s="252"/>
      <c r="AA85" s="252" t="s">
        <v>648</v>
      </c>
      <c r="AB85" s="252"/>
      <c r="AC85" s="252"/>
    </row>
    <row r="86" spans="1:29" ht="87.5" x14ac:dyDescent="0.25">
      <c r="A86" s="248">
        <v>79</v>
      </c>
      <c r="B86" s="249" t="s">
        <v>177</v>
      </c>
      <c r="C86" s="249" t="s">
        <v>178</v>
      </c>
      <c r="D86" s="249" t="s">
        <v>181</v>
      </c>
      <c r="E86" s="249" t="s">
        <v>193</v>
      </c>
      <c r="F86" s="249" t="s">
        <v>8</v>
      </c>
      <c r="G86" s="249">
        <v>0</v>
      </c>
      <c r="H86" s="249" t="s">
        <v>430</v>
      </c>
      <c r="I86" s="249" t="s">
        <v>411</v>
      </c>
      <c r="J86" s="249" t="s">
        <v>412</v>
      </c>
      <c r="K86" s="249" t="s">
        <v>636</v>
      </c>
      <c r="L86" s="249" t="s">
        <v>369</v>
      </c>
      <c r="M86" s="249" t="s">
        <v>397</v>
      </c>
      <c r="N86" s="249" t="s">
        <v>637</v>
      </c>
      <c r="O86" s="249" t="s">
        <v>446</v>
      </c>
      <c r="P86" s="249" t="s">
        <v>430</v>
      </c>
      <c r="Q86" s="250" t="s">
        <v>382</v>
      </c>
      <c r="R86" s="251" t="s">
        <v>181</v>
      </c>
      <c r="S86" s="248" t="s">
        <v>8</v>
      </c>
      <c r="T86" s="252" t="s">
        <v>648</v>
      </c>
      <c r="U86" s="252"/>
      <c r="V86" s="252"/>
      <c r="W86" s="252"/>
      <c r="X86" s="252"/>
      <c r="Y86" s="252"/>
      <c r="Z86" s="252"/>
      <c r="AA86" s="252" t="s">
        <v>648</v>
      </c>
      <c r="AB86" s="252"/>
      <c r="AC86" s="252"/>
    </row>
    <row r="87" spans="1:29" ht="100" x14ac:dyDescent="0.25">
      <c r="A87" s="248">
        <v>80</v>
      </c>
      <c r="B87" s="249" t="s">
        <v>638</v>
      </c>
      <c r="C87" s="249"/>
      <c r="D87" s="249"/>
      <c r="E87" s="249"/>
      <c r="F87" s="249"/>
      <c r="G87" s="249"/>
      <c r="H87" s="249" t="s">
        <v>378</v>
      </c>
      <c r="I87" s="249" t="s">
        <v>401</v>
      </c>
      <c r="J87" s="249" t="s">
        <v>639</v>
      </c>
      <c r="K87" s="249" t="s">
        <v>632</v>
      </c>
      <c r="L87" s="249" t="s">
        <v>608</v>
      </c>
      <c r="M87" s="249"/>
      <c r="N87" s="249" t="s">
        <v>640</v>
      </c>
      <c r="O87" s="249" t="s">
        <v>370</v>
      </c>
      <c r="P87" s="249" t="s">
        <v>641</v>
      </c>
      <c r="Q87" s="250" t="s">
        <v>515</v>
      </c>
      <c r="R87" s="251" t="s">
        <v>181</v>
      </c>
      <c r="S87" s="248" t="s">
        <v>8</v>
      </c>
      <c r="T87" s="252" t="s">
        <v>648</v>
      </c>
      <c r="U87" s="252"/>
      <c r="V87" s="252"/>
      <c r="W87" s="252"/>
      <c r="X87" s="252" t="s">
        <v>648</v>
      </c>
      <c r="Y87" s="252"/>
      <c r="Z87" s="252"/>
      <c r="AA87" s="252" t="s">
        <v>648</v>
      </c>
      <c r="AB87" s="252"/>
      <c r="AC87" s="252"/>
    </row>
    <row r="88" spans="1:29" ht="37.5" x14ac:dyDescent="0.25">
      <c r="A88" s="248">
        <v>81</v>
      </c>
      <c r="B88" s="249" t="s">
        <v>642</v>
      </c>
      <c r="C88" s="249"/>
      <c r="D88" s="249"/>
      <c r="E88" s="249"/>
      <c r="F88" s="249"/>
      <c r="G88" s="249"/>
      <c r="H88" s="249" t="s">
        <v>492</v>
      </c>
      <c r="I88" s="249" t="s">
        <v>493</v>
      </c>
      <c r="J88" s="252" t="s">
        <v>360</v>
      </c>
      <c r="K88" s="252"/>
      <c r="L88" s="252" t="s">
        <v>369</v>
      </c>
      <c r="M88" s="252"/>
      <c r="N88" s="252"/>
      <c r="O88" s="252"/>
      <c r="P88" s="252"/>
      <c r="Q88" s="250"/>
      <c r="R88" s="251" t="s">
        <v>182</v>
      </c>
      <c r="S88" s="248" t="s">
        <v>5</v>
      </c>
      <c r="T88" s="252" t="s">
        <v>648</v>
      </c>
      <c r="U88" s="252" t="s">
        <v>648</v>
      </c>
      <c r="V88" s="252" t="s">
        <v>648</v>
      </c>
      <c r="W88" s="252"/>
      <c r="X88" s="252"/>
      <c r="Y88" s="252"/>
      <c r="Z88" s="252" t="s">
        <v>648</v>
      </c>
      <c r="AA88" s="252"/>
      <c r="AB88" s="252" t="s">
        <v>648</v>
      </c>
      <c r="AC88" s="252" t="s">
        <v>648</v>
      </c>
    </row>
  </sheetData>
  <autoFilter ref="A7:AC88" xr:uid="{00000000-0009-0000-0000-000012000000}"/>
  <mergeCells count="4">
    <mergeCell ref="B6:H6"/>
    <mergeCell ref="I6:AC6"/>
    <mergeCell ref="A1:AC3"/>
    <mergeCell ref="A4:AC5"/>
  </mergeCells>
  <hyperlinks>
    <hyperlink ref="A6" location="Home!A1" display="Home" xr:uid="{00000000-0004-0000-1200-000000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filterMode="1">
    <tabColor theme="0" tint="-0.14999847407452621"/>
  </sheetPr>
  <dimension ref="A1:AC70"/>
  <sheetViews>
    <sheetView showGridLines="0" zoomScale="80" zoomScaleNormal="80" workbookViewId="0">
      <pane ySplit="7" topLeftCell="A8" activePane="bottomLeft" state="frozen"/>
      <selection pane="bottomLeft" sqref="A1:AC3"/>
    </sheetView>
  </sheetViews>
  <sheetFormatPr defaultColWidth="8.7265625" defaultRowHeight="14" x14ac:dyDescent="0.35"/>
  <cols>
    <col min="1" max="1" width="17" style="244" customWidth="1"/>
    <col min="2" max="2" width="10.81640625" style="244" customWidth="1"/>
    <col min="3" max="3" width="86.54296875" style="245" customWidth="1"/>
    <col min="4" max="4" width="18.54296875" style="244" customWidth="1"/>
    <col min="5" max="5" width="17.54296875" style="244" customWidth="1"/>
    <col min="6" max="6" width="15.1796875" style="244" customWidth="1"/>
    <col min="7" max="7" width="18.81640625" style="244" customWidth="1"/>
    <col min="8" max="8" width="12.81640625" style="244" customWidth="1"/>
    <col min="9" max="9" width="12.81640625" style="246" customWidth="1"/>
    <col min="10" max="10" width="15.81640625" style="244" customWidth="1"/>
    <col min="11" max="11" width="14.54296875" style="244" customWidth="1"/>
    <col min="12" max="12" width="12.81640625" style="246" customWidth="1"/>
    <col min="13" max="13" width="11.453125" style="244" customWidth="1"/>
    <col min="14" max="14" width="11.54296875" style="244" customWidth="1"/>
    <col min="15" max="15" width="14.1796875" style="244" customWidth="1"/>
    <col min="16" max="16" width="8.7265625" style="244"/>
    <col min="17" max="17" width="13.81640625" style="244" customWidth="1"/>
    <col min="18" max="18" width="8.7265625" style="244"/>
    <col min="19" max="19" width="12.26953125" style="244" customWidth="1"/>
    <col min="20" max="20" width="8.7265625" style="244"/>
    <col min="21" max="21" width="14.26953125" style="244" customWidth="1"/>
    <col min="22" max="22" width="11.7265625" style="244" customWidth="1"/>
    <col min="23" max="23" width="14.1796875" style="244" customWidth="1"/>
    <col min="24" max="16384" width="8.7265625" style="244"/>
  </cols>
  <sheetData>
    <row r="1" spans="1:29" x14ac:dyDescent="0.35">
      <c r="A1" s="511" t="s">
        <v>2148</v>
      </c>
      <c r="B1" s="511"/>
      <c r="C1" s="511"/>
      <c r="D1" s="511"/>
      <c r="E1" s="511"/>
      <c r="F1" s="511"/>
      <c r="G1" s="511"/>
      <c r="H1" s="511"/>
      <c r="I1" s="511"/>
      <c r="J1" s="511"/>
      <c r="K1" s="511"/>
      <c r="L1" s="511"/>
      <c r="M1" s="511"/>
      <c r="N1" s="511"/>
      <c r="O1" s="511"/>
      <c r="P1" s="511"/>
      <c r="Q1" s="511"/>
      <c r="R1" s="511"/>
      <c r="S1" s="511"/>
      <c r="T1" s="511"/>
      <c r="U1" s="511"/>
      <c r="V1" s="511"/>
      <c r="W1" s="511"/>
      <c r="X1" s="511"/>
      <c r="Y1" s="511"/>
      <c r="Z1" s="511"/>
      <c r="AA1" s="511"/>
      <c r="AB1" s="511"/>
      <c r="AC1" s="511"/>
    </row>
    <row r="2" spans="1:29" x14ac:dyDescent="0.35">
      <c r="A2" s="511"/>
      <c r="B2" s="511"/>
      <c r="C2" s="511"/>
      <c r="D2" s="511"/>
      <c r="E2" s="511"/>
      <c r="F2" s="511"/>
      <c r="G2" s="511"/>
      <c r="H2" s="511"/>
      <c r="I2" s="511"/>
      <c r="J2" s="511"/>
      <c r="K2" s="511"/>
      <c r="L2" s="511"/>
      <c r="M2" s="511"/>
      <c r="N2" s="511"/>
      <c r="O2" s="511"/>
      <c r="P2" s="511"/>
      <c r="Q2" s="511"/>
      <c r="R2" s="511"/>
      <c r="S2" s="511"/>
      <c r="T2" s="511"/>
      <c r="U2" s="511"/>
      <c r="V2" s="511"/>
      <c r="W2" s="511"/>
      <c r="X2" s="511"/>
      <c r="Y2" s="511"/>
      <c r="Z2" s="511"/>
      <c r="AA2" s="511"/>
      <c r="AB2" s="511"/>
      <c r="AC2" s="511"/>
    </row>
    <row r="3" spans="1:29" x14ac:dyDescent="0.35">
      <c r="A3" s="511"/>
      <c r="B3" s="511"/>
      <c r="C3" s="511"/>
      <c r="D3" s="511"/>
      <c r="E3" s="511"/>
      <c r="F3" s="511"/>
      <c r="G3" s="511"/>
      <c r="H3" s="511"/>
      <c r="I3" s="511"/>
      <c r="J3" s="511"/>
      <c r="K3" s="511"/>
      <c r="L3" s="511"/>
      <c r="M3" s="511"/>
      <c r="N3" s="511"/>
      <c r="O3" s="511"/>
      <c r="P3" s="511"/>
      <c r="Q3" s="511"/>
      <c r="R3" s="511"/>
      <c r="S3" s="511"/>
      <c r="T3" s="511"/>
      <c r="U3" s="511"/>
      <c r="V3" s="511"/>
      <c r="W3" s="511"/>
      <c r="X3" s="511"/>
      <c r="Y3" s="511"/>
      <c r="Z3" s="511"/>
      <c r="AA3" s="511"/>
      <c r="AB3" s="511"/>
      <c r="AC3" s="511"/>
    </row>
    <row r="4" spans="1:29" x14ac:dyDescent="0.35">
      <c r="A4" s="763" t="s">
        <v>2149</v>
      </c>
      <c r="B4" s="763"/>
      <c r="C4" s="763"/>
      <c r="D4" s="763"/>
      <c r="E4" s="763"/>
      <c r="F4" s="763"/>
      <c r="G4" s="763"/>
      <c r="H4" s="763"/>
      <c r="I4" s="763"/>
      <c r="J4" s="763"/>
      <c r="K4" s="763"/>
      <c r="L4" s="763"/>
      <c r="M4" s="763"/>
      <c r="N4" s="763"/>
      <c r="O4" s="763"/>
      <c r="P4" s="763"/>
      <c r="Q4" s="763"/>
      <c r="R4" s="763"/>
      <c r="S4" s="763"/>
      <c r="T4" s="763"/>
      <c r="U4" s="763"/>
      <c r="V4" s="763"/>
      <c r="W4" s="763"/>
      <c r="X4" s="763"/>
      <c r="Y4" s="763"/>
      <c r="Z4" s="763"/>
      <c r="AA4" s="763"/>
      <c r="AB4" s="763"/>
      <c r="AC4" s="763"/>
    </row>
    <row r="5" spans="1:29" x14ac:dyDescent="0.35">
      <c r="A5" s="763"/>
      <c r="B5" s="763"/>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3"/>
      <c r="AC5" s="763"/>
    </row>
    <row r="6" spans="1:29" x14ac:dyDescent="0.35">
      <c r="A6" s="229" t="s">
        <v>1709</v>
      </c>
    </row>
    <row r="7" spans="1:29" s="236" customFormat="1" ht="52" x14ac:dyDescent="0.35">
      <c r="A7" s="234" t="s">
        <v>954</v>
      </c>
      <c r="B7" s="234" t="s">
        <v>955</v>
      </c>
      <c r="C7" s="235" t="s">
        <v>0</v>
      </c>
      <c r="D7" s="234" t="s">
        <v>232</v>
      </c>
      <c r="E7" s="234" t="s">
        <v>1717</v>
      </c>
      <c r="F7" s="234" t="s">
        <v>179</v>
      </c>
      <c r="G7" s="234" t="s">
        <v>42</v>
      </c>
      <c r="H7" s="234" t="s">
        <v>231</v>
      </c>
      <c r="I7" s="234" t="s">
        <v>1718</v>
      </c>
      <c r="J7" s="234" t="s">
        <v>4</v>
      </c>
      <c r="K7" s="234" t="s">
        <v>197</v>
      </c>
      <c r="L7" s="234" t="s">
        <v>1719</v>
      </c>
      <c r="M7" s="234" t="s">
        <v>222</v>
      </c>
      <c r="N7" s="234" t="s">
        <v>684</v>
      </c>
      <c r="O7" s="234" t="s">
        <v>644</v>
      </c>
      <c r="P7" s="234" t="s">
        <v>1054</v>
      </c>
      <c r="Q7" s="234" t="s">
        <v>1053</v>
      </c>
      <c r="R7" s="234" t="s">
        <v>1055</v>
      </c>
      <c r="S7" s="234" t="s">
        <v>757</v>
      </c>
      <c r="T7" s="234" t="s">
        <v>781</v>
      </c>
      <c r="U7" s="234" t="s">
        <v>791</v>
      </c>
      <c r="V7" s="234" t="s">
        <v>804</v>
      </c>
      <c r="W7" s="234" t="s">
        <v>807</v>
      </c>
    </row>
    <row r="8" spans="1:29" s="240" customFormat="1" ht="110.5" customHeight="1" x14ac:dyDescent="0.35">
      <c r="A8" s="237" t="s">
        <v>1047</v>
      </c>
      <c r="B8" s="238" t="s">
        <v>274</v>
      </c>
      <c r="C8" s="239" t="s">
        <v>1068</v>
      </c>
      <c r="D8" s="237" t="s">
        <v>1067</v>
      </c>
      <c r="E8" s="237" t="s">
        <v>1720</v>
      </c>
      <c r="F8" s="237" t="s">
        <v>180</v>
      </c>
      <c r="G8" s="237" t="s">
        <v>608</v>
      </c>
      <c r="H8" s="237" t="s">
        <v>1721</v>
      </c>
      <c r="I8" s="237">
        <v>1975</v>
      </c>
      <c r="J8" s="237" t="s">
        <v>1722</v>
      </c>
      <c r="K8" s="237" t="s">
        <v>13</v>
      </c>
      <c r="L8" s="237">
        <f t="shared" ref="L8:L70" si="0">COUNTA(M8:W8)</f>
        <v>2</v>
      </c>
      <c r="M8" s="237"/>
      <c r="N8" s="237" t="s">
        <v>648</v>
      </c>
      <c r="O8" s="237"/>
      <c r="P8" s="237"/>
      <c r="Q8" s="237"/>
      <c r="R8" s="237"/>
      <c r="S8" s="237"/>
      <c r="T8" s="237"/>
      <c r="U8" s="237"/>
      <c r="V8" s="237" t="s">
        <v>648</v>
      </c>
      <c r="W8" s="237"/>
    </row>
    <row r="9" spans="1:29" s="240" customFormat="1" ht="62.5" hidden="1" x14ac:dyDescent="0.35">
      <c r="A9" s="237" t="s">
        <v>1723</v>
      </c>
      <c r="B9" s="237" t="s">
        <v>272</v>
      </c>
      <c r="C9" s="239" t="s">
        <v>27</v>
      </c>
      <c r="D9" s="237" t="s">
        <v>237</v>
      </c>
      <c r="E9" s="237" t="s">
        <v>240</v>
      </c>
      <c r="F9" s="237" t="s">
        <v>181</v>
      </c>
      <c r="G9" s="237" t="s">
        <v>44</v>
      </c>
      <c r="H9" s="237" t="s">
        <v>682</v>
      </c>
      <c r="I9" s="237"/>
      <c r="J9" s="237" t="s">
        <v>1722</v>
      </c>
      <c r="K9" s="237" t="s">
        <v>8</v>
      </c>
      <c r="L9" s="237">
        <f t="shared" si="0"/>
        <v>0</v>
      </c>
      <c r="M9" s="237"/>
      <c r="N9" s="237"/>
      <c r="O9" s="237"/>
      <c r="P9" s="237"/>
      <c r="Q9" s="237"/>
      <c r="R9" s="237"/>
      <c r="S9" s="237"/>
      <c r="T9" s="237"/>
      <c r="U9" s="237"/>
      <c r="V9" s="237"/>
      <c r="W9" s="237"/>
    </row>
    <row r="10" spans="1:29" s="240" customFormat="1" ht="62.15" customHeight="1" x14ac:dyDescent="0.35">
      <c r="A10" s="237" t="s">
        <v>1044</v>
      </c>
      <c r="B10" s="238" t="s">
        <v>274</v>
      </c>
      <c r="C10" s="239" t="s">
        <v>1061</v>
      </c>
      <c r="D10" s="237" t="s">
        <v>940</v>
      </c>
      <c r="E10" s="237" t="s">
        <v>931</v>
      </c>
      <c r="F10" s="237" t="s">
        <v>180</v>
      </c>
      <c r="G10" s="237" t="s">
        <v>1724</v>
      </c>
      <c r="H10" s="237" t="s">
        <v>253</v>
      </c>
      <c r="I10" s="237">
        <v>1989</v>
      </c>
      <c r="J10" s="237" t="s">
        <v>1722</v>
      </c>
      <c r="K10" s="237" t="s">
        <v>13</v>
      </c>
      <c r="L10" s="237">
        <f t="shared" si="0"/>
        <v>1</v>
      </c>
      <c r="M10" s="237" t="s">
        <v>648</v>
      </c>
      <c r="N10" s="237"/>
      <c r="O10" s="237"/>
      <c r="P10" s="237"/>
      <c r="Q10" s="237"/>
      <c r="R10" s="237"/>
      <c r="S10" s="237"/>
      <c r="T10" s="237"/>
      <c r="U10" s="237"/>
      <c r="V10" s="237"/>
      <c r="W10" s="237"/>
    </row>
    <row r="11" spans="1:29" s="240" customFormat="1" ht="62.5" x14ac:dyDescent="0.35">
      <c r="A11" s="237" t="s">
        <v>198</v>
      </c>
      <c r="B11" s="237" t="s">
        <v>272</v>
      </c>
      <c r="C11" s="239" t="s">
        <v>204</v>
      </c>
      <c r="D11" s="237" t="s">
        <v>47</v>
      </c>
      <c r="E11" s="237" t="s">
        <v>931</v>
      </c>
      <c r="F11" s="237" t="s">
        <v>47</v>
      </c>
      <c r="G11" s="237" t="s">
        <v>199</v>
      </c>
      <c r="H11" s="237" t="s">
        <v>1056</v>
      </c>
      <c r="I11" s="237"/>
      <c r="J11" s="237" t="s">
        <v>1722</v>
      </c>
      <c r="K11" s="237" t="s">
        <v>13</v>
      </c>
      <c r="L11" s="237">
        <f t="shared" si="0"/>
        <v>1</v>
      </c>
      <c r="M11" s="241"/>
      <c r="N11" s="237"/>
      <c r="O11" s="237" t="s">
        <v>648</v>
      </c>
      <c r="P11" s="237"/>
      <c r="Q11" s="237"/>
      <c r="R11" s="237"/>
      <c r="S11" s="237"/>
      <c r="T11" s="237"/>
      <c r="U11" s="237"/>
      <c r="V11" s="237"/>
      <c r="W11" s="237"/>
    </row>
    <row r="12" spans="1:29" s="240" customFormat="1" ht="25" hidden="1" x14ac:dyDescent="0.35">
      <c r="A12" s="237" t="s">
        <v>1045</v>
      </c>
      <c r="B12" s="238"/>
      <c r="C12" s="242" t="s">
        <v>1062</v>
      </c>
      <c r="D12" s="237" t="s">
        <v>940</v>
      </c>
      <c r="E12" s="237" t="s">
        <v>931</v>
      </c>
      <c r="F12" s="237" t="s">
        <v>180</v>
      </c>
      <c r="G12" s="237" t="s">
        <v>1724</v>
      </c>
      <c r="H12" s="237" t="s">
        <v>253</v>
      </c>
      <c r="I12" s="237">
        <v>1970</v>
      </c>
      <c r="J12" s="237" t="s">
        <v>1722</v>
      </c>
      <c r="K12" s="237" t="s">
        <v>8</v>
      </c>
      <c r="L12" s="237">
        <f t="shared" si="0"/>
        <v>1</v>
      </c>
      <c r="M12" s="237" t="s">
        <v>648</v>
      </c>
      <c r="N12" s="237"/>
      <c r="O12" s="237"/>
      <c r="P12" s="237"/>
      <c r="Q12" s="237"/>
      <c r="R12" s="237"/>
      <c r="S12" s="237"/>
      <c r="T12" s="237"/>
      <c r="U12" s="237"/>
      <c r="V12" s="237"/>
      <c r="W12" s="237"/>
    </row>
    <row r="13" spans="1:29" s="240" customFormat="1" ht="124.5" hidden="1" customHeight="1" x14ac:dyDescent="0.35">
      <c r="A13" s="237" t="s">
        <v>1725</v>
      </c>
      <c r="B13" s="237" t="s">
        <v>272</v>
      </c>
      <c r="C13" s="239" t="s">
        <v>671</v>
      </c>
      <c r="D13" s="237" t="s">
        <v>943</v>
      </c>
      <c r="E13" s="237" t="s">
        <v>1726</v>
      </c>
      <c r="F13" s="237" t="s">
        <v>180</v>
      </c>
      <c r="G13" s="237" t="s">
        <v>672</v>
      </c>
      <c r="H13" s="237" t="s">
        <v>1727</v>
      </c>
      <c r="I13" s="237">
        <v>2018</v>
      </c>
      <c r="J13" s="237" t="s">
        <v>1722</v>
      </c>
      <c r="K13" s="237" t="s">
        <v>8</v>
      </c>
      <c r="L13" s="237">
        <f t="shared" si="0"/>
        <v>0</v>
      </c>
      <c r="M13" s="237"/>
      <c r="N13" s="237"/>
      <c r="O13" s="237"/>
      <c r="P13" s="237"/>
      <c r="Q13" s="237"/>
      <c r="R13" s="237"/>
      <c r="S13" s="237"/>
      <c r="T13" s="237"/>
      <c r="U13" s="237"/>
      <c r="V13" s="237"/>
      <c r="W13" s="237"/>
    </row>
    <row r="14" spans="1:29" s="240" customFormat="1" ht="100" x14ac:dyDescent="0.35">
      <c r="A14" s="237" t="s">
        <v>200</v>
      </c>
      <c r="B14" s="237" t="s">
        <v>272</v>
      </c>
      <c r="C14" s="239" t="s">
        <v>1037</v>
      </c>
      <c r="D14" s="237" t="s">
        <v>1031</v>
      </c>
      <c r="E14" s="237" t="s">
        <v>1728</v>
      </c>
      <c r="F14" s="237" t="s">
        <v>182</v>
      </c>
      <c r="G14" s="237" t="s">
        <v>608</v>
      </c>
      <c r="H14" s="237" t="s">
        <v>1729</v>
      </c>
      <c r="I14" s="237">
        <v>2016</v>
      </c>
      <c r="J14" s="237" t="s">
        <v>1722</v>
      </c>
      <c r="K14" s="237" t="s">
        <v>13</v>
      </c>
      <c r="L14" s="237">
        <f t="shared" si="0"/>
        <v>2</v>
      </c>
      <c r="M14" s="237"/>
      <c r="N14" s="237"/>
      <c r="O14" s="237"/>
      <c r="P14" s="237" t="s">
        <v>648</v>
      </c>
      <c r="Q14" s="237"/>
      <c r="R14" s="237" t="s">
        <v>648</v>
      </c>
      <c r="S14" s="237"/>
      <c r="T14" s="237"/>
      <c r="U14" s="237"/>
      <c r="V14" s="237"/>
      <c r="W14" s="237"/>
    </row>
    <row r="15" spans="1:29" s="240" customFormat="1" ht="50" hidden="1" x14ac:dyDescent="0.35">
      <c r="A15" s="237" t="s">
        <v>216</v>
      </c>
      <c r="B15" s="237" t="s">
        <v>272</v>
      </c>
      <c r="C15" s="239" t="s">
        <v>685</v>
      </c>
      <c r="D15" s="237" t="s">
        <v>941</v>
      </c>
      <c r="E15" s="237" t="s">
        <v>608</v>
      </c>
      <c r="F15" s="237" t="s">
        <v>511</v>
      </c>
      <c r="G15" s="237" t="s">
        <v>608</v>
      </c>
      <c r="H15" s="237" t="s">
        <v>1730</v>
      </c>
      <c r="I15" s="237"/>
      <c r="J15" s="237"/>
      <c r="K15" s="237" t="s">
        <v>8</v>
      </c>
      <c r="L15" s="237">
        <f t="shared" si="0"/>
        <v>0</v>
      </c>
      <c r="M15" s="237"/>
      <c r="N15" s="237"/>
      <c r="O15" s="237"/>
      <c r="P15" s="237"/>
      <c r="Q15" s="237"/>
      <c r="R15" s="237"/>
      <c r="S15" s="237"/>
      <c r="T15" s="237"/>
      <c r="U15" s="237"/>
      <c r="V15" s="237"/>
      <c r="W15" s="237"/>
    </row>
    <row r="16" spans="1:29" s="240" customFormat="1" ht="67" hidden="1" customHeight="1" x14ac:dyDescent="0.35">
      <c r="A16" s="237" t="s">
        <v>202</v>
      </c>
      <c r="B16" s="237" t="s">
        <v>272</v>
      </c>
      <c r="C16" s="239" t="s">
        <v>205</v>
      </c>
      <c r="D16" s="237" t="s">
        <v>939</v>
      </c>
      <c r="E16" s="237" t="s">
        <v>608</v>
      </c>
      <c r="F16" s="237" t="s">
        <v>182</v>
      </c>
      <c r="G16" s="237" t="s">
        <v>199</v>
      </c>
      <c r="H16" s="237" t="s">
        <v>682</v>
      </c>
      <c r="I16" s="237"/>
      <c r="J16" s="237" t="s">
        <v>1722</v>
      </c>
      <c r="K16" s="237" t="s">
        <v>8</v>
      </c>
      <c r="L16" s="237">
        <f t="shared" si="0"/>
        <v>0</v>
      </c>
      <c r="M16" s="237"/>
      <c r="N16" s="237"/>
      <c r="O16" s="237"/>
      <c r="P16" s="237"/>
      <c r="Q16" s="237"/>
      <c r="R16" s="237"/>
      <c r="S16" s="237"/>
      <c r="T16" s="237"/>
      <c r="U16" s="237"/>
      <c r="V16" s="237"/>
      <c r="W16" s="237"/>
    </row>
    <row r="17" spans="1:23" s="240" customFormat="1" ht="67" customHeight="1" x14ac:dyDescent="0.35">
      <c r="A17" s="237" t="s">
        <v>1</v>
      </c>
      <c r="B17" s="237" t="s">
        <v>272</v>
      </c>
      <c r="C17" s="239" t="s">
        <v>210</v>
      </c>
      <c r="D17" s="237" t="s">
        <v>1731</v>
      </c>
      <c r="E17" s="237" t="s">
        <v>1732</v>
      </c>
      <c r="F17" s="237" t="s">
        <v>180</v>
      </c>
      <c r="G17" s="237" t="s">
        <v>608</v>
      </c>
      <c r="H17" s="237" t="s">
        <v>1727</v>
      </c>
      <c r="I17" s="237">
        <v>2013</v>
      </c>
      <c r="J17" s="237" t="s">
        <v>5</v>
      </c>
      <c r="K17" s="237" t="s">
        <v>5</v>
      </c>
      <c r="L17" s="237">
        <f t="shared" si="0"/>
        <v>1</v>
      </c>
      <c r="M17" s="237" t="s">
        <v>648</v>
      </c>
      <c r="N17" s="237"/>
      <c r="O17" s="237"/>
      <c r="P17" s="237"/>
      <c r="Q17" s="237"/>
      <c r="R17" s="237"/>
      <c r="S17" s="237"/>
      <c r="T17" s="237"/>
      <c r="U17" s="237"/>
      <c r="V17" s="237"/>
      <c r="W17" s="237"/>
    </row>
    <row r="18" spans="1:23" s="240" customFormat="1" ht="125.15" hidden="1" customHeight="1" x14ac:dyDescent="0.35">
      <c r="A18" s="237" t="s">
        <v>952</v>
      </c>
      <c r="B18" s="237" t="s">
        <v>272</v>
      </c>
      <c r="C18" s="239" t="s">
        <v>206</v>
      </c>
      <c r="D18" s="237" t="s">
        <v>938</v>
      </c>
      <c r="E18" s="237" t="s">
        <v>237</v>
      </c>
      <c r="F18" s="237" t="s">
        <v>950</v>
      </c>
      <c r="G18" s="237" t="s">
        <v>193</v>
      </c>
      <c r="H18" s="237" t="s">
        <v>1727</v>
      </c>
      <c r="I18" s="237">
        <v>2014</v>
      </c>
      <c r="J18" s="237" t="s">
        <v>5</v>
      </c>
      <c r="K18" s="237" t="s">
        <v>8</v>
      </c>
      <c r="L18" s="237">
        <f t="shared" si="0"/>
        <v>1</v>
      </c>
      <c r="M18" s="237"/>
      <c r="N18" s="237"/>
      <c r="O18" s="237"/>
      <c r="P18" s="237" t="s">
        <v>648</v>
      </c>
      <c r="Q18" s="237"/>
      <c r="R18" s="237"/>
      <c r="S18" s="237"/>
      <c r="T18" s="237"/>
      <c r="U18" s="237"/>
      <c r="V18" s="237"/>
      <c r="W18" s="237"/>
    </row>
    <row r="19" spans="1:23" s="240" customFormat="1" ht="75" x14ac:dyDescent="0.35">
      <c r="A19" s="237" t="s">
        <v>945</v>
      </c>
      <c r="B19" s="237" t="s">
        <v>272</v>
      </c>
      <c r="C19" s="239" t="s">
        <v>1033</v>
      </c>
      <c r="D19" s="237" t="s">
        <v>1031</v>
      </c>
      <c r="E19" s="237" t="s">
        <v>239</v>
      </c>
      <c r="F19" s="237" t="s">
        <v>182</v>
      </c>
      <c r="G19" s="237" t="s">
        <v>608</v>
      </c>
      <c r="H19" s="237" t="s">
        <v>657</v>
      </c>
      <c r="I19" s="237">
        <v>2016</v>
      </c>
      <c r="J19" s="237" t="s">
        <v>1722</v>
      </c>
      <c r="K19" s="237" t="s">
        <v>5</v>
      </c>
      <c r="L19" s="237">
        <f t="shared" si="0"/>
        <v>3</v>
      </c>
      <c r="M19" s="237"/>
      <c r="N19" s="237"/>
      <c r="O19" s="237"/>
      <c r="P19" s="237" t="s">
        <v>648</v>
      </c>
      <c r="Q19" s="237" t="s">
        <v>648</v>
      </c>
      <c r="R19" s="237" t="s">
        <v>648</v>
      </c>
      <c r="S19" s="237"/>
      <c r="T19" s="237"/>
      <c r="U19" s="237"/>
      <c r="V19" s="237"/>
      <c r="W19" s="237"/>
    </row>
    <row r="20" spans="1:23" s="240" customFormat="1" ht="212.5" x14ac:dyDescent="0.35">
      <c r="A20" s="237" t="s">
        <v>228</v>
      </c>
      <c r="B20" s="237" t="s">
        <v>272</v>
      </c>
      <c r="C20" s="239" t="s">
        <v>1733</v>
      </c>
      <c r="D20" s="237" t="s">
        <v>940</v>
      </c>
      <c r="E20" s="237" t="s">
        <v>1734</v>
      </c>
      <c r="F20" s="237" t="s">
        <v>182</v>
      </c>
      <c r="G20" s="237" t="s">
        <v>1735</v>
      </c>
      <c r="H20" s="237" t="s">
        <v>1727</v>
      </c>
      <c r="I20" s="237">
        <v>2015</v>
      </c>
      <c r="J20" s="237" t="s">
        <v>1722</v>
      </c>
      <c r="K20" s="237" t="s">
        <v>13</v>
      </c>
      <c r="L20" s="237">
        <f t="shared" si="0"/>
        <v>1</v>
      </c>
      <c r="M20" s="237"/>
      <c r="N20" s="237"/>
      <c r="O20" s="237" t="s">
        <v>648</v>
      </c>
      <c r="P20" s="237"/>
      <c r="Q20" s="237"/>
      <c r="R20" s="237"/>
      <c r="S20" s="237"/>
      <c r="T20" s="237"/>
      <c r="U20" s="237"/>
      <c r="V20" s="237"/>
      <c r="W20" s="237"/>
    </row>
    <row r="21" spans="1:23" s="240" customFormat="1" ht="87.5" x14ac:dyDescent="0.35">
      <c r="A21" s="237" t="s">
        <v>1048</v>
      </c>
      <c r="B21" s="238" t="s">
        <v>274</v>
      </c>
      <c r="C21" s="239" t="s">
        <v>1069</v>
      </c>
      <c r="D21" s="237" t="s">
        <v>1067</v>
      </c>
      <c r="E21" s="237" t="s">
        <v>1720</v>
      </c>
      <c r="F21" s="237" t="s">
        <v>180</v>
      </c>
      <c r="G21" s="237" t="s">
        <v>608</v>
      </c>
      <c r="H21" s="237" t="s">
        <v>1721</v>
      </c>
      <c r="I21" s="237">
        <v>1866</v>
      </c>
      <c r="J21" s="237" t="s">
        <v>1722</v>
      </c>
      <c r="K21" s="237" t="s">
        <v>5</v>
      </c>
      <c r="L21" s="237">
        <f t="shared" si="0"/>
        <v>2</v>
      </c>
      <c r="M21" s="237"/>
      <c r="N21" s="237" t="s">
        <v>648</v>
      </c>
      <c r="O21" s="237"/>
      <c r="P21" s="237"/>
      <c r="Q21" s="237"/>
      <c r="R21" s="237"/>
      <c r="S21" s="237"/>
      <c r="T21" s="237"/>
      <c r="U21" s="237"/>
      <c r="V21" s="237" t="s">
        <v>648</v>
      </c>
      <c r="W21" s="237"/>
    </row>
    <row r="22" spans="1:23" s="240" customFormat="1" ht="128.15" customHeight="1" x14ac:dyDescent="0.35">
      <c r="A22" s="237" t="s">
        <v>221</v>
      </c>
      <c r="B22" s="237" t="s">
        <v>272</v>
      </c>
      <c r="C22" s="239" t="s">
        <v>1736</v>
      </c>
      <c r="D22" s="237" t="s">
        <v>938</v>
      </c>
      <c r="E22" s="237" t="s">
        <v>240</v>
      </c>
      <c r="F22" s="237" t="s">
        <v>182</v>
      </c>
      <c r="G22" s="237" t="s">
        <v>658</v>
      </c>
      <c r="H22" s="237" t="s">
        <v>1727</v>
      </c>
      <c r="I22" s="237">
        <v>2012</v>
      </c>
      <c r="J22" s="237"/>
      <c r="K22" s="237" t="s">
        <v>13</v>
      </c>
      <c r="L22" s="237">
        <f t="shared" si="0"/>
        <v>2</v>
      </c>
      <c r="M22" s="237"/>
      <c r="N22" s="237"/>
      <c r="O22" s="237"/>
      <c r="P22" s="237" t="s">
        <v>648</v>
      </c>
      <c r="Q22" s="237"/>
      <c r="R22" s="237" t="s">
        <v>648</v>
      </c>
      <c r="S22" s="237"/>
      <c r="T22" s="237"/>
      <c r="U22" s="237"/>
      <c r="V22" s="237"/>
      <c r="W22" s="237"/>
    </row>
    <row r="23" spans="1:23" s="240" customFormat="1" ht="37.5" hidden="1" x14ac:dyDescent="0.35">
      <c r="A23" s="237" t="s">
        <v>1737</v>
      </c>
      <c r="B23" s="237" t="s">
        <v>272</v>
      </c>
      <c r="C23" s="239" t="s">
        <v>659</v>
      </c>
      <c r="D23" s="237" t="s">
        <v>237</v>
      </c>
      <c r="E23" s="237" t="s">
        <v>655</v>
      </c>
      <c r="F23" s="237" t="s">
        <v>181</v>
      </c>
      <c r="G23" s="237" t="s">
        <v>44</v>
      </c>
      <c r="H23" s="237" t="s">
        <v>682</v>
      </c>
      <c r="I23" s="237">
        <v>2018</v>
      </c>
      <c r="J23" s="237"/>
      <c r="K23" s="237" t="s">
        <v>8</v>
      </c>
      <c r="L23" s="237">
        <f t="shared" si="0"/>
        <v>0</v>
      </c>
      <c r="M23" s="237"/>
      <c r="N23" s="237"/>
      <c r="O23" s="237"/>
      <c r="P23" s="237"/>
      <c r="Q23" s="237"/>
      <c r="R23" s="237"/>
      <c r="S23" s="237"/>
      <c r="T23" s="237"/>
      <c r="U23" s="237"/>
      <c r="V23" s="237"/>
      <c r="W23" s="237"/>
    </row>
    <row r="24" spans="1:23" s="240" customFormat="1" ht="85" hidden="1" customHeight="1" x14ac:dyDescent="0.35">
      <c r="A24" s="237" t="s">
        <v>1039</v>
      </c>
      <c r="B24" s="237" t="s">
        <v>273</v>
      </c>
      <c r="C24" s="239" t="s">
        <v>1738</v>
      </c>
      <c r="D24" s="237" t="s">
        <v>940</v>
      </c>
      <c r="E24" s="237" t="s">
        <v>931</v>
      </c>
      <c r="F24" s="237" t="s">
        <v>180</v>
      </c>
      <c r="G24" s="237" t="s">
        <v>1739</v>
      </c>
      <c r="H24" s="237" t="s">
        <v>1020</v>
      </c>
      <c r="I24" s="237">
        <v>1941</v>
      </c>
      <c r="J24" s="237" t="s">
        <v>1722</v>
      </c>
      <c r="K24" s="237" t="s">
        <v>8</v>
      </c>
      <c r="L24" s="237">
        <f t="shared" si="0"/>
        <v>2</v>
      </c>
      <c r="M24" s="237" t="s">
        <v>648</v>
      </c>
      <c r="N24" s="237"/>
      <c r="O24" s="237" t="s">
        <v>648</v>
      </c>
      <c r="P24" s="237"/>
      <c r="Q24" s="237"/>
      <c r="R24" s="237"/>
      <c r="S24" s="237"/>
      <c r="T24" s="237"/>
      <c r="U24" s="237"/>
      <c r="V24" s="237"/>
      <c r="W24" s="237"/>
    </row>
    <row r="25" spans="1:23" s="240" customFormat="1" ht="52" hidden="1" customHeight="1" x14ac:dyDescent="0.35">
      <c r="A25" s="237" t="s">
        <v>1740</v>
      </c>
      <c r="B25" s="237" t="s">
        <v>272</v>
      </c>
      <c r="C25" s="239" t="s">
        <v>124</v>
      </c>
      <c r="D25" s="237" t="s">
        <v>938</v>
      </c>
      <c r="E25" s="237" t="s">
        <v>237</v>
      </c>
      <c r="F25" s="237" t="s">
        <v>182</v>
      </c>
      <c r="G25" s="237" t="s">
        <v>188</v>
      </c>
      <c r="H25" s="237" t="s">
        <v>657</v>
      </c>
      <c r="I25" s="237">
        <v>2016</v>
      </c>
      <c r="J25" s="237" t="s">
        <v>951</v>
      </c>
      <c r="K25" s="237" t="s">
        <v>8</v>
      </c>
      <c r="L25" s="237">
        <f t="shared" si="0"/>
        <v>1</v>
      </c>
      <c r="M25" s="237"/>
      <c r="N25" s="237"/>
      <c r="O25" s="237"/>
      <c r="P25" s="237" t="s">
        <v>648</v>
      </c>
      <c r="Q25" s="237"/>
      <c r="R25" s="237"/>
      <c r="S25" s="237"/>
      <c r="T25" s="237"/>
      <c r="U25" s="237"/>
      <c r="V25" s="237"/>
      <c r="W25" s="237"/>
    </row>
    <row r="26" spans="1:23" s="240" customFormat="1" ht="93" hidden="1" customHeight="1" x14ac:dyDescent="0.35">
      <c r="A26" s="237" t="s">
        <v>1741</v>
      </c>
      <c r="B26" s="237" t="s">
        <v>272</v>
      </c>
      <c r="C26" s="239" t="s">
        <v>674</v>
      </c>
      <c r="D26" s="237" t="s">
        <v>237</v>
      </c>
      <c r="E26" s="237" t="s">
        <v>931</v>
      </c>
      <c r="F26" s="237" t="s">
        <v>180</v>
      </c>
      <c r="G26" s="237" t="s">
        <v>675</v>
      </c>
      <c r="H26" s="237" t="s">
        <v>682</v>
      </c>
      <c r="I26" s="237"/>
      <c r="J26" s="237" t="s">
        <v>1722</v>
      </c>
      <c r="K26" s="237" t="s">
        <v>8</v>
      </c>
      <c r="L26" s="237">
        <f t="shared" si="0"/>
        <v>0</v>
      </c>
      <c r="M26" s="237"/>
      <c r="N26" s="237"/>
      <c r="O26" s="237"/>
      <c r="P26" s="237"/>
      <c r="Q26" s="237"/>
      <c r="R26" s="237"/>
      <c r="S26" s="237"/>
      <c r="T26" s="237"/>
      <c r="U26" s="237"/>
      <c r="V26" s="237"/>
      <c r="W26" s="237"/>
    </row>
    <row r="27" spans="1:23" s="240" customFormat="1" ht="95.15" customHeight="1" x14ac:dyDescent="0.35">
      <c r="A27" s="237" t="s">
        <v>1742</v>
      </c>
      <c r="B27" s="237" t="s">
        <v>274</v>
      </c>
      <c r="C27" s="239" t="s">
        <v>964</v>
      </c>
      <c r="D27" s="237" t="s">
        <v>940</v>
      </c>
      <c r="E27" s="237" t="s">
        <v>931</v>
      </c>
      <c r="F27" s="237" t="s">
        <v>182</v>
      </c>
      <c r="G27" s="237" t="s">
        <v>958</v>
      </c>
      <c r="H27" s="237" t="s">
        <v>966</v>
      </c>
      <c r="I27" s="237">
        <v>1998</v>
      </c>
      <c r="J27" s="237" t="s">
        <v>1722</v>
      </c>
      <c r="K27" s="237" t="s">
        <v>13</v>
      </c>
      <c r="L27" s="237">
        <f t="shared" si="0"/>
        <v>1</v>
      </c>
      <c r="M27" s="237"/>
      <c r="N27" s="237"/>
      <c r="O27" s="237" t="s">
        <v>648</v>
      </c>
      <c r="P27" s="237"/>
      <c r="Q27" s="237"/>
      <c r="R27" s="237"/>
      <c r="S27" s="237"/>
      <c r="T27" s="237"/>
      <c r="U27" s="237"/>
      <c r="V27" s="237"/>
      <c r="W27" s="237"/>
    </row>
    <row r="28" spans="1:23" s="240" customFormat="1" ht="37.5" hidden="1" x14ac:dyDescent="0.35">
      <c r="A28" s="237" t="s">
        <v>961</v>
      </c>
      <c r="B28" s="237" t="s">
        <v>273</v>
      </c>
      <c r="C28" s="239" t="s">
        <v>962</v>
      </c>
      <c r="D28" s="237" t="s">
        <v>940</v>
      </c>
      <c r="E28" s="237" t="s">
        <v>931</v>
      </c>
      <c r="F28" s="237" t="s">
        <v>182</v>
      </c>
      <c r="G28" s="237" t="s">
        <v>1743</v>
      </c>
      <c r="H28" s="237" t="s">
        <v>1020</v>
      </c>
      <c r="I28" s="237"/>
      <c r="J28" s="237" t="s">
        <v>1722</v>
      </c>
      <c r="K28" s="237" t="s">
        <v>8</v>
      </c>
      <c r="L28" s="237">
        <f t="shared" si="0"/>
        <v>1</v>
      </c>
      <c r="M28" s="237"/>
      <c r="N28" s="237"/>
      <c r="O28" s="237" t="s">
        <v>648</v>
      </c>
      <c r="P28" s="237"/>
      <c r="Q28" s="237"/>
      <c r="R28" s="237"/>
      <c r="S28" s="237"/>
      <c r="T28" s="237"/>
      <c r="U28" s="237"/>
      <c r="V28" s="237"/>
      <c r="W28" s="237"/>
    </row>
    <row r="29" spans="1:23" s="240" customFormat="1" ht="100" x14ac:dyDescent="0.35">
      <c r="A29" s="237" t="s">
        <v>1049</v>
      </c>
      <c r="B29" s="238" t="s">
        <v>274</v>
      </c>
      <c r="C29" s="239" t="s">
        <v>1070</v>
      </c>
      <c r="D29" s="237" t="s">
        <v>1067</v>
      </c>
      <c r="E29" s="237" t="s">
        <v>1720</v>
      </c>
      <c r="F29" s="237" t="s">
        <v>180</v>
      </c>
      <c r="G29" s="237" t="s">
        <v>608</v>
      </c>
      <c r="H29" s="237" t="s">
        <v>1721</v>
      </c>
      <c r="I29" s="237">
        <v>1984</v>
      </c>
      <c r="J29" s="237" t="s">
        <v>1722</v>
      </c>
      <c r="K29" s="237" t="s">
        <v>13</v>
      </c>
      <c r="L29" s="237">
        <f t="shared" si="0"/>
        <v>2</v>
      </c>
      <c r="M29" s="237"/>
      <c r="N29" s="237" t="s">
        <v>648</v>
      </c>
      <c r="O29" s="237"/>
      <c r="P29" s="237"/>
      <c r="Q29" s="237"/>
      <c r="R29" s="237"/>
      <c r="S29" s="237"/>
      <c r="T29" s="237"/>
      <c r="U29" s="237"/>
      <c r="V29" s="237" t="s">
        <v>648</v>
      </c>
      <c r="W29" s="237"/>
    </row>
    <row r="30" spans="1:23" s="240" customFormat="1" ht="75.650000000000006" hidden="1" customHeight="1" x14ac:dyDescent="0.35">
      <c r="A30" s="237" t="s">
        <v>227</v>
      </c>
      <c r="B30" s="237" t="s">
        <v>272</v>
      </c>
      <c r="C30" s="239" t="s">
        <v>669</v>
      </c>
      <c r="D30" s="237" t="s">
        <v>938</v>
      </c>
      <c r="E30" s="237" t="s">
        <v>608</v>
      </c>
      <c r="F30" s="237" t="s">
        <v>182</v>
      </c>
      <c r="G30" s="237" t="s">
        <v>670</v>
      </c>
      <c r="H30" s="237" t="s">
        <v>682</v>
      </c>
      <c r="I30" s="237"/>
      <c r="J30" s="237" t="s">
        <v>1722</v>
      </c>
      <c r="K30" s="237" t="s">
        <v>8</v>
      </c>
      <c r="L30" s="237">
        <f t="shared" si="0"/>
        <v>0</v>
      </c>
      <c r="M30" s="237"/>
      <c r="N30" s="237"/>
      <c r="O30" s="237"/>
      <c r="P30" s="237"/>
      <c r="Q30" s="237"/>
      <c r="R30" s="237"/>
      <c r="S30" s="237"/>
      <c r="T30" s="237"/>
      <c r="U30" s="237"/>
      <c r="V30" s="237"/>
      <c r="W30" s="237"/>
    </row>
    <row r="31" spans="1:23" s="240" customFormat="1" ht="87.5" x14ac:dyDescent="0.35">
      <c r="A31" s="237" t="s">
        <v>225</v>
      </c>
      <c r="B31" s="237" t="s">
        <v>272</v>
      </c>
      <c r="C31" s="239" t="s">
        <v>666</v>
      </c>
      <c r="D31" s="237" t="s">
        <v>940</v>
      </c>
      <c r="E31" s="237" t="s">
        <v>1744</v>
      </c>
      <c r="F31" s="237" t="s">
        <v>180</v>
      </c>
      <c r="G31" s="237" t="s">
        <v>193</v>
      </c>
      <c r="H31" s="237" t="s">
        <v>1058</v>
      </c>
      <c r="I31" s="237">
        <v>2013</v>
      </c>
      <c r="J31" s="237" t="s">
        <v>1722</v>
      </c>
      <c r="K31" s="237" t="s">
        <v>13</v>
      </c>
      <c r="L31" s="237">
        <f t="shared" si="0"/>
        <v>3</v>
      </c>
      <c r="M31" s="237" t="s">
        <v>648</v>
      </c>
      <c r="N31" s="237"/>
      <c r="O31" s="237"/>
      <c r="P31" s="237" t="s">
        <v>648</v>
      </c>
      <c r="Q31" s="237" t="s">
        <v>648</v>
      </c>
      <c r="R31" s="237"/>
      <c r="S31" s="237"/>
      <c r="T31" s="237"/>
      <c r="U31" s="237"/>
      <c r="V31" s="237"/>
      <c r="W31" s="237"/>
    </row>
    <row r="32" spans="1:23" s="240" customFormat="1" ht="100.5" customHeight="1" x14ac:dyDescent="0.35">
      <c r="A32" s="237" t="s">
        <v>1745</v>
      </c>
      <c r="B32" s="237" t="s">
        <v>273</v>
      </c>
      <c r="C32" s="239" t="s">
        <v>1746</v>
      </c>
      <c r="D32" s="237" t="s">
        <v>940</v>
      </c>
      <c r="E32" s="237" t="s">
        <v>931</v>
      </c>
      <c r="F32" s="237" t="s">
        <v>180</v>
      </c>
      <c r="G32" s="237" t="s">
        <v>1747</v>
      </c>
      <c r="H32" s="237" t="s">
        <v>1020</v>
      </c>
      <c r="I32" s="237">
        <v>1962</v>
      </c>
      <c r="J32" s="237" t="s">
        <v>1722</v>
      </c>
      <c r="K32" s="237" t="s">
        <v>5</v>
      </c>
      <c r="L32" s="237">
        <f t="shared" si="0"/>
        <v>2</v>
      </c>
      <c r="M32" s="237" t="s">
        <v>648</v>
      </c>
      <c r="N32" s="237"/>
      <c r="O32" s="237" t="s">
        <v>648</v>
      </c>
      <c r="P32" s="237"/>
      <c r="Q32" s="237"/>
      <c r="R32" s="237"/>
      <c r="S32" s="237"/>
      <c r="T32" s="237"/>
      <c r="U32" s="237"/>
      <c r="V32" s="237"/>
      <c r="W32" s="237"/>
    </row>
    <row r="33" spans="1:23" s="240" customFormat="1" ht="37.5" x14ac:dyDescent="0.35">
      <c r="A33" s="237" t="s">
        <v>959</v>
      </c>
      <c r="B33" s="237" t="s">
        <v>273</v>
      </c>
      <c r="C33" s="239" t="s">
        <v>960</v>
      </c>
      <c r="D33" s="237" t="s">
        <v>940</v>
      </c>
      <c r="E33" s="237" t="s">
        <v>222</v>
      </c>
      <c r="F33" s="237" t="s">
        <v>180</v>
      </c>
      <c r="G33" s="237" t="s">
        <v>44</v>
      </c>
      <c r="H33" s="237" t="s">
        <v>222</v>
      </c>
      <c r="I33" s="237">
        <v>2016</v>
      </c>
      <c r="J33" s="237" t="s">
        <v>1722</v>
      </c>
      <c r="K33" s="237" t="s">
        <v>13</v>
      </c>
      <c r="L33" s="237">
        <f t="shared" si="0"/>
        <v>1</v>
      </c>
      <c r="M33" s="237" t="s">
        <v>648</v>
      </c>
      <c r="N33" s="237"/>
      <c r="O33" s="237"/>
      <c r="P33" s="237"/>
      <c r="Q33" s="237"/>
      <c r="R33" s="237"/>
      <c r="S33" s="237"/>
      <c r="T33" s="237"/>
      <c r="U33" s="237"/>
      <c r="V33" s="237"/>
      <c r="W33" s="237"/>
    </row>
    <row r="34" spans="1:23" s="240" customFormat="1" ht="25" hidden="1" x14ac:dyDescent="0.35">
      <c r="A34" s="237" t="s">
        <v>1748</v>
      </c>
      <c r="B34" s="237" t="s">
        <v>272</v>
      </c>
      <c r="C34" s="239" t="s">
        <v>84</v>
      </c>
      <c r="D34" s="237" t="s">
        <v>938</v>
      </c>
      <c r="E34" s="237" t="s">
        <v>237</v>
      </c>
      <c r="F34" s="237" t="s">
        <v>181</v>
      </c>
      <c r="G34" s="237" t="s">
        <v>188</v>
      </c>
      <c r="H34" s="237" t="s">
        <v>1729</v>
      </c>
      <c r="I34" s="237">
        <v>2007</v>
      </c>
      <c r="J34" s="237" t="s">
        <v>8</v>
      </c>
      <c r="K34" s="237" t="s">
        <v>8</v>
      </c>
      <c r="L34" s="237">
        <f t="shared" si="0"/>
        <v>1</v>
      </c>
      <c r="M34" s="237"/>
      <c r="N34" s="237"/>
      <c r="O34" s="237"/>
      <c r="P34" s="237"/>
      <c r="Q34" s="237"/>
      <c r="R34" s="237" t="s">
        <v>648</v>
      </c>
      <c r="S34" s="237"/>
      <c r="T34" s="237"/>
      <c r="U34" s="237"/>
      <c r="V34" s="237"/>
      <c r="W34" s="237"/>
    </row>
    <row r="35" spans="1:23" s="240" customFormat="1" ht="75" x14ac:dyDescent="0.35">
      <c r="A35" s="237" t="s">
        <v>229</v>
      </c>
      <c r="B35" s="237" t="s">
        <v>272</v>
      </c>
      <c r="C35" s="239" t="s">
        <v>687</v>
      </c>
      <c r="D35" s="237" t="s">
        <v>940</v>
      </c>
      <c r="E35" s="237" t="s">
        <v>1749</v>
      </c>
      <c r="F35" s="237" t="s">
        <v>180</v>
      </c>
      <c r="G35" s="237" t="s">
        <v>673</v>
      </c>
      <c r="H35" s="237" t="s">
        <v>1727</v>
      </c>
      <c r="I35" s="237">
        <v>2018</v>
      </c>
      <c r="J35" s="237" t="s">
        <v>1722</v>
      </c>
      <c r="K35" s="237" t="s">
        <v>5</v>
      </c>
      <c r="L35" s="237">
        <f t="shared" si="0"/>
        <v>1</v>
      </c>
      <c r="M35" s="237" t="s">
        <v>648</v>
      </c>
      <c r="N35" s="237"/>
      <c r="O35" s="237"/>
      <c r="P35" s="237"/>
      <c r="Q35" s="237"/>
      <c r="R35" s="237"/>
      <c r="S35" s="237"/>
      <c r="T35" s="237"/>
      <c r="U35" s="237"/>
      <c r="V35" s="237"/>
      <c r="W35" s="237"/>
    </row>
    <row r="36" spans="1:23" s="240" customFormat="1" ht="233.15" customHeight="1" x14ac:dyDescent="0.35">
      <c r="A36" s="237" t="s">
        <v>944</v>
      </c>
      <c r="B36" s="237" t="s">
        <v>272</v>
      </c>
      <c r="C36" s="239" t="s">
        <v>1032</v>
      </c>
      <c r="D36" s="237" t="s">
        <v>1031</v>
      </c>
      <c r="E36" s="237" t="s">
        <v>239</v>
      </c>
      <c r="F36" s="237" t="s">
        <v>182</v>
      </c>
      <c r="G36" s="237" t="s">
        <v>608</v>
      </c>
      <c r="H36" s="237" t="s">
        <v>657</v>
      </c>
      <c r="I36" s="237">
        <v>2016</v>
      </c>
      <c r="J36" s="237" t="s">
        <v>1722</v>
      </c>
      <c r="K36" s="237" t="s">
        <v>5</v>
      </c>
      <c r="L36" s="237">
        <f t="shared" si="0"/>
        <v>2</v>
      </c>
      <c r="M36" s="237"/>
      <c r="N36" s="237"/>
      <c r="O36" s="237"/>
      <c r="P36" s="237" t="s">
        <v>648</v>
      </c>
      <c r="Q36" s="237"/>
      <c r="R36" s="237" t="s">
        <v>648</v>
      </c>
      <c r="S36" s="237"/>
      <c r="T36" s="237"/>
      <c r="U36" s="237"/>
      <c r="V36" s="237"/>
      <c r="W36" s="237"/>
    </row>
    <row r="37" spans="1:23" s="240" customFormat="1" ht="80.150000000000006" hidden="1" customHeight="1" x14ac:dyDescent="0.35">
      <c r="A37" s="237" t="s">
        <v>1750</v>
      </c>
      <c r="B37" s="237" t="s">
        <v>272</v>
      </c>
      <c r="C37" s="239" t="s">
        <v>689</v>
      </c>
      <c r="D37" s="237" t="s">
        <v>940</v>
      </c>
      <c r="E37" s="237" t="s">
        <v>931</v>
      </c>
      <c r="F37" s="237" t="s">
        <v>181</v>
      </c>
      <c r="G37" s="237" t="s">
        <v>193</v>
      </c>
      <c r="H37" s="237" t="s">
        <v>1729</v>
      </c>
      <c r="I37" s="237">
        <v>2018</v>
      </c>
      <c r="J37" s="237" t="s">
        <v>1722</v>
      </c>
      <c r="K37" s="237" t="s">
        <v>8</v>
      </c>
      <c r="L37" s="237">
        <f t="shared" si="0"/>
        <v>1</v>
      </c>
      <c r="M37" s="237" t="s">
        <v>648</v>
      </c>
      <c r="N37" s="237"/>
      <c r="O37" s="237"/>
      <c r="P37" s="237"/>
      <c r="Q37" s="237"/>
      <c r="R37" s="237"/>
      <c r="S37" s="237"/>
      <c r="T37" s="237"/>
      <c r="U37" s="237"/>
      <c r="V37" s="237"/>
      <c r="W37" s="237"/>
    </row>
    <row r="38" spans="1:23" s="240" customFormat="1" ht="87.5" hidden="1" x14ac:dyDescent="0.35">
      <c r="A38" s="237" t="s">
        <v>215</v>
      </c>
      <c r="B38" s="237" t="s">
        <v>272</v>
      </c>
      <c r="C38" s="239" t="s">
        <v>937</v>
      </c>
      <c r="D38" s="237" t="s">
        <v>938</v>
      </c>
      <c r="E38" s="237" t="s">
        <v>608</v>
      </c>
      <c r="F38" s="237" t="s">
        <v>181</v>
      </c>
      <c r="G38" s="237" t="s">
        <v>605</v>
      </c>
      <c r="H38" s="237" t="s">
        <v>682</v>
      </c>
      <c r="I38" s="237">
        <v>2015</v>
      </c>
      <c r="J38" s="237" t="s">
        <v>1722</v>
      </c>
      <c r="K38" s="237" t="s">
        <v>8</v>
      </c>
      <c r="L38" s="237">
        <f t="shared" si="0"/>
        <v>2</v>
      </c>
      <c r="M38" s="237" t="s">
        <v>925</v>
      </c>
      <c r="N38" s="237" t="s">
        <v>925</v>
      </c>
      <c r="O38" s="237"/>
      <c r="P38" s="237"/>
      <c r="Q38" s="237"/>
      <c r="R38" s="237"/>
      <c r="S38" s="237"/>
      <c r="T38" s="237"/>
      <c r="U38" s="237"/>
      <c r="V38" s="237"/>
      <c r="W38" s="237"/>
    </row>
    <row r="39" spans="1:23" s="240" customFormat="1" ht="87.5" x14ac:dyDescent="0.35">
      <c r="A39" s="237" t="s">
        <v>213</v>
      </c>
      <c r="B39" s="237" t="s">
        <v>272</v>
      </c>
      <c r="C39" s="239" t="s">
        <v>932</v>
      </c>
      <c r="D39" s="237" t="s">
        <v>940</v>
      </c>
      <c r="E39" s="237" t="s">
        <v>931</v>
      </c>
      <c r="F39" s="237" t="s">
        <v>511</v>
      </c>
      <c r="G39" s="237" t="s">
        <v>929</v>
      </c>
      <c r="H39" s="237" t="s">
        <v>1058</v>
      </c>
      <c r="I39" s="237">
        <v>2012</v>
      </c>
      <c r="J39" s="237" t="s">
        <v>1722</v>
      </c>
      <c r="K39" s="237" t="s">
        <v>13</v>
      </c>
      <c r="L39" s="237">
        <f t="shared" si="0"/>
        <v>2</v>
      </c>
      <c r="M39" s="237" t="s">
        <v>925</v>
      </c>
      <c r="N39" s="237" t="s">
        <v>925</v>
      </c>
      <c r="O39" s="237"/>
      <c r="P39" s="237"/>
      <c r="Q39" s="237"/>
      <c r="R39" s="237"/>
      <c r="S39" s="237"/>
      <c r="T39" s="237"/>
      <c r="U39" s="237"/>
      <c r="V39" s="237"/>
      <c r="W39" s="237"/>
    </row>
    <row r="40" spans="1:23" s="240" customFormat="1" ht="112.5" x14ac:dyDescent="0.35">
      <c r="A40" s="237" t="s">
        <v>208</v>
      </c>
      <c r="B40" s="237" t="s">
        <v>272</v>
      </c>
      <c r="C40" s="239" t="s">
        <v>924</v>
      </c>
      <c r="D40" s="237" t="s">
        <v>1063</v>
      </c>
      <c r="E40" s="237" t="s">
        <v>608</v>
      </c>
      <c r="F40" s="237" t="s">
        <v>511</v>
      </c>
      <c r="G40" s="237" t="s">
        <v>608</v>
      </c>
      <c r="H40" s="237" t="s">
        <v>657</v>
      </c>
      <c r="I40" s="237">
        <v>2014</v>
      </c>
      <c r="J40" s="237" t="s">
        <v>1722</v>
      </c>
      <c r="K40" s="237" t="s">
        <v>13</v>
      </c>
      <c r="L40" s="237">
        <f t="shared" si="0"/>
        <v>7</v>
      </c>
      <c r="M40" s="237" t="s">
        <v>648</v>
      </c>
      <c r="N40" s="237" t="s">
        <v>648</v>
      </c>
      <c r="O40" s="237" t="s">
        <v>648</v>
      </c>
      <c r="P40" s="237" t="s">
        <v>648</v>
      </c>
      <c r="Q40" s="237" t="s">
        <v>648</v>
      </c>
      <c r="R40" s="237" t="s">
        <v>648</v>
      </c>
      <c r="S40" s="237" t="s">
        <v>648</v>
      </c>
      <c r="T40" s="237"/>
      <c r="U40" s="237"/>
      <c r="V40" s="237"/>
      <c r="W40" s="237"/>
    </row>
    <row r="41" spans="1:23" s="240" customFormat="1" ht="37.5" x14ac:dyDescent="0.35">
      <c r="A41" s="237" t="s">
        <v>1050</v>
      </c>
      <c r="B41" s="238"/>
      <c r="C41" s="239" t="s">
        <v>1071</v>
      </c>
      <c r="D41" s="237" t="s">
        <v>1067</v>
      </c>
      <c r="E41" s="237" t="s">
        <v>1720</v>
      </c>
      <c r="F41" s="237" t="s">
        <v>180</v>
      </c>
      <c r="G41" s="237" t="s">
        <v>608</v>
      </c>
      <c r="H41" s="237" t="s">
        <v>1721</v>
      </c>
      <c r="I41" s="237">
        <v>2001</v>
      </c>
      <c r="J41" s="237" t="s">
        <v>1722</v>
      </c>
      <c r="K41" s="237" t="s">
        <v>13</v>
      </c>
      <c r="L41" s="237">
        <f t="shared" si="0"/>
        <v>2</v>
      </c>
      <c r="M41" s="237"/>
      <c r="N41" s="237" t="s">
        <v>648</v>
      </c>
      <c r="O41" s="237"/>
      <c r="P41" s="237"/>
      <c r="Q41" s="237"/>
      <c r="R41" s="237"/>
      <c r="S41" s="237"/>
      <c r="T41" s="237"/>
      <c r="U41" s="237"/>
      <c r="V41" s="237" t="s">
        <v>648</v>
      </c>
      <c r="W41" s="237"/>
    </row>
    <row r="42" spans="1:23" s="240" customFormat="1" ht="50" x14ac:dyDescent="0.35">
      <c r="A42" s="237" t="s">
        <v>1051</v>
      </c>
      <c r="B42" s="238" t="s">
        <v>274</v>
      </c>
      <c r="C42" s="239" t="s">
        <v>1072</v>
      </c>
      <c r="D42" s="237" t="s">
        <v>1073</v>
      </c>
      <c r="E42" s="237" t="s">
        <v>1751</v>
      </c>
      <c r="F42" s="237" t="s">
        <v>180</v>
      </c>
      <c r="G42" s="237" t="s">
        <v>608</v>
      </c>
      <c r="H42" s="237" t="s">
        <v>1721</v>
      </c>
      <c r="I42" s="237">
        <v>2003</v>
      </c>
      <c r="J42" s="237" t="s">
        <v>1722</v>
      </c>
      <c r="K42" s="237" t="s">
        <v>13</v>
      </c>
      <c r="L42" s="237">
        <f t="shared" si="0"/>
        <v>2</v>
      </c>
      <c r="M42" s="237"/>
      <c r="N42" s="237" t="s">
        <v>648</v>
      </c>
      <c r="O42" s="237"/>
      <c r="P42" s="237"/>
      <c r="Q42" s="237"/>
      <c r="R42" s="237"/>
      <c r="S42" s="237"/>
      <c r="T42" s="237"/>
      <c r="U42" s="237"/>
      <c r="V42" s="237" t="s">
        <v>648</v>
      </c>
      <c r="W42" s="237"/>
    </row>
    <row r="43" spans="1:23" s="240" customFormat="1" ht="37.5" hidden="1" x14ac:dyDescent="0.35">
      <c r="A43" s="237" t="s">
        <v>946</v>
      </c>
      <c r="B43" s="237" t="s">
        <v>272</v>
      </c>
      <c r="C43" s="239" t="s">
        <v>1034</v>
      </c>
      <c r="D43" s="237" t="s">
        <v>1031</v>
      </c>
      <c r="E43" s="237" t="s">
        <v>1728</v>
      </c>
      <c r="F43" s="237" t="s">
        <v>182</v>
      </c>
      <c r="G43" s="237" t="s">
        <v>608</v>
      </c>
      <c r="H43" s="237" t="s">
        <v>1729</v>
      </c>
      <c r="I43" s="237">
        <v>1983</v>
      </c>
      <c r="J43" s="237" t="s">
        <v>1722</v>
      </c>
      <c r="K43" s="237" t="s">
        <v>8</v>
      </c>
      <c r="L43" s="237">
        <f t="shared" si="0"/>
        <v>1</v>
      </c>
      <c r="M43" s="237"/>
      <c r="N43" s="237"/>
      <c r="O43" s="237"/>
      <c r="P43" s="237"/>
      <c r="Q43" s="237"/>
      <c r="R43" s="237" t="s">
        <v>648</v>
      </c>
      <c r="S43" s="237"/>
      <c r="T43" s="237"/>
      <c r="U43" s="237"/>
      <c r="V43" s="237"/>
      <c r="W43" s="237"/>
    </row>
    <row r="44" spans="1:23" s="240" customFormat="1" ht="62.5" hidden="1" x14ac:dyDescent="0.35">
      <c r="A44" s="237" t="s">
        <v>217</v>
      </c>
      <c r="B44" s="237" t="s">
        <v>272</v>
      </c>
      <c r="C44" s="239" t="s">
        <v>653</v>
      </c>
      <c r="D44" s="237" t="s">
        <v>938</v>
      </c>
      <c r="E44" s="237" t="s">
        <v>655</v>
      </c>
      <c r="F44" s="237" t="s">
        <v>181</v>
      </c>
      <c r="G44" s="237" t="s">
        <v>44</v>
      </c>
      <c r="H44" s="237" t="s">
        <v>366</v>
      </c>
      <c r="I44" s="237">
        <v>1999</v>
      </c>
      <c r="J44" s="237"/>
      <c r="K44" s="237" t="s">
        <v>8</v>
      </c>
      <c r="L44" s="237">
        <f t="shared" si="0"/>
        <v>0</v>
      </c>
      <c r="M44" s="237"/>
      <c r="N44" s="237"/>
      <c r="O44" s="237"/>
      <c r="P44" s="237"/>
      <c r="Q44" s="237"/>
      <c r="R44" s="237"/>
      <c r="S44" s="237"/>
      <c r="T44" s="237"/>
      <c r="U44" s="237"/>
      <c r="V44" s="237"/>
      <c r="W44" s="237"/>
    </row>
    <row r="45" spans="1:23" s="240" customFormat="1" ht="63" customHeight="1" x14ac:dyDescent="0.35">
      <c r="A45" s="237" t="s">
        <v>949</v>
      </c>
      <c r="B45" s="237" t="s">
        <v>272</v>
      </c>
      <c r="C45" s="239" t="s">
        <v>1036</v>
      </c>
      <c r="D45" s="237" t="s">
        <v>941</v>
      </c>
      <c r="E45" s="237" t="s">
        <v>965</v>
      </c>
      <c r="F45" s="237" t="s">
        <v>180</v>
      </c>
      <c r="G45" s="237" t="s">
        <v>608</v>
      </c>
      <c r="H45" s="237" t="s">
        <v>657</v>
      </c>
      <c r="I45" s="237">
        <v>2013</v>
      </c>
      <c r="J45" s="237" t="s">
        <v>1722</v>
      </c>
      <c r="K45" s="237" t="s">
        <v>5</v>
      </c>
      <c r="L45" s="237">
        <f t="shared" si="0"/>
        <v>7</v>
      </c>
      <c r="M45" s="237" t="s">
        <v>648</v>
      </c>
      <c r="N45" s="237" t="s">
        <v>648</v>
      </c>
      <c r="O45" s="237" t="s">
        <v>648</v>
      </c>
      <c r="P45" s="237" t="s">
        <v>648</v>
      </c>
      <c r="Q45" s="237" t="s">
        <v>648</v>
      </c>
      <c r="R45" s="237" t="s">
        <v>648</v>
      </c>
      <c r="S45" s="237" t="s">
        <v>648</v>
      </c>
      <c r="T45" s="237"/>
      <c r="U45" s="237"/>
      <c r="V45" s="237"/>
      <c r="W45" s="237"/>
    </row>
    <row r="46" spans="1:23" s="240" customFormat="1" ht="50" x14ac:dyDescent="0.35">
      <c r="A46" s="237" t="s">
        <v>1046</v>
      </c>
      <c r="B46" s="238" t="s">
        <v>272</v>
      </c>
      <c r="C46" s="239" t="s">
        <v>1064</v>
      </c>
      <c r="D46" s="237" t="s">
        <v>1063</v>
      </c>
      <c r="E46" s="237" t="s">
        <v>608</v>
      </c>
      <c r="F46" s="237" t="s">
        <v>180</v>
      </c>
      <c r="G46" s="237" t="s">
        <v>1724</v>
      </c>
      <c r="H46" s="237" t="s">
        <v>1065</v>
      </c>
      <c r="I46" s="237">
        <v>2015</v>
      </c>
      <c r="J46" s="237" t="s">
        <v>1722</v>
      </c>
      <c r="K46" s="237" t="s">
        <v>13</v>
      </c>
      <c r="L46" s="237">
        <f t="shared" si="0"/>
        <v>7</v>
      </c>
      <c r="M46" s="237" t="s">
        <v>648</v>
      </c>
      <c r="N46" s="237" t="s">
        <v>648</v>
      </c>
      <c r="O46" s="237" t="s">
        <v>648</v>
      </c>
      <c r="P46" s="237" t="s">
        <v>648</v>
      </c>
      <c r="Q46" s="237" t="s">
        <v>648</v>
      </c>
      <c r="R46" s="237" t="s">
        <v>648</v>
      </c>
      <c r="S46" s="237"/>
      <c r="T46" s="237"/>
      <c r="U46" s="237"/>
      <c r="V46" s="237" t="s">
        <v>648</v>
      </c>
      <c r="W46" s="237"/>
    </row>
    <row r="47" spans="1:23" s="240" customFormat="1" ht="187.5" x14ac:dyDescent="0.35">
      <c r="A47" s="237" t="s">
        <v>212</v>
      </c>
      <c r="B47" s="237" t="s">
        <v>272</v>
      </c>
      <c r="C47" s="239" t="s">
        <v>928</v>
      </c>
      <c r="D47" s="237" t="s">
        <v>940</v>
      </c>
      <c r="E47" s="237" t="s">
        <v>930</v>
      </c>
      <c r="F47" s="237" t="s">
        <v>511</v>
      </c>
      <c r="G47" s="237" t="s">
        <v>929</v>
      </c>
      <c r="H47" s="237" t="s">
        <v>1058</v>
      </c>
      <c r="I47" s="237">
        <v>2011</v>
      </c>
      <c r="J47" s="237" t="s">
        <v>1722</v>
      </c>
      <c r="K47" s="237" t="s">
        <v>13</v>
      </c>
      <c r="L47" s="237">
        <f t="shared" si="0"/>
        <v>2</v>
      </c>
      <c r="M47" s="237" t="s">
        <v>925</v>
      </c>
      <c r="N47" s="237" t="s">
        <v>925</v>
      </c>
      <c r="O47" s="237"/>
      <c r="P47" s="237"/>
      <c r="Q47" s="237"/>
      <c r="R47" s="237"/>
      <c r="S47" s="237"/>
      <c r="T47" s="237"/>
      <c r="U47" s="237"/>
      <c r="V47" s="237"/>
      <c r="W47" s="237"/>
    </row>
    <row r="48" spans="1:23" s="240" customFormat="1" ht="200" x14ac:dyDescent="0.35">
      <c r="A48" s="237" t="s">
        <v>963</v>
      </c>
      <c r="B48" s="237" t="s">
        <v>274</v>
      </c>
      <c r="C48" s="239" t="s">
        <v>1752</v>
      </c>
      <c r="D48" s="237" t="s">
        <v>940</v>
      </c>
      <c r="E48" s="237" t="s">
        <v>931</v>
      </c>
      <c r="F48" s="237" t="s">
        <v>180</v>
      </c>
      <c r="G48" s="237" t="s">
        <v>1753</v>
      </c>
      <c r="H48" s="237" t="s">
        <v>966</v>
      </c>
      <c r="I48" s="237">
        <v>1978</v>
      </c>
      <c r="J48" s="237" t="s">
        <v>1722</v>
      </c>
      <c r="K48" s="237" t="s">
        <v>13</v>
      </c>
      <c r="L48" s="237">
        <f t="shared" si="0"/>
        <v>1</v>
      </c>
      <c r="M48" s="237"/>
      <c r="N48" s="237"/>
      <c r="O48" s="237" t="s">
        <v>648</v>
      </c>
      <c r="P48" s="237"/>
      <c r="Q48" s="237"/>
      <c r="R48" s="237"/>
      <c r="S48" s="237"/>
      <c r="T48" s="237"/>
      <c r="U48" s="237"/>
      <c r="V48" s="237"/>
      <c r="W48" s="237"/>
    </row>
    <row r="49" spans="1:23" s="240" customFormat="1" ht="112.5" x14ac:dyDescent="0.35">
      <c r="A49" s="237" t="s">
        <v>677</v>
      </c>
      <c r="B49" s="237" t="s">
        <v>272</v>
      </c>
      <c r="C49" s="239" t="s">
        <v>690</v>
      </c>
      <c r="D49" s="237" t="s">
        <v>940</v>
      </c>
      <c r="E49" s="237" t="s">
        <v>931</v>
      </c>
      <c r="F49" s="237" t="s">
        <v>180</v>
      </c>
      <c r="G49" s="237" t="s">
        <v>608</v>
      </c>
      <c r="H49" s="237" t="s">
        <v>222</v>
      </c>
      <c r="I49" s="237">
        <v>2000</v>
      </c>
      <c r="J49" s="237" t="s">
        <v>1722</v>
      </c>
      <c r="K49" s="237" t="s">
        <v>5</v>
      </c>
      <c r="L49" s="237">
        <f t="shared" si="0"/>
        <v>1</v>
      </c>
      <c r="M49" s="237" t="s">
        <v>648</v>
      </c>
      <c r="N49" s="237"/>
      <c r="O49" s="237"/>
      <c r="P49" s="237"/>
      <c r="Q49" s="237"/>
      <c r="R49" s="237"/>
      <c r="S49" s="237"/>
      <c r="T49" s="237"/>
      <c r="U49" s="237"/>
      <c r="V49" s="237"/>
      <c r="W49" s="237"/>
    </row>
    <row r="50" spans="1:23" s="240" customFormat="1" ht="75" x14ac:dyDescent="0.35">
      <c r="A50" s="237" t="s">
        <v>220</v>
      </c>
      <c r="B50" s="237" t="s">
        <v>272</v>
      </c>
      <c r="C50" s="239" t="s">
        <v>654</v>
      </c>
      <c r="D50" s="237" t="s">
        <v>940</v>
      </c>
      <c r="E50" s="237" t="s">
        <v>931</v>
      </c>
      <c r="F50" s="237" t="s">
        <v>180</v>
      </c>
      <c r="G50" s="237" t="s">
        <v>608</v>
      </c>
      <c r="H50" s="237" t="s">
        <v>657</v>
      </c>
      <c r="I50" s="237">
        <v>2015</v>
      </c>
      <c r="J50" s="237"/>
      <c r="K50" s="237" t="s">
        <v>13</v>
      </c>
      <c r="L50" s="237">
        <f t="shared" si="0"/>
        <v>1</v>
      </c>
      <c r="M50" s="237" t="s">
        <v>648</v>
      </c>
      <c r="N50" s="237"/>
      <c r="O50" s="237"/>
      <c r="P50" s="237"/>
      <c r="Q50" s="237"/>
      <c r="R50" s="237"/>
      <c r="S50" s="237"/>
      <c r="T50" s="237"/>
      <c r="U50" s="237"/>
      <c r="V50" s="237"/>
      <c r="W50" s="237"/>
    </row>
    <row r="51" spans="1:23" s="240" customFormat="1" ht="150" x14ac:dyDescent="0.35">
      <c r="A51" s="237" t="s">
        <v>683</v>
      </c>
      <c r="B51" s="238" t="s">
        <v>274</v>
      </c>
      <c r="C51" s="239" t="s">
        <v>1075</v>
      </c>
      <c r="D51" s="237" t="s">
        <v>1067</v>
      </c>
      <c r="E51" s="237" t="s">
        <v>1720</v>
      </c>
      <c r="F51" s="237" t="s">
        <v>180</v>
      </c>
      <c r="G51" s="237" t="s">
        <v>608</v>
      </c>
      <c r="H51" s="237" t="s">
        <v>1721</v>
      </c>
      <c r="I51" s="237">
        <v>2012</v>
      </c>
      <c r="J51" s="237" t="s">
        <v>1722</v>
      </c>
      <c r="K51" s="237" t="s">
        <v>5</v>
      </c>
      <c r="L51" s="237">
        <f t="shared" si="0"/>
        <v>2</v>
      </c>
      <c r="M51" s="237"/>
      <c r="N51" s="237" t="s">
        <v>648</v>
      </c>
      <c r="O51" s="237"/>
      <c r="P51" s="237"/>
      <c r="Q51" s="237"/>
      <c r="R51" s="237"/>
      <c r="S51" s="237"/>
      <c r="T51" s="237"/>
      <c r="U51" s="237"/>
      <c r="V51" s="237" t="s">
        <v>648</v>
      </c>
      <c r="W51" s="237"/>
    </row>
    <row r="52" spans="1:23" s="240" customFormat="1" ht="87.5" hidden="1" x14ac:dyDescent="0.35">
      <c r="A52" s="237" t="s">
        <v>219</v>
      </c>
      <c r="B52" s="237" t="s">
        <v>272</v>
      </c>
      <c r="C52" s="239" t="s">
        <v>660</v>
      </c>
      <c r="D52" s="237" t="s">
        <v>938</v>
      </c>
      <c r="E52" s="237" t="s">
        <v>656</v>
      </c>
      <c r="F52" s="237" t="s">
        <v>181</v>
      </c>
      <c r="G52" s="237" t="s">
        <v>44</v>
      </c>
      <c r="H52" s="237" t="s">
        <v>1060</v>
      </c>
      <c r="I52" s="237">
        <v>2015</v>
      </c>
      <c r="J52" s="237"/>
      <c r="K52" s="237" t="s">
        <v>8</v>
      </c>
      <c r="L52" s="237">
        <f t="shared" si="0"/>
        <v>0</v>
      </c>
      <c r="M52" s="237"/>
      <c r="N52" s="237"/>
      <c r="O52" s="237"/>
      <c r="P52" s="237"/>
      <c r="Q52" s="237"/>
      <c r="R52" s="237"/>
      <c r="S52" s="237"/>
      <c r="T52" s="237"/>
      <c r="U52" s="237"/>
      <c r="V52" s="237"/>
      <c r="W52" s="237"/>
    </row>
    <row r="53" spans="1:23" s="240" customFormat="1" ht="212.5" x14ac:dyDescent="0.35">
      <c r="A53" s="237" t="s">
        <v>224</v>
      </c>
      <c r="B53" s="237" t="s">
        <v>272</v>
      </c>
      <c r="C53" s="239" t="s">
        <v>665</v>
      </c>
      <c r="D53" s="237" t="s">
        <v>940</v>
      </c>
      <c r="E53" s="237" t="s">
        <v>931</v>
      </c>
      <c r="F53" s="237" t="s">
        <v>180</v>
      </c>
      <c r="G53" s="237" t="s">
        <v>193</v>
      </c>
      <c r="H53" s="237" t="s">
        <v>1058</v>
      </c>
      <c r="I53" s="237">
        <v>2017</v>
      </c>
      <c r="J53" s="237" t="s">
        <v>1722</v>
      </c>
      <c r="K53" s="237" t="s">
        <v>13</v>
      </c>
      <c r="L53" s="237">
        <f t="shared" si="0"/>
        <v>1</v>
      </c>
      <c r="M53" s="237" t="s">
        <v>648</v>
      </c>
      <c r="N53" s="237"/>
      <c r="O53" s="237"/>
      <c r="P53" s="237"/>
      <c r="Q53" s="237"/>
      <c r="R53" s="237"/>
      <c r="S53" s="237"/>
      <c r="T53" s="237"/>
      <c r="U53" s="237"/>
      <c r="V53" s="237"/>
      <c r="W53" s="237"/>
    </row>
    <row r="54" spans="1:23" s="240" customFormat="1" ht="112.5" x14ac:dyDescent="0.35">
      <c r="A54" s="237" t="s">
        <v>31</v>
      </c>
      <c r="B54" s="237" t="s">
        <v>272</v>
      </c>
      <c r="C54" s="239" t="s">
        <v>686</v>
      </c>
      <c r="D54" s="237" t="s">
        <v>938</v>
      </c>
      <c r="E54" s="237" t="s">
        <v>237</v>
      </c>
      <c r="F54" s="237" t="s">
        <v>182</v>
      </c>
      <c r="G54" s="237" t="s">
        <v>193</v>
      </c>
      <c r="H54" s="237" t="s">
        <v>1060</v>
      </c>
      <c r="I54" s="237">
        <v>2012</v>
      </c>
      <c r="J54" s="237"/>
      <c r="K54" s="237" t="s">
        <v>5</v>
      </c>
      <c r="L54" s="237">
        <f t="shared" si="0"/>
        <v>1</v>
      </c>
      <c r="M54" s="237"/>
      <c r="N54" s="237"/>
      <c r="O54" s="237"/>
      <c r="P54" s="237" t="s">
        <v>648</v>
      </c>
      <c r="Q54" s="237"/>
      <c r="R54" s="237"/>
      <c r="S54" s="237"/>
      <c r="T54" s="237"/>
      <c r="U54" s="237"/>
      <c r="V54" s="237"/>
      <c r="W54" s="237"/>
    </row>
    <row r="55" spans="1:23" s="240" customFormat="1" ht="25" x14ac:dyDescent="0.35">
      <c r="A55" s="237" t="s">
        <v>948</v>
      </c>
      <c r="B55" s="237" t="s">
        <v>272</v>
      </c>
      <c r="C55" s="239" t="s">
        <v>1035</v>
      </c>
      <c r="D55" s="237" t="s">
        <v>938</v>
      </c>
      <c r="E55" s="237" t="s">
        <v>237</v>
      </c>
      <c r="F55" s="237" t="s">
        <v>180</v>
      </c>
      <c r="G55" s="237" t="s">
        <v>608</v>
      </c>
      <c r="H55" s="237" t="s">
        <v>240</v>
      </c>
      <c r="I55" s="237">
        <v>2015</v>
      </c>
      <c r="J55" s="237" t="s">
        <v>1722</v>
      </c>
      <c r="K55" s="237" t="s">
        <v>13</v>
      </c>
      <c r="L55" s="237">
        <f t="shared" si="0"/>
        <v>3</v>
      </c>
      <c r="M55" s="237"/>
      <c r="N55" s="237"/>
      <c r="O55" s="237"/>
      <c r="P55" s="237" t="s">
        <v>648</v>
      </c>
      <c r="Q55" s="237" t="s">
        <v>648</v>
      </c>
      <c r="R55" s="237"/>
      <c r="S55" s="237"/>
      <c r="T55" s="237"/>
      <c r="U55" s="237" t="s">
        <v>648</v>
      </c>
      <c r="V55" s="237"/>
      <c r="W55" s="237"/>
    </row>
    <row r="56" spans="1:23" s="240" customFormat="1" ht="125" hidden="1" x14ac:dyDescent="0.35">
      <c r="A56" s="237" t="s">
        <v>209</v>
      </c>
      <c r="B56" s="237" t="s">
        <v>272</v>
      </c>
      <c r="C56" s="239" t="s">
        <v>1059</v>
      </c>
      <c r="D56" s="237" t="s">
        <v>939</v>
      </c>
      <c r="E56" s="237" t="s">
        <v>926</v>
      </c>
      <c r="F56" s="237" t="s">
        <v>182</v>
      </c>
      <c r="G56" s="237" t="s">
        <v>608</v>
      </c>
      <c r="H56" s="237" t="s">
        <v>240</v>
      </c>
      <c r="I56" s="237">
        <v>2011</v>
      </c>
      <c r="J56" s="237" t="s">
        <v>1722</v>
      </c>
      <c r="K56" s="237" t="s">
        <v>8</v>
      </c>
      <c r="L56" s="237">
        <f t="shared" si="0"/>
        <v>4</v>
      </c>
      <c r="M56" s="237" t="s">
        <v>925</v>
      </c>
      <c r="N56" s="237" t="s">
        <v>925</v>
      </c>
      <c r="O56" s="237"/>
      <c r="P56" s="237" t="s">
        <v>648</v>
      </c>
      <c r="Q56" s="237"/>
      <c r="R56" s="237" t="s">
        <v>648</v>
      </c>
      <c r="S56" s="237"/>
      <c r="T56" s="237"/>
      <c r="U56" s="237"/>
      <c r="V56" s="237"/>
      <c r="W56" s="237"/>
    </row>
    <row r="57" spans="1:23" s="240" customFormat="1" ht="25" x14ac:dyDescent="0.35">
      <c r="A57" s="237" t="s">
        <v>698</v>
      </c>
      <c r="B57" s="238" t="s">
        <v>274</v>
      </c>
      <c r="C57" s="239" t="s">
        <v>1066</v>
      </c>
      <c r="D57" s="237" t="s">
        <v>940</v>
      </c>
      <c r="E57" s="237" t="s">
        <v>931</v>
      </c>
      <c r="F57" s="237" t="s">
        <v>180</v>
      </c>
      <c r="G57" s="237" t="s">
        <v>1724</v>
      </c>
      <c r="H57" s="237" t="s">
        <v>222</v>
      </c>
      <c r="I57" s="237">
        <v>1947</v>
      </c>
      <c r="J57" s="237" t="s">
        <v>1722</v>
      </c>
      <c r="K57" s="237" t="s">
        <v>5</v>
      </c>
      <c r="L57" s="237">
        <f t="shared" si="0"/>
        <v>1</v>
      </c>
      <c r="M57" s="237" t="s">
        <v>648</v>
      </c>
      <c r="N57" s="237"/>
      <c r="O57" s="237"/>
      <c r="P57" s="237"/>
      <c r="Q57" s="237"/>
      <c r="R57" s="237"/>
      <c r="S57" s="237"/>
      <c r="T57" s="237"/>
      <c r="U57" s="237"/>
      <c r="V57" s="237"/>
      <c r="W57" s="237"/>
    </row>
    <row r="58" spans="1:23" s="240" customFormat="1" ht="150" x14ac:dyDescent="0.35">
      <c r="A58" s="237" t="s">
        <v>1040</v>
      </c>
      <c r="B58" s="237" t="s">
        <v>273</v>
      </c>
      <c r="C58" s="239" t="s">
        <v>1754</v>
      </c>
      <c r="D58" s="237" t="s">
        <v>1042</v>
      </c>
      <c r="E58" s="237" t="s">
        <v>931</v>
      </c>
      <c r="F58" s="237" t="s">
        <v>180</v>
      </c>
      <c r="G58" s="237" t="s">
        <v>1755</v>
      </c>
      <c r="H58" s="237" t="s">
        <v>1020</v>
      </c>
      <c r="I58" s="237">
        <v>1969</v>
      </c>
      <c r="J58" s="237" t="s">
        <v>1722</v>
      </c>
      <c r="K58" s="237" t="s">
        <v>5</v>
      </c>
      <c r="L58" s="237">
        <f t="shared" si="0"/>
        <v>1</v>
      </c>
      <c r="M58" s="237"/>
      <c r="N58" s="237"/>
      <c r="O58" s="237" t="s">
        <v>648</v>
      </c>
      <c r="P58" s="237"/>
      <c r="Q58" s="237"/>
      <c r="R58" s="237"/>
      <c r="S58" s="237"/>
      <c r="T58" s="237"/>
      <c r="U58" s="237"/>
      <c r="V58" s="237"/>
      <c r="W58" s="237"/>
    </row>
    <row r="59" spans="1:23" s="243" customFormat="1" ht="176.5" hidden="1" customHeight="1" x14ac:dyDescent="0.35">
      <c r="A59" s="237" t="s">
        <v>226</v>
      </c>
      <c r="B59" s="237" t="s">
        <v>272</v>
      </c>
      <c r="C59" s="239" t="s">
        <v>667</v>
      </c>
      <c r="D59" s="237" t="s">
        <v>942</v>
      </c>
      <c r="E59" s="237" t="s">
        <v>1756</v>
      </c>
      <c r="F59" s="237" t="s">
        <v>181</v>
      </c>
      <c r="G59" s="237" t="s">
        <v>668</v>
      </c>
      <c r="H59" s="237" t="s">
        <v>1730</v>
      </c>
      <c r="I59" s="237">
        <v>2018</v>
      </c>
      <c r="J59" s="237" t="s">
        <v>1722</v>
      </c>
      <c r="K59" s="237" t="s">
        <v>8</v>
      </c>
      <c r="L59" s="237">
        <f t="shared" si="0"/>
        <v>0</v>
      </c>
      <c r="M59" s="237"/>
      <c r="N59" s="237"/>
      <c r="O59" s="237"/>
      <c r="P59" s="237"/>
      <c r="Q59" s="237"/>
      <c r="R59" s="237"/>
      <c r="S59" s="237"/>
      <c r="T59" s="237"/>
      <c r="U59" s="237"/>
      <c r="V59" s="237"/>
      <c r="W59" s="237"/>
    </row>
    <row r="60" spans="1:23" s="243" customFormat="1" ht="100" x14ac:dyDescent="0.35">
      <c r="A60" s="237" t="s">
        <v>214</v>
      </c>
      <c r="B60" s="237" t="s">
        <v>272</v>
      </c>
      <c r="C60" s="239" t="s">
        <v>935</v>
      </c>
      <c r="D60" s="237" t="s">
        <v>940</v>
      </c>
      <c r="E60" s="237" t="s">
        <v>608</v>
      </c>
      <c r="F60" s="237" t="s">
        <v>511</v>
      </c>
      <c r="G60" s="237" t="s">
        <v>936</v>
      </c>
      <c r="H60" s="237" t="s">
        <v>682</v>
      </c>
      <c r="I60" s="237"/>
      <c r="J60" s="237" t="s">
        <v>1722</v>
      </c>
      <c r="K60" s="237" t="s">
        <v>13</v>
      </c>
      <c r="L60" s="237">
        <f t="shared" si="0"/>
        <v>2</v>
      </c>
      <c r="M60" s="237" t="s">
        <v>648</v>
      </c>
      <c r="N60" s="237" t="s">
        <v>927</v>
      </c>
      <c r="O60" s="237"/>
      <c r="P60" s="237"/>
      <c r="Q60" s="237"/>
      <c r="R60" s="237"/>
      <c r="S60" s="237"/>
      <c r="T60" s="237"/>
      <c r="U60" s="237"/>
      <c r="V60" s="237"/>
      <c r="W60" s="237"/>
    </row>
    <row r="61" spans="1:23" s="240" customFormat="1" ht="50" x14ac:dyDescent="0.35">
      <c r="A61" s="237" t="s">
        <v>3</v>
      </c>
      <c r="B61" s="237" t="s">
        <v>272</v>
      </c>
      <c r="C61" s="239" t="s">
        <v>207</v>
      </c>
      <c r="D61" s="237" t="s">
        <v>940</v>
      </c>
      <c r="E61" s="237" t="s">
        <v>931</v>
      </c>
      <c r="F61" s="237" t="s">
        <v>180</v>
      </c>
      <c r="G61" s="237" t="s">
        <v>44</v>
      </c>
      <c r="H61" s="237" t="s">
        <v>1058</v>
      </c>
      <c r="I61" s="237">
        <v>2011</v>
      </c>
      <c r="J61" s="237" t="s">
        <v>5</v>
      </c>
      <c r="K61" s="237" t="s">
        <v>13</v>
      </c>
      <c r="L61" s="237">
        <f t="shared" si="0"/>
        <v>0</v>
      </c>
      <c r="M61" s="237"/>
      <c r="N61" s="237"/>
      <c r="O61" s="237"/>
      <c r="P61" s="237"/>
      <c r="Q61" s="237"/>
      <c r="R61" s="237"/>
      <c r="S61" s="237"/>
      <c r="T61" s="237"/>
      <c r="U61" s="237"/>
      <c r="V61" s="237"/>
      <c r="W61" s="237"/>
    </row>
    <row r="62" spans="1:23" s="240" customFormat="1" ht="50" x14ac:dyDescent="0.35">
      <c r="A62" s="237" t="s">
        <v>1041</v>
      </c>
      <c r="B62" s="237" t="s">
        <v>274</v>
      </c>
      <c r="C62" s="239" t="s">
        <v>1043</v>
      </c>
      <c r="D62" s="237" t="s">
        <v>1042</v>
      </c>
      <c r="E62" s="237" t="s">
        <v>931</v>
      </c>
      <c r="F62" s="237" t="s">
        <v>182</v>
      </c>
      <c r="G62" s="237" t="s">
        <v>1757</v>
      </c>
      <c r="H62" s="237" t="s">
        <v>966</v>
      </c>
      <c r="I62" s="237">
        <v>1978</v>
      </c>
      <c r="J62" s="237" t="s">
        <v>1722</v>
      </c>
      <c r="K62" s="237" t="s">
        <v>5</v>
      </c>
      <c r="L62" s="237">
        <f t="shared" si="0"/>
        <v>1</v>
      </c>
      <c r="M62" s="237"/>
      <c r="N62" s="237"/>
      <c r="O62" s="237" t="s">
        <v>648</v>
      </c>
      <c r="P62" s="237"/>
      <c r="Q62" s="237"/>
      <c r="R62" s="237"/>
      <c r="S62" s="237"/>
      <c r="T62" s="237"/>
      <c r="U62" s="237"/>
      <c r="V62" s="237"/>
      <c r="W62" s="237"/>
    </row>
    <row r="63" spans="1:23" s="240" customFormat="1" ht="50" x14ac:dyDescent="0.35">
      <c r="A63" s="237" t="s">
        <v>947</v>
      </c>
      <c r="B63" s="237" t="s">
        <v>272</v>
      </c>
      <c r="C63" s="239" t="s">
        <v>1758</v>
      </c>
      <c r="D63" s="237" t="s">
        <v>941</v>
      </c>
      <c r="E63" s="237" t="s">
        <v>965</v>
      </c>
      <c r="F63" s="237" t="s">
        <v>180</v>
      </c>
      <c r="G63" s="237" t="s">
        <v>676</v>
      </c>
      <c r="H63" s="237" t="s">
        <v>657</v>
      </c>
      <c r="I63" s="237">
        <v>2019</v>
      </c>
      <c r="J63" s="237" t="s">
        <v>1722</v>
      </c>
      <c r="K63" s="237" t="s">
        <v>13</v>
      </c>
      <c r="L63" s="237">
        <f t="shared" si="0"/>
        <v>4</v>
      </c>
      <c r="M63" s="237" t="s">
        <v>648</v>
      </c>
      <c r="N63" s="237"/>
      <c r="O63" s="237" t="s">
        <v>648</v>
      </c>
      <c r="P63" s="237" t="s">
        <v>648</v>
      </c>
      <c r="Q63" s="237" t="s">
        <v>648</v>
      </c>
      <c r="R63" s="237"/>
      <c r="S63" s="237"/>
      <c r="T63" s="237"/>
      <c r="U63" s="237"/>
      <c r="V63" s="237"/>
      <c r="W63" s="237"/>
    </row>
    <row r="64" spans="1:23" s="240" customFormat="1" ht="37.5" x14ac:dyDescent="0.35">
      <c r="A64" s="237" t="s">
        <v>132</v>
      </c>
      <c r="B64" s="237" t="s">
        <v>272</v>
      </c>
      <c r="C64" s="239" t="s">
        <v>934</v>
      </c>
      <c r="D64" s="237" t="s">
        <v>941</v>
      </c>
      <c r="E64" s="237" t="s">
        <v>933</v>
      </c>
      <c r="F64" s="237" t="s">
        <v>511</v>
      </c>
      <c r="G64" s="237" t="s">
        <v>608</v>
      </c>
      <c r="H64" s="237" t="s">
        <v>1730</v>
      </c>
      <c r="I64" s="237">
        <v>2014</v>
      </c>
      <c r="J64" s="237" t="s">
        <v>1722</v>
      </c>
      <c r="K64" s="237" t="s">
        <v>5</v>
      </c>
      <c r="L64" s="237">
        <f t="shared" si="0"/>
        <v>2</v>
      </c>
      <c r="M64" s="237" t="s">
        <v>648</v>
      </c>
      <c r="N64" s="237" t="s">
        <v>925</v>
      </c>
      <c r="O64" s="237"/>
      <c r="P64" s="237"/>
      <c r="Q64" s="237"/>
      <c r="R64" s="237"/>
      <c r="S64" s="237"/>
      <c r="T64" s="237"/>
      <c r="U64" s="237"/>
      <c r="V64" s="237"/>
      <c r="W64" s="237"/>
    </row>
    <row r="65" spans="1:23" s="240" customFormat="1" ht="62.5" x14ac:dyDescent="0.35">
      <c r="A65" s="237" t="s">
        <v>223</v>
      </c>
      <c r="B65" s="237" t="s">
        <v>272</v>
      </c>
      <c r="C65" s="239" t="s">
        <v>662</v>
      </c>
      <c r="D65" s="237" t="s">
        <v>938</v>
      </c>
      <c r="E65" s="237" t="s">
        <v>237</v>
      </c>
      <c r="F65" s="237" t="s">
        <v>180</v>
      </c>
      <c r="G65" s="237" t="s">
        <v>663</v>
      </c>
      <c r="H65" s="237" t="s">
        <v>240</v>
      </c>
      <c r="I65" s="237">
        <v>2013</v>
      </c>
      <c r="J65" s="237" t="s">
        <v>1722</v>
      </c>
      <c r="K65" s="237" t="s">
        <v>13</v>
      </c>
      <c r="L65" s="237">
        <f t="shared" si="0"/>
        <v>1</v>
      </c>
      <c r="M65" s="237"/>
      <c r="N65" s="237"/>
      <c r="O65" s="237"/>
      <c r="P65" s="237" t="s">
        <v>648</v>
      </c>
      <c r="Q65" s="237"/>
      <c r="R65" s="237"/>
      <c r="S65" s="237"/>
      <c r="T65" s="237"/>
      <c r="U65" s="237"/>
      <c r="V65" s="237"/>
      <c r="W65" s="237"/>
    </row>
    <row r="66" spans="1:23" s="240" customFormat="1" ht="62.5" x14ac:dyDescent="0.35">
      <c r="A66" s="237" t="s">
        <v>134</v>
      </c>
      <c r="B66" s="237" t="s">
        <v>272</v>
      </c>
      <c r="C66" s="239" t="s">
        <v>211</v>
      </c>
      <c r="D66" s="237" t="s">
        <v>940</v>
      </c>
      <c r="E66" s="237" t="s">
        <v>1020</v>
      </c>
      <c r="F66" s="237" t="s">
        <v>181</v>
      </c>
      <c r="G66" s="237" t="s">
        <v>1057</v>
      </c>
      <c r="H66" s="237" t="s">
        <v>1058</v>
      </c>
      <c r="I66" s="237">
        <v>2014</v>
      </c>
      <c r="J66" s="237" t="s">
        <v>1722</v>
      </c>
      <c r="K66" s="237" t="s">
        <v>13</v>
      </c>
      <c r="L66" s="237">
        <f t="shared" si="0"/>
        <v>1</v>
      </c>
      <c r="M66" s="237" t="s">
        <v>648</v>
      </c>
      <c r="N66" s="237"/>
      <c r="O66" s="237"/>
      <c r="P66" s="237"/>
      <c r="Q66" s="237"/>
      <c r="R66" s="237"/>
      <c r="S66" s="237"/>
      <c r="T66" s="237"/>
      <c r="U66" s="237"/>
      <c r="V66" s="237"/>
      <c r="W66" s="237"/>
    </row>
    <row r="67" spans="1:23" s="240" customFormat="1" ht="75" hidden="1" x14ac:dyDescent="0.35">
      <c r="A67" s="237" t="s">
        <v>218</v>
      </c>
      <c r="B67" s="237" t="s">
        <v>272</v>
      </c>
      <c r="C67" s="239" t="s">
        <v>661</v>
      </c>
      <c r="D67" s="237" t="s">
        <v>938</v>
      </c>
      <c r="E67" s="237" t="s">
        <v>655</v>
      </c>
      <c r="F67" s="237" t="s">
        <v>182</v>
      </c>
      <c r="G67" s="237" t="s">
        <v>44</v>
      </c>
      <c r="H67" s="237" t="s">
        <v>366</v>
      </c>
      <c r="I67" s="237">
        <v>2016</v>
      </c>
      <c r="J67" s="237"/>
      <c r="K67" s="237" t="s">
        <v>8</v>
      </c>
      <c r="L67" s="237">
        <f t="shared" si="0"/>
        <v>0</v>
      </c>
      <c r="M67" s="237"/>
      <c r="N67" s="237"/>
      <c r="O67" s="237"/>
      <c r="P67" s="237"/>
      <c r="Q67" s="237"/>
      <c r="R67" s="237"/>
      <c r="S67" s="237"/>
      <c r="T67" s="237"/>
      <c r="U67" s="237"/>
      <c r="V67" s="237"/>
      <c r="W67" s="237"/>
    </row>
    <row r="68" spans="1:23" s="240" customFormat="1" ht="62.5" x14ac:dyDescent="0.35">
      <c r="A68" s="237" t="s">
        <v>1052</v>
      </c>
      <c r="B68" s="238" t="s">
        <v>274</v>
      </c>
      <c r="C68" s="239" t="s">
        <v>1074</v>
      </c>
      <c r="D68" s="237" t="s">
        <v>1073</v>
      </c>
      <c r="E68" s="237" t="s">
        <v>1751</v>
      </c>
      <c r="F68" s="237" t="s">
        <v>180</v>
      </c>
      <c r="G68" s="237" t="s">
        <v>608</v>
      </c>
      <c r="H68" s="237" t="s">
        <v>1721</v>
      </c>
      <c r="I68" s="237">
        <v>2002</v>
      </c>
      <c r="J68" s="237" t="s">
        <v>1722</v>
      </c>
      <c r="K68" s="237" t="s">
        <v>13</v>
      </c>
      <c r="L68" s="237">
        <f t="shared" si="0"/>
        <v>1</v>
      </c>
      <c r="M68" s="237"/>
      <c r="N68" s="237" t="s">
        <v>648</v>
      </c>
      <c r="O68" s="237"/>
      <c r="P68" s="237"/>
      <c r="Q68" s="237"/>
      <c r="R68" s="237"/>
      <c r="S68" s="237"/>
      <c r="T68" s="237"/>
      <c r="U68" s="237"/>
      <c r="V68" s="237"/>
      <c r="W68" s="237"/>
    </row>
    <row r="69" spans="1:23" s="240" customFormat="1" ht="25" hidden="1" x14ac:dyDescent="0.35">
      <c r="A69" s="237" t="s">
        <v>230</v>
      </c>
      <c r="B69" s="237" t="s">
        <v>272</v>
      </c>
      <c r="C69" s="239" t="s">
        <v>688</v>
      </c>
      <c r="D69" s="237" t="s">
        <v>940</v>
      </c>
      <c r="E69" s="237" t="s">
        <v>931</v>
      </c>
      <c r="F69" s="237" t="s">
        <v>180</v>
      </c>
      <c r="G69" s="237" t="s">
        <v>193</v>
      </c>
      <c r="H69" s="237" t="s">
        <v>1729</v>
      </c>
      <c r="I69" s="237">
        <v>2019</v>
      </c>
      <c r="J69" s="237" t="s">
        <v>1722</v>
      </c>
      <c r="K69" s="237" t="s">
        <v>8</v>
      </c>
      <c r="L69" s="237">
        <f t="shared" si="0"/>
        <v>0</v>
      </c>
      <c r="M69" s="237"/>
      <c r="N69" s="237"/>
      <c r="O69" s="237"/>
      <c r="P69" s="237"/>
      <c r="Q69" s="237"/>
      <c r="R69" s="237"/>
      <c r="S69" s="237"/>
      <c r="T69" s="237"/>
      <c r="U69" s="237"/>
      <c r="V69" s="237"/>
      <c r="W69" s="237"/>
    </row>
    <row r="70" spans="1:23" s="240" customFormat="1" ht="75" x14ac:dyDescent="0.35">
      <c r="A70" s="237" t="s">
        <v>195</v>
      </c>
      <c r="B70" s="237" t="s">
        <v>272</v>
      </c>
      <c r="C70" s="239" t="s">
        <v>203</v>
      </c>
      <c r="D70" s="237" t="s">
        <v>938</v>
      </c>
      <c r="E70" s="237" t="s">
        <v>239</v>
      </c>
      <c r="F70" s="237" t="s">
        <v>180</v>
      </c>
      <c r="G70" s="237" t="s">
        <v>193</v>
      </c>
      <c r="H70" s="237" t="s">
        <v>1060</v>
      </c>
      <c r="I70" s="237"/>
      <c r="J70" s="237" t="s">
        <v>1722</v>
      </c>
      <c r="K70" s="237" t="s">
        <v>13</v>
      </c>
      <c r="L70" s="237">
        <f t="shared" si="0"/>
        <v>1</v>
      </c>
      <c r="M70" s="241"/>
      <c r="N70" s="237"/>
      <c r="O70" s="237"/>
      <c r="P70" s="237" t="s">
        <v>648</v>
      </c>
      <c r="Q70" s="237"/>
      <c r="R70" s="237"/>
      <c r="S70" s="237"/>
      <c r="T70" s="237"/>
      <c r="U70" s="237"/>
      <c r="V70" s="237"/>
      <c r="W70" s="237"/>
    </row>
  </sheetData>
  <autoFilter ref="A7:W70" xr:uid="{00000000-0009-0000-0000-000013000000}">
    <filterColumn colId="10">
      <filters>
        <filter val="High"/>
        <filter val="Medium"/>
      </filters>
    </filterColumn>
  </autoFilter>
  <mergeCells count="2">
    <mergeCell ref="A1:AC3"/>
    <mergeCell ref="A4:AC5"/>
  </mergeCells>
  <conditionalFormatting sqref="A8:A70">
    <cfRule type="duplicateValues" dxfId="0" priority="1"/>
  </conditionalFormatting>
  <hyperlinks>
    <hyperlink ref="A6" location="Home!A1" display="Home" xr:uid="{00000000-0004-0000-1300-000000000000}"/>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tint="-0.14999847407452621"/>
    <pageSetUpPr fitToPage="1"/>
  </sheetPr>
  <dimension ref="A1:P65"/>
  <sheetViews>
    <sheetView showGridLines="0" zoomScale="90" zoomScaleNormal="90" workbookViewId="0">
      <pane xSplit="3" ySplit="9" topLeftCell="F10" activePane="bottomRight" state="frozen"/>
      <selection pane="topRight"/>
      <selection pane="bottomLeft"/>
      <selection pane="bottomRight" activeCell="G10" sqref="G10:G18"/>
    </sheetView>
  </sheetViews>
  <sheetFormatPr defaultColWidth="9.1796875" defaultRowHeight="14.5" x14ac:dyDescent="0.35"/>
  <cols>
    <col min="1" max="1" width="9.1796875" style="110"/>
    <col min="2" max="2" width="78.81640625" style="110" customWidth="1"/>
    <col min="3" max="3" width="25.26953125" style="110" customWidth="1"/>
    <col min="4" max="4" width="83.26953125" style="110" customWidth="1"/>
    <col min="5" max="5" width="45.7265625" style="110" customWidth="1"/>
    <col min="6" max="6" width="28.1796875" style="110" customWidth="1"/>
    <col min="7" max="7" width="21.54296875" style="110" customWidth="1"/>
    <col min="8" max="8" width="28" style="110" customWidth="1"/>
    <col min="9" max="10" width="18.81640625" style="110" customWidth="1"/>
    <col min="11" max="11" width="18.54296875" style="110" customWidth="1"/>
    <col min="12" max="12" width="13.7265625" style="110" customWidth="1"/>
    <col min="13" max="13" width="32.453125" style="110" customWidth="1"/>
    <col min="14" max="14" width="14.54296875" style="110" bestFit="1" customWidth="1"/>
    <col min="15" max="15" width="60.1796875" style="110" bestFit="1" customWidth="1"/>
    <col min="16" max="16" width="41" style="79" customWidth="1"/>
    <col min="17" max="16384" width="9.1796875" style="110"/>
  </cols>
  <sheetData>
    <row r="1" spans="1:15" x14ac:dyDescent="0.35">
      <c r="A1" s="793" t="s">
        <v>2150</v>
      </c>
      <c r="B1" s="793"/>
      <c r="C1" s="793"/>
      <c r="D1" s="793"/>
      <c r="E1" s="793"/>
      <c r="F1" s="793"/>
      <c r="G1" s="793"/>
    </row>
    <row r="2" spans="1:15" x14ac:dyDescent="0.35">
      <c r="A2" s="793"/>
      <c r="B2" s="793"/>
      <c r="C2" s="793"/>
      <c r="D2" s="793"/>
      <c r="E2" s="793"/>
      <c r="F2" s="793"/>
      <c r="G2" s="793"/>
    </row>
    <row r="3" spans="1:15" x14ac:dyDescent="0.35">
      <c r="A3" s="793"/>
      <c r="B3" s="793"/>
      <c r="C3" s="793"/>
      <c r="D3" s="793"/>
      <c r="E3" s="793"/>
      <c r="F3" s="793"/>
      <c r="G3" s="793"/>
    </row>
    <row r="4" spans="1:15" ht="15.75" customHeight="1" x14ac:dyDescent="0.35">
      <c r="A4" s="565" t="s">
        <v>2207</v>
      </c>
      <c r="B4" s="565"/>
      <c r="C4" s="565"/>
      <c r="D4" s="565"/>
      <c r="E4" s="565"/>
      <c r="F4" s="565"/>
      <c r="G4" s="565"/>
    </row>
    <row r="5" spans="1:15" ht="15.75" customHeight="1" x14ac:dyDescent="0.35">
      <c r="A5" s="565"/>
      <c r="B5" s="565"/>
      <c r="C5" s="565"/>
      <c r="D5" s="565"/>
      <c r="E5" s="565"/>
      <c r="F5" s="565"/>
      <c r="G5" s="565"/>
    </row>
    <row r="7" spans="1:15" x14ac:dyDescent="0.35">
      <c r="A7" s="229" t="s">
        <v>1709</v>
      </c>
    </row>
    <row r="8" spans="1:15" s="79" customFormat="1" ht="14.5" customHeight="1" x14ac:dyDescent="0.35">
      <c r="A8" s="774" t="s">
        <v>257</v>
      </c>
      <c r="B8" s="764" t="s">
        <v>829</v>
      </c>
      <c r="C8" s="764" t="s">
        <v>830</v>
      </c>
      <c r="D8" s="764" t="s">
        <v>831</v>
      </c>
      <c r="E8" s="764" t="s">
        <v>832</v>
      </c>
      <c r="F8" s="764" t="s">
        <v>833</v>
      </c>
      <c r="G8" s="764" t="s">
        <v>834</v>
      </c>
      <c r="H8" s="764" t="s">
        <v>835</v>
      </c>
      <c r="I8" s="764" t="s">
        <v>836</v>
      </c>
      <c r="J8" s="764" t="s">
        <v>837</v>
      </c>
      <c r="K8" s="771" t="s">
        <v>838</v>
      </c>
      <c r="L8" s="772"/>
      <c r="M8" s="773"/>
      <c r="N8" s="774" t="s">
        <v>839</v>
      </c>
      <c r="O8" s="764" t="s">
        <v>840</v>
      </c>
    </row>
    <row r="9" spans="1:15" s="79" customFormat="1" ht="33.65" customHeight="1" x14ac:dyDescent="0.35">
      <c r="A9" s="775"/>
      <c r="B9" s="765"/>
      <c r="C9" s="765"/>
      <c r="D9" s="765"/>
      <c r="E9" s="765"/>
      <c r="F9" s="765"/>
      <c r="G9" s="765"/>
      <c r="H9" s="765"/>
      <c r="I9" s="765"/>
      <c r="J9" s="765"/>
      <c r="K9" s="281" t="s">
        <v>258</v>
      </c>
      <c r="L9" s="281" t="s">
        <v>841</v>
      </c>
      <c r="M9" s="282" t="s">
        <v>842</v>
      </c>
      <c r="N9" s="775"/>
      <c r="O9" s="765"/>
    </row>
    <row r="10" spans="1:15" s="79" customFormat="1" ht="28.75" customHeight="1" x14ac:dyDescent="0.35">
      <c r="A10" s="766">
        <v>1</v>
      </c>
      <c r="B10" s="767" t="s">
        <v>843</v>
      </c>
      <c r="C10" s="768" t="s">
        <v>844</v>
      </c>
      <c r="D10" s="283" t="s">
        <v>845</v>
      </c>
      <c r="E10" s="769" t="s">
        <v>846</v>
      </c>
      <c r="F10" s="769" t="s">
        <v>691</v>
      </c>
      <c r="G10" s="770" t="s">
        <v>847</v>
      </c>
      <c r="H10" s="770" t="s">
        <v>848</v>
      </c>
      <c r="I10" s="770" t="s">
        <v>5</v>
      </c>
      <c r="J10" s="770" t="s">
        <v>849</v>
      </c>
      <c r="K10" s="768" t="s">
        <v>850</v>
      </c>
      <c r="L10" s="770" t="s">
        <v>5</v>
      </c>
      <c r="M10" s="767" t="s">
        <v>851</v>
      </c>
      <c r="N10" s="770" t="s">
        <v>852</v>
      </c>
      <c r="O10" s="776" t="s">
        <v>853</v>
      </c>
    </row>
    <row r="11" spans="1:15" s="79" customFormat="1" ht="60.65" customHeight="1" x14ac:dyDescent="0.35">
      <c r="A11" s="766"/>
      <c r="B11" s="767"/>
      <c r="C11" s="768"/>
      <c r="D11" s="283" t="s">
        <v>854</v>
      </c>
      <c r="E11" s="767"/>
      <c r="F11" s="769"/>
      <c r="G11" s="770"/>
      <c r="H11" s="770"/>
      <c r="I11" s="770"/>
      <c r="J11" s="770"/>
      <c r="K11" s="768"/>
      <c r="L11" s="770"/>
      <c r="M11" s="767"/>
      <c r="N11" s="770"/>
      <c r="O11" s="776"/>
    </row>
    <row r="12" spans="1:15" s="79" customFormat="1" ht="47.15" customHeight="1" x14ac:dyDescent="0.35">
      <c r="A12" s="766"/>
      <c r="B12" s="767"/>
      <c r="C12" s="768"/>
      <c r="D12" s="284" t="s">
        <v>855</v>
      </c>
      <c r="E12" s="767"/>
      <c r="F12" s="769"/>
      <c r="G12" s="770"/>
      <c r="H12" s="770"/>
      <c r="I12" s="770"/>
      <c r="J12" s="770"/>
      <c r="K12" s="768" t="s">
        <v>259</v>
      </c>
      <c r="L12" s="770" t="s">
        <v>13</v>
      </c>
      <c r="M12" s="767" t="s">
        <v>856</v>
      </c>
      <c r="N12" s="770"/>
      <c r="O12" s="776"/>
    </row>
    <row r="13" spans="1:15" s="79" customFormat="1" ht="32.15" customHeight="1" x14ac:dyDescent="0.35">
      <c r="A13" s="766"/>
      <c r="B13" s="767"/>
      <c r="C13" s="768"/>
      <c r="D13" s="283" t="s">
        <v>857</v>
      </c>
      <c r="E13" s="767"/>
      <c r="F13" s="769"/>
      <c r="G13" s="770"/>
      <c r="H13" s="770"/>
      <c r="I13" s="770"/>
      <c r="J13" s="770"/>
      <c r="K13" s="768"/>
      <c r="L13" s="770"/>
      <c r="M13" s="767"/>
      <c r="N13" s="770"/>
      <c r="O13" s="776"/>
    </row>
    <row r="14" spans="1:15" s="79" customFormat="1" ht="29.15" customHeight="1" x14ac:dyDescent="0.35">
      <c r="A14" s="766"/>
      <c r="B14" s="767"/>
      <c r="C14" s="768"/>
      <c r="D14" s="283" t="s">
        <v>858</v>
      </c>
      <c r="E14" s="767"/>
      <c r="F14" s="769"/>
      <c r="G14" s="770"/>
      <c r="H14" s="770"/>
      <c r="I14" s="770"/>
      <c r="J14" s="770"/>
      <c r="K14" s="768" t="s">
        <v>260</v>
      </c>
      <c r="L14" s="770" t="s">
        <v>5</v>
      </c>
      <c r="M14" s="767" t="s">
        <v>728</v>
      </c>
      <c r="N14" s="770"/>
      <c r="O14" s="776"/>
    </row>
    <row r="15" spans="1:15" s="79" customFormat="1" ht="34.75" customHeight="1" x14ac:dyDescent="0.35">
      <c r="A15" s="766"/>
      <c r="B15" s="767"/>
      <c r="C15" s="768"/>
      <c r="D15" s="283" t="s">
        <v>859</v>
      </c>
      <c r="E15" s="767"/>
      <c r="F15" s="769"/>
      <c r="G15" s="770"/>
      <c r="H15" s="770"/>
      <c r="I15" s="770"/>
      <c r="J15" s="770"/>
      <c r="K15" s="768"/>
      <c r="L15" s="770"/>
      <c r="M15" s="767"/>
      <c r="N15" s="770"/>
      <c r="O15" s="776"/>
    </row>
    <row r="16" spans="1:15" s="79" customFormat="1" ht="28" x14ac:dyDescent="0.35">
      <c r="A16" s="766"/>
      <c r="B16" s="767"/>
      <c r="C16" s="768"/>
      <c r="D16" s="283" t="s">
        <v>860</v>
      </c>
      <c r="E16" s="767"/>
      <c r="F16" s="769"/>
      <c r="G16" s="770"/>
      <c r="H16" s="770"/>
      <c r="I16" s="770"/>
      <c r="J16" s="770"/>
      <c r="K16" s="768" t="s">
        <v>261</v>
      </c>
      <c r="L16" s="770" t="s">
        <v>13</v>
      </c>
      <c r="M16" s="767" t="s">
        <v>861</v>
      </c>
      <c r="N16" s="770"/>
      <c r="O16" s="776"/>
    </row>
    <row r="17" spans="1:15" s="79" customFormat="1" ht="17.899999999999999" customHeight="1" x14ac:dyDescent="0.35">
      <c r="A17" s="766"/>
      <c r="B17" s="767"/>
      <c r="C17" s="768"/>
      <c r="D17" s="283" t="s">
        <v>862</v>
      </c>
      <c r="E17" s="767"/>
      <c r="F17" s="769"/>
      <c r="G17" s="770"/>
      <c r="H17" s="770"/>
      <c r="I17" s="770"/>
      <c r="J17" s="770"/>
      <c r="K17" s="768"/>
      <c r="L17" s="770"/>
      <c r="M17" s="767"/>
      <c r="N17" s="770"/>
      <c r="O17" s="776"/>
    </row>
    <row r="18" spans="1:15" s="79" customFormat="1" ht="67" customHeight="1" x14ac:dyDescent="0.35">
      <c r="A18" s="766"/>
      <c r="B18" s="767"/>
      <c r="C18" s="768"/>
      <c r="D18" s="283" t="s">
        <v>863</v>
      </c>
      <c r="E18" s="767"/>
      <c r="F18" s="769"/>
      <c r="G18" s="770"/>
      <c r="H18" s="770"/>
      <c r="I18" s="770"/>
      <c r="J18" s="770"/>
      <c r="K18" s="768"/>
      <c r="L18" s="770"/>
      <c r="M18" s="767"/>
      <c r="N18" s="770"/>
      <c r="O18" s="776"/>
    </row>
    <row r="19" spans="1:15" s="79" customFormat="1" ht="61" customHeight="1" x14ac:dyDescent="0.35">
      <c r="A19" s="782">
        <v>2</v>
      </c>
      <c r="B19" s="783" t="s">
        <v>814</v>
      </c>
      <c r="C19" s="778" t="s">
        <v>864</v>
      </c>
      <c r="D19" s="285" t="s">
        <v>865</v>
      </c>
      <c r="E19" s="784" t="s">
        <v>866</v>
      </c>
      <c r="F19" s="785"/>
      <c r="G19" s="777" t="s">
        <v>867</v>
      </c>
      <c r="H19" s="779" t="s">
        <v>868</v>
      </c>
      <c r="I19" s="779" t="s">
        <v>869</v>
      </c>
      <c r="J19" s="779" t="s">
        <v>870</v>
      </c>
      <c r="K19" s="286" t="s">
        <v>850</v>
      </c>
      <c r="L19" s="287" t="s">
        <v>5</v>
      </c>
      <c r="M19" s="288" t="s">
        <v>871</v>
      </c>
      <c r="N19" s="779" t="s">
        <v>13</v>
      </c>
      <c r="O19" s="777" t="s">
        <v>872</v>
      </c>
    </row>
    <row r="20" spans="1:15" s="79" customFormat="1" ht="84.65" customHeight="1" x14ac:dyDescent="0.35">
      <c r="A20" s="782"/>
      <c r="B20" s="783"/>
      <c r="C20" s="778"/>
      <c r="D20" s="285" t="s">
        <v>873</v>
      </c>
      <c r="E20" s="777"/>
      <c r="F20" s="785"/>
      <c r="G20" s="777"/>
      <c r="H20" s="779"/>
      <c r="I20" s="779"/>
      <c r="J20" s="779"/>
      <c r="K20" s="778" t="s">
        <v>259</v>
      </c>
      <c r="L20" s="779" t="s">
        <v>8</v>
      </c>
      <c r="M20" s="780" t="s">
        <v>874</v>
      </c>
      <c r="N20" s="779"/>
      <c r="O20" s="777"/>
    </row>
    <row r="21" spans="1:15" s="79" customFormat="1" ht="53.9" customHeight="1" x14ac:dyDescent="0.35">
      <c r="A21" s="782"/>
      <c r="B21" s="783"/>
      <c r="C21" s="778"/>
      <c r="D21" s="777" t="s">
        <v>875</v>
      </c>
      <c r="E21" s="777"/>
      <c r="F21" s="785"/>
      <c r="G21" s="777"/>
      <c r="H21" s="779"/>
      <c r="I21" s="779"/>
      <c r="J21" s="779"/>
      <c r="K21" s="778"/>
      <c r="L21" s="779"/>
      <c r="M21" s="780"/>
      <c r="N21" s="779"/>
      <c r="O21" s="777"/>
    </row>
    <row r="22" spans="1:15" s="79" customFormat="1" ht="68.5" customHeight="1" x14ac:dyDescent="0.35">
      <c r="A22" s="782"/>
      <c r="B22" s="783"/>
      <c r="C22" s="778"/>
      <c r="D22" s="777"/>
      <c r="E22" s="777"/>
      <c r="F22" s="785"/>
      <c r="G22" s="777"/>
      <c r="H22" s="779"/>
      <c r="I22" s="779"/>
      <c r="J22" s="779"/>
      <c r="K22" s="778" t="s">
        <v>260</v>
      </c>
      <c r="L22" s="779" t="s">
        <v>5</v>
      </c>
      <c r="M22" s="780" t="s">
        <v>876</v>
      </c>
      <c r="N22" s="779"/>
      <c r="O22" s="777"/>
    </row>
    <row r="23" spans="1:15" s="79" customFormat="1" ht="90" customHeight="1" x14ac:dyDescent="0.35">
      <c r="A23" s="782"/>
      <c r="B23" s="783"/>
      <c r="C23" s="778"/>
      <c r="D23" s="285" t="s">
        <v>877</v>
      </c>
      <c r="E23" s="777"/>
      <c r="F23" s="785"/>
      <c r="G23" s="777"/>
      <c r="H23" s="779"/>
      <c r="I23" s="779"/>
      <c r="J23" s="779"/>
      <c r="K23" s="778"/>
      <c r="L23" s="779"/>
      <c r="M23" s="780"/>
      <c r="N23" s="779"/>
      <c r="O23" s="777"/>
    </row>
    <row r="24" spans="1:15" s="79" customFormat="1" ht="117.65" customHeight="1" x14ac:dyDescent="0.35">
      <c r="A24" s="782"/>
      <c r="B24" s="783"/>
      <c r="C24" s="778"/>
      <c r="D24" s="777" t="s">
        <v>878</v>
      </c>
      <c r="E24" s="777"/>
      <c r="F24" s="785"/>
      <c r="G24" s="777"/>
      <c r="H24" s="779"/>
      <c r="I24" s="779"/>
      <c r="J24" s="779"/>
      <c r="K24" s="778" t="s">
        <v>261</v>
      </c>
      <c r="L24" s="779" t="s">
        <v>13</v>
      </c>
      <c r="M24" s="780" t="s">
        <v>879</v>
      </c>
      <c r="N24" s="779"/>
      <c r="O24" s="777"/>
    </row>
    <row r="25" spans="1:15" s="79" customFormat="1" ht="265.5" customHeight="1" x14ac:dyDescent="0.35">
      <c r="A25" s="782"/>
      <c r="B25" s="783"/>
      <c r="C25" s="778"/>
      <c r="D25" s="777"/>
      <c r="E25" s="777"/>
      <c r="F25" s="785"/>
      <c r="G25" s="777"/>
      <c r="H25" s="779"/>
      <c r="I25" s="779"/>
      <c r="J25" s="779"/>
      <c r="K25" s="778"/>
      <c r="L25" s="779"/>
      <c r="M25" s="780"/>
      <c r="N25" s="779"/>
      <c r="O25" s="777"/>
    </row>
    <row r="26" spans="1:15" s="79" customFormat="1" ht="67" customHeight="1" x14ac:dyDescent="0.35">
      <c r="A26" s="766">
        <v>3</v>
      </c>
      <c r="B26" s="781" t="s">
        <v>816</v>
      </c>
      <c r="C26" s="768" t="s">
        <v>880</v>
      </c>
      <c r="D26" s="289" t="s">
        <v>881</v>
      </c>
      <c r="E26" s="769" t="s">
        <v>710</v>
      </c>
      <c r="F26" s="769" t="s">
        <v>709</v>
      </c>
      <c r="G26" s="767" t="s">
        <v>882</v>
      </c>
      <c r="H26" s="770" t="s">
        <v>883</v>
      </c>
      <c r="I26" s="770" t="s">
        <v>5</v>
      </c>
      <c r="J26" s="770" t="s">
        <v>884</v>
      </c>
      <c r="K26" s="290" t="s">
        <v>850</v>
      </c>
      <c r="L26" s="291" t="s">
        <v>5</v>
      </c>
      <c r="M26" s="292" t="s">
        <v>885</v>
      </c>
      <c r="N26" s="770" t="s">
        <v>8</v>
      </c>
      <c r="O26" s="776" t="s">
        <v>853</v>
      </c>
    </row>
    <row r="27" spans="1:15" s="79" customFormat="1" ht="80.5" customHeight="1" x14ac:dyDescent="0.35">
      <c r="A27" s="766"/>
      <c r="B27" s="781"/>
      <c r="C27" s="768"/>
      <c r="D27" s="293" t="s">
        <v>886</v>
      </c>
      <c r="E27" s="769"/>
      <c r="F27" s="769"/>
      <c r="G27" s="767"/>
      <c r="H27" s="770"/>
      <c r="I27" s="770"/>
      <c r="J27" s="770"/>
      <c r="K27" s="768" t="s">
        <v>259</v>
      </c>
      <c r="L27" s="770" t="s">
        <v>8</v>
      </c>
      <c r="M27" s="767" t="s">
        <v>887</v>
      </c>
      <c r="N27" s="770"/>
      <c r="O27" s="776"/>
    </row>
    <row r="28" spans="1:15" s="79" customFormat="1" ht="54" customHeight="1" x14ac:dyDescent="0.35">
      <c r="A28" s="766"/>
      <c r="B28" s="781"/>
      <c r="C28" s="768"/>
      <c r="D28" s="292" t="s">
        <v>888</v>
      </c>
      <c r="E28" s="769"/>
      <c r="F28" s="294"/>
      <c r="G28" s="767"/>
      <c r="H28" s="770"/>
      <c r="I28" s="770"/>
      <c r="J28" s="770"/>
      <c r="K28" s="768"/>
      <c r="L28" s="770"/>
      <c r="M28" s="767"/>
      <c r="N28" s="770"/>
      <c r="O28" s="776"/>
    </row>
    <row r="29" spans="1:15" s="79" customFormat="1" ht="50.15" customHeight="1" x14ac:dyDescent="0.35">
      <c r="A29" s="766"/>
      <c r="B29" s="781"/>
      <c r="C29" s="768"/>
      <c r="D29" s="292" t="s">
        <v>889</v>
      </c>
      <c r="E29" s="769"/>
      <c r="F29" s="294"/>
      <c r="G29" s="767"/>
      <c r="H29" s="770"/>
      <c r="I29" s="770"/>
      <c r="J29" s="770"/>
      <c r="K29" s="768"/>
      <c r="L29" s="770"/>
      <c r="M29" s="767"/>
      <c r="N29" s="770"/>
      <c r="O29" s="776"/>
    </row>
    <row r="30" spans="1:15" s="79" customFormat="1" ht="50.15" customHeight="1" x14ac:dyDescent="0.35">
      <c r="A30" s="766"/>
      <c r="B30" s="781"/>
      <c r="C30" s="768"/>
      <c r="D30" s="283" t="s">
        <v>890</v>
      </c>
      <c r="E30" s="769"/>
      <c r="F30" s="294"/>
      <c r="G30" s="767"/>
      <c r="H30" s="770"/>
      <c r="I30" s="770"/>
      <c r="J30" s="770"/>
      <c r="K30" s="768" t="s">
        <v>260</v>
      </c>
      <c r="L30" s="770" t="s">
        <v>5</v>
      </c>
      <c r="M30" s="767" t="s">
        <v>891</v>
      </c>
      <c r="N30" s="770"/>
      <c r="O30" s="776"/>
    </row>
    <row r="31" spans="1:15" s="79" customFormat="1" ht="188.15" customHeight="1" x14ac:dyDescent="0.35">
      <c r="A31" s="766"/>
      <c r="B31" s="781"/>
      <c r="C31" s="768"/>
      <c r="D31" s="295" t="s">
        <v>892</v>
      </c>
      <c r="E31" s="769"/>
      <c r="F31" s="294"/>
      <c r="G31" s="767"/>
      <c r="H31" s="770"/>
      <c r="I31" s="770"/>
      <c r="J31" s="770"/>
      <c r="K31" s="768"/>
      <c r="L31" s="770"/>
      <c r="M31" s="767"/>
      <c r="N31" s="770"/>
      <c r="O31" s="776"/>
    </row>
    <row r="32" spans="1:15" s="79" customFormat="1" ht="56.15" customHeight="1" x14ac:dyDescent="0.35">
      <c r="A32" s="766"/>
      <c r="B32" s="781"/>
      <c r="C32" s="768"/>
      <c r="D32" s="296" t="s">
        <v>893</v>
      </c>
      <c r="E32" s="769"/>
      <c r="F32" s="294"/>
      <c r="G32" s="767"/>
      <c r="H32" s="770"/>
      <c r="I32" s="770"/>
      <c r="J32" s="770"/>
      <c r="K32" s="768" t="s">
        <v>261</v>
      </c>
      <c r="L32" s="770" t="s">
        <v>13</v>
      </c>
      <c r="M32" s="767" t="s">
        <v>729</v>
      </c>
      <c r="N32" s="770"/>
      <c r="O32" s="776"/>
    </row>
    <row r="33" spans="1:15" s="79" customFormat="1" ht="42" x14ac:dyDescent="0.35">
      <c r="A33" s="766"/>
      <c r="B33" s="781"/>
      <c r="C33" s="768"/>
      <c r="D33" s="296" t="s">
        <v>894</v>
      </c>
      <c r="E33" s="769"/>
      <c r="F33" s="294"/>
      <c r="G33" s="767"/>
      <c r="H33" s="770"/>
      <c r="I33" s="770"/>
      <c r="J33" s="770"/>
      <c r="K33" s="768"/>
      <c r="L33" s="770"/>
      <c r="M33" s="767"/>
      <c r="N33" s="770"/>
      <c r="O33" s="776"/>
    </row>
    <row r="34" spans="1:15" s="79" customFormat="1" ht="73" customHeight="1" x14ac:dyDescent="0.35">
      <c r="A34" s="766"/>
      <c r="B34" s="781"/>
      <c r="C34" s="768"/>
      <c r="D34" s="295" t="s">
        <v>2191</v>
      </c>
      <c r="E34" s="769"/>
      <c r="F34" s="294"/>
      <c r="G34" s="767"/>
      <c r="H34" s="770"/>
      <c r="I34" s="770"/>
      <c r="J34" s="770"/>
      <c r="K34" s="768"/>
      <c r="L34" s="770"/>
      <c r="M34" s="767"/>
      <c r="N34" s="770"/>
      <c r="O34" s="776"/>
    </row>
    <row r="35" spans="1:15" s="79" customFormat="1" ht="15" customHeight="1" x14ac:dyDescent="0.35">
      <c r="A35" s="787"/>
      <c r="B35" s="787"/>
      <c r="C35" s="787"/>
      <c r="D35" s="787"/>
      <c r="E35" s="787"/>
      <c r="F35" s="787"/>
      <c r="G35" s="787"/>
      <c r="H35" s="787"/>
      <c r="I35" s="787"/>
      <c r="J35" s="787"/>
      <c r="K35" s="787"/>
      <c r="L35" s="787"/>
      <c r="M35" s="787"/>
      <c r="N35" s="787"/>
      <c r="O35" s="787"/>
    </row>
    <row r="36" spans="1:15" s="79" customFormat="1" ht="34.5" customHeight="1" x14ac:dyDescent="0.35">
      <c r="A36" s="788">
        <v>4</v>
      </c>
      <c r="B36" s="767" t="s">
        <v>714</v>
      </c>
      <c r="C36" s="766" t="s">
        <v>896</v>
      </c>
      <c r="D36" s="283" t="s">
        <v>715</v>
      </c>
      <c r="E36" s="789" t="s">
        <v>2192</v>
      </c>
      <c r="F36" s="786"/>
      <c r="G36" s="767" t="s">
        <v>897</v>
      </c>
      <c r="H36" s="770" t="s">
        <v>2193</v>
      </c>
      <c r="I36" s="770" t="s">
        <v>5</v>
      </c>
      <c r="J36" s="770" t="s">
        <v>899</v>
      </c>
      <c r="K36" s="290" t="s">
        <v>850</v>
      </c>
      <c r="L36" s="291" t="s">
        <v>5</v>
      </c>
      <c r="M36" s="292" t="s">
        <v>900</v>
      </c>
      <c r="N36" s="790" t="s">
        <v>13</v>
      </c>
      <c r="O36" s="786"/>
    </row>
    <row r="37" spans="1:15" s="79" customFormat="1" ht="37.5" customHeight="1" x14ac:dyDescent="0.35">
      <c r="A37" s="788"/>
      <c r="B37" s="767"/>
      <c r="C37" s="766"/>
      <c r="D37" s="283" t="s">
        <v>2194</v>
      </c>
      <c r="E37" s="789"/>
      <c r="F37" s="786"/>
      <c r="G37" s="767"/>
      <c r="H37" s="770"/>
      <c r="I37" s="770"/>
      <c r="J37" s="770"/>
      <c r="K37" s="768" t="s">
        <v>259</v>
      </c>
      <c r="L37" s="770" t="s">
        <v>8</v>
      </c>
      <c r="M37" s="767" t="s">
        <v>727</v>
      </c>
      <c r="N37" s="790"/>
      <c r="O37" s="786"/>
    </row>
    <row r="38" spans="1:15" s="79" customFormat="1" ht="56" x14ac:dyDescent="0.35">
      <c r="A38" s="788"/>
      <c r="B38" s="767"/>
      <c r="C38" s="766"/>
      <c r="D38" s="297" t="s">
        <v>717</v>
      </c>
      <c r="E38" s="789"/>
      <c r="F38" s="786"/>
      <c r="G38" s="767"/>
      <c r="H38" s="770"/>
      <c r="I38" s="770"/>
      <c r="J38" s="770"/>
      <c r="K38" s="768"/>
      <c r="L38" s="770"/>
      <c r="M38" s="767"/>
      <c r="N38" s="790"/>
      <c r="O38" s="786"/>
    </row>
    <row r="39" spans="1:15" s="79" customFormat="1" ht="14.5" customHeight="1" x14ac:dyDescent="0.35">
      <c r="A39" s="788"/>
      <c r="B39" s="767"/>
      <c r="C39" s="766"/>
      <c r="D39" s="781" t="s">
        <v>718</v>
      </c>
      <c r="E39" s="789"/>
      <c r="F39" s="786"/>
      <c r="G39" s="767"/>
      <c r="H39" s="770"/>
      <c r="I39" s="770"/>
      <c r="J39" s="770"/>
      <c r="K39" s="768" t="s">
        <v>260</v>
      </c>
      <c r="L39" s="770" t="s">
        <v>5</v>
      </c>
      <c r="M39" s="767" t="s">
        <v>728</v>
      </c>
      <c r="N39" s="790"/>
      <c r="O39" s="786"/>
    </row>
    <row r="40" spans="1:15" s="79" customFormat="1" x14ac:dyDescent="0.35">
      <c r="A40" s="788"/>
      <c r="B40" s="767"/>
      <c r="C40" s="766"/>
      <c r="D40" s="781"/>
      <c r="E40" s="789"/>
      <c r="F40" s="786"/>
      <c r="G40" s="767"/>
      <c r="H40" s="770"/>
      <c r="I40" s="770"/>
      <c r="J40" s="770"/>
      <c r="K40" s="768"/>
      <c r="L40" s="770"/>
      <c r="M40" s="767"/>
      <c r="N40" s="790"/>
      <c r="O40" s="786"/>
    </row>
    <row r="41" spans="1:15" s="79" customFormat="1" ht="14.5" customHeight="1" x14ac:dyDescent="0.35">
      <c r="A41" s="788"/>
      <c r="B41" s="767"/>
      <c r="C41" s="766"/>
      <c r="D41" s="781"/>
      <c r="E41" s="789"/>
      <c r="F41" s="786"/>
      <c r="G41" s="767"/>
      <c r="H41" s="770"/>
      <c r="I41" s="770"/>
      <c r="J41" s="770"/>
      <c r="K41" s="768" t="s">
        <v>261</v>
      </c>
      <c r="L41" s="770" t="s">
        <v>13</v>
      </c>
      <c r="M41" s="767" t="s">
        <v>729</v>
      </c>
      <c r="N41" s="790"/>
      <c r="O41" s="786"/>
    </row>
    <row r="42" spans="1:15" s="79" customFormat="1" x14ac:dyDescent="0.35">
      <c r="A42" s="788"/>
      <c r="B42" s="767"/>
      <c r="C42" s="766"/>
      <c r="D42" s="781"/>
      <c r="E42" s="789"/>
      <c r="F42" s="786"/>
      <c r="G42" s="767"/>
      <c r="H42" s="770"/>
      <c r="I42" s="770"/>
      <c r="J42" s="770"/>
      <c r="K42" s="768"/>
      <c r="L42" s="770"/>
      <c r="M42" s="767"/>
      <c r="N42" s="790"/>
      <c r="O42" s="786"/>
    </row>
    <row r="43" spans="1:15" s="79" customFormat="1" x14ac:dyDescent="0.35">
      <c r="A43" s="788"/>
      <c r="B43" s="767"/>
      <c r="C43" s="766"/>
      <c r="D43" s="781"/>
      <c r="E43" s="789"/>
      <c r="F43" s="786"/>
      <c r="G43" s="767"/>
      <c r="H43" s="770"/>
      <c r="I43" s="770"/>
      <c r="J43" s="770"/>
      <c r="K43" s="768"/>
      <c r="L43" s="770"/>
      <c r="M43" s="767"/>
      <c r="N43" s="790"/>
      <c r="O43" s="786"/>
    </row>
    <row r="44" spans="1:15" s="79" customFormat="1" ht="278.14999999999998" customHeight="1" x14ac:dyDescent="0.35">
      <c r="A44" s="788"/>
      <c r="B44" s="767"/>
      <c r="C44" s="766"/>
      <c r="D44" s="781"/>
      <c r="E44" s="789"/>
      <c r="F44" s="786"/>
      <c r="G44" s="767"/>
      <c r="H44" s="770"/>
      <c r="I44" s="770"/>
      <c r="J44" s="770"/>
      <c r="K44" s="768"/>
      <c r="L44" s="770"/>
      <c r="M44" s="767"/>
      <c r="N44" s="790"/>
      <c r="O44" s="786"/>
    </row>
    <row r="45" spans="1:15" s="79" customFormat="1" ht="126" x14ac:dyDescent="0.35">
      <c r="A45" s="782">
        <v>5</v>
      </c>
      <c r="B45" s="783" t="s">
        <v>818</v>
      </c>
      <c r="C45" s="782" t="s">
        <v>901</v>
      </c>
      <c r="D45" s="285" t="s">
        <v>730</v>
      </c>
      <c r="E45" s="777" t="s">
        <v>739</v>
      </c>
      <c r="F45" s="791"/>
      <c r="G45" s="779" t="s">
        <v>902</v>
      </c>
      <c r="H45" s="779" t="s">
        <v>903</v>
      </c>
      <c r="I45" s="779" t="s">
        <v>5</v>
      </c>
      <c r="J45" s="777" t="s">
        <v>904</v>
      </c>
      <c r="K45" s="286" t="s">
        <v>850</v>
      </c>
      <c r="L45" s="287" t="s">
        <v>5</v>
      </c>
      <c r="M45" s="285" t="s">
        <v>740</v>
      </c>
      <c r="N45" s="792" t="s">
        <v>13</v>
      </c>
      <c r="O45" s="791"/>
    </row>
    <row r="46" spans="1:15" s="79" customFormat="1" ht="42" x14ac:dyDescent="0.35">
      <c r="A46" s="782"/>
      <c r="B46" s="783"/>
      <c r="C46" s="782"/>
      <c r="D46" s="298" t="s">
        <v>731</v>
      </c>
      <c r="E46" s="777"/>
      <c r="F46" s="791"/>
      <c r="G46" s="779"/>
      <c r="H46" s="779"/>
      <c r="I46" s="779"/>
      <c r="J46" s="777"/>
      <c r="K46" s="286" t="s">
        <v>259</v>
      </c>
      <c r="L46" s="287" t="s">
        <v>8</v>
      </c>
      <c r="M46" s="285" t="s">
        <v>741</v>
      </c>
      <c r="N46" s="792"/>
      <c r="O46" s="791"/>
    </row>
    <row r="47" spans="1:15" s="79" customFormat="1" ht="56" x14ac:dyDescent="0.35">
      <c r="A47" s="782"/>
      <c r="B47" s="783"/>
      <c r="C47" s="782"/>
      <c r="D47" s="777" t="s">
        <v>2195</v>
      </c>
      <c r="E47" s="777"/>
      <c r="F47" s="791"/>
      <c r="G47" s="779"/>
      <c r="H47" s="779"/>
      <c r="I47" s="779"/>
      <c r="J47" s="777"/>
      <c r="K47" s="286" t="s">
        <v>260</v>
      </c>
      <c r="L47" s="287" t="s">
        <v>5</v>
      </c>
      <c r="M47" s="285" t="s">
        <v>728</v>
      </c>
      <c r="N47" s="792"/>
      <c r="O47" s="791"/>
    </row>
    <row r="48" spans="1:15" s="79" customFormat="1" x14ac:dyDescent="0.35">
      <c r="A48" s="782"/>
      <c r="B48" s="783"/>
      <c r="C48" s="782"/>
      <c r="D48" s="777"/>
      <c r="E48" s="777"/>
      <c r="F48" s="791"/>
      <c r="G48" s="779"/>
      <c r="H48" s="779"/>
      <c r="I48" s="779"/>
      <c r="J48" s="777"/>
      <c r="K48" s="778" t="s">
        <v>261</v>
      </c>
      <c r="L48" s="779" t="s">
        <v>5</v>
      </c>
      <c r="M48" s="777" t="s">
        <v>742</v>
      </c>
      <c r="N48" s="792"/>
      <c r="O48" s="791"/>
    </row>
    <row r="49" spans="1:15" s="79" customFormat="1" ht="71.150000000000006" customHeight="1" x14ac:dyDescent="0.35">
      <c r="A49" s="782"/>
      <c r="B49" s="783"/>
      <c r="C49" s="782"/>
      <c r="D49" s="777"/>
      <c r="E49" s="777"/>
      <c r="F49" s="791"/>
      <c r="G49" s="779"/>
      <c r="H49" s="779"/>
      <c r="I49" s="779"/>
      <c r="J49" s="777"/>
      <c r="K49" s="778"/>
      <c r="L49" s="779"/>
      <c r="M49" s="777"/>
      <c r="N49" s="792"/>
      <c r="O49" s="791"/>
    </row>
    <row r="50" spans="1:15" s="79" customFormat="1" x14ac:dyDescent="0.35">
      <c r="A50" s="788">
        <v>6</v>
      </c>
      <c r="B50" s="767" t="s">
        <v>2174</v>
      </c>
      <c r="C50" s="766" t="s">
        <v>744</v>
      </c>
      <c r="D50" s="767" t="s">
        <v>745</v>
      </c>
      <c r="E50" s="767" t="s">
        <v>754</v>
      </c>
      <c r="F50" s="786"/>
      <c r="G50" s="770" t="s">
        <v>905</v>
      </c>
      <c r="H50" s="770" t="s">
        <v>201</v>
      </c>
      <c r="I50" s="770" t="s">
        <v>201</v>
      </c>
      <c r="J50" s="790"/>
      <c r="K50" s="768" t="s">
        <v>850</v>
      </c>
      <c r="L50" s="770" t="s">
        <v>8</v>
      </c>
      <c r="M50" s="767" t="s">
        <v>2196</v>
      </c>
      <c r="N50" s="790" t="s">
        <v>8</v>
      </c>
      <c r="O50" s="786"/>
    </row>
    <row r="51" spans="1:15" s="79" customFormat="1" x14ac:dyDescent="0.35">
      <c r="A51" s="788"/>
      <c r="B51" s="767"/>
      <c r="C51" s="766"/>
      <c r="D51" s="767"/>
      <c r="E51" s="767"/>
      <c r="F51" s="786"/>
      <c r="G51" s="770"/>
      <c r="H51" s="770"/>
      <c r="I51" s="770"/>
      <c r="J51" s="790"/>
      <c r="K51" s="768"/>
      <c r="L51" s="770"/>
      <c r="M51" s="767"/>
      <c r="N51" s="790"/>
      <c r="O51" s="786"/>
    </row>
    <row r="52" spans="1:15" s="79" customFormat="1" x14ac:dyDescent="0.35">
      <c r="A52" s="788"/>
      <c r="B52" s="767"/>
      <c r="C52" s="766"/>
      <c r="D52" s="767"/>
      <c r="E52" s="767"/>
      <c r="F52" s="786"/>
      <c r="G52" s="770"/>
      <c r="H52" s="770"/>
      <c r="I52" s="770"/>
      <c r="J52" s="790"/>
      <c r="K52" s="768"/>
      <c r="L52" s="770"/>
      <c r="M52" s="767"/>
      <c r="N52" s="790"/>
      <c r="O52" s="786"/>
    </row>
    <row r="53" spans="1:15" s="79" customFormat="1" x14ac:dyDescent="0.35">
      <c r="A53" s="788"/>
      <c r="B53" s="767"/>
      <c r="C53" s="766"/>
      <c r="D53" s="767"/>
      <c r="E53" s="767"/>
      <c r="F53" s="786"/>
      <c r="G53" s="770"/>
      <c r="H53" s="770"/>
      <c r="I53" s="770"/>
      <c r="J53" s="790"/>
      <c r="K53" s="768"/>
      <c r="L53" s="770"/>
      <c r="M53" s="767"/>
      <c r="N53" s="790"/>
      <c r="O53" s="786"/>
    </row>
    <row r="54" spans="1:15" s="79" customFormat="1" x14ac:dyDescent="0.35">
      <c r="A54" s="788"/>
      <c r="B54" s="767"/>
      <c r="C54" s="766"/>
      <c r="D54" s="767"/>
      <c r="E54" s="767"/>
      <c r="F54" s="786"/>
      <c r="G54" s="770"/>
      <c r="H54" s="770"/>
      <c r="I54" s="770"/>
      <c r="J54" s="790"/>
      <c r="K54" s="768"/>
      <c r="L54" s="770"/>
      <c r="M54" s="767"/>
      <c r="N54" s="790"/>
      <c r="O54" s="786"/>
    </row>
    <row r="55" spans="1:15" s="79" customFormat="1" x14ac:dyDescent="0.35">
      <c r="A55" s="788"/>
      <c r="B55" s="767"/>
      <c r="C55" s="766"/>
      <c r="D55" s="767"/>
      <c r="E55" s="767"/>
      <c r="F55" s="786"/>
      <c r="G55" s="770"/>
      <c r="H55" s="770"/>
      <c r="I55" s="770"/>
      <c r="J55" s="790"/>
      <c r="K55" s="768"/>
      <c r="L55" s="770"/>
      <c r="M55" s="767"/>
      <c r="N55" s="790"/>
      <c r="O55" s="786"/>
    </row>
    <row r="56" spans="1:15" s="79" customFormat="1" x14ac:dyDescent="0.35">
      <c r="A56" s="788"/>
      <c r="B56" s="767"/>
      <c r="C56" s="766"/>
      <c r="D56" s="296" t="s">
        <v>2197</v>
      </c>
      <c r="E56" s="767"/>
      <c r="F56" s="786"/>
      <c r="G56" s="770"/>
      <c r="H56" s="770"/>
      <c r="I56" s="770"/>
      <c r="J56" s="790"/>
      <c r="K56" s="299" t="s">
        <v>260</v>
      </c>
      <c r="L56" s="300" t="s">
        <v>8</v>
      </c>
      <c r="M56" s="295"/>
      <c r="N56" s="790"/>
      <c r="O56" s="786"/>
    </row>
    <row r="57" spans="1:15" s="79" customFormat="1" ht="120.65" customHeight="1" x14ac:dyDescent="0.35">
      <c r="A57" s="788"/>
      <c r="B57" s="767"/>
      <c r="C57" s="766"/>
      <c r="D57" s="295" t="s">
        <v>2198</v>
      </c>
      <c r="E57" s="767"/>
      <c r="F57" s="786"/>
      <c r="G57" s="770"/>
      <c r="H57" s="770"/>
      <c r="I57" s="770"/>
      <c r="J57" s="790"/>
      <c r="K57" s="299" t="s">
        <v>261</v>
      </c>
      <c r="L57" s="300" t="s">
        <v>8</v>
      </c>
      <c r="M57" s="295" t="s">
        <v>742</v>
      </c>
      <c r="N57" s="790"/>
      <c r="O57" s="786"/>
    </row>
    <row r="58" spans="1:15" s="79" customFormat="1" x14ac:dyDescent="0.35">
      <c r="A58" s="301"/>
      <c r="B58" s="302"/>
      <c r="C58" s="303"/>
      <c r="D58" s="302"/>
      <c r="E58" s="302"/>
      <c r="F58" s="304"/>
      <c r="G58" s="305"/>
      <c r="H58" s="305"/>
      <c r="I58" s="305"/>
      <c r="J58" s="305"/>
      <c r="K58" s="303"/>
      <c r="L58" s="305"/>
      <c r="M58" s="302"/>
      <c r="N58" s="305"/>
      <c r="O58" s="304"/>
    </row>
    <row r="59" spans="1:15" s="79" customFormat="1" ht="42" customHeight="1" x14ac:dyDescent="0.35">
      <c r="A59" s="788">
        <v>7</v>
      </c>
      <c r="B59" s="777" t="s">
        <v>2177</v>
      </c>
      <c r="C59" s="782" t="s">
        <v>906</v>
      </c>
      <c r="D59" s="777" t="s">
        <v>2199</v>
      </c>
      <c r="E59" s="777" t="s">
        <v>2179</v>
      </c>
      <c r="F59" s="791" t="s">
        <v>2200</v>
      </c>
      <c r="G59" s="779" t="s">
        <v>907</v>
      </c>
      <c r="H59" s="779" t="s">
        <v>201</v>
      </c>
      <c r="I59" s="779" t="s">
        <v>2201</v>
      </c>
      <c r="J59" s="777" t="s">
        <v>909</v>
      </c>
      <c r="K59" s="286" t="s">
        <v>850</v>
      </c>
      <c r="L59" s="287" t="s">
        <v>5</v>
      </c>
      <c r="M59" s="285" t="s">
        <v>777</v>
      </c>
      <c r="N59" s="287" t="s">
        <v>5</v>
      </c>
      <c r="O59" s="285" t="s">
        <v>920</v>
      </c>
    </row>
    <row r="60" spans="1:15" s="79" customFormat="1" ht="70" x14ac:dyDescent="0.35">
      <c r="A60" s="788"/>
      <c r="B60" s="777"/>
      <c r="C60" s="782"/>
      <c r="D60" s="777"/>
      <c r="E60" s="777"/>
      <c r="F60" s="791"/>
      <c r="G60" s="779"/>
      <c r="H60" s="779"/>
      <c r="I60" s="779"/>
      <c r="J60" s="777"/>
      <c r="K60" s="286" t="s">
        <v>260</v>
      </c>
      <c r="L60" s="287" t="s">
        <v>5</v>
      </c>
      <c r="M60" s="285" t="s">
        <v>2202</v>
      </c>
      <c r="N60" s="287" t="s">
        <v>5</v>
      </c>
      <c r="O60" s="285" t="s">
        <v>920</v>
      </c>
    </row>
    <row r="61" spans="1:15" s="79" customFormat="1" ht="365.5" customHeight="1" x14ac:dyDescent="0.35">
      <c r="A61" s="788"/>
      <c r="B61" s="777"/>
      <c r="C61" s="782"/>
      <c r="D61" s="777"/>
      <c r="E61" s="777"/>
      <c r="F61" s="791"/>
      <c r="G61" s="779"/>
      <c r="H61" s="779"/>
      <c r="I61" s="779"/>
      <c r="J61" s="777"/>
      <c r="K61" s="286" t="s">
        <v>261</v>
      </c>
      <c r="L61" s="287" t="s">
        <v>13</v>
      </c>
      <c r="M61" s="285" t="s">
        <v>779</v>
      </c>
      <c r="N61" s="287" t="s">
        <v>5</v>
      </c>
      <c r="O61" s="285" t="s">
        <v>920</v>
      </c>
    </row>
    <row r="62" spans="1:15" s="79" customFormat="1" ht="154" x14ac:dyDescent="0.35">
      <c r="A62" s="306">
        <v>8</v>
      </c>
      <c r="B62" s="295" t="s">
        <v>822</v>
      </c>
      <c r="C62" s="307" t="s">
        <v>911</v>
      </c>
      <c r="D62" s="308" t="s">
        <v>780</v>
      </c>
      <c r="E62" s="308" t="s">
        <v>787</v>
      </c>
      <c r="F62" s="309"/>
      <c r="G62" s="300" t="s">
        <v>912</v>
      </c>
      <c r="H62" s="283"/>
      <c r="I62" s="291" t="s">
        <v>913</v>
      </c>
      <c r="J62" s="291" t="s">
        <v>914</v>
      </c>
      <c r="K62" s="290" t="s">
        <v>261</v>
      </c>
      <c r="L62" s="291" t="s">
        <v>13</v>
      </c>
      <c r="M62" s="283" t="s">
        <v>2203</v>
      </c>
      <c r="N62" s="291" t="s">
        <v>5</v>
      </c>
      <c r="O62" s="283" t="s">
        <v>2204</v>
      </c>
    </row>
    <row r="63" spans="1:15" s="79" customFormat="1" ht="384.65" customHeight="1" x14ac:dyDescent="0.35">
      <c r="A63" s="310">
        <v>9</v>
      </c>
      <c r="B63" s="285" t="s">
        <v>823</v>
      </c>
      <c r="C63" s="311" t="s">
        <v>916</v>
      </c>
      <c r="D63" s="312" t="s">
        <v>790</v>
      </c>
      <c r="E63" s="285" t="s">
        <v>802</v>
      </c>
      <c r="F63" s="313"/>
      <c r="G63" s="287" t="s">
        <v>917</v>
      </c>
      <c r="H63" s="285"/>
      <c r="I63" s="285"/>
      <c r="J63" s="314" t="s">
        <v>918</v>
      </c>
      <c r="K63" s="285"/>
      <c r="L63" s="287" t="s">
        <v>5</v>
      </c>
      <c r="M63" s="285" t="s">
        <v>919</v>
      </c>
      <c r="N63" s="287" t="s">
        <v>5</v>
      </c>
      <c r="O63" s="285" t="s">
        <v>920</v>
      </c>
    </row>
    <row r="64" spans="1:15" s="79" customFormat="1" ht="126" x14ac:dyDescent="0.35">
      <c r="A64" s="315">
        <v>10</v>
      </c>
      <c r="B64" s="283" t="s">
        <v>2205</v>
      </c>
      <c r="C64" s="316" t="s">
        <v>804</v>
      </c>
      <c r="D64" s="283" t="s">
        <v>803</v>
      </c>
      <c r="E64" s="283" t="s">
        <v>806</v>
      </c>
      <c r="F64" s="317"/>
      <c r="G64" s="291" t="s">
        <v>921</v>
      </c>
      <c r="H64" s="291" t="s">
        <v>13</v>
      </c>
      <c r="I64" s="291" t="s">
        <v>5</v>
      </c>
      <c r="J64" s="283"/>
      <c r="K64" s="283"/>
      <c r="L64" s="283"/>
      <c r="M64" s="283"/>
      <c r="N64" s="283"/>
      <c r="O64" s="283" t="s">
        <v>2206</v>
      </c>
    </row>
    <row r="65" spans="1:15" s="79" customFormat="1" ht="100" customHeight="1" x14ac:dyDescent="0.35">
      <c r="A65" s="310">
        <v>11</v>
      </c>
      <c r="B65" s="285" t="s">
        <v>827</v>
      </c>
      <c r="C65" s="311" t="s">
        <v>807</v>
      </c>
      <c r="D65" s="285" t="s">
        <v>810</v>
      </c>
      <c r="E65" s="285" t="s">
        <v>811</v>
      </c>
      <c r="F65" s="313"/>
      <c r="G65" s="287" t="s">
        <v>923</v>
      </c>
      <c r="H65" s="287" t="s">
        <v>13</v>
      </c>
      <c r="I65" s="287" t="s">
        <v>13</v>
      </c>
      <c r="J65" s="285"/>
      <c r="K65" s="285"/>
      <c r="L65" s="285"/>
      <c r="M65" s="285"/>
      <c r="N65" s="285"/>
      <c r="O65" s="285" t="s">
        <v>2206</v>
      </c>
    </row>
  </sheetData>
  <mergeCells count="142">
    <mergeCell ref="A1:G3"/>
    <mergeCell ref="A4:G5"/>
    <mergeCell ref="H59:H61"/>
    <mergeCell ref="I59:I61"/>
    <mergeCell ref="J59:J61"/>
    <mergeCell ref="M50:M55"/>
    <mergeCell ref="N50:N57"/>
    <mergeCell ref="O50:O57"/>
    <mergeCell ref="A59:A61"/>
    <mergeCell ref="B59:B61"/>
    <mergeCell ref="C59:C61"/>
    <mergeCell ref="D59:D61"/>
    <mergeCell ref="E59:E61"/>
    <mergeCell ref="F59:F61"/>
    <mergeCell ref="G59:G61"/>
    <mergeCell ref="G50:G57"/>
    <mergeCell ref="H50:H57"/>
    <mergeCell ref="I50:I57"/>
    <mergeCell ref="J50:J57"/>
    <mergeCell ref="K50:K55"/>
    <mergeCell ref="L50:L55"/>
    <mergeCell ref="A50:A57"/>
    <mergeCell ref="B50:B57"/>
    <mergeCell ref="C50:C57"/>
    <mergeCell ref="D50:D55"/>
    <mergeCell ref="E50:E57"/>
    <mergeCell ref="F50:F57"/>
    <mergeCell ref="H45:H49"/>
    <mergeCell ref="I45:I49"/>
    <mergeCell ref="J45:J49"/>
    <mergeCell ref="N45:N49"/>
    <mergeCell ref="O45:O49"/>
    <mergeCell ref="D47:D49"/>
    <mergeCell ref="K48:K49"/>
    <mergeCell ref="L48:L49"/>
    <mergeCell ref="M48:M49"/>
    <mergeCell ref="A45:A49"/>
    <mergeCell ref="B45:B49"/>
    <mergeCell ref="C45:C49"/>
    <mergeCell ref="E45:E49"/>
    <mergeCell ref="F45:F49"/>
    <mergeCell ref="G45:G49"/>
    <mergeCell ref="D39:D44"/>
    <mergeCell ref="K39:K40"/>
    <mergeCell ref="L39:L40"/>
    <mergeCell ref="M39:M40"/>
    <mergeCell ref="K41:K44"/>
    <mergeCell ref="L41:L44"/>
    <mergeCell ref="M41:M44"/>
    <mergeCell ref="G36:G44"/>
    <mergeCell ref="H36:H44"/>
    <mergeCell ref="I36:I44"/>
    <mergeCell ref="J36:J44"/>
    <mergeCell ref="N36:N44"/>
    <mergeCell ref="O36:O44"/>
    <mergeCell ref="K37:K38"/>
    <mergeCell ref="L37:L38"/>
    <mergeCell ref="M37:M38"/>
    <mergeCell ref="M30:M31"/>
    <mergeCell ref="K32:K34"/>
    <mergeCell ref="L32:L34"/>
    <mergeCell ref="M32:M34"/>
    <mergeCell ref="A35:O35"/>
    <mergeCell ref="A36:A44"/>
    <mergeCell ref="B36:B44"/>
    <mergeCell ref="C36:C44"/>
    <mergeCell ref="E36:E44"/>
    <mergeCell ref="F36:F44"/>
    <mergeCell ref="H26:H34"/>
    <mergeCell ref="I26:I34"/>
    <mergeCell ref="J26:J34"/>
    <mergeCell ref="N26:N34"/>
    <mergeCell ref="O26:O34"/>
    <mergeCell ref="K27:K29"/>
    <mergeCell ref="L27:L29"/>
    <mergeCell ref="M27:M29"/>
    <mergeCell ref="K30:K31"/>
    <mergeCell ref="L30:L31"/>
    <mergeCell ref="D24:D25"/>
    <mergeCell ref="K24:K25"/>
    <mergeCell ref="L24:L25"/>
    <mergeCell ref="M24:M25"/>
    <mergeCell ref="H19:H25"/>
    <mergeCell ref="I19:I25"/>
    <mergeCell ref="J19:J25"/>
    <mergeCell ref="M10:M11"/>
    <mergeCell ref="A26:A34"/>
    <mergeCell ref="B26:B34"/>
    <mergeCell ref="C26:C34"/>
    <mergeCell ref="E26:E34"/>
    <mergeCell ref="F26:F27"/>
    <mergeCell ref="G26:G34"/>
    <mergeCell ref="D21:D22"/>
    <mergeCell ref="K22:K23"/>
    <mergeCell ref="L22:L23"/>
    <mergeCell ref="A19:A25"/>
    <mergeCell ref="B19:B25"/>
    <mergeCell ref="C19:C25"/>
    <mergeCell ref="E19:E25"/>
    <mergeCell ref="F19:F25"/>
    <mergeCell ref="G19:G25"/>
    <mergeCell ref="N10:N18"/>
    <mergeCell ref="O10:O18"/>
    <mergeCell ref="K12:K13"/>
    <mergeCell ref="L12:L13"/>
    <mergeCell ref="M12:M13"/>
    <mergeCell ref="K14:K15"/>
    <mergeCell ref="L14:L15"/>
    <mergeCell ref="O19:O25"/>
    <mergeCell ref="K20:K21"/>
    <mergeCell ref="L20:L21"/>
    <mergeCell ref="M20:M21"/>
    <mergeCell ref="M14:M15"/>
    <mergeCell ref="K16:K18"/>
    <mergeCell ref="L16:L18"/>
    <mergeCell ref="M16:M18"/>
    <mergeCell ref="N19:N25"/>
    <mergeCell ref="M22:M23"/>
    <mergeCell ref="O8:O9"/>
    <mergeCell ref="A10:A18"/>
    <mergeCell ref="B10:B18"/>
    <mergeCell ref="C10:C18"/>
    <mergeCell ref="E10:E18"/>
    <mergeCell ref="F10:F18"/>
    <mergeCell ref="G10:G18"/>
    <mergeCell ref="H10:H18"/>
    <mergeCell ref="I10:I18"/>
    <mergeCell ref="J10:J18"/>
    <mergeCell ref="G8:G9"/>
    <mergeCell ref="H8:H9"/>
    <mergeCell ref="I8:I9"/>
    <mergeCell ref="J8:J9"/>
    <mergeCell ref="K8:M8"/>
    <mergeCell ref="N8:N9"/>
    <mergeCell ref="A8:A9"/>
    <mergeCell ref="B8:B9"/>
    <mergeCell ref="C8:C9"/>
    <mergeCell ref="D8:D9"/>
    <mergeCell ref="E8:E9"/>
    <mergeCell ref="F8:F9"/>
    <mergeCell ref="K10:K11"/>
    <mergeCell ref="L10:L11"/>
  </mergeCells>
  <hyperlinks>
    <hyperlink ref="A7" location="Home!A1" display="Home" xr:uid="{00000000-0004-0000-1400-000000000000}"/>
  </hyperlinks>
  <pageMargins left="0.7" right="0.7" top="0.75" bottom="0.75" header="0.3" footer="0.3"/>
  <pageSetup scale="28" fitToWidth="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2"/>
  <sheetViews>
    <sheetView showGridLines="0" zoomScale="75" zoomScaleNormal="75" workbookViewId="0">
      <selection activeCell="B1" sqref="B1:G2"/>
    </sheetView>
  </sheetViews>
  <sheetFormatPr defaultColWidth="9.1796875" defaultRowHeight="22.5" x14ac:dyDescent="0.45"/>
  <cols>
    <col min="1" max="1" width="5.453125" style="230" bestFit="1" customWidth="1"/>
    <col min="2" max="2" width="107" style="230" bestFit="1" customWidth="1"/>
    <col min="3" max="3" width="21.26953125" style="230" bestFit="1" customWidth="1"/>
    <col min="4" max="4" width="25" style="230" bestFit="1" customWidth="1"/>
    <col min="5" max="5" width="20" style="230" bestFit="1" customWidth="1"/>
    <col min="6" max="6" width="16" style="230" bestFit="1" customWidth="1"/>
    <col min="7" max="7" width="15.7265625" style="230" bestFit="1" customWidth="1"/>
    <col min="8" max="16384" width="9.1796875" style="230"/>
  </cols>
  <sheetData>
    <row r="1" spans="1:7" x14ac:dyDescent="0.45">
      <c r="A1" s="229" t="s">
        <v>1709</v>
      </c>
      <c r="B1" s="795" t="s">
        <v>2151</v>
      </c>
      <c r="C1" s="795"/>
      <c r="D1" s="795"/>
      <c r="E1" s="795"/>
      <c r="F1" s="795"/>
      <c r="G1" s="795"/>
    </row>
    <row r="2" spans="1:7" x14ac:dyDescent="0.45">
      <c r="B2" s="795"/>
      <c r="C2" s="795"/>
      <c r="D2" s="795"/>
      <c r="E2" s="795"/>
      <c r="F2" s="795"/>
      <c r="G2" s="795"/>
    </row>
    <row r="3" spans="1:7" ht="23" x14ac:dyDescent="0.5">
      <c r="B3" s="794" t="s">
        <v>1834</v>
      </c>
      <c r="C3" s="794"/>
      <c r="D3" s="794"/>
      <c r="E3" s="794"/>
      <c r="F3" s="794"/>
      <c r="G3" s="794"/>
    </row>
    <row r="4" spans="1:7" ht="23" x14ac:dyDescent="0.5">
      <c r="B4" s="325" t="s">
        <v>1711</v>
      </c>
      <c r="C4" s="325" t="s">
        <v>1829</v>
      </c>
      <c r="D4" s="325" t="s">
        <v>1830</v>
      </c>
      <c r="E4" s="325" t="s">
        <v>1831</v>
      </c>
      <c r="F4" s="325" t="s">
        <v>1832</v>
      </c>
      <c r="G4" s="325" t="s">
        <v>1833</v>
      </c>
    </row>
    <row r="5" spans="1:7" x14ac:dyDescent="0.45">
      <c r="B5" s="326" t="s">
        <v>1710</v>
      </c>
      <c r="C5" s="327" t="s">
        <v>648</v>
      </c>
      <c r="D5" s="327" t="s">
        <v>925</v>
      </c>
      <c r="E5" s="327"/>
      <c r="F5" s="327"/>
      <c r="G5" s="327"/>
    </row>
    <row r="6" spans="1:7" x14ac:dyDescent="0.45">
      <c r="B6" s="323" t="s">
        <v>1810</v>
      </c>
      <c r="C6" s="324" t="s">
        <v>1820</v>
      </c>
      <c r="D6" s="324" t="s">
        <v>1821</v>
      </c>
      <c r="E6" s="324" t="s">
        <v>1822</v>
      </c>
      <c r="F6" s="324" t="s">
        <v>1823</v>
      </c>
      <c r="G6" s="324" t="s">
        <v>1824</v>
      </c>
    </row>
    <row r="7" spans="1:7" x14ac:dyDescent="0.45">
      <c r="B7" s="323" t="s">
        <v>1811</v>
      </c>
      <c r="C7" s="324" t="s">
        <v>1825</v>
      </c>
      <c r="D7" s="324" t="s">
        <v>1826</v>
      </c>
      <c r="E7" s="324" t="s">
        <v>1827</v>
      </c>
      <c r="F7" s="324"/>
      <c r="G7" s="324"/>
    </row>
    <row r="8" spans="1:7" x14ac:dyDescent="0.45">
      <c r="B8" s="323" t="s">
        <v>1403</v>
      </c>
      <c r="C8" s="324" t="s">
        <v>648</v>
      </c>
      <c r="D8" s="324" t="s">
        <v>925</v>
      </c>
      <c r="E8" s="324"/>
      <c r="F8" s="324"/>
      <c r="G8" s="324"/>
    </row>
    <row r="9" spans="1:7" x14ac:dyDescent="0.45">
      <c r="B9" s="328" t="s">
        <v>1812</v>
      </c>
      <c r="C9" s="329" t="s">
        <v>1819</v>
      </c>
      <c r="D9" s="329" t="s">
        <v>1818</v>
      </c>
      <c r="E9" s="329" t="s">
        <v>1828</v>
      </c>
      <c r="F9" s="329"/>
      <c r="G9" s="329"/>
    </row>
    <row r="11" spans="1:7" ht="23" x14ac:dyDescent="0.5">
      <c r="B11" s="794" t="s">
        <v>1835</v>
      </c>
      <c r="C11" s="794"/>
      <c r="D11" s="794"/>
      <c r="E11" s="794"/>
      <c r="F11" s="794"/>
      <c r="G11" s="794"/>
    </row>
    <row r="12" spans="1:7" ht="23" x14ac:dyDescent="0.5">
      <c r="B12" s="325" t="s">
        <v>1711</v>
      </c>
      <c r="C12" s="325" t="s">
        <v>1829</v>
      </c>
      <c r="D12" s="325" t="s">
        <v>1830</v>
      </c>
      <c r="E12" s="325" t="s">
        <v>1831</v>
      </c>
      <c r="F12" s="325" t="s">
        <v>1832</v>
      </c>
      <c r="G12" s="325" t="s">
        <v>1833</v>
      </c>
    </row>
    <row r="13" spans="1:7" x14ac:dyDescent="0.45">
      <c r="B13" s="326" t="s">
        <v>1710</v>
      </c>
      <c r="C13" s="460">
        <v>2</v>
      </c>
      <c r="D13" s="460">
        <v>1</v>
      </c>
      <c r="E13" s="460"/>
      <c r="F13" s="460"/>
      <c r="G13" s="460"/>
    </row>
    <row r="14" spans="1:7" x14ac:dyDescent="0.45">
      <c r="B14" s="323" t="s">
        <v>1810</v>
      </c>
      <c r="C14" s="461">
        <v>1</v>
      </c>
      <c r="D14" s="461">
        <v>2</v>
      </c>
      <c r="E14" s="461">
        <v>3</v>
      </c>
      <c r="F14" s="461">
        <v>4</v>
      </c>
      <c r="G14" s="461">
        <v>5</v>
      </c>
    </row>
    <row r="15" spans="1:7" x14ac:dyDescent="0.45">
      <c r="B15" s="323" t="s">
        <v>1811</v>
      </c>
      <c r="C15" s="461">
        <v>3</v>
      </c>
      <c r="D15" s="461">
        <v>2</v>
      </c>
      <c r="E15" s="461">
        <v>1</v>
      </c>
      <c r="F15" s="461"/>
      <c r="G15" s="461"/>
    </row>
    <row r="16" spans="1:7" x14ac:dyDescent="0.45">
      <c r="B16" s="323" t="s">
        <v>1403</v>
      </c>
      <c r="C16" s="461">
        <v>2</v>
      </c>
      <c r="D16" s="461">
        <v>1</v>
      </c>
      <c r="E16" s="461"/>
      <c r="F16" s="461"/>
      <c r="G16" s="461"/>
    </row>
    <row r="17" spans="2:7" x14ac:dyDescent="0.45">
      <c r="B17" s="328" t="s">
        <v>1812</v>
      </c>
      <c r="C17" s="462">
        <v>1</v>
      </c>
      <c r="D17" s="462">
        <v>2</v>
      </c>
      <c r="E17" s="462">
        <v>3</v>
      </c>
      <c r="F17" s="462"/>
      <c r="G17" s="462"/>
    </row>
    <row r="18" spans="2:7" x14ac:dyDescent="0.45">
      <c r="C18" s="230" t="s">
        <v>2127</v>
      </c>
      <c r="D18" s="463">
        <f>SUM(C13,G14,C15,C16,E17)</f>
        <v>15</v>
      </c>
    </row>
    <row r="19" spans="2:7" x14ac:dyDescent="0.45">
      <c r="C19" s="230" t="s">
        <v>2128</v>
      </c>
      <c r="D19" s="463">
        <f>SUM(D13,C14,E15,D16,C17)</f>
        <v>5</v>
      </c>
    </row>
    <row r="20" spans="2:7" x14ac:dyDescent="0.45">
      <c r="C20" s="464" t="s">
        <v>2129</v>
      </c>
      <c r="D20" s="465" t="s">
        <v>2132</v>
      </c>
    </row>
    <row r="21" spans="2:7" x14ac:dyDescent="0.45">
      <c r="C21" s="464" t="s">
        <v>2130</v>
      </c>
      <c r="D21" s="465" t="s">
        <v>2133</v>
      </c>
    </row>
    <row r="22" spans="2:7" x14ac:dyDescent="0.45">
      <c r="C22" s="464" t="s">
        <v>2131</v>
      </c>
      <c r="D22" s="465" t="s">
        <v>2134</v>
      </c>
    </row>
  </sheetData>
  <mergeCells count="3">
    <mergeCell ref="B3:G3"/>
    <mergeCell ref="B11:G11"/>
    <mergeCell ref="B1:G2"/>
  </mergeCells>
  <hyperlinks>
    <hyperlink ref="A1" location="Home!A1" display="Home" xr:uid="{00000000-0004-0000-1500-000000000000}"/>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showGridLines="0" workbookViewId="0"/>
  </sheetViews>
  <sheetFormatPr defaultRowHeight="14.5" x14ac:dyDescent="0.35"/>
  <sheetData>
    <row r="1" spans="1:1" x14ac:dyDescent="0.35">
      <c r="A1" s="229" t="s">
        <v>1709</v>
      </c>
    </row>
  </sheetData>
  <hyperlinks>
    <hyperlink ref="A1" location="Home!A1" display="Home" xr:uid="{00000000-0004-0000-1600-000000000000}"/>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5EBBCC7FC78C40B4764E7254EF5312" ma:contentTypeVersion="13" ma:contentTypeDescription="Create a new document." ma:contentTypeScope="" ma:versionID="188f581185c0e23b9a0f401059a6ac7c">
  <xsd:schema xmlns:xsd="http://www.w3.org/2001/XMLSchema" xmlns:xs="http://www.w3.org/2001/XMLSchema" xmlns:p="http://schemas.microsoft.com/office/2006/metadata/properties" xmlns:ns2="18791b81-cc4d-47c1-82e2-d6a4f5feae60" xmlns:ns3="6eee0c6b-b256-47b4-b696-d397247f9583" targetNamespace="http://schemas.microsoft.com/office/2006/metadata/properties" ma:root="true" ma:fieldsID="3024617ca008f0ed8b123b48e8837c73" ns2:_="" ns3:_="">
    <xsd:import namespace="18791b81-cc4d-47c1-82e2-d6a4f5feae60"/>
    <xsd:import namespace="6eee0c6b-b256-47b4-b696-d397247f95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791b81-cc4d-47c1-82e2-d6a4f5fea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ee0c6b-b256-47b4-b696-d397247f958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b1de860-6a48-4c61-a1bb-66be232897c7}" ma:internalName="TaxCatchAll" ma:showField="CatchAllData" ma:web="6eee0c6b-b256-47b4-b696-d397247f95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8791b81-cc4d-47c1-82e2-d6a4f5feae60">
      <Terms xmlns="http://schemas.microsoft.com/office/infopath/2007/PartnerControls"/>
    </lcf76f155ced4ddcb4097134ff3c332f>
    <TaxCatchAll xmlns="6eee0c6b-b256-47b4-b696-d397247f9583" xsi:nil="true"/>
  </documentManagement>
</p:properties>
</file>

<file path=customXml/itemProps1.xml><?xml version="1.0" encoding="utf-8"?>
<ds:datastoreItem xmlns:ds="http://schemas.openxmlformats.org/officeDocument/2006/customXml" ds:itemID="{A4E686F7-9BC7-4260-927D-EC9D9833AF5D}"/>
</file>

<file path=customXml/itemProps2.xml><?xml version="1.0" encoding="utf-8"?>
<ds:datastoreItem xmlns:ds="http://schemas.openxmlformats.org/officeDocument/2006/customXml" ds:itemID="{E5DEEAEE-F391-4C5A-A988-A154523FCC7C}"/>
</file>

<file path=customXml/itemProps3.xml><?xml version="1.0" encoding="utf-8"?>
<ds:datastoreItem xmlns:ds="http://schemas.openxmlformats.org/officeDocument/2006/customXml" ds:itemID="{ADE866F0-603B-492E-8B03-2C54C4270F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15</vt:i4>
      </vt:variant>
    </vt:vector>
  </HeadingPairs>
  <TitlesOfParts>
    <vt:vector size="38" baseType="lpstr">
      <vt:lpstr>Sheet3</vt:lpstr>
      <vt:lpstr>Home</vt:lpstr>
      <vt:lpstr>Go-To-Market Plan</vt:lpstr>
      <vt:lpstr>Top Insurers and Brokers</vt:lpstr>
      <vt:lpstr>Buyer Priorities</vt:lpstr>
      <vt:lpstr>Competitor Analysis</vt:lpstr>
      <vt:lpstr>Dashboard</vt:lpstr>
      <vt:lpstr>Top Clients Shortlist</vt:lpstr>
      <vt:lpstr>Partnerships and Alliances</vt:lpstr>
      <vt:lpstr>Capability Gap Assessment </vt:lpstr>
      <vt:lpstr>Build-Buy-Partner Analysis</vt:lpstr>
      <vt:lpstr>Collated Collaterals List</vt:lpstr>
      <vt:lpstr>Reference Tab - Do not Delete</vt:lpstr>
      <vt:lpstr>Consolidated Solutions</vt:lpstr>
      <vt:lpstr>Capability Gap Assessment 2</vt:lpstr>
      <vt:lpstr>Capability Gap Assessment -Ver2</vt:lpstr>
      <vt:lpstr>White Spaces - Experience</vt:lpstr>
      <vt:lpstr>Insuretch Anlaysis - Roopak</vt:lpstr>
      <vt:lpstr>InsureTech Landscape</vt:lpstr>
      <vt:lpstr>Partnership Landscape</vt:lpstr>
      <vt:lpstr>P&amp;C Solutions List</vt:lpstr>
      <vt:lpstr>Client Prioritization Framework</vt:lpstr>
      <vt:lpstr>Solution Evaluation Criteria</vt:lpstr>
      <vt:lpstr>Audit_ATC</vt:lpstr>
      <vt:lpstr>BIE</vt:lpstr>
      <vt:lpstr>DT_WC</vt:lpstr>
      <vt:lpstr>E_E2E</vt:lpstr>
      <vt:lpstr>Fin_Auto</vt:lpstr>
      <vt:lpstr>FNOL</vt:lpstr>
      <vt:lpstr>Food</vt:lpstr>
      <vt:lpstr>Int_Col</vt:lpstr>
      <vt:lpstr>Life_Cycle</vt:lpstr>
      <vt:lpstr>NB_PaaS</vt:lpstr>
      <vt:lpstr>PaaS</vt:lpstr>
      <vt:lpstr>PRA</vt:lpstr>
      <vt:lpstr>Sign_Off___Next_Steps</vt:lpstr>
      <vt:lpstr>TrRFF</vt:lpstr>
      <vt:lpstr>VOC_Source</vt:lpstr>
    </vt:vector>
  </TitlesOfParts>
  <Company>EXL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Kathleen Welday</dc:creator>
  <cp:lastModifiedBy>Roopak Chadha</cp:lastModifiedBy>
  <dcterms:created xsi:type="dcterms:W3CDTF">2020-07-13T21:12:44Z</dcterms:created>
  <dcterms:modified xsi:type="dcterms:W3CDTF">2025-05-02T12:53:54Z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0x010100825EBBCC7FC78C40B4764E7254EF5312</vt:lpwstr>
  </property>
</Properties>
</file>
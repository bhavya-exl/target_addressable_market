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https://exlservicenam-my.sharepoint.com/personal/bhavya242574_exlservice_com/Documents/Desktop/TAM/"/>
    </mc:Choice>
  </mc:AlternateContent>
  <xr:revisionPtr revIDLastSave="2" documentId="11_89D04E5C97225C26050904DA42D41E18B7B5F565" xr6:coauthVersionLast="47" xr6:coauthVersionMax="47" xr10:uidLastSave="{955CE7C4-C9FC-C340-AE37-462A771DE3A6}"/>
  <bookViews>
    <workbookView xWindow="0" yWindow="660" windowWidth="30240" windowHeight="18980" xr2:uid="{00000000-000D-0000-FFFF-FFFF00000000}"/>
  </bookViews>
  <sheets>
    <sheet name="Inventory" sheetId="1" r:id="rId1"/>
    <sheet name="Files" sheetId="2" r:id="rId2"/>
    <sheet name="Legend" sheetId="3" r:id="rId3"/>
    <sheet name="Duplicates &amp; Oddities" sheetId="4" r:id="rId4"/>
  </sheets>
  <definedNames>
    <definedName name="_xlnm._FilterDatabase" localSheetId="0" hidden="1">Inventory!$A$1:$J$32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2" l="1"/>
  <c r="D5" i="2"/>
  <c r="D4" i="2"/>
  <c r="D3" i="2"/>
  <c r="D2" i="2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<sst xmlns="http://schemas.openxmlformats.org/spreadsheetml/2006/main" count="320" uniqueCount="213">
  <si>
    <t>#</t>
  </si>
  <si>
    <t>File</t>
  </si>
  <si>
    <t>Sheet</t>
  </si>
  <si>
    <t>Open</t>
  </si>
  <si>
    <t>R x C</t>
  </si>
  <si>
    <t>Per-row entity</t>
  </si>
  <si>
    <t>Category</t>
  </si>
  <si>
    <t>What it captures</t>
  </si>
  <si>
    <t>Era</t>
  </si>
  <si>
    <t>Notes</t>
  </si>
  <si>
    <t>F1</t>
  </si>
  <si>
    <t>Home</t>
  </si>
  <si>
    <t>24x14</t>
  </si>
  <si>
    <t>—</t>
  </si>
  <si>
    <t>Strategy</t>
  </si>
  <si>
    <t>Landing page / nav</t>
  </si>
  <si>
    <t>Aug 2020</t>
  </si>
  <si>
    <t>Go-To-Market Plan</t>
  </si>
  <si>
    <t>75x3</t>
  </si>
  <si>
    <t>section</t>
  </si>
  <si>
    <t>GTM narrative + 10 packaged solutions (FNOL-aaS, PaaS, NB-PaaS, etc.)</t>
  </si>
  <si>
    <t>Top Insurers and Brokers</t>
  </si>
  <si>
    <t>231x43</t>
  </si>
  <si>
    <t>company</t>
  </si>
  <si>
    <t>Clients</t>
  </si>
  <si>
    <t>224 insurers/brokers ranked by 2019 NWP + CxOs + InsureTech/TPA partners + EXL wallet share + renewal/TCV</t>
  </si>
  <si>
    <t>2019/20</t>
  </si>
  <si>
    <t>Buyer Priorities</t>
  </si>
  <si>
    <t>109x49</t>
  </si>
  <si>
    <t>client + CxO + priority</t>
  </si>
  <si>
    <t>C-suite VOC -&gt; priority area -&gt; EXL solution mapping</t>
  </si>
  <si>
    <t>Competitor Analysis</t>
  </si>
  <si>
    <t>76x19</t>
  </si>
  <si>
    <t>engagement</t>
  </si>
  <si>
    <t>Competitors</t>
  </si>
  <si>
    <t>72 EXL-competitor engagements at insurer accounts</t>
  </si>
  <si>
    <t>Feb 2021</t>
  </si>
  <si>
    <t>Duplicate of F5</t>
  </si>
  <si>
    <t>Dashboard</t>
  </si>
  <si>
    <t>140x22</t>
  </si>
  <si>
    <t>varies</t>
  </si>
  <si>
    <t>Multi-table summary view (shortlist + VOC roll-up)</t>
  </si>
  <si>
    <t>Multi-table sheet</t>
  </si>
  <si>
    <t>Top Clients Shortlist</t>
  </si>
  <si>
    <t>33x31</t>
  </si>
  <si>
    <t>account</t>
  </si>
  <si>
    <t>28 prioritized accounts + bucket strategy + CxO roster</t>
  </si>
  <si>
    <t>Partnerships and Alliances</t>
  </si>
  <si>
    <t>87x8</t>
  </si>
  <si>
    <t>provider</t>
  </si>
  <si>
    <t>Partners</t>
  </si>
  <si>
    <t>Partner ratings by capability</t>
  </si>
  <si>
    <t xml:space="preserve">Capability Gap Assessment </t>
  </si>
  <si>
    <t>72x17</t>
  </si>
  <si>
    <t>solution-component</t>
  </si>
  <si>
    <t>Capabilities</t>
  </si>
  <si>
    <t>Gap matrix v1 (EXL capability vs. competition + partner-needed flags)</t>
  </si>
  <si>
    <t>v1 of 3 iterations (trailing space in sheet name)</t>
  </si>
  <si>
    <t>Capability Gap Assessment 2</t>
  </si>
  <si>
    <t>67x17</t>
  </si>
  <si>
    <t>Gap matrix v2</t>
  </si>
  <si>
    <t>v2 of 3</t>
  </si>
  <si>
    <t>Capability Gap Assessment -Ver2</t>
  </si>
  <si>
    <t>67x19</t>
  </si>
  <si>
    <t>Gap matrix v3 (adds numeric capability scale 1-5 + Solutions-ID)</t>
  </si>
  <si>
    <t>v3 - most evolved</t>
  </si>
  <si>
    <t>Build-Buy-Partner Analysis</t>
  </si>
  <si>
    <t>138x13</t>
  </si>
  <si>
    <t>Narrative + Table A 'Solution -&gt; Build / Buy / Partner' recommendations</t>
  </si>
  <si>
    <t>Collated Collaterals List</t>
  </si>
  <si>
    <t>47x6</t>
  </si>
  <si>
    <t>asset</t>
  </si>
  <si>
    <t>EXL marketing collateral inventory + URLs</t>
  </si>
  <si>
    <t>Reference Tab - Do not Delete</t>
  </si>
  <si>
    <t>42x12</t>
  </si>
  <si>
    <t>reference</t>
  </si>
  <si>
    <t>Reference</t>
  </si>
  <si>
    <t>Dropdown lookup ranges (no business data)</t>
  </si>
  <si>
    <t>Do not modify</t>
  </si>
  <si>
    <t>Consolidated Solutions</t>
  </si>
  <si>
    <t>58x15</t>
  </si>
  <si>
    <t>Solution catalog</t>
  </si>
  <si>
    <t>Near-duplicate of #20</t>
  </si>
  <si>
    <t>White Spaces - Experience</t>
  </si>
  <si>
    <t>23x13</t>
  </si>
  <si>
    <t>row label</t>
  </si>
  <si>
    <t>Value-chain x Personal/Commercial/Specialty matrix</t>
  </si>
  <si>
    <t>Empty grid - scaffold only</t>
  </si>
  <si>
    <t>Insuretch Anlaysis - Roopak</t>
  </si>
  <si>
    <t>14x10</t>
  </si>
  <si>
    <t>gap</t>
  </si>
  <si>
    <t>Gap -&gt; partner mapping by value chain</t>
  </si>
  <si>
    <t>InsureTech Landscape</t>
  </si>
  <si>
    <t>88x29</t>
  </si>
  <si>
    <t>insuretech</t>
  </si>
  <si>
    <t>InsureTech inventory + funding + 2019/2020 EXL rating + LOB tagging</t>
  </si>
  <si>
    <t>Partnership Landscape</t>
  </si>
  <si>
    <t>70x29</t>
  </si>
  <si>
    <t>Broader partner inventory (InsureTech + Other) with solution-mapping flags</t>
  </si>
  <si>
    <t>P&amp;C Solutions List</t>
  </si>
  <si>
    <t>65x15</t>
  </si>
  <si>
    <t>Near-duplicate of #15</t>
  </si>
  <si>
    <t>Client Prioritization Framework</t>
  </si>
  <si>
    <t>22x7</t>
  </si>
  <si>
    <t>criterion</t>
  </si>
  <si>
    <t>Scoring framework: 5 criteria x 5 options (Combined Ratio, Outsource Y/N, TCV potential, etc.)</t>
  </si>
  <si>
    <t>Solution Evaluation Criteria</t>
  </si>
  <si>
    <t>1x1</t>
  </si>
  <si>
    <t>Empty (Home link only)</t>
  </si>
  <si>
    <t>Stub</t>
  </si>
  <si>
    <t>Sheet3</t>
  </si>
  <si>
    <t>15x17</t>
  </si>
  <si>
    <t>Orphan: 14 named accounts with CxOs + GWP</t>
  </si>
  <si>
    <t>Orphan - no Home link</t>
  </si>
  <si>
    <t>F2</t>
  </si>
  <si>
    <t>Captives in India</t>
  </si>
  <si>
    <t>9x10</t>
  </si>
  <si>
    <t>captive</t>
  </si>
  <si>
    <t>Captives</t>
  </si>
  <si>
    <t>7 captives in India (Metlife, Allstate, Equitable, Guardian, Principal, AXA XL, Mercer) + FTEs + leader contacts + COVID-WFH split</t>
  </si>
  <si>
    <t>Jun 2021</t>
  </si>
  <si>
    <t>Two-row header (R1 question, R2 field)</t>
  </si>
  <si>
    <t>Captives in the Philippines</t>
  </si>
  <si>
    <t>7 captives in PH (Manulife, Sun Life, AIA Philamlife, FWD, InLife, AXA PH, QBE)</t>
  </si>
  <si>
    <t>Same shape as #24</t>
  </si>
  <si>
    <t>F3</t>
  </si>
  <si>
    <t>Personal Lines</t>
  </si>
  <si>
    <t>21x9</t>
  </si>
  <si>
    <t>function</t>
  </si>
  <si>
    <t>5 PL functions x scale / delivery locations / transformation philosophy / digital solutions / partners / showcase clients</t>
  </si>
  <si>
    <t>~2023+</t>
  </si>
  <si>
    <t>Looks like a WNS profile; below-table notes at rows 9-10</t>
  </si>
  <si>
    <t>Commercial</t>
  </si>
  <si>
    <t>4 CL functions, same shape</t>
  </si>
  <si>
    <t>Looks like a WNS profile</t>
  </si>
  <si>
    <t>F4</t>
  </si>
  <si>
    <t>P&amp;C Clientwise</t>
  </si>
  <si>
    <t>54x5</t>
  </si>
  <si>
    <t>client-competitor pair</t>
  </si>
  <si>
    <t>Competitor at each EXL P&amp;C client + FTE/$ + CoPilot Research notes</t>
  </si>
  <si>
    <t>2024+</t>
  </si>
  <si>
    <t>Two-row header band</t>
  </si>
  <si>
    <t>L&amp;A Clientwise</t>
  </si>
  <si>
    <t>61x5</t>
  </si>
  <si>
    <t>Same shape for L&amp;A clients</t>
  </si>
  <si>
    <t>Competitor wise</t>
  </si>
  <si>
    <t>47x3</t>
  </si>
  <si>
    <t>competitor-segment</t>
  </si>
  <si>
    <t>Inverted view: each competitor's capabilities across the insurance value chain</t>
  </si>
  <si>
    <t>F5</t>
  </si>
  <si>
    <t>76x20</t>
  </si>
  <si>
    <t>72 engagements</t>
  </si>
  <si>
    <t>Duplicate of #5; small legend table to the right</t>
  </si>
  <si>
    <t>Alias</t>
  </si>
  <si>
    <t>File Name</t>
  </si>
  <si>
    <t>Full Path</t>
  </si>
  <si>
    <t>Open File</t>
  </si>
  <si>
    <t>Vintage</t>
  </si>
  <si>
    <t>20200803 PC-Strategy-Solution Development and GoToMarket PlanVer1.5.xlsx</t>
  </si>
  <si>
    <t>/Users/bhavya242574/Library/CloudStorage/OneDrive-EXLService.com(I)Pvt.Ltd/Desktop/TAM/excel_data/20200803 PC-Strategy-Solution Development and GoToMarket PlanVer1.5.xlsx</t>
  </si>
  <si>
    <t>Aug 2020 (v1.5)</t>
  </si>
  <si>
    <t>Captive Operations Details Jun 2021 v3 - Copy.xlsx</t>
  </si>
  <si>
    <t>/Users/bhavya242574/Library/CloudStorage/OneDrive-EXLService.com(I)Pvt.Ltd/Desktop/TAM/excel_data/Captive Operations Details Jun 2021 v3 - Copy.xlsx</t>
  </si>
  <si>
    <t>Jun 2021 (v3)</t>
  </si>
  <si>
    <t>Competitor Analysis PL and CL.xlsx</t>
  </si>
  <si>
    <t>/Users/bhavya242574/Library/CloudStorage/OneDrive-EXLService.com(I)Pvt.Ltd/Desktop/TAM/excel_data/Competitor Analysis PL and CL.xlsx</t>
  </si>
  <si>
    <t>Undated (~2023+)</t>
  </si>
  <si>
    <t>EXL Insurance Competitors.xlsx</t>
  </si>
  <si>
    <t>/Users/bhavya242574/Library/CloudStorage/OneDrive-EXLService.com(I)Pvt.Ltd/Desktop/TAM/excel_data/EXL Insurance Competitors.xlsx</t>
  </si>
  <si>
    <t>2024+ (post-CoPilot)</t>
  </si>
  <si>
    <t>P&amp;C Competitor Analysis.xlsx</t>
  </si>
  <si>
    <t>/Users/bhavya242574/Library/CloudStorage/OneDrive-EXLService.com(I)Pvt.Ltd/Desktop/TAM/excel_data/P&amp;C Competitor Analysis.xlsx</t>
  </si>
  <si>
    <t>~Feb 2021</t>
  </si>
  <si>
    <t>Description</t>
  </si>
  <si>
    <t>Narrative GTM thinking, frameworks, dashboards, marketing collateral</t>
  </si>
  <si>
    <t>Client / account intelligence - insurers, brokers, CxOs, priorities, wallet</t>
  </si>
  <si>
    <t>Competitor engagement data - who serves whom, at what scale, with what capability</t>
  </si>
  <si>
    <t>EXL solution catalogs, capability-gap analysis, white-space maps</t>
  </si>
  <si>
    <t>Partner ecosystem - InsureTechs, TPAs, alliances</t>
  </si>
  <si>
    <t>Insurance captive operations (India, Philippines)</t>
  </si>
  <si>
    <t>Lookup tables, frameworks, admin / stubs</t>
  </si>
  <si>
    <t>Issue</t>
  </si>
  <si>
    <t>Where</t>
  </si>
  <si>
    <t>Note</t>
  </si>
  <si>
    <t>Same dataset, two locations</t>
  </si>
  <si>
    <t>F1 'Competitor Analysis' (row #5) == whole of F5 (row #31)</t>
  </si>
  <si>
    <t>72-engagement table. Treat F5 as canonical or merge.</t>
  </si>
  <si>
    <t>Three iterations of same matrix</t>
  </si>
  <si>
    <t>F1 'Capability Gap Assessment' / '... 2' / '...-Ver2' (rows #9-11)</t>
  </si>
  <si>
    <t>Ver2 is most evolved (adds 1-5 scale + Solutions-ID). Use as canonical.</t>
  </si>
  <si>
    <t>Near-duplicate catalog</t>
  </si>
  <si>
    <t>F1 'Consolidated Solutions' (#15) and 'P&amp;C Solutions List' (#20)</t>
  </si>
  <si>
    <t>Same modules with minor wrapper differences. Pick one as canonical.</t>
  </si>
  <si>
    <t>Empty stub</t>
  </si>
  <si>
    <t>F1 'Solution Evaluation Criteria' (#22)</t>
  </si>
  <si>
    <t>Only contains Home link. Either remove or backfill.</t>
  </si>
  <si>
    <t>Orphan tab</t>
  </si>
  <si>
    <t>F1 'Sheet3' (#23)</t>
  </si>
  <si>
    <t>No nav link. Looks pasted in. 14 accounts with CxOs + GWP.</t>
  </si>
  <si>
    <t>Empty scaffold</t>
  </si>
  <si>
    <t>F1 'White Spaces - Experience' (#16)</t>
  </si>
  <si>
    <t>Value-chain x LOB grid built but never filled in.</t>
  </si>
  <si>
    <t>F2 sheets, F4 'P&amp;C Clientwise' / 'L&amp;A Clientwise'</t>
  </si>
  <si>
    <t>R1 = source-group label, R2 = field name. Easy to misparse.</t>
  </si>
  <si>
    <t>Data validation warnings</t>
  </si>
  <si>
    <t>F1 (workbook-level)</t>
  </si>
  <si>
    <t>openpyxl warns about unsupported Data Validation extensions on load.</t>
  </si>
  <si>
    <t>Stale CxO names</t>
  </si>
  <si>
    <t>F1 'Buyer Priorities' (#4)</t>
  </si>
  <si>
    <t>Some CxO cells show #N/A; many CxO records dated Aug 2020 - likely turned over.</t>
  </si>
  <si>
    <t>Vintage spread</t>
  </si>
  <si>
    <t>Files span Aug 2020 -&gt; 2024+</t>
  </si>
  <si>
    <t>Newer files don't supersede older ones; no version-of-truth.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</si>
</sst>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u/>
      <sz val="10"/>
      <color rgb="FF0563C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DEEBF7"/>
      </patternFill>
    </fill>
    <fill>
      <patternFill patternType="solid">
        <fgColor rgb="FFFCE4D6"/>
      </patternFill>
    </fill>
    <fill>
      <patternFill patternType="solid">
        <fgColor rgb="FFEDEDED"/>
      </patternFill>
    </fill>
    <fill>
      <patternFill patternType="solid">
        <fgColor rgb="FFE2EFDA"/>
      </patternFill>
    </fill>
    <fill>
      <patternFill patternType="solid">
        <fgColor rgb="FFD9D9D9"/>
      </patternFill>
    </fill>
    <fill>
      <patternFill patternType="solid">
        <fgColor rgb="FFFFE69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vertical="top" wrapText="1"/>
    </xf>
    <xf numFmtId="0" fontId="2" fillId="9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"/>
  <sheetViews>
    <sheetView tabSelected="1" workbookViewId="0">
      <pane ySplit="1" topLeftCell="A2" activePane="bottomLeft" state="frozen"/>
      <selection pane="bottomLeft" activeCell="L11" sqref="L11"/>
    </sheetView>
  </sheetViews>
  <sheetFormatPr baseColWidth="10" defaultColWidth="8.83203125" defaultRowHeight="15" x14ac:dyDescent="0.2"/>
  <cols>
    <col min="1" max="1" width="4" customWidth="1"/>
    <col min="2" max="2" width="6" customWidth="1"/>
    <col min="3" max="3" width="35" customWidth="1"/>
    <col min="4" max="4" width="7" customWidth="1"/>
    <col min="5" max="5" width="8" customWidth="1"/>
    <col min="6" max="6" width="22" customWidth="1"/>
    <col min="7" max="7" width="13" customWidth="1"/>
    <col min="8" max="8" width="65" customWidth="1"/>
    <col min="9" max="9" width="12" customWidth="1"/>
    <col min="10" max="10" width="32" customWidth="1"/>
  </cols>
  <sheetData>
    <row r="1" spans="1:10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>
        <v>1</v>
      </c>
      <c r="B2" s="2" t="s">
        <v>10</v>
      </c>
      <c r="C2" s="2" t="s">
        <v>11</v>
      </c>
      <c r="D2" s="3" t="str">
        <f>HYPERLINK("file:///Users/bhavya242574/Library/CloudStorage/OneDrive-EXLService.com%28I%29Pvt.Ltd/Desktop/TAM/excel_data/20200803%20PC-Strategy-Solution%20Development%20and%20GoToMarket%20PlanVer1.5.xlsx#'Home'!A1","Open")</f>
        <v>Open</v>
      </c>
      <c r="E2" s="2" t="s">
        <v>12</v>
      </c>
      <c r="F2" s="2" t="s">
        <v>13</v>
      </c>
      <c r="G2" s="4" t="s">
        <v>14</v>
      </c>
      <c r="H2" s="2" t="s">
        <v>15</v>
      </c>
      <c r="I2" s="2" t="s">
        <v>16</v>
      </c>
      <c r="J2" s="2"/>
    </row>
    <row r="3" spans="1:10" x14ac:dyDescent="0.2">
      <c r="A3" s="2">
        <v>2</v>
      </c>
      <c r="B3" s="2" t="s">
        <v>10</v>
      </c>
      <c r="C3" s="2" t="s">
        <v>17</v>
      </c>
      <c r="D3" s="3" t="str">
        <f>HYPERLINK("file:///Users/bhavya242574/Library/CloudStorage/OneDrive-EXLService.com%28I%29Pvt.Ltd/Desktop/TAM/excel_data/20200803%20PC-Strategy-Solution%20Development%20and%20GoToMarket%20PlanVer1.5.xlsx#'Go-To-Market Plan'!A1","Open")</f>
        <v>Open</v>
      </c>
      <c r="E3" s="2" t="s">
        <v>18</v>
      </c>
      <c r="F3" s="2" t="s">
        <v>19</v>
      </c>
      <c r="G3" s="4" t="s">
        <v>14</v>
      </c>
      <c r="H3" s="2" t="s">
        <v>20</v>
      </c>
      <c r="I3" s="2" t="s">
        <v>16</v>
      </c>
      <c r="J3" s="2"/>
    </row>
    <row r="4" spans="1:10" ht="28" x14ac:dyDescent="0.2">
      <c r="A4" s="2">
        <v>3</v>
      </c>
      <c r="B4" s="2" t="s">
        <v>10</v>
      </c>
      <c r="C4" s="2" t="s">
        <v>21</v>
      </c>
      <c r="D4" s="3" t="str">
        <f>HYPERLINK("file:///Users/bhavya242574/Library/CloudStorage/OneDrive-EXLService.com%28I%29Pvt.Ltd/Desktop/TAM/excel_data/20200803%20PC-Strategy-Solution%20Development%20and%20GoToMarket%20PlanVer1.5.xlsx#'Top Insurers and Brokers'!A1","Open")</f>
        <v>Open</v>
      </c>
      <c r="E4" s="2" t="s">
        <v>22</v>
      </c>
      <c r="F4" s="2" t="s">
        <v>23</v>
      </c>
      <c r="G4" s="5" t="s">
        <v>24</v>
      </c>
      <c r="H4" s="2" t="s">
        <v>25</v>
      </c>
      <c r="I4" s="2" t="s">
        <v>26</v>
      </c>
      <c r="J4" s="2"/>
    </row>
    <row r="5" spans="1:10" x14ac:dyDescent="0.2">
      <c r="A5" s="2">
        <v>4</v>
      </c>
      <c r="B5" s="2" t="s">
        <v>10</v>
      </c>
      <c r="C5" s="2" t="s">
        <v>27</v>
      </c>
      <c r="D5" s="3" t="str">
        <f>HYPERLINK("file:///Users/bhavya242574/Library/CloudStorage/OneDrive-EXLService.com%28I%29Pvt.Ltd/Desktop/TAM/excel_data/20200803%20PC-Strategy-Solution%20Development%20and%20GoToMarket%20PlanVer1.5.xlsx#'Buyer Priorities'!A1","Open")</f>
        <v>Open</v>
      </c>
      <c r="E5" s="2" t="s">
        <v>28</v>
      </c>
      <c r="F5" s="2" t="s">
        <v>29</v>
      </c>
      <c r="G5" s="5" t="s">
        <v>24</v>
      </c>
      <c r="H5" s="2" t="s">
        <v>30</v>
      </c>
      <c r="I5" s="2" t="s">
        <v>16</v>
      </c>
      <c r="J5" s="2"/>
    </row>
    <row r="6" spans="1:10" x14ac:dyDescent="0.2">
      <c r="A6" s="2">
        <v>5</v>
      </c>
      <c r="B6" s="2" t="s">
        <v>10</v>
      </c>
      <c r="C6" s="2" t="s">
        <v>31</v>
      </c>
      <c r="D6" s="3" t="str">
        <f>HYPERLINK("file:///Users/bhavya242574/Library/CloudStorage/OneDrive-EXLService.com%28I%29Pvt.Ltd/Desktop/TAM/excel_data/20200803%20PC-Strategy-Solution%20Development%20and%20GoToMarket%20PlanVer1.5.xlsx#'Competitor Analysis'!A1","Open")</f>
        <v>Open</v>
      </c>
      <c r="E6" s="2" t="s">
        <v>32</v>
      </c>
      <c r="F6" s="2" t="s">
        <v>33</v>
      </c>
      <c r="G6" s="6" t="s">
        <v>34</v>
      </c>
      <c r="H6" s="2" t="s">
        <v>35</v>
      </c>
      <c r="I6" s="2" t="s">
        <v>36</v>
      </c>
      <c r="J6" s="2" t="s">
        <v>37</v>
      </c>
    </row>
    <row r="7" spans="1:10" x14ac:dyDescent="0.2">
      <c r="A7" s="2">
        <v>6</v>
      </c>
      <c r="B7" s="2" t="s">
        <v>10</v>
      </c>
      <c r="C7" s="2" t="s">
        <v>38</v>
      </c>
      <c r="D7" s="3" t="str">
        <f>HYPERLINK("file:///Users/bhavya242574/Library/CloudStorage/OneDrive-EXLService.com%28I%29Pvt.Ltd/Desktop/TAM/excel_data/20200803%20PC-Strategy-Solution%20Development%20and%20GoToMarket%20PlanVer1.5.xlsx#'Dashboard'!A1","Open")</f>
        <v>Open</v>
      </c>
      <c r="E7" s="2" t="s">
        <v>39</v>
      </c>
      <c r="F7" s="2" t="s">
        <v>40</v>
      </c>
      <c r="G7" s="4" t="s">
        <v>14</v>
      </c>
      <c r="H7" s="2" t="s">
        <v>41</v>
      </c>
      <c r="I7" s="2" t="s">
        <v>16</v>
      </c>
      <c r="J7" s="2" t="s">
        <v>42</v>
      </c>
    </row>
    <row r="8" spans="1:10" x14ac:dyDescent="0.2">
      <c r="A8" s="2">
        <v>7</v>
      </c>
      <c r="B8" s="2" t="s">
        <v>10</v>
      </c>
      <c r="C8" s="2" t="s">
        <v>43</v>
      </c>
      <c r="D8" s="3" t="str">
        <f>HYPERLINK("file:///Users/bhavya242574/Library/CloudStorage/OneDrive-EXLService.com%28I%29Pvt.Ltd/Desktop/TAM/excel_data/20200803%20PC-Strategy-Solution%20Development%20and%20GoToMarket%20PlanVer1.5.xlsx#'Top Clients Shortlist'!A1","Open")</f>
        <v>Open</v>
      </c>
      <c r="E8" s="2" t="s">
        <v>44</v>
      </c>
      <c r="F8" s="2" t="s">
        <v>45</v>
      </c>
      <c r="G8" s="5" t="s">
        <v>24</v>
      </c>
      <c r="H8" s="2" t="s">
        <v>46</v>
      </c>
      <c r="I8" s="2" t="s">
        <v>16</v>
      </c>
      <c r="J8" s="2"/>
    </row>
    <row r="9" spans="1:10" x14ac:dyDescent="0.2">
      <c r="A9" s="2">
        <v>8</v>
      </c>
      <c r="B9" s="2" t="s">
        <v>10</v>
      </c>
      <c r="C9" s="2" t="s">
        <v>47</v>
      </c>
      <c r="D9" s="3" t="str">
        <f>HYPERLINK("file:///Users/bhavya242574/Library/CloudStorage/OneDrive-EXLService.com%28I%29Pvt.Ltd/Desktop/TAM/excel_data/20200803%20PC-Strategy-Solution%20Development%20and%20GoToMarket%20PlanVer1.5.xlsx#'Partnerships and Alliances'!A1","Open")</f>
        <v>Open</v>
      </c>
      <c r="E9" s="2" t="s">
        <v>48</v>
      </c>
      <c r="F9" s="2" t="s">
        <v>49</v>
      </c>
      <c r="G9" s="7" t="s">
        <v>50</v>
      </c>
      <c r="H9" s="2" t="s">
        <v>51</v>
      </c>
      <c r="I9" s="2" t="s">
        <v>16</v>
      </c>
      <c r="J9" s="2"/>
    </row>
    <row r="10" spans="1:10" ht="28" x14ac:dyDescent="0.2">
      <c r="A10" s="2">
        <v>9</v>
      </c>
      <c r="B10" s="2" t="s">
        <v>10</v>
      </c>
      <c r="C10" s="2" t="s">
        <v>52</v>
      </c>
      <c r="D10" s="3" t="str">
        <f>HYPERLINK("file:///Users/bhavya242574/Library/CloudStorage/OneDrive-EXLService.com%28I%29Pvt.Ltd/Desktop/TAM/excel_data/20200803%20PC-Strategy-Solution%20Development%20and%20GoToMarket%20PlanVer1.5.xlsx#'Capability Gap Assessment '!A1","Open")</f>
        <v>Open</v>
      </c>
      <c r="E10" s="2" t="s">
        <v>53</v>
      </c>
      <c r="F10" s="2" t="s">
        <v>54</v>
      </c>
      <c r="G10" s="8" t="s">
        <v>55</v>
      </c>
      <c r="H10" s="2" t="s">
        <v>56</v>
      </c>
      <c r="I10" s="2" t="s">
        <v>16</v>
      </c>
      <c r="J10" s="2" t="s">
        <v>57</v>
      </c>
    </row>
    <row r="11" spans="1:10" x14ac:dyDescent="0.2">
      <c r="A11" s="2">
        <v>10</v>
      </c>
      <c r="B11" s="2" t="s">
        <v>10</v>
      </c>
      <c r="C11" s="2" t="s">
        <v>58</v>
      </c>
      <c r="D11" s="3" t="str">
        <f>HYPERLINK("file:///Users/bhavya242574/Library/CloudStorage/OneDrive-EXLService.com%28I%29Pvt.Ltd/Desktop/TAM/excel_data/20200803%20PC-Strategy-Solution%20Development%20and%20GoToMarket%20PlanVer1.5.xlsx#'Capability Gap Assessment 2'!A1","Open")</f>
        <v>Open</v>
      </c>
      <c r="E11" s="2" t="s">
        <v>59</v>
      </c>
      <c r="F11" s="2" t="s">
        <v>54</v>
      </c>
      <c r="G11" s="8" t="s">
        <v>55</v>
      </c>
      <c r="H11" s="2" t="s">
        <v>60</v>
      </c>
      <c r="I11" s="2" t="s">
        <v>16</v>
      </c>
      <c r="J11" s="2" t="s">
        <v>61</v>
      </c>
    </row>
    <row r="12" spans="1:10" x14ac:dyDescent="0.2">
      <c r="A12" s="2">
        <v>11</v>
      </c>
      <c r="B12" s="2" t="s">
        <v>10</v>
      </c>
      <c r="C12" s="2" t="s">
        <v>62</v>
      </c>
      <c r="D12" s="3" t="str">
        <f>HYPERLINK("file:///Users/bhavya242574/Library/CloudStorage/OneDrive-EXLService.com%28I%29Pvt.Ltd/Desktop/TAM/excel_data/20200803%20PC-Strategy-Solution%20Development%20and%20GoToMarket%20PlanVer1.5.xlsx#'Capability Gap Assessment -Ver2'!A1","Open")</f>
        <v>Open</v>
      </c>
      <c r="E12" s="2" t="s">
        <v>63</v>
      </c>
      <c r="F12" s="2" t="s">
        <v>54</v>
      </c>
      <c r="G12" s="8" t="s">
        <v>55</v>
      </c>
      <c r="H12" s="2" t="s">
        <v>64</v>
      </c>
      <c r="I12" s="2" t="s">
        <v>16</v>
      </c>
      <c r="J12" s="2" t="s">
        <v>65</v>
      </c>
    </row>
    <row r="13" spans="1:10" x14ac:dyDescent="0.2">
      <c r="A13" s="2">
        <v>12</v>
      </c>
      <c r="B13" s="2" t="s">
        <v>10</v>
      </c>
      <c r="C13" s="2" t="s">
        <v>66</v>
      </c>
      <c r="D13" s="3" t="str">
        <f>HYPERLINK("file:///Users/bhavya242574/Library/CloudStorage/OneDrive-EXLService.com%28I%29Pvt.Ltd/Desktop/TAM/excel_data/20200803%20PC-Strategy-Solution%20Development%20and%20GoToMarket%20PlanVer1.5.xlsx#'Build-Buy-Partner Analysis'!A1","Open")</f>
        <v>Open</v>
      </c>
      <c r="E13" s="2" t="s">
        <v>67</v>
      </c>
      <c r="F13" s="2" t="s">
        <v>40</v>
      </c>
      <c r="G13" s="8" t="s">
        <v>55</v>
      </c>
      <c r="H13" s="2" t="s">
        <v>68</v>
      </c>
      <c r="I13" s="2" t="s">
        <v>16</v>
      </c>
      <c r="J13" s="2" t="s">
        <v>42</v>
      </c>
    </row>
    <row r="14" spans="1:10" x14ac:dyDescent="0.2">
      <c r="A14" s="2">
        <v>13</v>
      </c>
      <c r="B14" s="2" t="s">
        <v>10</v>
      </c>
      <c r="C14" s="2" t="s">
        <v>69</v>
      </c>
      <c r="D14" s="3" t="str">
        <f>HYPERLINK("file:///Users/bhavya242574/Library/CloudStorage/OneDrive-EXLService.com%28I%29Pvt.Ltd/Desktop/TAM/excel_data/20200803%20PC-Strategy-Solution%20Development%20and%20GoToMarket%20PlanVer1.5.xlsx#'Collated Collaterals List'!A1","Open")</f>
        <v>Open</v>
      </c>
      <c r="E14" s="2" t="s">
        <v>70</v>
      </c>
      <c r="F14" s="2" t="s">
        <v>71</v>
      </c>
      <c r="G14" s="4" t="s">
        <v>14</v>
      </c>
      <c r="H14" s="2" t="s">
        <v>72</v>
      </c>
      <c r="I14" s="2" t="s">
        <v>16</v>
      </c>
      <c r="J14" s="2"/>
    </row>
    <row r="15" spans="1:10" x14ac:dyDescent="0.2">
      <c r="A15" s="2">
        <v>14</v>
      </c>
      <c r="B15" s="2" t="s">
        <v>10</v>
      </c>
      <c r="C15" s="2" t="s">
        <v>73</v>
      </c>
      <c r="D15" s="3" t="str">
        <f>HYPERLINK("file:///Users/bhavya242574/Library/CloudStorage/OneDrive-EXLService.com%28I%29Pvt.Ltd/Desktop/TAM/excel_data/20200803%20PC-Strategy-Solution%20Development%20and%20GoToMarket%20PlanVer1.5.xlsx#'Reference Tab - Do not Delete'!A1","Open")</f>
        <v>Open</v>
      </c>
      <c r="E15" s="2" t="s">
        <v>74</v>
      </c>
      <c r="F15" s="2" t="s">
        <v>75</v>
      </c>
      <c r="G15" s="9" t="s">
        <v>76</v>
      </c>
      <c r="H15" s="2" t="s">
        <v>77</v>
      </c>
      <c r="I15" s="2" t="s">
        <v>13</v>
      </c>
      <c r="J15" s="2" t="s">
        <v>78</v>
      </c>
    </row>
    <row r="16" spans="1:10" x14ac:dyDescent="0.2">
      <c r="A16" s="2">
        <v>15</v>
      </c>
      <c r="B16" s="2" t="s">
        <v>10</v>
      </c>
      <c r="C16" s="2" t="s">
        <v>79</v>
      </c>
      <c r="D16" s="3" t="str">
        <f>HYPERLINK("file:///Users/bhavya242574/Library/CloudStorage/OneDrive-EXLService.com%28I%29Pvt.Ltd/Desktop/TAM/excel_data/20200803%20PC-Strategy-Solution%20Development%20and%20GoToMarket%20PlanVer1.5.xlsx#'Consolidated Solutions'!A1","Open")</f>
        <v>Open</v>
      </c>
      <c r="E16" s="2" t="s">
        <v>80</v>
      </c>
      <c r="F16" s="2" t="s">
        <v>54</v>
      </c>
      <c r="G16" s="8" t="s">
        <v>55</v>
      </c>
      <c r="H16" s="2" t="s">
        <v>81</v>
      </c>
      <c r="I16" s="2" t="s">
        <v>16</v>
      </c>
      <c r="J16" s="2" t="s">
        <v>82</v>
      </c>
    </row>
    <row r="17" spans="1:10" x14ac:dyDescent="0.2">
      <c r="A17" s="2">
        <v>16</v>
      </c>
      <c r="B17" s="2" t="s">
        <v>10</v>
      </c>
      <c r="C17" s="2" t="s">
        <v>83</v>
      </c>
      <c r="D17" s="3" t="str">
        <f>HYPERLINK("file:///Users/bhavya242574/Library/CloudStorage/OneDrive-EXLService.com%28I%29Pvt.Ltd/Desktop/TAM/excel_data/20200803%20PC-Strategy-Solution%20Development%20and%20GoToMarket%20PlanVer1.5.xlsx#'White Spaces - Experience'!A1","Open")</f>
        <v>Open</v>
      </c>
      <c r="E17" s="2" t="s">
        <v>84</v>
      </c>
      <c r="F17" s="2" t="s">
        <v>85</v>
      </c>
      <c r="G17" s="8" t="s">
        <v>55</v>
      </c>
      <c r="H17" s="2" t="s">
        <v>86</v>
      </c>
      <c r="I17" s="2" t="s">
        <v>16</v>
      </c>
      <c r="J17" s="2" t="s">
        <v>87</v>
      </c>
    </row>
    <row r="18" spans="1:10" x14ac:dyDescent="0.2">
      <c r="A18" s="2">
        <v>17</v>
      </c>
      <c r="B18" s="2" t="s">
        <v>10</v>
      </c>
      <c r="C18" s="2" t="s">
        <v>88</v>
      </c>
      <c r="D18" s="3" t="str">
        <f>HYPERLINK("file:///Users/bhavya242574/Library/CloudStorage/OneDrive-EXLService.com%28I%29Pvt.Ltd/Desktop/TAM/excel_data/20200803%20PC-Strategy-Solution%20Development%20and%20GoToMarket%20PlanVer1.5.xlsx#'Insuretch Anlaysis - Roopak'!A1","Open")</f>
        <v>Open</v>
      </c>
      <c r="E18" s="2" t="s">
        <v>89</v>
      </c>
      <c r="F18" s="2" t="s">
        <v>90</v>
      </c>
      <c r="G18" s="7" t="s">
        <v>50</v>
      </c>
      <c r="H18" s="2" t="s">
        <v>91</v>
      </c>
      <c r="I18" s="2" t="s">
        <v>16</v>
      </c>
      <c r="J18" s="2"/>
    </row>
    <row r="19" spans="1:10" x14ac:dyDescent="0.2">
      <c r="A19" s="2">
        <v>18</v>
      </c>
      <c r="B19" s="2" t="s">
        <v>10</v>
      </c>
      <c r="C19" s="2" t="s">
        <v>92</v>
      </c>
      <c r="D19" s="3" t="str">
        <f>HYPERLINK("file:///Users/bhavya242574/Library/CloudStorage/OneDrive-EXLService.com%28I%29Pvt.Ltd/Desktop/TAM/excel_data/20200803%20PC-Strategy-Solution%20Development%20and%20GoToMarket%20PlanVer1.5.xlsx#'InsureTech Landscape'!A1","Open")</f>
        <v>Open</v>
      </c>
      <c r="E19" s="2" t="s">
        <v>93</v>
      </c>
      <c r="F19" s="2" t="s">
        <v>94</v>
      </c>
      <c r="G19" s="7" t="s">
        <v>50</v>
      </c>
      <c r="H19" s="2" t="s">
        <v>95</v>
      </c>
      <c r="I19" s="2" t="s">
        <v>26</v>
      </c>
      <c r="J19" s="2"/>
    </row>
    <row r="20" spans="1:10" x14ac:dyDescent="0.2">
      <c r="A20" s="2">
        <v>19</v>
      </c>
      <c r="B20" s="2" t="s">
        <v>10</v>
      </c>
      <c r="C20" s="2" t="s">
        <v>96</v>
      </c>
      <c r="D20" s="3" t="str">
        <f>HYPERLINK("file:///Users/bhavya242574/Library/CloudStorage/OneDrive-EXLService.com%28I%29Pvt.Ltd/Desktop/TAM/excel_data/20200803%20PC-Strategy-Solution%20Development%20and%20GoToMarket%20PlanVer1.5.xlsx#'Partnership Landscape'!A1","Open")</f>
        <v>Open</v>
      </c>
      <c r="E20" s="2" t="s">
        <v>97</v>
      </c>
      <c r="F20" s="2" t="s">
        <v>49</v>
      </c>
      <c r="G20" s="7" t="s">
        <v>50</v>
      </c>
      <c r="H20" s="2" t="s">
        <v>98</v>
      </c>
      <c r="I20" s="2" t="s">
        <v>16</v>
      </c>
      <c r="J20" s="2"/>
    </row>
    <row r="21" spans="1:10" x14ac:dyDescent="0.2">
      <c r="A21" s="2">
        <v>20</v>
      </c>
      <c r="B21" s="2" t="s">
        <v>10</v>
      </c>
      <c r="C21" s="2" t="s">
        <v>99</v>
      </c>
      <c r="D21" s="3" t="str">
        <f>HYPERLINK("file:///Users/bhavya242574/Library/CloudStorage/OneDrive-EXLService.com%28I%29Pvt.Ltd/Desktop/TAM/excel_data/20200803%20PC-Strategy-Solution%20Development%20and%20GoToMarket%20PlanVer1.5.xlsx#'P&amp;C Solutions List'!A1","Open")</f>
        <v>Open</v>
      </c>
      <c r="E21" s="2" t="s">
        <v>100</v>
      </c>
      <c r="F21" s="2" t="s">
        <v>54</v>
      </c>
      <c r="G21" s="8" t="s">
        <v>55</v>
      </c>
      <c r="H21" s="2" t="s">
        <v>81</v>
      </c>
      <c r="I21" s="2" t="s">
        <v>16</v>
      </c>
      <c r="J21" s="2" t="s">
        <v>101</v>
      </c>
    </row>
    <row r="22" spans="1:10" ht="28" x14ac:dyDescent="0.2">
      <c r="A22" s="2">
        <v>21</v>
      </c>
      <c r="B22" s="2" t="s">
        <v>10</v>
      </c>
      <c r="C22" s="2" t="s">
        <v>102</v>
      </c>
      <c r="D22" s="3" t="str">
        <f>HYPERLINK("file:///Users/bhavya242574/Library/CloudStorage/OneDrive-EXLService.com%28I%29Pvt.Ltd/Desktop/TAM/excel_data/20200803%20PC-Strategy-Solution%20Development%20and%20GoToMarket%20PlanVer1.5.xlsx#'Client Prioritization Framework'!A1","Open")</f>
        <v>Open</v>
      </c>
      <c r="E22" s="2" t="s">
        <v>103</v>
      </c>
      <c r="F22" s="2" t="s">
        <v>104</v>
      </c>
      <c r="G22" s="4" t="s">
        <v>14</v>
      </c>
      <c r="H22" s="2" t="s">
        <v>105</v>
      </c>
      <c r="I22" s="2" t="s">
        <v>16</v>
      </c>
      <c r="J22" s="2"/>
    </row>
    <row r="23" spans="1:10" x14ac:dyDescent="0.2">
      <c r="A23" s="2">
        <v>22</v>
      </c>
      <c r="B23" s="2" t="s">
        <v>10</v>
      </c>
      <c r="C23" s="2" t="s">
        <v>106</v>
      </c>
      <c r="D23" s="3" t="str">
        <f>HYPERLINK("file:///Users/bhavya242574/Library/CloudStorage/OneDrive-EXLService.com%28I%29Pvt.Ltd/Desktop/TAM/excel_data/20200803%20PC-Strategy-Solution%20Development%20and%20GoToMarket%20PlanVer1.5.xlsx#'Solution Evaluation Criteria'!A1","Open")</f>
        <v>Open</v>
      </c>
      <c r="E23" s="2" t="s">
        <v>107</v>
      </c>
      <c r="F23" s="2" t="s">
        <v>13</v>
      </c>
      <c r="G23" s="9" t="s">
        <v>76</v>
      </c>
      <c r="H23" s="2" t="s">
        <v>108</v>
      </c>
      <c r="I23" s="2" t="s">
        <v>13</v>
      </c>
      <c r="J23" s="2" t="s">
        <v>109</v>
      </c>
    </row>
    <row r="24" spans="1:10" x14ac:dyDescent="0.2">
      <c r="A24" s="2">
        <v>23</v>
      </c>
      <c r="B24" s="2" t="s">
        <v>10</v>
      </c>
      <c r="C24" s="2" t="s">
        <v>110</v>
      </c>
      <c r="D24" s="3" t="str">
        <f>HYPERLINK("file:///Users/bhavya242574/Library/CloudStorage/OneDrive-EXLService.com%28I%29Pvt.Ltd/Desktop/TAM/excel_data/20200803%20PC-Strategy-Solution%20Development%20and%20GoToMarket%20PlanVer1.5.xlsx#'Sheet3'!A1","Open")</f>
        <v>Open</v>
      </c>
      <c r="E24" s="2" t="s">
        <v>111</v>
      </c>
      <c r="F24" s="2" t="s">
        <v>45</v>
      </c>
      <c r="G24" s="5" t="s">
        <v>24</v>
      </c>
      <c r="H24" s="2" t="s">
        <v>112</v>
      </c>
      <c r="I24" s="2" t="s">
        <v>16</v>
      </c>
      <c r="J24" s="2" t="s">
        <v>113</v>
      </c>
    </row>
    <row r="25" spans="1:10" ht="28" x14ac:dyDescent="0.2">
      <c r="A25" s="2">
        <v>24</v>
      </c>
      <c r="B25" s="2" t="s">
        <v>114</v>
      </c>
      <c r="C25" s="2" t="s">
        <v>115</v>
      </c>
      <c r="D25" s="3" t="str">
        <f>HYPERLINK("file:///Users/bhavya242574/Library/CloudStorage/OneDrive-EXLService.com%28I%29Pvt.Ltd/Desktop/TAM/excel_data/Captive%20Operations%20Details%20Jun%202021%20v3%20-%20Copy.xlsx#'Captives in India'!A1","Open")</f>
        <v>Open</v>
      </c>
      <c r="E25" s="2" t="s">
        <v>116</v>
      </c>
      <c r="F25" s="2" t="s">
        <v>117</v>
      </c>
      <c r="G25" s="10" t="s">
        <v>118</v>
      </c>
      <c r="H25" s="2" t="s">
        <v>119</v>
      </c>
      <c r="I25" s="2" t="s">
        <v>120</v>
      </c>
      <c r="J25" s="2" t="s">
        <v>121</v>
      </c>
    </row>
    <row r="26" spans="1:10" x14ac:dyDescent="0.2">
      <c r="A26" s="2">
        <v>25</v>
      </c>
      <c r="B26" s="2" t="s">
        <v>114</v>
      </c>
      <c r="C26" s="2" t="s">
        <v>122</v>
      </c>
      <c r="D26" s="3" t="str">
        <f>HYPERLINK("file:///Users/bhavya242574/Library/CloudStorage/OneDrive-EXLService.com%28I%29Pvt.Ltd/Desktop/TAM/excel_data/Captive%20Operations%20Details%20Jun%202021%20v3%20-%20Copy.xlsx#'Captives in the Philippines'!A1","Open")</f>
        <v>Open</v>
      </c>
      <c r="E26" s="2" t="s">
        <v>116</v>
      </c>
      <c r="F26" s="2" t="s">
        <v>117</v>
      </c>
      <c r="G26" s="10" t="s">
        <v>118</v>
      </c>
      <c r="H26" s="2" t="s">
        <v>123</v>
      </c>
      <c r="I26" s="2" t="s">
        <v>120</v>
      </c>
      <c r="J26" s="2" t="s">
        <v>124</v>
      </c>
    </row>
    <row r="27" spans="1:10" ht="28" x14ac:dyDescent="0.2">
      <c r="A27" s="2">
        <v>26</v>
      </c>
      <c r="B27" s="2" t="s">
        <v>125</v>
      </c>
      <c r="C27" s="2" t="s">
        <v>126</v>
      </c>
      <c r="D27" s="3" t="str">
        <f>HYPERLINK("file:///Users/bhavya242574/Library/CloudStorage/OneDrive-EXLService.com%28I%29Pvt.Ltd/Desktop/TAM/excel_data/Competitor%20Analysis%20PL%20and%20CL.xlsx#'Personal Lines'!A1","Open")</f>
        <v>Open</v>
      </c>
      <c r="E27" s="2" t="s">
        <v>127</v>
      </c>
      <c r="F27" s="2" t="s">
        <v>128</v>
      </c>
      <c r="G27" s="6" t="s">
        <v>34</v>
      </c>
      <c r="H27" s="2" t="s">
        <v>129</v>
      </c>
      <c r="I27" s="2" t="s">
        <v>130</v>
      </c>
      <c r="J27" s="2" t="s">
        <v>131</v>
      </c>
    </row>
    <row r="28" spans="1:10" x14ac:dyDescent="0.2">
      <c r="A28" s="2">
        <v>27</v>
      </c>
      <c r="B28" s="2" t="s">
        <v>125</v>
      </c>
      <c r="C28" s="2" t="s">
        <v>132</v>
      </c>
      <c r="D28" s="3" t="str">
        <f>HYPERLINK("file:///Users/bhavya242574/Library/CloudStorage/OneDrive-EXLService.com%28I%29Pvt.Ltd/Desktop/TAM/excel_data/Competitor%20Analysis%20PL%20and%20CL.xlsx#'Commercial'!A1","Open")</f>
        <v>Open</v>
      </c>
      <c r="E28" s="2" t="s">
        <v>127</v>
      </c>
      <c r="F28" s="2" t="s">
        <v>128</v>
      </c>
      <c r="G28" s="6" t="s">
        <v>34</v>
      </c>
      <c r="H28" s="2" t="s">
        <v>133</v>
      </c>
      <c r="I28" s="2" t="s">
        <v>130</v>
      </c>
      <c r="J28" s="2" t="s">
        <v>134</v>
      </c>
    </row>
    <row r="29" spans="1:10" x14ac:dyDescent="0.2">
      <c r="A29" s="2">
        <v>28</v>
      </c>
      <c r="B29" s="2" t="s">
        <v>135</v>
      </c>
      <c r="C29" s="2" t="s">
        <v>136</v>
      </c>
      <c r="D29" s="3" t="str">
        <f>HYPERLINK("file:///Users/bhavya242574/Library/CloudStorage/OneDrive-EXLService.com%28I%29Pvt.Ltd/Desktop/TAM/excel_data/EXL%20Insurance%20Competitors.xlsx#'P&amp;C Clientwise'!A1","Open")</f>
        <v>Open</v>
      </c>
      <c r="E29" s="2" t="s">
        <v>137</v>
      </c>
      <c r="F29" s="2" t="s">
        <v>138</v>
      </c>
      <c r="G29" s="6" t="s">
        <v>34</v>
      </c>
      <c r="H29" s="2" t="s">
        <v>139</v>
      </c>
      <c r="I29" s="2" t="s">
        <v>140</v>
      </c>
      <c r="J29" s="2" t="s">
        <v>141</v>
      </c>
    </row>
    <row r="30" spans="1:10" x14ac:dyDescent="0.2">
      <c r="A30" s="2">
        <v>29</v>
      </c>
      <c r="B30" s="2" t="s">
        <v>135</v>
      </c>
      <c r="C30" s="2" t="s">
        <v>142</v>
      </c>
      <c r="D30" s="3" t="str">
        <f>HYPERLINK("file:///Users/bhavya242574/Library/CloudStorage/OneDrive-EXLService.com%28I%29Pvt.Ltd/Desktop/TAM/excel_data/EXL%20Insurance%20Competitors.xlsx#'L&amp;A Clientwise'!A1","Open")</f>
        <v>Open</v>
      </c>
      <c r="E30" s="2" t="s">
        <v>143</v>
      </c>
      <c r="F30" s="2" t="s">
        <v>138</v>
      </c>
      <c r="G30" s="6" t="s">
        <v>34</v>
      </c>
      <c r="H30" s="2" t="s">
        <v>144</v>
      </c>
      <c r="I30" s="2" t="s">
        <v>140</v>
      </c>
      <c r="J30" s="2" t="s">
        <v>141</v>
      </c>
    </row>
    <row r="31" spans="1:10" x14ac:dyDescent="0.2">
      <c r="A31" s="2">
        <v>30</v>
      </c>
      <c r="B31" s="2" t="s">
        <v>135</v>
      </c>
      <c r="C31" s="2" t="s">
        <v>145</v>
      </c>
      <c r="D31" s="3" t="str">
        <f>HYPERLINK("file:///Users/bhavya242574/Library/CloudStorage/OneDrive-EXLService.com%28I%29Pvt.Ltd/Desktop/TAM/excel_data/EXL%20Insurance%20Competitors.xlsx#'Competitor wise'!A1","Open")</f>
        <v>Open</v>
      </c>
      <c r="E31" s="2" t="s">
        <v>146</v>
      </c>
      <c r="F31" s="2" t="s">
        <v>147</v>
      </c>
      <c r="G31" s="6" t="s">
        <v>34</v>
      </c>
      <c r="H31" s="2" t="s">
        <v>148</v>
      </c>
      <c r="I31" s="2" t="s">
        <v>140</v>
      </c>
      <c r="J31" s="2"/>
    </row>
    <row r="32" spans="1:10" ht="28" x14ac:dyDescent="0.2">
      <c r="A32" s="2">
        <v>31</v>
      </c>
      <c r="B32" s="2" t="s">
        <v>149</v>
      </c>
      <c r="C32" s="2" t="s">
        <v>31</v>
      </c>
      <c r="D32" s="3" t="str">
        <f>HYPERLINK("file:///Users/bhavya242574/Library/CloudStorage/OneDrive-EXLService.com%28I%29Pvt.Ltd/Desktop/TAM/excel_data/P%26C%20Competitor%20Analysis.xlsx#'Competitor Analysis'!A1","Open")</f>
        <v>Open</v>
      </c>
      <c r="E32" s="2" t="s">
        <v>150</v>
      </c>
      <c r="F32" s="2" t="s">
        <v>33</v>
      </c>
      <c r="G32" s="6" t="s">
        <v>34</v>
      </c>
      <c r="H32" s="2" t="s">
        <v>151</v>
      </c>
      <c r="I32" s="2" t="s">
        <v>36</v>
      </c>
      <c r="J32" s="2" t="s">
        <v>152</v>
      </c>
    </row>
  </sheetData>
  <autoFilter ref="A1:J32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8" customWidth="1"/>
    <col min="2" max="2" width="65" customWidth="1"/>
    <col min="3" max="3" width="95" customWidth="1"/>
    <col min="4" max="4" width="11" customWidth="1"/>
    <col min="5" max="5" width="22" customWidth="1"/>
  </cols>
  <sheetData>
    <row r="1" spans="1:5" x14ac:dyDescent="0.2">
      <c r="A1" s="1" t="s">
        <v>153</v>
      </c>
      <c r="B1" s="1" t="s">
        <v>154</v>
      </c>
      <c r="C1" s="1" t="s">
        <v>155</v>
      </c>
      <c r="D1" s="1" t="s">
        <v>156</v>
      </c>
      <c r="E1" s="1" t="s">
        <v>157</v>
      </c>
    </row>
    <row r="2" spans="1:5" ht="28" x14ac:dyDescent="0.2">
      <c r="A2" s="2" t="s">
        <v>10</v>
      </c>
      <c r="B2" s="2" t="s">
        <v>158</v>
      </c>
      <c r="C2" s="2" t="s">
        <v>159</v>
      </c>
      <c r="D2" s="3" t="str">
        <f>HYPERLINK("file:///Users/bhavya242574/Library/CloudStorage/OneDrive-EXLService.com%28I%29Pvt.Ltd/Desktop/TAM/excel_data/20200803%20PC-Strategy-Solution%20Development%20and%20GoToMarket%20PlanVer1.5.xlsx","Open")</f>
        <v>Open</v>
      </c>
      <c r="E2" s="2" t="s">
        <v>160</v>
      </c>
    </row>
    <row r="3" spans="1:5" ht="28" x14ac:dyDescent="0.2">
      <c r="A3" s="2" t="s">
        <v>114</v>
      </c>
      <c r="B3" s="2" t="s">
        <v>161</v>
      </c>
      <c r="C3" s="2" t="s">
        <v>162</v>
      </c>
      <c r="D3" s="3" t="str">
        <f>HYPERLINK("file:///Users/bhavya242574/Library/CloudStorage/OneDrive-EXLService.com%28I%29Pvt.Ltd/Desktop/TAM/excel_data/Captive%20Operations%20Details%20Jun%202021%20v3%20-%20Copy.xlsx","Open")</f>
        <v>Open</v>
      </c>
      <c r="E3" s="2" t="s">
        <v>163</v>
      </c>
    </row>
    <row r="4" spans="1:5" ht="28" x14ac:dyDescent="0.2">
      <c r="A4" s="2" t="s">
        <v>125</v>
      </c>
      <c r="B4" s="2" t="s">
        <v>164</v>
      </c>
      <c r="C4" s="2" t="s">
        <v>165</v>
      </c>
      <c r="D4" s="3" t="str">
        <f>HYPERLINK("file:///Users/bhavya242574/Library/CloudStorage/OneDrive-EXLService.com%28I%29Pvt.Ltd/Desktop/TAM/excel_data/Competitor%20Analysis%20PL%20and%20CL.xlsx","Open")</f>
        <v>Open</v>
      </c>
      <c r="E4" s="2" t="s">
        <v>166</v>
      </c>
    </row>
    <row r="5" spans="1:5" ht="28" x14ac:dyDescent="0.2">
      <c r="A5" s="2" t="s">
        <v>135</v>
      </c>
      <c r="B5" s="2" t="s">
        <v>167</v>
      </c>
      <c r="C5" s="2" t="s">
        <v>168</v>
      </c>
      <c r="D5" s="3" t="str">
        <f>HYPERLINK("file:///Users/bhavya242574/Library/CloudStorage/OneDrive-EXLService.com%28I%29Pvt.Ltd/Desktop/TAM/excel_data/EXL%20Insurance%20Competitors.xlsx","Open")</f>
        <v>Open</v>
      </c>
      <c r="E5" s="2" t="s">
        <v>169</v>
      </c>
    </row>
    <row r="6" spans="1:5" ht="28" x14ac:dyDescent="0.2">
      <c r="A6" s="2" t="s">
        <v>149</v>
      </c>
      <c r="B6" s="2" t="s">
        <v>170</v>
      </c>
      <c r="C6" s="2" t="s">
        <v>171</v>
      </c>
      <c r="D6" s="3" t="str">
        <f>HYPERLINK("file:///Users/bhavya242574/Library/CloudStorage/OneDrive-EXLService.com%28I%29Pvt.Ltd/Desktop/TAM/excel_data/P%26C%20Competitor%20Analysis.xlsx","Open")</f>
        <v>Open</v>
      </c>
      <c r="E6" s="2" t="s">
        <v>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6" customWidth="1"/>
    <col min="2" max="2" width="85" customWidth="1"/>
  </cols>
  <sheetData>
    <row r="1" spans="1:2" x14ac:dyDescent="0.2">
      <c r="A1" s="1" t="s">
        <v>6</v>
      </c>
      <c r="B1" s="1" t="s">
        <v>173</v>
      </c>
    </row>
    <row r="2" spans="1:2" x14ac:dyDescent="0.2">
      <c r="A2" s="4" t="s">
        <v>14</v>
      </c>
      <c r="B2" s="2" t="s">
        <v>174</v>
      </c>
    </row>
    <row r="3" spans="1:2" x14ac:dyDescent="0.2">
      <c r="A3" s="5" t="s">
        <v>24</v>
      </c>
      <c r="B3" s="2" t="s">
        <v>175</v>
      </c>
    </row>
    <row r="4" spans="1:2" x14ac:dyDescent="0.2">
      <c r="A4" s="6" t="s">
        <v>34</v>
      </c>
      <c r="B4" s="2" t="s">
        <v>176</v>
      </c>
    </row>
    <row r="5" spans="1:2" x14ac:dyDescent="0.2">
      <c r="A5" s="8" t="s">
        <v>55</v>
      </c>
      <c r="B5" s="2" t="s">
        <v>177</v>
      </c>
    </row>
    <row r="6" spans="1:2" x14ac:dyDescent="0.2">
      <c r="A6" s="7" t="s">
        <v>50</v>
      </c>
      <c r="B6" s="2" t="s">
        <v>178</v>
      </c>
    </row>
    <row r="7" spans="1:2" x14ac:dyDescent="0.2">
      <c r="A7" s="10" t="s">
        <v>118</v>
      </c>
      <c r="B7" s="2" t="s">
        <v>179</v>
      </c>
    </row>
    <row r="8" spans="1:2" x14ac:dyDescent="0.2">
      <c r="A8" s="9" t="s">
        <v>76</v>
      </c>
      <c r="B8" s="2" t="s">
        <v>180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8" customWidth="1"/>
    <col min="2" max="2" width="50" customWidth="1"/>
    <col min="3" max="3" width="70" customWidth="1"/>
  </cols>
  <sheetData>
    <row r="1" spans="1:3" x14ac:dyDescent="0.2">
      <c r="A1" s="1" t="s">
        <v>181</v>
      </c>
      <c r="B1" s="1" t="s">
        <v>182</v>
      </c>
      <c r="C1" s="1" t="s">
        <v>183</v>
      </c>
    </row>
    <row r="2" spans="1:3" x14ac:dyDescent="0.2">
      <c r="A2" s="2" t="s">
        <v>184</v>
      </c>
      <c r="B2" s="2" t="s">
        <v>185</v>
      </c>
      <c r="C2" s="2" t="s">
        <v>186</v>
      </c>
    </row>
    <row r="3" spans="1:3" x14ac:dyDescent="0.2">
      <c r="A3" s="2" t="s">
        <v>187</v>
      </c>
      <c r="B3" s="2" t="s">
        <v>188</v>
      </c>
      <c r="C3" s="2" t="s">
        <v>189</v>
      </c>
    </row>
    <row r="4" spans="1:3" ht="28" x14ac:dyDescent="0.2">
      <c r="A4" s="2" t="s">
        <v>190</v>
      </c>
      <c r="B4" s="2" t="s">
        <v>191</v>
      </c>
      <c r="C4" s="2" t="s">
        <v>192</v>
      </c>
    </row>
    <row r="5" spans="1:3" x14ac:dyDescent="0.2">
      <c r="A5" s="2" t="s">
        <v>193</v>
      </c>
      <c r="B5" s="2" t="s">
        <v>194</v>
      </c>
      <c r="C5" s="2" t="s">
        <v>195</v>
      </c>
    </row>
    <row r="6" spans="1:3" x14ac:dyDescent="0.2">
      <c r="A6" s="2" t="s">
        <v>196</v>
      </c>
      <c r="B6" s="2" t="s">
        <v>197</v>
      </c>
      <c r="C6" s="2" t="s">
        <v>198</v>
      </c>
    </row>
    <row r="7" spans="1:3" x14ac:dyDescent="0.2">
      <c r="A7" s="2" t="s">
        <v>199</v>
      </c>
      <c r="B7" s="2" t="s">
        <v>200</v>
      </c>
      <c r="C7" s="2" t="s">
        <v>201</v>
      </c>
    </row>
    <row r="8" spans="1:3" x14ac:dyDescent="0.2">
      <c r="A8" s="2" t="s">
        <v>141</v>
      </c>
      <c r="B8" s="2" t="s">
        <v>202</v>
      </c>
      <c r="C8" s="2" t="s">
        <v>203</v>
      </c>
    </row>
    <row r="9" spans="1:3" x14ac:dyDescent="0.2">
      <c r="A9" s="2" t="s">
        <v>204</v>
      </c>
      <c r="B9" s="2" t="s">
        <v>205</v>
      </c>
      <c r="C9" s="2" t="s">
        <v>206</v>
      </c>
    </row>
    <row r="10" spans="1:3" x14ac:dyDescent="0.2">
      <c r="A10" s="2" t="s">
        <v>207</v>
      </c>
      <c r="B10" s="2" t="s">
        <v>208</v>
      </c>
      <c r="C10" s="2" t="s">
        <v>209</v>
      </c>
    </row>
    <row r="11" spans="1:3" x14ac:dyDescent="0.2">
      <c r="A11" s="2" t="s">
        <v>210</v>
      </c>
      <c r="B11" s="2" t="s">
        <v>211</v>
      </c>
      <c r="C11" s="2" t="s">
        <v>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Inventory</vt:lpstr>
      <vt:lpstr>Files</vt:lpstr>
      <vt:lpstr>Legend</vt:lpstr>
      <vt:lpstr>Duplicates &amp; Oddities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Bhavya Jain</cp:lastModifiedBy>
  <dcterms:created xsi:type="dcterms:W3CDTF">2026-05-20T16:42:40Z</dcterms:created>
  <dcterms:modified xsi:type="dcterms:W3CDTF">2026-05-27T05:32:09Z</dcterms:modified>
</cp:coreProperties>
</file>
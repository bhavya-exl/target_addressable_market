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exlservicenam.sharepoint.com/sites/InsuranceBusinessSupportTeam-TeamSK/Shared Documents/IMU Insurance Business Enablement Team (iBET)/Addressable Market Tracker/"/>
    </mc:Choice>
  </mc:AlternateContent>
  <xr:revisionPtr revIDLastSave="16" documentId="8_{C7228BB9-5DB6-4E2C-9FA1-BC41AA5AF549}" xr6:coauthVersionLast="47" xr6:coauthVersionMax="47" xr10:uidLastSave="{E8D7A9B8-8AA9-4706-80ED-7A0313EC310C}"/>
  <bookViews>
    <workbookView xWindow="-110" yWindow="-110" windowWidth="19420" windowHeight="10300" xr2:uid="{0B99A78C-76CE-45B8-ABF2-7FAE703163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28" i="1"/>
  <c r="E27" i="1"/>
  <c r="E26" i="1"/>
  <c r="E25" i="1"/>
  <c r="E23" i="1"/>
  <c r="E22" i="1"/>
  <c r="E21" i="1"/>
  <c r="E19" i="1"/>
  <c r="E18" i="1"/>
  <c r="E17" i="1"/>
  <c r="E16" i="1"/>
  <c r="E12" i="1"/>
  <c r="E13" i="1"/>
  <c r="E11" i="1" l="1"/>
  <c r="E10" i="1"/>
  <c r="B3" i="1"/>
  <c r="B4" i="1" s="1"/>
</calcChain>
</file>

<file path=xl/sharedStrings.xml><?xml version="1.0" encoding="utf-8"?>
<sst xmlns="http://schemas.openxmlformats.org/spreadsheetml/2006/main" count="99" uniqueCount="70">
  <si>
    <t>Project Name</t>
  </si>
  <si>
    <t>Dynamic View Playbook</t>
  </si>
  <si>
    <t>Project Start</t>
  </si>
  <si>
    <t>Current Date</t>
  </si>
  <si>
    <t>Weeks in Progress</t>
  </si>
  <si>
    <t>In Progress</t>
  </si>
  <si>
    <t>Completed</t>
  </si>
  <si>
    <t>Planned</t>
  </si>
  <si>
    <t>Feb</t>
  </si>
  <si>
    <t>March</t>
  </si>
  <si>
    <t>April</t>
  </si>
  <si>
    <t>May</t>
  </si>
  <si>
    <t>June</t>
  </si>
  <si>
    <t>Activity</t>
  </si>
  <si>
    <t>Assigned To</t>
  </si>
  <si>
    <t>Start</t>
  </si>
  <si>
    <t>End</t>
  </si>
  <si>
    <t>Days</t>
  </si>
  <si>
    <t>Status</t>
  </si>
  <si>
    <t>% Completed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</si>
  <si>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</si>
  <si>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</si>
  <si>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</si>
  <si>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</si>
  <si>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</si>
  <si>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</si>
  <si>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</si>
  <si>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</si>
  <si>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</si>
  <si>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</si>
  <si>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</si>
  <si>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</si>
  <si>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</si>
  <si>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</si>
  <si>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</si>
  <si>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</si>
  <si>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</si>
  <si>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</si>
  <si>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</si>
  <si>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</si>
  <si>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</si>
  <si>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</si>
  <si>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</si>
  <si>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</si>
  <si>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</si>
  <si>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</si>
  <si>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Phase 1- Identify</t>
  </si>
  <si>
    <t>Model - Scoping</t>
  </si>
  <si>
    <t>Bhavya J</t>
  </si>
  <si>
    <t>EXL &amp; Competitors</t>
  </si>
  <si>
    <t>Neha T</t>
  </si>
  <si>
    <t>Client Info Sources</t>
  </si>
  <si>
    <t>In-Progress</t>
  </si>
  <si>
    <t>Partners</t>
  </si>
  <si>
    <t>Phase 2: Planning</t>
  </si>
  <si>
    <t>Scheduling</t>
  </si>
  <si>
    <t>Budgeting</t>
  </si>
  <si>
    <t>Sushant K</t>
  </si>
  <si>
    <t>Resource Plan</t>
  </si>
  <si>
    <t>Sushant K/Bhavya J</t>
  </si>
  <si>
    <t>Quality Planning</t>
  </si>
  <si>
    <t>Execution Sign-Off</t>
  </si>
  <si>
    <t>Phase 3 - Execution</t>
  </si>
  <si>
    <t>Playbook + Exec Alumni</t>
  </si>
  <si>
    <t>Competitors + Market Intel</t>
  </si>
  <si>
    <t>Phase 4 - Closure</t>
  </si>
  <si>
    <t>Documentation</t>
  </si>
  <si>
    <t>Feedbacks Incorporated</t>
  </si>
  <si>
    <t>Achievement Assessed</t>
  </si>
  <si>
    <t>Final Project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</si>
</sst>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1" fillId="3" borderId="1" xfId="0" applyFont="1" applyFill="1" applyBorder="1"/>
    <xf numFmtId="0" fontId="2" fillId="4" borderId="2" xfId="0" applyFont="1" applyFill="1" applyBorder="1"/>
    <xf numFmtId="0" fontId="0" fillId="4" borderId="2" xfId="0" applyFill="1" applyBorder="1"/>
    <xf numFmtId="14" fontId="0" fillId="4" borderId="2" xfId="0" applyNumberFormat="1" applyFill="1" applyBorder="1"/>
    <xf numFmtId="0" fontId="1" fillId="3" borderId="4" xfId="0" applyFont="1" applyFill="1" applyBorder="1"/>
    <xf numFmtId="0" fontId="2" fillId="2" borderId="3" xfId="0" applyFont="1" applyFill="1" applyBorder="1"/>
    <xf numFmtId="16" fontId="2" fillId="2" borderId="3" xfId="0" applyNumberFormat="1" applyFont="1" applyFill="1" applyBorder="1"/>
    <xf numFmtId="0" fontId="0" fillId="0" borderId="3" xfId="0" applyBorder="1"/>
    <xf numFmtId="14" fontId="0" fillId="0" borderId="3" xfId="0" applyNumberFormat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3" borderId="6" xfId="0" applyFont="1" applyFill="1" applyBorder="1"/>
    <xf numFmtId="0" fontId="2" fillId="2" borderId="5" xfId="0" applyFont="1" applyFill="1" applyBorder="1"/>
    <xf numFmtId="16" fontId="2" fillId="2" borderId="5" xfId="0" applyNumberFormat="1" applyFont="1" applyFill="1" applyBorder="1"/>
    <xf numFmtId="9" fontId="0" fillId="0" borderId="3" xfId="0" applyNumberFormat="1" applyBorder="1"/>
    <xf numFmtId="0" fontId="0" fillId="0" borderId="7" xfId="0" applyBorder="1"/>
    <xf numFmtId="0" fontId="2" fillId="2" borderId="7" xfId="0" applyFont="1" applyFill="1" applyBorder="1"/>
    <xf numFmtId="16" fontId="1" fillId="3" borderId="8" xfId="0" applyNumberFormat="1" applyFont="1" applyFill="1" applyBorder="1" applyAlignment="1">
      <alignment horizontal="center"/>
    </xf>
    <xf numFmtId="16" fontId="1" fillId="3" borderId="6" xfId="0" applyNumberFormat="1" applyFont="1" applyFill="1" applyBorder="1" applyAlignment="1">
      <alignment horizontal="center"/>
    </xf>
    <xf numFmtId="16" fontId="1" fillId="3" borderId="6" xfId="0" applyNumberFormat="1" applyFont="1" applyFill="1" applyBorder="1"/>
    <xf numFmtId="16" fontId="1" fillId="3" borderId="9" xfId="0" applyNumberFormat="1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0" fillId="0" borderId="12" xfId="0" applyBorder="1"/>
    <xf numFmtId="0" fontId="0" fillId="0" borderId="13" xfId="0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0" xfId="0" applyAlignment="1">
      <alignment horizontal="center"/>
    </xf>
    <xf numFmtId="16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5"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B694-AAE6-4076-A680-E6E08579A0AB}">
  <dimension ref="A1:AG28"/>
  <sheetViews>
    <sheetView showGridLines="0" tabSelected="1" topLeftCell="A6" zoomScaleNormal="100" workbookViewId="0">
      <pane xSplit="7" topLeftCell="H1" activePane="topRight" state="frozen"/>
      <selection pane="topRight" activeCell="M17" sqref="M17"/>
      <selection activeCell="A7" sqref="A7"/>
    </sheetView>
  </sheetViews>
  <sheetFormatPr defaultRowHeight="14.45"/>
  <cols>
    <col min="1" max="1" width="20.85546875" customWidth="1"/>
    <col min="2" max="2" width="18.28515625" customWidth="1"/>
    <col min="3" max="3" width="9.5703125" bestFit="1" customWidth="1"/>
    <col min="4" max="4" width="11.85546875" customWidth="1"/>
    <col min="5" max="5" width="7.140625" customWidth="1"/>
    <col min="6" max="6" width="8.7109375" customWidth="1"/>
    <col min="7" max="7" width="12.5703125" customWidth="1"/>
  </cols>
  <sheetData>
    <row r="1" spans="1:33" s="33" customFormat="1">
      <c r="A1" s="4" t="s">
        <v>0</v>
      </c>
      <c r="B1" s="5" t="s">
        <v>1</v>
      </c>
    </row>
    <row r="2" spans="1:33" s="33" customFormat="1">
      <c r="A2" s="4" t="s">
        <v>2</v>
      </c>
      <c r="B2" s="6">
        <v>46055</v>
      </c>
    </row>
    <row r="3" spans="1:33" s="33" customFormat="1">
      <c r="A3" s="4" t="s">
        <v>3</v>
      </c>
      <c r="B3" s="6">
        <f ca="1">TODAY()</f>
        <v>46106</v>
      </c>
    </row>
    <row r="4" spans="1:33" s="33" customFormat="1">
      <c r="A4" s="4" t="s">
        <v>4</v>
      </c>
      <c r="B4" s="5">
        <f ca="1">ROUNDUP((B3-B2)/7,0)</f>
        <v>8</v>
      </c>
    </row>
    <row r="5" spans="1:33" s="2" customFormat="1">
      <c r="A5"/>
      <c r="B5"/>
      <c r="C5" s="12" t="s">
        <v>5</v>
      </c>
      <c r="D5" s="13" t="s">
        <v>6</v>
      </c>
      <c r="E5" s="14" t="s">
        <v>7</v>
      </c>
    </row>
    <row r="6" spans="1:33">
      <c r="A6" s="3"/>
      <c r="B6" s="3"/>
      <c r="C6" s="3"/>
      <c r="D6" s="3"/>
      <c r="E6" s="3"/>
      <c r="F6" s="3"/>
      <c r="G6" s="3"/>
      <c r="H6" s="34" t="s">
        <v>8</v>
      </c>
      <c r="I6" s="34"/>
      <c r="J6" s="34"/>
      <c r="K6" s="34"/>
      <c r="L6" s="35" t="s">
        <v>9</v>
      </c>
      <c r="M6" s="35"/>
      <c r="N6" s="35"/>
      <c r="O6" s="35"/>
      <c r="P6" s="35" t="s">
        <v>10</v>
      </c>
      <c r="Q6" s="35"/>
      <c r="R6" s="35"/>
      <c r="S6" s="35"/>
      <c r="T6" s="35" t="s">
        <v>11</v>
      </c>
      <c r="U6" s="35"/>
      <c r="V6" s="35"/>
      <c r="W6" s="35"/>
      <c r="X6" s="35"/>
      <c r="Y6" s="36" t="s">
        <v>12</v>
      </c>
      <c r="Z6" s="36"/>
      <c r="AA6" s="36"/>
      <c r="AB6" s="36"/>
      <c r="AC6" s="36" t="s">
        <v>11</v>
      </c>
      <c r="AD6" s="36"/>
      <c r="AE6" s="36"/>
      <c r="AF6" s="36"/>
      <c r="AG6" s="36"/>
    </row>
    <row r="7" spans="1:33">
      <c r="A7" s="7"/>
      <c r="B7" s="7"/>
      <c r="C7" s="7"/>
      <c r="D7" s="7"/>
      <c r="E7" s="7"/>
      <c r="F7" s="7"/>
      <c r="G7" s="7"/>
      <c r="H7" s="21">
        <v>46059</v>
      </c>
      <c r="I7" s="22">
        <v>46066</v>
      </c>
      <c r="J7" s="22">
        <v>46073</v>
      </c>
      <c r="K7" s="22">
        <v>46080</v>
      </c>
      <c r="L7" s="22">
        <v>46087</v>
      </c>
      <c r="M7" s="22">
        <v>46094</v>
      </c>
      <c r="N7" s="22">
        <v>46101</v>
      </c>
      <c r="O7" s="22">
        <v>46108</v>
      </c>
      <c r="P7" s="22">
        <v>46115</v>
      </c>
      <c r="Q7" s="22">
        <v>46122</v>
      </c>
      <c r="R7" s="22">
        <v>46129</v>
      </c>
      <c r="S7" s="22">
        <v>46136</v>
      </c>
      <c r="T7" s="23">
        <v>46143</v>
      </c>
      <c r="U7" s="23">
        <v>46150</v>
      </c>
      <c r="V7" s="23">
        <v>46157</v>
      </c>
      <c r="W7" s="23">
        <v>46164</v>
      </c>
      <c r="X7" s="23">
        <v>46171</v>
      </c>
      <c r="Y7" s="23">
        <v>46178</v>
      </c>
      <c r="Z7" s="23">
        <v>46185</v>
      </c>
      <c r="AA7" s="23">
        <v>46192</v>
      </c>
      <c r="AB7" s="23">
        <v>46199</v>
      </c>
      <c r="AC7" s="23">
        <v>46206</v>
      </c>
      <c r="AD7" s="23">
        <v>46213</v>
      </c>
      <c r="AE7" s="23">
        <v>46220</v>
      </c>
      <c r="AF7" s="23">
        <v>46227</v>
      </c>
      <c r="AG7" s="24">
        <v>46234</v>
      </c>
    </row>
    <row r="8" spans="1:33">
      <c r="A8" s="15" t="s">
        <v>13</v>
      </c>
      <c r="B8" s="15" t="s">
        <v>14</v>
      </c>
      <c r="C8" s="15" t="s">
        <v>15</v>
      </c>
      <c r="D8" s="15" t="s">
        <v>16</v>
      </c>
      <c r="E8" s="15" t="s">
        <v>17</v>
      </c>
      <c r="F8" s="15" t="s">
        <v>18</v>
      </c>
      <c r="G8" s="15" t="s">
        <v>19</v>
      </c>
      <c r="H8" s="25" t="s">
        <v>20</v>
      </c>
      <c r="I8" s="15" t="s">
        <v>21</v>
      </c>
      <c r="J8" s="15" t="s">
        <v>22</v>
      </c>
      <c r="K8" s="15" t="s">
        <v>23</v>
      </c>
      <c r="L8" s="15" t="s">
        <v>24</v>
      </c>
      <c r="M8" s="15" t="s">
        <v>25</v>
      </c>
      <c r="N8" s="15" t="s">
        <v>26</v>
      </c>
      <c r="O8" s="15" t="s">
        <v>27</v>
      </c>
      <c r="P8" s="15" t="s">
        <v>28</v>
      </c>
      <c r="Q8" s="15" t="s">
        <v>29</v>
      </c>
      <c r="R8" s="15" t="s">
        <v>30</v>
      </c>
      <c r="S8" s="15" t="s">
        <v>31</v>
      </c>
      <c r="T8" s="15" t="s">
        <v>32</v>
      </c>
      <c r="U8" s="15" t="s">
        <v>33</v>
      </c>
      <c r="V8" s="15" t="s">
        <v>34</v>
      </c>
      <c r="W8" s="15" t="s">
        <v>35</v>
      </c>
      <c r="X8" s="15" t="s">
        <v>36</v>
      </c>
      <c r="Y8" s="15" t="s">
        <v>37</v>
      </c>
      <c r="Z8" s="15" t="s">
        <v>38</v>
      </c>
      <c r="AA8" s="15" t="s">
        <v>39</v>
      </c>
      <c r="AB8" s="15" t="s">
        <v>40</v>
      </c>
      <c r="AC8" s="15" t="s">
        <v>41</v>
      </c>
      <c r="AD8" s="15" t="s">
        <v>42</v>
      </c>
      <c r="AE8" s="15" t="s">
        <v>43</v>
      </c>
      <c r="AF8" s="15" t="s">
        <v>44</v>
      </c>
      <c r="AG8" s="26" t="s">
        <v>45</v>
      </c>
    </row>
    <row r="9" spans="1:33" s="1" customFormat="1">
      <c r="A9" s="16" t="s">
        <v>46</v>
      </c>
      <c r="B9" s="16"/>
      <c r="C9" s="17"/>
      <c r="D9" s="16"/>
      <c r="E9" s="16"/>
      <c r="F9" s="16"/>
      <c r="G9" s="16"/>
      <c r="H9" s="27"/>
      <c r="AG9" s="28"/>
    </row>
    <row r="10" spans="1:33">
      <c r="A10" s="10" t="s">
        <v>47</v>
      </c>
      <c r="B10" s="10" t="s">
        <v>48</v>
      </c>
      <c r="C10" s="11">
        <v>46055</v>
      </c>
      <c r="D10" s="11">
        <v>46066</v>
      </c>
      <c r="E10" s="10">
        <f>D10-C10</f>
        <v>11</v>
      </c>
      <c r="F10" s="10" t="s">
        <v>6</v>
      </c>
      <c r="G10" s="18">
        <v>1</v>
      </c>
      <c r="H10" s="29"/>
      <c r="I10" s="2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30"/>
    </row>
    <row r="11" spans="1:33">
      <c r="A11" s="10" t="s">
        <v>49</v>
      </c>
      <c r="B11" s="10" t="s">
        <v>50</v>
      </c>
      <c r="C11" s="11">
        <v>46055</v>
      </c>
      <c r="D11" s="11">
        <v>46073</v>
      </c>
      <c r="E11" s="10">
        <f t="shared" ref="E11:E28" si="0">D11-C11</f>
        <v>18</v>
      </c>
      <c r="F11" s="10" t="s">
        <v>6</v>
      </c>
      <c r="G11" s="18">
        <v>1</v>
      </c>
      <c r="H11" s="2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30"/>
    </row>
    <row r="12" spans="1:33">
      <c r="A12" s="10" t="s">
        <v>51</v>
      </c>
      <c r="B12" s="10" t="s">
        <v>48</v>
      </c>
      <c r="C12" s="11">
        <v>46055</v>
      </c>
      <c r="D12" s="11">
        <v>46080</v>
      </c>
      <c r="E12" s="10">
        <f t="shared" si="0"/>
        <v>25</v>
      </c>
      <c r="F12" s="10" t="s">
        <v>52</v>
      </c>
      <c r="G12" s="18">
        <v>1</v>
      </c>
      <c r="H12" s="2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30"/>
    </row>
    <row r="13" spans="1:33">
      <c r="A13" s="10" t="s">
        <v>53</v>
      </c>
      <c r="B13" s="10" t="s">
        <v>48</v>
      </c>
      <c r="C13" s="11">
        <v>46055</v>
      </c>
      <c r="D13" s="11">
        <v>46080</v>
      </c>
      <c r="E13" s="10">
        <f t="shared" si="0"/>
        <v>25</v>
      </c>
      <c r="F13" s="10" t="s">
        <v>52</v>
      </c>
      <c r="G13" s="18">
        <v>0.5</v>
      </c>
      <c r="H13" s="2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30"/>
    </row>
    <row r="14" spans="1:33" s="1" customFormat="1">
      <c r="A14" s="8" t="s">
        <v>54</v>
      </c>
      <c r="B14" s="8"/>
      <c r="C14" s="9"/>
      <c r="D14" s="8"/>
      <c r="E14" s="8"/>
      <c r="F14" s="8"/>
      <c r="G14" s="8"/>
      <c r="H14" s="31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32"/>
    </row>
    <row r="15" spans="1:33">
      <c r="A15" s="10" t="s">
        <v>55</v>
      </c>
      <c r="B15" s="10" t="s">
        <v>48</v>
      </c>
      <c r="C15" s="11">
        <v>46055</v>
      </c>
      <c r="D15" s="11">
        <v>46071</v>
      </c>
      <c r="E15" s="10">
        <f t="shared" si="0"/>
        <v>16</v>
      </c>
      <c r="F15" s="10" t="s">
        <v>6</v>
      </c>
      <c r="G15" s="18">
        <v>1</v>
      </c>
      <c r="H15" s="2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30"/>
    </row>
    <row r="16" spans="1:33">
      <c r="A16" s="10" t="s">
        <v>56</v>
      </c>
      <c r="B16" s="10" t="s">
        <v>57</v>
      </c>
      <c r="C16" s="11">
        <v>46055</v>
      </c>
      <c r="D16" s="11">
        <v>46071</v>
      </c>
      <c r="E16" s="10">
        <f t="shared" si="0"/>
        <v>16</v>
      </c>
      <c r="F16" s="10" t="s">
        <v>6</v>
      </c>
      <c r="G16" s="18">
        <v>1</v>
      </c>
      <c r="H16" s="2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30"/>
    </row>
    <row r="17" spans="1:33">
      <c r="A17" s="10" t="s">
        <v>58</v>
      </c>
      <c r="B17" s="10" t="s">
        <v>59</v>
      </c>
      <c r="C17" s="11">
        <v>46055</v>
      </c>
      <c r="D17" s="11">
        <v>46071</v>
      </c>
      <c r="E17" s="10">
        <f t="shared" si="0"/>
        <v>16</v>
      </c>
      <c r="F17" s="10" t="s">
        <v>6</v>
      </c>
      <c r="G17" s="18">
        <v>1</v>
      </c>
      <c r="H17" s="2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30"/>
    </row>
    <row r="18" spans="1:33">
      <c r="A18" s="10" t="s">
        <v>60</v>
      </c>
      <c r="B18" s="10" t="s">
        <v>48</v>
      </c>
      <c r="C18" s="11">
        <v>46069</v>
      </c>
      <c r="D18" s="11">
        <v>46080</v>
      </c>
      <c r="E18" s="10">
        <f t="shared" si="0"/>
        <v>11</v>
      </c>
      <c r="F18" s="10" t="s">
        <v>52</v>
      </c>
      <c r="G18" s="18">
        <v>0.6</v>
      </c>
      <c r="H18" s="2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30"/>
    </row>
    <row r="19" spans="1:33">
      <c r="A19" s="10" t="s">
        <v>61</v>
      </c>
      <c r="B19" s="10" t="s">
        <v>57</v>
      </c>
      <c r="C19" s="11">
        <v>46055</v>
      </c>
      <c r="D19" s="11">
        <v>46071</v>
      </c>
      <c r="E19" s="10">
        <f t="shared" si="0"/>
        <v>16</v>
      </c>
      <c r="F19" s="10" t="s">
        <v>6</v>
      </c>
      <c r="G19" s="18">
        <v>1</v>
      </c>
      <c r="H19" s="2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30"/>
    </row>
    <row r="20" spans="1:33" s="1" customFormat="1">
      <c r="A20" s="8" t="s">
        <v>62</v>
      </c>
      <c r="B20" s="8"/>
      <c r="C20" s="9"/>
      <c r="D20" s="8"/>
      <c r="E20" s="8"/>
      <c r="F20" s="8"/>
      <c r="G20" s="8"/>
      <c r="H20" s="31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32"/>
    </row>
    <row r="21" spans="1:33">
      <c r="A21" s="10" t="s">
        <v>63</v>
      </c>
      <c r="B21" s="10" t="s">
        <v>48</v>
      </c>
      <c r="C21" s="11">
        <v>46069</v>
      </c>
      <c r="D21" s="11">
        <v>46080</v>
      </c>
      <c r="E21" s="10">
        <f t="shared" si="0"/>
        <v>11</v>
      </c>
      <c r="F21" s="10" t="s">
        <v>52</v>
      </c>
      <c r="G21" s="18">
        <v>0.7</v>
      </c>
      <c r="H21" s="2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30"/>
    </row>
    <row r="22" spans="1:33">
      <c r="A22" s="10" t="s">
        <v>64</v>
      </c>
      <c r="B22" s="10" t="s">
        <v>48</v>
      </c>
      <c r="C22" s="11">
        <v>46083</v>
      </c>
      <c r="D22" s="11">
        <v>46097</v>
      </c>
      <c r="E22" s="10">
        <f t="shared" si="0"/>
        <v>14</v>
      </c>
      <c r="F22" s="10" t="s">
        <v>7</v>
      </c>
      <c r="G22" s="10"/>
      <c r="H22" s="2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30"/>
    </row>
    <row r="23" spans="1:33">
      <c r="A23" s="10" t="s">
        <v>53</v>
      </c>
      <c r="B23" s="10" t="s">
        <v>48</v>
      </c>
      <c r="C23" s="11">
        <v>46098</v>
      </c>
      <c r="D23" s="11">
        <v>46112</v>
      </c>
      <c r="E23" s="10">
        <f t="shared" si="0"/>
        <v>14</v>
      </c>
      <c r="F23" s="10" t="s">
        <v>7</v>
      </c>
      <c r="G23" s="10"/>
      <c r="H23" s="2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30"/>
    </row>
    <row r="24" spans="1:33" s="1" customFormat="1">
      <c r="A24" s="8" t="s">
        <v>65</v>
      </c>
      <c r="B24" s="8"/>
      <c r="C24" s="9"/>
      <c r="D24" s="8"/>
      <c r="E24" s="8"/>
      <c r="F24" s="8"/>
      <c r="G24" s="8"/>
      <c r="H24" s="31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32"/>
    </row>
    <row r="25" spans="1:33">
      <c r="A25" s="10" t="s">
        <v>66</v>
      </c>
      <c r="B25" s="10" t="s">
        <v>48</v>
      </c>
      <c r="C25" s="11">
        <v>46113</v>
      </c>
      <c r="D25" s="11">
        <v>46127</v>
      </c>
      <c r="E25" s="10">
        <f t="shared" si="0"/>
        <v>14</v>
      </c>
      <c r="F25" s="10" t="s">
        <v>7</v>
      </c>
      <c r="G25" s="10"/>
      <c r="H25" s="2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30"/>
    </row>
    <row r="26" spans="1:33">
      <c r="A26" s="10" t="s">
        <v>67</v>
      </c>
      <c r="B26" s="10" t="s">
        <v>48</v>
      </c>
      <c r="C26" s="11">
        <v>46113</v>
      </c>
      <c r="D26" s="11">
        <v>46127</v>
      </c>
      <c r="E26" s="10">
        <f t="shared" si="0"/>
        <v>14</v>
      </c>
      <c r="F26" s="10" t="s">
        <v>7</v>
      </c>
      <c r="G26" s="10"/>
      <c r="H26" s="2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30"/>
    </row>
    <row r="27" spans="1:33">
      <c r="A27" s="10" t="s">
        <v>68</v>
      </c>
      <c r="B27" s="10" t="s">
        <v>59</v>
      </c>
      <c r="C27" s="11">
        <v>46113</v>
      </c>
      <c r="D27" s="11">
        <v>46127</v>
      </c>
      <c r="E27" s="10">
        <f t="shared" si="0"/>
        <v>14</v>
      </c>
      <c r="F27" s="10" t="s">
        <v>7</v>
      </c>
      <c r="G27" s="10"/>
      <c r="H27" s="2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30"/>
    </row>
    <row r="28" spans="1:33">
      <c r="A28" s="10" t="s">
        <v>69</v>
      </c>
      <c r="B28" s="10" t="s">
        <v>48</v>
      </c>
      <c r="C28" s="11">
        <v>46113</v>
      </c>
      <c r="D28" s="11">
        <v>46127</v>
      </c>
      <c r="E28" s="10">
        <f t="shared" si="0"/>
        <v>14</v>
      </c>
      <c r="F28" s="10" t="s">
        <v>7</v>
      </c>
      <c r="G28" s="10"/>
      <c r="H28" s="2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30"/>
    </row>
  </sheetData>
  <mergeCells count="7">
    <mergeCell ref="C1:XFD4"/>
    <mergeCell ref="H6:K6"/>
    <mergeCell ref="L6:O6"/>
    <mergeCell ref="P6:S6"/>
    <mergeCell ref="T6:X6"/>
    <mergeCell ref="Y6:AB6"/>
    <mergeCell ref="AC6:AG6"/>
  </mergeCells>
  <phoneticPr fontId="3" type="noConversion"/>
  <conditionalFormatting sqref="G10:G28">
    <cfRule type="dataBar" priority="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{058AEFB5-45D7-49EE-9722-E41383B452A7}</x14:id>
        </ext>
      </extLst>
    </cfRule>
  </conditionalFormatting>
  <conditionalFormatting sqref="H25:H28">
    <cfRule type="expression" dxfId="4" priority="9">
      <formula>AND(H$7&gt;=$C25,H$7&lt;=$D25)</formula>
    </cfRule>
  </conditionalFormatting>
  <conditionalFormatting sqref="H15:I17">
    <cfRule type="expression" dxfId="3" priority="5">
      <formula>AND(H$7&gt;=$C15,H$7&lt;=$D15)</formula>
    </cfRule>
  </conditionalFormatting>
  <conditionalFormatting sqref="H10:S13">
    <cfRule type="expression" dxfId="2" priority="13">
      <formula>AND(H$7&gt;=$C10,H$7&lt;=$D10)</formula>
    </cfRule>
  </conditionalFormatting>
  <conditionalFormatting sqref="H10:AG28">
    <cfRule type="expression" dxfId="1" priority="1">
      <formula>AND(H$7&gt;=$C10,H$7&lt;=$C10+($E10*$G10)-1)</formula>
    </cfRule>
  </conditionalFormatting>
  <conditionalFormatting sqref="J15:J19">
    <cfRule type="expression" dxfId="0" priority="3">
      <formula>AND(J$7&gt;=$C15,J$7&lt;=$D15)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8AEFB5-45D7-49EE-9722-E41383B452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G10:G28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791b81-cc4d-47c1-82e2-d6a4f5feae60">
      <Terms xmlns="http://schemas.microsoft.com/office/infopath/2007/PartnerControls"/>
    </lcf76f155ced4ddcb4097134ff3c332f>
    <TaxCatchAll xmlns="6eee0c6b-b256-47b4-b696-d397247f958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5EBBCC7FC78C40B4764E7254EF5312" ma:contentTypeVersion="13" ma:contentTypeDescription="Create a new document." ma:contentTypeScope="" ma:versionID="188f581185c0e23b9a0f401059a6ac7c">
  <xsd:schema xmlns:xsd="http://www.w3.org/2001/XMLSchema" xmlns:xs="http://www.w3.org/2001/XMLSchema" xmlns:p="http://schemas.microsoft.com/office/2006/metadata/properties" xmlns:ns2="18791b81-cc4d-47c1-82e2-d6a4f5feae60" xmlns:ns3="6eee0c6b-b256-47b4-b696-d397247f9583" targetNamespace="http://schemas.microsoft.com/office/2006/metadata/properties" ma:root="true" ma:fieldsID="3024617ca008f0ed8b123b48e8837c73" ns2:_="" ns3:_="">
    <xsd:import namespace="18791b81-cc4d-47c1-82e2-d6a4f5feae60"/>
    <xsd:import namespace="6eee0c6b-b256-47b4-b696-d397247f9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91b81-cc4d-47c1-82e2-d6a4f5feae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ee0c6b-b256-47b4-b696-d397247f958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b1de860-6a48-4c61-a1bb-66be232897c7}" ma:internalName="TaxCatchAll" ma:showField="CatchAllData" ma:web="6eee0c6b-b256-47b4-b696-d397247f95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4513C1-FD60-4452-878D-3A33F4F96FCC}"/>
</file>

<file path=customXml/itemProps2.xml><?xml version="1.0" encoding="utf-8"?>
<ds:datastoreItem xmlns:ds="http://schemas.openxmlformats.org/officeDocument/2006/customXml" ds:itemID="{03B940E3-EC04-4CC1-BEAF-85676F8E7602}"/>
</file>

<file path=customXml/itemProps3.xml><?xml version="1.0" encoding="utf-8"?>
<ds:datastoreItem xmlns:ds="http://schemas.openxmlformats.org/officeDocument/2006/customXml" ds:itemID="{DC03E502-D268-4A10-8156-AC570112A4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Neha Tokas</dc:creator>
  <cp:keywords/>
  <dc:description/>
  <cp:lastModifiedBy>Neha Tokas</cp:lastModifiedBy>
  <cp:revision/>
  <dcterms:created xsi:type="dcterms:W3CDTF">2026-02-09T09:27:24Z</dcterms:created>
  <dcterms:modified xsi:type="dcterms:W3CDTF">2026-03-25T11:17:03Z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0x010100825EBBCC7FC78C40B4764E7254EF5312</vt:lpwstr>
  </property>
  <property fmtid="{D5CDD505-2E9C-101B-9397-08002B2CF9AE}" pid="3" name="MediaServiceImageTags">
    <vt:lpwstr/>
  </property>
</Properties>
</file>
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exlservicenam-my.sharepoint.com/personal/amandeep169301_exlservice_com/Documents/Documents/Pursuits/2025/Knowledge Management upgrade/Playbook/Dec/"/>
    </mc:Choice>
  </mc:AlternateContent>
  <xr:revisionPtr revIDLastSave="6289" documentId="11_F25DC773A252ABDACC1048D421DD5E2A5ADE58F1" xr6:coauthVersionLast="47" xr6:coauthVersionMax="47" xr10:uidLastSave="{59ACC47F-71A0-4020-A712-73F4E5C7AA53}"/>
  <bookViews>
    <workbookView xWindow="-120" yWindow="-120" windowWidth="20730" windowHeight="11040" tabRatio="880" firstSheet="2" activeTab="2" xr2:uid="{00000000-000D-0000-FFFF-FFFF00000000}"/>
  </bookViews>
  <sheets>
    <sheet name="1. General Instructions" sheetId="33" state="hidden" r:id="rId1"/>
    <sheet name="Sheet1" sheetId="34" state="hidden" r:id="rId2"/>
    <sheet name="2. Data Collection" sheetId="27" r:id="rId3"/>
    <sheet name="Pivot Table" sheetId="36" r:id="rId4"/>
    <sheet name="P&amp;C Transactional Data" sheetId="38" r:id="rId5"/>
    <sheet name="Claims Data" sheetId="39" r:id="rId6"/>
    <sheet name="Sheet2" sheetId="37" state="hidden" r:id="rId7"/>
    <sheet name="Dropdown List" sheetId="32" r:id="rId8"/>
  </sheets>
  <definedNames>
    <definedName name="_xlnm._FilterDatabase" localSheetId="2" hidden="1">'2. Data Collection'!$A$1:$BD$812</definedName>
    <definedName name="_xlnm._FilterDatabase" localSheetId="5" hidden="1">'Claims Data'!$B$2:$K$2</definedName>
    <definedName name="Broker_and_Agent_Management">'Dropdown List'!$K$2:$K$22</definedName>
    <definedName name="Claims">'Dropdown List'!$B$2:$B$22</definedName>
    <definedName name="Evaluation">'Dropdown List'!$H$2:$H$22</definedName>
    <definedName name="Functions">'Dropdown List'!$A$2:$A$22</definedName>
    <definedName name="Information_Gathering_and_Risk_Selection">'Dropdown List'!$L$2:$L$22</definedName>
    <definedName name="Initiation">'Dropdown List'!$F$2:$F$22</definedName>
    <definedName name="Investigation">'Dropdown List'!$G$2:$G$22</definedName>
    <definedName name="Issuance">'Dropdown List'!$O$2:$O$22</definedName>
    <definedName name="Legal_Support">'Dropdown List'!$V$2:$V$22</definedName>
    <definedName name="Legal_Support_Services">'Dropdown List'!$E$2:$E$22</definedName>
    <definedName name="Litigation_and_Resolution">'Dropdown List'!$I$2:$I$22</definedName>
    <definedName name="Office_of_General_Counsel">'Dropdown List'!$W$2:$W$22</definedName>
    <definedName name="Policy_Servicing">'Dropdown List'!$P$2:$P$22</definedName>
    <definedName name="Premium_Audit">'Dropdown List'!$Q$2:$Q$22</definedName>
    <definedName name="Pricing_and_Negotiation">'Dropdown List'!$N$2:$N$22</definedName>
    <definedName name="Procurement">'Dropdown List'!$X$2:$X$22</definedName>
    <definedName name="Risk_Assessment_and_Rating">'Dropdown List'!$M$2:$M$22</definedName>
    <definedName name="Risk_Control">'Dropdown List'!$R$2:$R$22</definedName>
    <definedName name="Sales">'Dropdown List'!$S$2:$S$22</definedName>
    <definedName name="Sales_and_Customer_Support">'Dropdown List'!$T$2:$T$22</definedName>
    <definedName name="Sales_and_Service">'Dropdown List'!$D$2:$D$22</definedName>
    <definedName name="Service_and_Upsell">'Dropdown List'!$U$2:$U$22</definedName>
    <definedName name="Slicer_Business_Lines">#N/A</definedName>
    <definedName name="Slicer_Client">#N/A</definedName>
    <definedName name="Slicer_Client_Geography">#N/A</definedName>
    <definedName name="Slicer_Country">#N/A</definedName>
    <definedName name="Slicer_EXL_Delivery_Location">#N/A</definedName>
    <definedName name="Slicer_Function__L1">#N/A</definedName>
    <definedName name="Slicer_LOB___Product_Type">#N/A</definedName>
    <definedName name="Slicer_Work_Type">#N/A</definedName>
    <definedName name="Subrogation_and_Compliance">'Dropdown List'!$J$2:$J$22</definedName>
    <definedName name="Underwriting_and_UW_Support">'Dropdown List'!$C$2:$C$22</definedName>
  </definedNames>
  <calcPr calcId="191028"/>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39" l="1"/>
  <c r="H28" i="39"/>
  <c r="H29" i="39"/>
  <c r="H30" i="39"/>
  <c r="H31" i="39"/>
  <c r="H32" i="39"/>
  <c r="H33" i="39"/>
  <c r="H34" i="39"/>
  <c r="H35" i="39"/>
  <c r="H36" i="39"/>
  <c r="H37" i="39"/>
  <c r="H38" i="39"/>
  <c r="H39" i="39"/>
  <c r="H40" i="39"/>
  <c r="H41" i="39"/>
  <c r="H42" i="39"/>
  <c r="H43" i="39"/>
  <c r="H44" i="39"/>
  <c r="H45" i="39"/>
  <c r="H46" i="39"/>
  <c r="H47" i="39"/>
  <c r="H27" i="39"/>
  <c r="D48" i="39"/>
  <c r="E48" i="39"/>
  <c r="F48" i="39"/>
  <c r="G48" i="39"/>
  <c r="C48" i="39"/>
  <c r="F24" i="39"/>
  <c r="L24" i="39" s="1"/>
  <c r="G24" i="39"/>
  <c r="H24" i="39"/>
  <c r="I24" i="39"/>
  <c r="J24" i="39"/>
  <c r="K24" i="39"/>
  <c r="E24" i="39"/>
  <c r="L4" i="39"/>
  <c r="L5" i="39"/>
  <c r="L6" i="39"/>
  <c r="L7" i="39"/>
  <c r="L8" i="39"/>
  <c r="L9" i="39"/>
  <c r="L10" i="39"/>
  <c r="L11" i="39"/>
  <c r="L12" i="39"/>
  <c r="L13" i="39"/>
  <c r="L14" i="39"/>
  <c r="L15" i="39"/>
  <c r="L16" i="39"/>
  <c r="L17" i="39"/>
  <c r="L18" i="39"/>
  <c r="L19" i="39"/>
  <c r="L20" i="39"/>
  <c r="L21" i="39"/>
  <c r="L22" i="39"/>
  <c r="L23" i="39"/>
  <c r="L3" i="39"/>
  <c r="AD3" i="27"/>
  <c r="AE3" i="27" s="1"/>
  <c r="AD4" i="27"/>
  <c r="AE4" i="27" s="1"/>
  <c r="AD5" i="27"/>
  <c r="AE5" i="27" s="1"/>
  <c r="AD6" i="27"/>
  <c r="AE6" i="27" s="1"/>
  <c r="AD7" i="27"/>
  <c r="AE7" i="27" s="1"/>
  <c r="AD8" i="27"/>
  <c r="AE8" i="27" s="1"/>
  <c r="AD9" i="27"/>
  <c r="AE9" i="27" s="1"/>
  <c r="AD10" i="27"/>
  <c r="AE10" i="27" s="1"/>
  <c r="E6" i="27"/>
  <c r="E5" i="27"/>
  <c r="E4" i="27"/>
  <c r="E3" i="27"/>
  <c r="E7" i="27"/>
  <c r="AD11" i="27"/>
  <c r="AE11" i="27" s="1"/>
  <c r="AD12" i="27"/>
  <c r="AE12" i="27" s="1"/>
  <c r="AD13" i="27"/>
  <c r="AE13" i="27" s="1"/>
  <c r="AD14" i="27"/>
  <c r="AE14" i="27" s="1"/>
  <c r="AD15" i="27"/>
  <c r="AE15" i="27" s="1"/>
  <c r="AD16" i="27"/>
  <c r="AE16" i="27" s="1"/>
  <c r="AD17" i="27"/>
  <c r="AE17" i="27" s="1"/>
  <c r="AD18" i="27"/>
  <c r="AE18" i="27" s="1"/>
  <c r="AD19" i="27"/>
  <c r="AE19" i="27" s="1"/>
  <c r="AD20" i="27"/>
  <c r="AE20" i="27" s="1"/>
  <c r="AD21" i="27"/>
  <c r="AE21" i="27" s="1"/>
  <c r="AD22" i="27"/>
  <c r="AE22" i="27" s="1"/>
  <c r="AD23" i="27"/>
  <c r="AE23" i="27" s="1"/>
  <c r="AD24" i="27"/>
  <c r="AE24" i="27" s="1"/>
  <c r="AD25" i="27"/>
  <c r="AE25" i="27" s="1"/>
  <c r="AD26" i="27"/>
  <c r="AE26" i="27" s="1"/>
  <c r="AD27" i="27"/>
  <c r="AE27" i="27" s="1"/>
  <c r="AD28" i="27"/>
  <c r="AE28" i="27" s="1"/>
  <c r="AD29" i="27"/>
  <c r="AE29" i="27" s="1"/>
  <c r="AD30" i="27"/>
  <c r="AE30" i="27" s="1"/>
  <c r="AD31" i="27"/>
  <c r="AE31" i="27" s="1"/>
  <c r="AD32" i="27"/>
  <c r="AE32" i="27" s="1"/>
  <c r="AD33" i="27"/>
  <c r="AE33" i="27" s="1"/>
  <c r="AD34" i="27"/>
  <c r="AE34" i="27" s="1"/>
  <c r="AD35" i="27"/>
  <c r="AE35" i="27" s="1"/>
  <c r="AD36" i="27"/>
  <c r="AE36" i="27" s="1"/>
  <c r="AD37" i="27"/>
  <c r="AE37" i="27" s="1"/>
  <c r="AD38" i="27"/>
  <c r="AE38" i="27" s="1"/>
  <c r="AD39" i="27"/>
  <c r="AE39" i="27" s="1"/>
  <c r="AD40" i="27"/>
  <c r="AE40" i="27" s="1"/>
  <c r="AD41" i="27"/>
  <c r="AE41" i="27" s="1"/>
  <c r="AD42" i="27"/>
  <c r="AE42" i="27" s="1"/>
  <c r="AD43" i="27"/>
  <c r="AE43" i="27" s="1"/>
  <c r="AD44" i="27"/>
  <c r="AE44" i="27" s="1"/>
  <c r="AD45" i="27"/>
  <c r="AE45" i="27" s="1"/>
  <c r="AD46" i="27"/>
  <c r="AE46" i="27" s="1"/>
  <c r="AD47" i="27"/>
  <c r="AE47" i="27" s="1"/>
  <c r="AD48" i="27"/>
  <c r="AE48" i="27" s="1"/>
  <c r="AD49" i="27"/>
  <c r="AE49" i="27" s="1"/>
  <c r="AD50" i="27"/>
  <c r="AE50" i="27" s="1"/>
  <c r="AD51" i="27"/>
  <c r="AE51" i="27" s="1"/>
  <c r="AD52" i="27"/>
  <c r="AE52" i="27" s="1"/>
  <c r="AD53" i="27"/>
  <c r="AE53" i="27" s="1"/>
  <c r="AD54" i="27"/>
  <c r="AE54" i="27" s="1"/>
  <c r="AD55" i="27"/>
  <c r="AE55" i="27" s="1"/>
  <c r="AD56" i="27"/>
  <c r="AE56" i="27" s="1"/>
  <c r="AD57" i="27"/>
  <c r="AE57" i="27" s="1"/>
  <c r="AD58" i="27"/>
  <c r="AE58" i="27" s="1"/>
  <c r="AD59" i="27"/>
  <c r="AE59" i="27" s="1"/>
  <c r="AD60" i="27"/>
  <c r="AE60" i="27" s="1"/>
  <c r="AD61" i="27"/>
  <c r="AE61" i="27" s="1"/>
  <c r="AD62" i="27"/>
  <c r="AE62" i="27" s="1"/>
  <c r="AD63" i="27"/>
  <c r="AE63" i="27" s="1"/>
  <c r="AD64" i="27"/>
  <c r="AE64" i="27" s="1"/>
  <c r="AD65" i="27"/>
  <c r="AE65" i="27" s="1"/>
  <c r="AD66" i="27"/>
  <c r="AE66" i="27" s="1"/>
  <c r="AD67" i="27"/>
  <c r="AE67" i="27" s="1"/>
  <c r="AD68" i="27"/>
  <c r="AE68" i="27" s="1"/>
  <c r="AD69" i="27"/>
  <c r="AE69" i="27" s="1"/>
  <c r="AD70" i="27"/>
  <c r="AE70" i="27" s="1"/>
  <c r="AD71" i="27"/>
  <c r="AE71" i="27" s="1"/>
  <c r="AD72" i="27"/>
  <c r="AE72" i="27" s="1"/>
  <c r="AD73" i="27"/>
  <c r="AE73" i="27" s="1"/>
  <c r="AD74" i="27"/>
  <c r="AE74" i="27" s="1"/>
  <c r="AD75" i="27"/>
  <c r="AE75" i="27" s="1"/>
  <c r="AD76" i="27"/>
  <c r="AE76" i="27" s="1"/>
  <c r="AD77" i="27"/>
  <c r="AE77" i="27" s="1"/>
  <c r="AD78" i="27"/>
  <c r="AE78" i="27" s="1"/>
  <c r="AD79" i="27"/>
  <c r="AE79" i="27" s="1"/>
  <c r="AD80" i="27"/>
  <c r="AE80" i="27" s="1"/>
  <c r="AD81" i="27"/>
  <c r="AE81" i="27" s="1"/>
  <c r="AD82" i="27"/>
  <c r="AE82" i="27" s="1"/>
  <c r="AD83" i="27"/>
  <c r="AE83" i="27" s="1"/>
  <c r="AD84" i="27"/>
  <c r="AE84" i="27" s="1"/>
  <c r="AD85" i="27"/>
  <c r="AE85" i="27" s="1"/>
  <c r="AD86" i="27"/>
  <c r="AE86" i="27" s="1"/>
  <c r="AD87" i="27"/>
  <c r="AE87" i="27" s="1"/>
  <c r="AD88" i="27"/>
  <c r="AE88" i="27" s="1"/>
  <c r="AD89" i="27"/>
  <c r="AE89" i="27" s="1"/>
  <c r="AD90" i="27"/>
  <c r="AE90" i="27" s="1"/>
  <c r="AD91" i="27"/>
  <c r="AE91" i="27" s="1"/>
  <c r="AD92" i="27"/>
  <c r="AE92" i="27" s="1"/>
  <c r="AD93" i="27"/>
  <c r="AE93" i="27" s="1"/>
  <c r="AD94" i="27"/>
  <c r="AE94" i="27" s="1"/>
  <c r="AD95" i="27"/>
  <c r="AE95" i="27" s="1"/>
  <c r="AD96" i="27"/>
  <c r="AE96" i="27" s="1"/>
  <c r="AD97" i="27"/>
  <c r="AE97" i="27" s="1"/>
  <c r="AD98" i="27"/>
  <c r="AE98" i="27" s="1"/>
  <c r="AD99" i="27"/>
  <c r="AE99" i="27" s="1"/>
  <c r="AD100" i="27"/>
  <c r="AE100" i="27" s="1"/>
  <c r="AD101" i="27"/>
  <c r="AE101" i="27" s="1"/>
  <c r="AD102" i="27"/>
  <c r="AE102" i="27" s="1"/>
  <c r="AD103" i="27"/>
  <c r="AE103" i="27" s="1"/>
  <c r="AD104" i="27"/>
  <c r="AE104" i="27" s="1"/>
  <c r="AD105" i="27"/>
  <c r="AE105" i="27" s="1"/>
  <c r="AD106" i="27"/>
  <c r="AE106" i="27" s="1"/>
  <c r="AD107" i="27"/>
  <c r="AE107" i="27" s="1"/>
  <c r="AD108" i="27"/>
  <c r="AE108" i="27" s="1"/>
  <c r="AD109" i="27"/>
  <c r="AE109" i="27" s="1"/>
  <c r="AD110" i="27"/>
  <c r="AE110" i="27" s="1"/>
  <c r="AD111" i="27"/>
  <c r="AE111" i="27" s="1"/>
  <c r="AD112" i="27"/>
  <c r="AE112" i="27" s="1"/>
  <c r="AD113" i="27"/>
  <c r="AE113" i="27" s="1"/>
  <c r="AD114" i="27"/>
  <c r="AE114" i="27" s="1"/>
  <c r="AD115" i="27"/>
  <c r="AE115" i="27" s="1"/>
  <c r="AD116" i="27"/>
  <c r="AE116" i="27" s="1"/>
  <c r="AD117" i="27"/>
  <c r="AE117" i="27" s="1"/>
  <c r="AD118" i="27"/>
  <c r="AE118" i="27" s="1"/>
  <c r="AD119" i="27"/>
  <c r="AE119" i="27" s="1"/>
  <c r="AD120" i="27"/>
  <c r="AE120" i="27" s="1"/>
  <c r="AD121" i="27"/>
  <c r="AE121" i="27" s="1"/>
  <c r="AD122" i="27"/>
  <c r="AE122" i="27" s="1"/>
  <c r="AD123" i="27"/>
  <c r="AE123" i="27" s="1"/>
  <c r="AD124" i="27"/>
  <c r="AE124" i="27" s="1"/>
  <c r="AD125" i="27"/>
  <c r="AE125" i="27" s="1"/>
  <c r="AD126" i="27"/>
  <c r="AE126" i="27" s="1"/>
  <c r="AD127" i="27"/>
  <c r="AE127" i="27" s="1"/>
  <c r="AD128" i="27"/>
  <c r="AE128" i="27" s="1"/>
  <c r="AD129" i="27"/>
  <c r="AE129" i="27" s="1"/>
  <c r="AD130" i="27"/>
  <c r="AE130" i="27" s="1"/>
  <c r="AD131" i="27"/>
  <c r="AE131" i="27" s="1"/>
  <c r="AD132" i="27"/>
  <c r="AE132" i="27" s="1"/>
  <c r="AD133" i="27"/>
  <c r="AE133" i="27" s="1"/>
  <c r="AD134" i="27"/>
  <c r="AE134" i="27" s="1"/>
  <c r="AD135" i="27"/>
  <c r="AE135" i="27" s="1"/>
  <c r="AD136" i="27"/>
  <c r="AE136" i="27" s="1"/>
  <c r="AD137" i="27"/>
  <c r="AE137" i="27" s="1"/>
  <c r="AD138" i="27"/>
  <c r="AE138" i="27" s="1"/>
  <c r="AD139" i="27"/>
  <c r="AE139" i="27" s="1"/>
  <c r="AD140" i="27"/>
  <c r="AE140" i="27" s="1"/>
  <c r="AD141" i="27"/>
  <c r="AE141" i="27" s="1"/>
  <c r="AD142" i="27"/>
  <c r="AE142" i="27" s="1"/>
  <c r="AD143" i="27"/>
  <c r="AE143" i="27" s="1"/>
  <c r="AD144" i="27"/>
  <c r="AE144" i="27" s="1"/>
  <c r="AD145" i="27"/>
  <c r="AE145" i="27" s="1"/>
  <c r="AD146" i="27"/>
  <c r="AE146" i="27" s="1"/>
  <c r="AD147" i="27"/>
  <c r="AE147" i="27" s="1"/>
  <c r="AD148" i="27"/>
  <c r="AE148" i="27" s="1"/>
  <c r="AD149" i="27"/>
  <c r="AE149" i="27" s="1"/>
  <c r="AD150" i="27"/>
  <c r="AE150" i="27" s="1"/>
  <c r="AD151" i="27"/>
  <c r="AE151" i="27" s="1"/>
  <c r="AD152" i="27"/>
  <c r="AE152" i="27" s="1"/>
  <c r="AD153" i="27"/>
  <c r="AE153" i="27" s="1"/>
  <c r="AD154" i="27"/>
  <c r="AE154" i="27" s="1"/>
  <c r="AD155" i="27"/>
  <c r="AE155" i="27" s="1"/>
  <c r="AD156" i="27"/>
  <c r="AE156" i="27" s="1"/>
  <c r="AD157" i="27"/>
  <c r="AE157" i="27" s="1"/>
  <c r="AD158" i="27"/>
  <c r="AE158" i="27" s="1"/>
  <c r="AD159" i="27"/>
  <c r="AE159" i="27" s="1"/>
  <c r="AD160" i="27"/>
  <c r="AE160" i="27" s="1"/>
  <c r="AD161" i="27"/>
  <c r="AE161" i="27" s="1"/>
  <c r="AD162" i="27"/>
  <c r="AE162" i="27" s="1"/>
  <c r="AD163" i="27"/>
  <c r="AE163" i="27" s="1"/>
  <c r="AD164" i="27"/>
  <c r="AE164" i="27" s="1"/>
  <c r="AD165" i="27"/>
  <c r="AE165" i="27" s="1"/>
  <c r="AD166" i="27"/>
  <c r="AE166" i="27" s="1"/>
  <c r="AD167" i="27"/>
  <c r="AE167" i="27" s="1"/>
  <c r="AD168" i="27"/>
  <c r="AE168" i="27" s="1"/>
  <c r="AD169" i="27"/>
  <c r="AE169" i="27" s="1"/>
  <c r="AD170" i="27"/>
  <c r="AE170" i="27" s="1"/>
  <c r="AD171" i="27"/>
  <c r="AE171" i="27" s="1"/>
  <c r="AD172" i="27"/>
  <c r="AE172" i="27" s="1"/>
  <c r="AD173" i="27"/>
  <c r="AE173" i="27" s="1"/>
  <c r="AD174" i="27"/>
  <c r="AE174" i="27" s="1"/>
  <c r="AD175" i="27"/>
  <c r="AE175" i="27" s="1"/>
  <c r="AD176" i="27"/>
  <c r="AE176" i="27" s="1"/>
  <c r="AD177" i="27"/>
  <c r="AE177" i="27" s="1"/>
  <c r="AD178" i="27"/>
  <c r="AE178" i="27" s="1"/>
  <c r="AD179" i="27"/>
  <c r="AE179" i="27" s="1"/>
  <c r="AD180" i="27"/>
  <c r="AE180" i="27" s="1"/>
  <c r="AD181" i="27"/>
  <c r="AE181" i="27" s="1"/>
  <c r="AD182" i="27"/>
  <c r="AE182" i="27" s="1"/>
  <c r="AD183" i="27"/>
  <c r="AE183" i="27" s="1"/>
  <c r="AD184" i="27"/>
  <c r="AE184" i="27" s="1"/>
  <c r="AD185" i="27"/>
  <c r="AE185" i="27" s="1"/>
  <c r="AD186" i="27"/>
  <c r="AE186" i="27" s="1"/>
  <c r="AD187" i="27"/>
  <c r="AE187" i="27" s="1"/>
  <c r="AD188" i="27"/>
  <c r="AE188" i="27" s="1"/>
  <c r="AD189" i="27"/>
  <c r="AE189" i="27" s="1"/>
  <c r="AD190" i="27"/>
  <c r="AE190" i="27" s="1"/>
  <c r="AD191" i="27"/>
  <c r="AE191" i="27" s="1"/>
  <c r="AD192" i="27"/>
  <c r="AE192" i="27" s="1"/>
  <c r="AD193" i="27"/>
  <c r="AE193" i="27" s="1"/>
  <c r="AD194" i="27"/>
  <c r="AE194" i="27" s="1"/>
  <c r="AD195" i="27"/>
  <c r="AE195" i="27" s="1"/>
  <c r="AD196" i="27"/>
  <c r="AE196" i="27" s="1"/>
  <c r="AD197" i="27"/>
  <c r="AE197" i="27" s="1"/>
  <c r="AD198" i="27"/>
  <c r="AE198" i="27" s="1"/>
  <c r="AD199" i="27"/>
  <c r="AE199" i="27" s="1"/>
  <c r="AD200" i="27"/>
  <c r="AE200" i="27" s="1"/>
  <c r="AD201" i="27"/>
  <c r="AE201" i="27" s="1"/>
  <c r="AD202" i="27"/>
  <c r="AE202" i="27" s="1"/>
  <c r="AD203" i="27"/>
  <c r="AE203" i="27" s="1"/>
  <c r="AD204" i="27"/>
  <c r="AE204" i="27" s="1"/>
  <c r="AD205" i="27"/>
  <c r="AE205" i="27" s="1"/>
  <c r="AD206" i="27"/>
  <c r="AE206" i="27" s="1"/>
  <c r="AD207" i="27"/>
  <c r="AE207" i="27" s="1"/>
  <c r="AD208" i="27"/>
  <c r="AE208" i="27" s="1"/>
  <c r="AD209" i="27"/>
  <c r="AE209" i="27" s="1"/>
  <c r="AD210" i="27"/>
  <c r="AE210" i="27" s="1"/>
  <c r="AD211" i="27"/>
  <c r="AE211" i="27" s="1"/>
  <c r="AD212" i="27"/>
  <c r="AE212" i="27" s="1"/>
  <c r="AD213" i="27"/>
  <c r="AE213" i="27" s="1"/>
  <c r="AD214" i="27"/>
  <c r="AE214" i="27" s="1"/>
  <c r="AD215" i="27"/>
  <c r="AE215" i="27" s="1"/>
  <c r="AD216" i="27"/>
  <c r="AE216" i="27" s="1"/>
  <c r="AD217" i="27"/>
  <c r="AE217" i="27" s="1"/>
  <c r="AD218" i="27"/>
  <c r="AE218" i="27" s="1"/>
  <c r="AD219" i="27"/>
  <c r="AE219" i="27" s="1"/>
  <c r="AD220" i="27"/>
  <c r="AE220" i="27" s="1"/>
  <c r="AD221" i="27"/>
  <c r="AE221" i="27" s="1"/>
  <c r="AD222" i="27"/>
  <c r="AE222" i="27" s="1"/>
  <c r="AD223" i="27"/>
  <c r="AE223" i="27" s="1"/>
  <c r="AD224" i="27"/>
  <c r="AE224" i="27" s="1"/>
  <c r="AD225" i="27"/>
  <c r="AE225" i="27" s="1"/>
  <c r="AD226" i="27"/>
  <c r="AE226" i="27" s="1"/>
  <c r="AD227" i="27"/>
  <c r="AE227" i="27" s="1"/>
  <c r="AD228" i="27"/>
  <c r="AE228" i="27" s="1"/>
  <c r="AD229" i="27"/>
  <c r="AE229" i="27" s="1"/>
  <c r="AD230" i="27"/>
  <c r="AE230" i="27" s="1"/>
  <c r="AD231" i="27"/>
  <c r="AE231" i="27" s="1"/>
  <c r="AD232" i="27"/>
  <c r="AE232" i="27" s="1"/>
  <c r="AD233" i="27"/>
  <c r="AE233" i="27" s="1"/>
  <c r="AD234" i="27"/>
  <c r="AE234" i="27" s="1"/>
  <c r="AD235" i="27"/>
  <c r="AE235" i="27" s="1"/>
  <c r="AD236" i="27"/>
  <c r="AE236" i="27" s="1"/>
  <c r="AD237" i="27"/>
  <c r="AE237" i="27" s="1"/>
  <c r="AD238" i="27"/>
  <c r="AE238" i="27" s="1"/>
  <c r="AD239" i="27"/>
  <c r="AE239" i="27" s="1"/>
  <c r="AD240" i="27"/>
  <c r="AE240" i="27" s="1"/>
  <c r="AD241" i="27"/>
  <c r="AE241" i="27" s="1"/>
  <c r="AD242" i="27"/>
  <c r="AE242" i="27" s="1"/>
  <c r="AD243" i="27"/>
  <c r="AE243" i="27" s="1"/>
  <c r="AD244" i="27"/>
  <c r="AE244" i="27" s="1"/>
  <c r="AD245" i="27"/>
  <c r="AE245" i="27" s="1"/>
  <c r="AD246" i="27"/>
  <c r="AE246" i="27" s="1"/>
  <c r="AD247" i="27"/>
  <c r="AE247" i="27" s="1"/>
  <c r="AD248" i="27"/>
  <c r="AE248" i="27" s="1"/>
  <c r="AD249" i="27"/>
  <c r="AE249" i="27" s="1"/>
  <c r="AD250" i="27"/>
  <c r="AE250" i="27" s="1"/>
  <c r="AD251" i="27"/>
  <c r="AE251" i="27" s="1"/>
  <c r="AD252" i="27"/>
  <c r="AE252" i="27" s="1"/>
  <c r="AD253" i="27"/>
  <c r="AE253" i="27" s="1"/>
  <c r="AD254" i="27"/>
  <c r="AE254" i="27" s="1"/>
  <c r="AD255" i="27"/>
  <c r="AE255" i="27" s="1"/>
  <c r="AD256" i="27"/>
  <c r="AE256" i="27" s="1"/>
  <c r="AD257" i="27"/>
  <c r="AE257" i="27" s="1"/>
  <c r="AD258" i="27"/>
  <c r="AE258" i="27" s="1"/>
  <c r="AD259" i="27"/>
  <c r="AE259" i="27" s="1"/>
  <c r="AD260" i="27"/>
  <c r="AE260" i="27" s="1"/>
  <c r="AD261" i="27"/>
  <c r="AE261" i="27" s="1"/>
  <c r="AD262" i="27"/>
  <c r="AE262" i="27" s="1"/>
  <c r="AD263" i="27"/>
  <c r="AE263" i="27" s="1"/>
  <c r="AD264" i="27"/>
  <c r="AE264" i="27" s="1"/>
  <c r="AD265" i="27"/>
  <c r="AE265" i="27" s="1"/>
  <c r="AD266" i="27"/>
  <c r="AE266" i="27" s="1"/>
  <c r="AD267" i="27"/>
  <c r="AE267" i="27" s="1"/>
  <c r="AD268" i="27"/>
  <c r="AE268" i="27" s="1"/>
  <c r="AD269" i="27"/>
  <c r="AE269" i="27" s="1"/>
  <c r="AD270" i="27"/>
  <c r="AE270" i="27" s="1"/>
  <c r="AD271" i="27"/>
  <c r="AE271" i="27" s="1"/>
  <c r="AD272" i="27"/>
  <c r="AE272" i="27" s="1"/>
  <c r="AD273" i="27"/>
  <c r="AE273" i="27" s="1"/>
  <c r="AD274" i="27"/>
  <c r="AE274" i="27" s="1"/>
  <c r="AD275" i="27"/>
  <c r="AE275" i="27" s="1"/>
  <c r="AD276" i="27"/>
  <c r="AE276" i="27" s="1"/>
  <c r="AD277" i="27"/>
  <c r="AE277" i="27" s="1"/>
  <c r="AD278" i="27"/>
  <c r="AE278" i="27" s="1"/>
  <c r="AD279" i="27"/>
  <c r="AE279" i="27" s="1"/>
  <c r="AD280" i="27"/>
  <c r="AE280" i="27" s="1"/>
  <c r="AD281" i="27"/>
  <c r="AE281" i="27" s="1"/>
  <c r="AD282" i="27"/>
  <c r="AE282" i="27" s="1"/>
  <c r="AD283" i="27"/>
  <c r="AE283" i="27" s="1"/>
  <c r="AD284" i="27"/>
  <c r="AE284" i="27" s="1"/>
  <c r="AD285" i="27"/>
  <c r="AE285" i="27" s="1"/>
  <c r="AD286" i="27"/>
  <c r="AE286" i="27" s="1"/>
  <c r="AD287" i="27"/>
  <c r="AE287" i="27" s="1"/>
  <c r="AD288" i="27"/>
  <c r="AE288" i="27" s="1"/>
  <c r="AD289" i="27"/>
  <c r="AE289" i="27" s="1"/>
  <c r="AD290" i="27"/>
  <c r="AE290" i="27" s="1"/>
  <c r="AD291" i="27"/>
  <c r="AE291" i="27" s="1"/>
  <c r="AD292" i="27"/>
  <c r="AE292" i="27" s="1"/>
  <c r="AD293" i="27"/>
  <c r="AE293" i="27" s="1"/>
  <c r="AD294" i="27"/>
  <c r="AE294" i="27" s="1"/>
  <c r="AD295" i="27"/>
  <c r="AE295" i="27" s="1"/>
  <c r="AD296" i="27"/>
  <c r="AE296" i="27" s="1"/>
  <c r="AD297" i="27"/>
  <c r="AE297" i="27" s="1"/>
  <c r="AD298" i="27"/>
  <c r="AE298" i="27" s="1"/>
  <c r="AD299" i="27"/>
  <c r="AE299" i="27" s="1"/>
  <c r="AD300" i="27"/>
  <c r="AE300" i="27" s="1"/>
  <c r="AD301" i="27"/>
  <c r="AE301" i="27" s="1"/>
  <c r="AD302" i="27"/>
  <c r="AE302" i="27" s="1"/>
  <c r="AD303" i="27"/>
  <c r="AE303" i="27" s="1"/>
  <c r="AD304" i="27"/>
  <c r="AE304" i="27" s="1"/>
  <c r="AD305" i="27"/>
  <c r="AE305" i="27" s="1"/>
  <c r="AD306" i="27"/>
  <c r="AE306" i="27" s="1"/>
  <c r="AD307" i="27"/>
  <c r="AE307" i="27" s="1"/>
  <c r="AD308" i="27"/>
  <c r="AE308" i="27" s="1"/>
  <c r="AD309" i="27"/>
  <c r="AE309" i="27" s="1"/>
  <c r="AD310" i="27"/>
  <c r="AE310" i="27" s="1"/>
  <c r="AD311" i="27"/>
  <c r="AE311" i="27" s="1"/>
  <c r="AD312" i="27"/>
  <c r="AE312" i="27" s="1"/>
  <c r="AD313" i="27"/>
  <c r="AE313" i="27" s="1"/>
  <c r="AD314" i="27"/>
  <c r="AE314" i="27" s="1"/>
  <c r="AD315" i="27"/>
  <c r="AE315" i="27" s="1"/>
  <c r="AD316" i="27"/>
  <c r="AE316" i="27" s="1"/>
  <c r="AD317" i="27"/>
  <c r="AE317" i="27" s="1"/>
  <c r="AD318" i="27"/>
  <c r="AE318" i="27" s="1"/>
  <c r="AD319" i="27"/>
  <c r="AE319" i="27" s="1"/>
  <c r="AD320" i="27"/>
  <c r="AE320" i="27" s="1"/>
  <c r="AD321" i="27"/>
  <c r="AE321" i="27" s="1"/>
  <c r="AD322" i="27"/>
  <c r="AE322" i="27" s="1"/>
  <c r="AD323" i="27"/>
  <c r="AE323" i="27" s="1"/>
  <c r="AD324" i="27"/>
  <c r="AE324" i="27" s="1"/>
  <c r="AD325" i="27"/>
  <c r="AE325" i="27" s="1"/>
  <c r="AD326" i="27"/>
  <c r="AE326" i="27" s="1"/>
  <c r="AD327" i="27"/>
  <c r="AE327" i="27" s="1"/>
  <c r="AD328" i="27"/>
  <c r="AE328" i="27" s="1"/>
  <c r="AD329" i="27"/>
  <c r="AE329" i="27" s="1"/>
  <c r="AD330" i="27"/>
  <c r="AE330" i="27" s="1"/>
  <c r="AD331" i="27"/>
  <c r="AE331" i="27" s="1"/>
  <c r="AD332" i="27"/>
  <c r="AE332" i="27" s="1"/>
  <c r="AD333" i="27"/>
  <c r="AE333" i="27" s="1"/>
  <c r="AD334" i="27"/>
  <c r="AE334" i="27" s="1"/>
  <c r="AD335" i="27"/>
  <c r="AE335" i="27" s="1"/>
  <c r="AD336" i="27"/>
  <c r="AE336" i="27" s="1"/>
  <c r="AD337" i="27"/>
  <c r="AE337" i="27" s="1"/>
  <c r="AD338" i="27"/>
  <c r="AE338" i="27" s="1"/>
  <c r="AD339" i="27"/>
  <c r="AE339" i="27" s="1"/>
  <c r="AD340" i="27"/>
  <c r="AE340" i="27" s="1"/>
  <c r="AD341" i="27"/>
  <c r="AE341" i="27" s="1"/>
  <c r="AD342" i="27"/>
  <c r="AE342" i="27" s="1"/>
  <c r="AD343" i="27"/>
  <c r="AE343" i="27" s="1"/>
  <c r="AD344" i="27"/>
  <c r="AE344" i="27" s="1"/>
  <c r="AD345" i="27"/>
  <c r="AE345" i="27" s="1"/>
  <c r="AD346" i="27"/>
  <c r="AE346" i="27" s="1"/>
  <c r="AD347" i="27"/>
  <c r="AE347" i="27" s="1"/>
  <c r="AD348" i="27"/>
  <c r="AE348" i="27" s="1"/>
  <c r="AD349" i="27"/>
  <c r="AE349" i="27" s="1"/>
  <c r="AD350" i="27"/>
  <c r="AE350" i="27" s="1"/>
  <c r="AD351" i="27"/>
  <c r="AE351" i="27" s="1"/>
  <c r="AD352" i="27"/>
  <c r="AE352" i="27" s="1"/>
  <c r="AD353" i="27"/>
  <c r="AE353" i="27" s="1"/>
  <c r="AD354" i="27"/>
  <c r="AE354" i="27" s="1"/>
  <c r="AD355" i="27"/>
  <c r="AE355" i="27" s="1"/>
  <c r="AD356" i="27"/>
  <c r="AE356" i="27" s="1"/>
  <c r="AD357" i="27"/>
  <c r="AE357" i="27" s="1"/>
  <c r="AD358" i="27"/>
  <c r="AE358" i="27" s="1"/>
  <c r="AD359" i="27"/>
  <c r="AE359" i="27" s="1"/>
  <c r="AD360" i="27"/>
  <c r="AE360" i="27" s="1"/>
  <c r="AD361" i="27"/>
  <c r="AE361" i="27" s="1"/>
  <c r="AD362" i="27"/>
  <c r="AE362" i="27" s="1"/>
  <c r="AD363" i="27"/>
  <c r="AE363" i="27" s="1"/>
  <c r="AD364" i="27"/>
  <c r="AE364" i="27" s="1"/>
  <c r="AD365" i="27"/>
  <c r="AE365" i="27" s="1"/>
  <c r="AD366" i="27"/>
  <c r="AE366" i="27" s="1"/>
  <c r="AD367" i="27"/>
  <c r="AE367" i="27" s="1"/>
  <c r="AD368" i="27"/>
  <c r="AE368" i="27" s="1"/>
  <c r="AD369" i="27"/>
  <c r="AE369" i="27" s="1"/>
  <c r="AD370" i="27"/>
  <c r="AE370" i="27" s="1"/>
  <c r="AD371" i="27"/>
  <c r="AE371" i="27" s="1"/>
  <c r="AD372" i="27"/>
  <c r="AE372" i="27" s="1"/>
  <c r="AD373" i="27"/>
  <c r="AE373" i="27" s="1"/>
  <c r="AD374" i="27"/>
  <c r="AE374" i="27" s="1"/>
  <c r="AD375" i="27"/>
  <c r="AE375" i="27" s="1"/>
  <c r="AD376" i="27"/>
  <c r="AE376" i="27" s="1"/>
  <c r="AD377" i="27"/>
  <c r="AE377" i="27" s="1"/>
  <c r="AD378" i="27"/>
  <c r="AE378" i="27" s="1"/>
  <c r="AD379" i="27"/>
  <c r="AE379" i="27" s="1"/>
  <c r="AD380" i="27"/>
  <c r="AE380" i="27" s="1"/>
  <c r="AD381" i="27"/>
  <c r="AE381" i="27" s="1"/>
  <c r="AD382" i="27"/>
  <c r="AE382" i="27" s="1"/>
  <c r="AD383" i="27"/>
  <c r="AE383" i="27" s="1"/>
  <c r="AD384" i="27"/>
  <c r="AE384" i="27" s="1"/>
  <c r="AD385" i="27"/>
  <c r="AE385" i="27" s="1"/>
  <c r="AD386" i="27"/>
  <c r="AE386" i="27" s="1"/>
  <c r="AD387" i="27"/>
  <c r="AE387" i="27" s="1"/>
  <c r="AD388" i="27"/>
  <c r="AE388" i="27" s="1"/>
  <c r="AD389" i="27"/>
  <c r="AE389" i="27" s="1"/>
  <c r="AD390" i="27"/>
  <c r="AE390" i="27" s="1"/>
  <c r="AD391" i="27"/>
  <c r="AE391" i="27" s="1"/>
  <c r="AD392" i="27"/>
  <c r="AE392" i="27" s="1"/>
  <c r="AD393" i="27"/>
  <c r="AE393" i="27" s="1"/>
  <c r="AD394" i="27"/>
  <c r="AE394" i="27" s="1"/>
  <c r="AD395" i="27"/>
  <c r="AE395" i="27" s="1"/>
  <c r="AD396" i="27"/>
  <c r="AE396" i="27" s="1"/>
  <c r="AD397" i="27"/>
  <c r="AE397" i="27" s="1"/>
  <c r="AD398" i="27"/>
  <c r="AE398" i="27" s="1"/>
  <c r="AD399" i="27"/>
  <c r="AE399" i="27" s="1"/>
  <c r="AD400" i="27"/>
  <c r="AE400" i="27" s="1"/>
  <c r="AD401" i="27"/>
  <c r="AE401" i="27" s="1"/>
  <c r="AD402" i="27"/>
  <c r="AE402" i="27" s="1"/>
  <c r="AD403" i="27"/>
  <c r="AE403" i="27" s="1"/>
  <c r="AD404" i="27"/>
  <c r="AE404" i="27" s="1"/>
  <c r="AD405" i="27"/>
  <c r="AE405" i="27" s="1"/>
  <c r="AD406" i="27"/>
  <c r="AE406" i="27" s="1"/>
  <c r="AD407" i="27"/>
  <c r="AE407" i="27" s="1"/>
  <c r="AD408" i="27"/>
  <c r="AE408" i="27" s="1"/>
  <c r="AD409" i="27"/>
  <c r="AE409" i="27" s="1"/>
  <c r="AD410" i="27"/>
  <c r="AE410" i="27" s="1"/>
  <c r="AD411" i="27"/>
  <c r="AE411" i="27" s="1"/>
  <c r="AD412" i="27"/>
  <c r="AE412" i="27" s="1"/>
  <c r="AD413" i="27"/>
  <c r="AE413" i="27" s="1"/>
  <c r="AD414" i="27"/>
  <c r="AE414" i="27" s="1"/>
  <c r="AD415" i="27"/>
  <c r="AE415" i="27" s="1"/>
  <c r="AD416" i="27"/>
  <c r="AE416" i="27" s="1"/>
  <c r="AD417" i="27"/>
  <c r="AE417" i="27" s="1"/>
  <c r="AD418" i="27"/>
  <c r="AE418" i="27" s="1"/>
  <c r="AD419" i="27"/>
  <c r="AE419" i="27" s="1"/>
  <c r="AD420" i="27"/>
  <c r="AE420" i="27" s="1"/>
  <c r="AD421" i="27"/>
  <c r="AE421" i="27" s="1"/>
  <c r="AD422" i="27"/>
  <c r="AE422" i="27" s="1"/>
  <c r="AD423" i="27"/>
  <c r="AE423" i="27" s="1"/>
  <c r="AD424" i="27"/>
  <c r="AE424" i="27" s="1"/>
  <c r="AD425" i="27"/>
  <c r="AE425" i="27" s="1"/>
  <c r="AD426" i="27"/>
  <c r="AE426" i="27" s="1"/>
  <c r="AD427" i="27"/>
  <c r="AE427" i="27" s="1"/>
  <c r="AD428" i="27"/>
  <c r="AE428" i="27" s="1"/>
  <c r="AD429" i="27"/>
  <c r="AE429" i="27" s="1"/>
  <c r="AD430" i="27"/>
  <c r="AE430" i="27" s="1"/>
  <c r="AD431" i="27"/>
  <c r="AE431" i="27" s="1"/>
  <c r="AD432" i="27"/>
  <c r="AE432" i="27" s="1"/>
  <c r="AD433" i="27"/>
  <c r="AE433" i="27" s="1"/>
  <c r="AD434" i="27"/>
  <c r="AE434" i="27" s="1"/>
  <c r="AD435" i="27"/>
  <c r="AE435" i="27" s="1"/>
  <c r="AD436" i="27"/>
  <c r="AE436" i="27" s="1"/>
  <c r="AD437" i="27"/>
  <c r="AE437" i="27" s="1"/>
  <c r="AD438" i="27"/>
  <c r="AE438" i="27" s="1"/>
  <c r="AD439" i="27"/>
  <c r="AE439" i="27" s="1"/>
  <c r="AD440" i="27"/>
  <c r="AE440" i="27" s="1"/>
  <c r="AD441" i="27"/>
  <c r="AE441" i="27" s="1"/>
  <c r="AD442" i="27"/>
  <c r="AE442" i="27" s="1"/>
  <c r="AD443" i="27"/>
  <c r="AE443" i="27" s="1"/>
  <c r="AD444" i="27"/>
  <c r="AE444" i="27" s="1"/>
  <c r="AD445" i="27"/>
  <c r="AE445" i="27" s="1"/>
  <c r="AD446" i="27"/>
  <c r="AE446" i="27" s="1"/>
  <c r="AD447" i="27"/>
  <c r="AE447" i="27" s="1"/>
  <c r="AD448" i="27"/>
  <c r="AE448" i="27" s="1"/>
  <c r="AD449" i="27"/>
  <c r="AE449" i="27" s="1"/>
  <c r="AD450" i="27"/>
  <c r="AE450" i="27" s="1"/>
  <c r="AD451" i="27"/>
  <c r="AE451" i="27" s="1"/>
  <c r="AD452" i="27"/>
  <c r="AE452" i="27" s="1"/>
  <c r="AD453" i="27"/>
  <c r="AE453" i="27" s="1"/>
  <c r="AD454" i="27"/>
  <c r="AE454" i="27" s="1"/>
  <c r="AD455" i="27"/>
  <c r="AE455" i="27" s="1"/>
  <c r="AD456" i="27"/>
  <c r="AE456" i="27" s="1"/>
  <c r="AD457" i="27"/>
  <c r="AE457" i="27" s="1"/>
  <c r="AD458" i="27"/>
  <c r="AE458" i="27" s="1"/>
  <c r="AD459" i="27"/>
  <c r="AE459" i="27" s="1"/>
  <c r="AD460" i="27"/>
  <c r="AE460" i="27" s="1"/>
  <c r="AD461" i="27"/>
  <c r="AE461" i="27" s="1"/>
  <c r="AD462" i="27"/>
  <c r="AE462" i="27" s="1"/>
  <c r="AD463" i="27"/>
  <c r="AE463" i="27" s="1"/>
  <c r="AD464" i="27"/>
  <c r="AE464" i="27" s="1"/>
  <c r="AD465" i="27"/>
  <c r="AE465" i="27" s="1"/>
  <c r="AD466" i="27"/>
  <c r="AE466" i="27" s="1"/>
  <c r="AD467" i="27"/>
  <c r="AE467" i="27" s="1"/>
  <c r="AD468" i="27"/>
  <c r="AE468" i="27" s="1"/>
  <c r="AD469" i="27"/>
  <c r="AE469" i="27" s="1"/>
  <c r="AD470" i="27"/>
  <c r="AE470" i="27" s="1"/>
  <c r="AD471" i="27"/>
  <c r="AE471" i="27" s="1"/>
  <c r="AD472" i="27"/>
  <c r="AE472" i="27" s="1"/>
  <c r="AD473" i="27"/>
  <c r="AE473" i="27" s="1"/>
  <c r="AD474" i="27"/>
  <c r="AE474" i="27" s="1"/>
  <c r="AD475" i="27"/>
  <c r="AE475" i="27" s="1"/>
  <c r="AD476" i="27"/>
  <c r="AE476" i="27" s="1"/>
  <c r="AD477" i="27"/>
  <c r="AE477" i="27" s="1"/>
  <c r="AD478" i="27"/>
  <c r="AE478" i="27" s="1"/>
  <c r="AD479" i="27"/>
  <c r="AE479" i="27" s="1"/>
  <c r="AD480" i="27"/>
  <c r="AE480" i="27" s="1"/>
  <c r="AD481" i="27"/>
  <c r="AE481" i="27" s="1"/>
  <c r="AD482" i="27"/>
  <c r="AE482" i="27" s="1"/>
  <c r="AD483" i="27"/>
  <c r="AE483" i="27" s="1"/>
  <c r="AD484" i="27"/>
  <c r="AE484" i="27" s="1"/>
  <c r="AD485" i="27"/>
  <c r="AE485" i="27" s="1"/>
  <c r="AD486" i="27"/>
  <c r="AE486" i="27" s="1"/>
  <c r="AD487" i="27"/>
  <c r="AE487" i="27" s="1"/>
  <c r="AD488" i="27"/>
  <c r="AE488" i="27" s="1"/>
  <c r="AD489" i="27"/>
  <c r="AE489" i="27" s="1"/>
  <c r="AD490" i="27"/>
  <c r="AE490" i="27" s="1"/>
  <c r="AD491" i="27"/>
  <c r="AE491" i="27" s="1"/>
  <c r="AD492" i="27"/>
  <c r="AE492" i="27" s="1"/>
  <c r="AD493" i="27"/>
  <c r="AE493" i="27" s="1"/>
  <c r="AD494" i="27"/>
  <c r="AE494" i="27" s="1"/>
  <c r="AD495" i="27"/>
  <c r="AE495" i="27" s="1"/>
  <c r="AD496" i="27"/>
  <c r="AE496" i="27" s="1"/>
  <c r="AD497" i="27"/>
  <c r="AE497" i="27" s="1"/>
  <c r="AD498" i="27"/>
  <c r="AE498" i="27" s="1"/>
  <c r="AD499" i="27"/>
  <c r="AE499" i="27" s="1"/>
  <c r="AD500" i="27"/>
  <c r="AE500" i="27" s="1"/>
  <c r="AD501" i="27"/>
  <c r="AE501" i="27" s="1"/>
  <c r="AD502" i="27"/>
  <c r="AE502" i="27" s="1"/>
  <c r="AD503" i="27"/>
  <c r="AE503" i="27" s="1"/>
  <c r="AD504" i="27"/>
  <c r="AE504" i="27" s="1"/>
  <c r="AD505" i="27"/>
  <c r="AE505" i="27" s="1"/>
  <c r="AD506" i="27"/>
  <c r="AE506" i="27" s="1"/>
  <c r="AD507" i="27"/>
  <c r="AE507" i="27" s="1"/>
  <c r="AD508" i="27"/>
  <c r="AE508" i="27" s="1"/>
  <c r="AD509" i="27"/>
  <c r="AE509" i="27" s="1"/>
  <c r="AD510" i="27"/>
  <c r="AE510" i="27" s="1"/>
  <c r="AD511" i="27"/>
  <c r="AE511" i="27" s="1"/>
  <c r="AD512" i="27"/>
  <c r="AE512" i="27" s="1"/>
  <c r="AD513" i="27"/>
  <c r="AE513" i="27" s="1"/>
  <c r="AD514" i="27"/>
  <c r="AE514" i="27" s="1"/>
  <c r="AD515" i="27"/>
  <c r="AE515" i="27" s="1"/>
  <c r="AD516" i="27"/>
  <c r="AE516" i="27" s="1"/>
  <c r="AD517" i="27"/>
  <c r="AE517" i="27" s="1"/>
  <c r="AD518" i="27"/>
  <c r="AE518" i="27" s="1"/>
  <c r="AD519" i="27"/>
  <c r="AE519" i="27" s="1"/>
  <c r="AD520" i="27"/>
  <c r="AE520" i="27" s="1"/>
  <c r="AD521" i="27"/>
  <c r="AE521" i="27" s="1"/>
  <c r="AD522" i="27"/>
  <c r="AE522" i="27" s="1"/>
  <c r="AD523" i="27"/>
  <c r="AE523" i="27" s="1"/>
  <c r="AD524" i="27"/>
  <c r="AE524" i="27" s="1"/>
  <c r="AD525" i="27"/>
  <c r="AE525" i="27" s="1"/>
  <c r="AD526" i="27"/>
  <c r="AE526" i="27" s="1"/>
  <c r="AD527" i="27"/>
  <c r="AE527" i="27" s="1"/>
  <c r="AD528" i="27"/>
  <c r="AE528" i="27" s="1"/>
  <c r="AD529" i="27"/>
  <c r="AE529" i="27" s="1"/>
  <c r="AD530" i="27"/>
  <c r="AE530" i="27" s="1"/>
  <c r="AD531" i="27"/>
  <c r="AE531" i="27" s="1"/>
  <c r="AD532" i="27"/>
  <c r="AE532" i="27" s="1"/>
  <c r="AD533" i="27"/>
  <c r="AE533" i="27" s="1"/>
  <c r="AD534" i="27"/>
  <c r="AE534" i="27" s="1"/>
  <c r="AD535" i="27"/>
  <c r="AE535" i="27" s="1"/>
  <c r="AD536" i="27"/>
  <c r="AE536" i="27" s="1"/>
  <c r="AD537" i="27"/>
  <c r="AE537" i="27" s="1"/>
  <c r="AD538" i="27"/>
  <c r="AE538" i="27" s="1"/>
  <c r="AD539" i="27"/>
  <c r="AE539" i="27" s="1"/>
  <c r="AD540" i="27"/>
  <c r="AE540" i="27" s="1"/>
  <c r="AD541" i="27"/>
  <c r="AE541" i="27" s="1"/>
  <c r="AD542" i="27"/>
  <c r="AE542" i="27" s="1"/>
  <c r="AD543" i="27"/>
  <c r="AE543" i="27" s="1"/>
  <c r="AD544" i="27"/>
  <c r="AE544" i="27" s="1"/>
  <c r="AD545" i="27"/>
  <c r="AE545" i="27" s="1"/>
  <c r="AD546" i="27"/>
  <c r="AE546" i="27" s="1"/>
  <c r="AD547" i="27"/>
  <c r="AE547" i="27" s="1"/>
  <c r="AD548" i="27"/>
  <c r="AE548" i="27" s="1"/>
  <c r="AD549" i="27"/>
  <c r="AE549" i="27" s="1"/>
  <c r="AD550" i="27"/>
  <c r="AE550" i="27" s="1"/>
  <c r="AD551" i="27"/>
  <c r="AE551" i="27" s="1"/>
  <c r="AD552" i="27"/>
  <c r="AE552" i="27" s="1"/>
  <c r="AD553" i="27"/>
  <c r="AE553" i="27" s="1"/>
  <c r="AD554" i="27"/>
  <c r="AE554" i="27" s="1"/>
  <c r="AD555" i="27"/>
  <c r="AE555" i="27" s="1"/>
  <c r="AD556" i="27"/>
  <c r="AE556" i="27" s="1"/>
  <c r="AD557" i="27"/>
  <c r="AE557" i="27" s="1"/>
  <c r="AD558" i="27"/>
  <c r="AE558" i="27" s="1"/>
  <c r="AD559" i="27"/>
  <c r="AE559" i="27" s="1"/>
  <c r="AD560" i="27"/>
  <c r="AE560" i="27" s="1"/>
  <c r="AD561" i="27"/>
  <c r="AE561" i="27" s="1"/>
  <c r="AD562" i="27"/>
  <c r="AE562" i="27" s="1"/>
  <c r="AD563" i="27"/>
  <c r="AE563" i="27" s="1"/>
  <c r="AD564" i="27"/>
  <c r="AE564" i="27" s="1"/>
  <c r="AD565" i="27"/>
  <c r="AE565" i="27" s="1"/>
  <c r="AD566" i="27"/>
  <c r="AE566" i="27" s="1"/>
  <c r="AD567" i="27"/>
  <c r="AE567" i="27" s="1"/>
  <c r="AD568" i="27"/>
  <c r="AE568" i="27" s="1"/>
  <c r="AD569" i="27"/>
  <c r="AE569" i="27" s="1"/>
  <c r="AD570" i="27"/>
  <c r="AE570" i="27" s="1"/>
  <c r="AD571" i="27"/>
  <c r="AE571" i="27" s="1"/>
  <c r="AD572" i="27"/>
  <c r="AE572" i="27" s="1"/>
  <c r="AD573" i="27"/>
  <c r="AE573" i="27" s="1"/>
  <c r="AD574" i="27"/>
  <c r="AE574" i="27" s="1"/>
  <c r="AD575" i="27"/>
  <c r="AE575" i="27" s="1"/>
  <c r="AD576" i="27"/>
  <c r="AE576" i="27" s="1"/>
  <c r="AD577" i="27"/>
  <c r="AE577" i="27" s="1"/>
  <c r="AD578" i="27"/>
  <c r="AE578" i="27" s="1"/>
  <c r="AD579" i="27"/>
  <c r="AE579" i="27" s="1"/>
  <c r="AD580" i="27"/>
  <c r="AE580" i="27" s="1"/>
  <c r="AD581" i="27"/>
  <c r="AE581" i="27" s="1"/>
  <c r="AD582" i="27"/>
  <c r="AE582" i="27" s="1"/>
  <c r="AD583" i="27"/>
  <c r="AE583" i="27" s="1"/>
  <c r="AD584" i="27"/>
  <c r="AE584" i="27" s="1"/>
  <c r="AD585" i="27"/>
  <c r="AE585" i="27" s="1"/>
  <c r="AD586" i="27"/>
  <c r="AE586" i="27" s="1"/>
  <c r="AD587" i="27"/>
  <c r="AE587" i="27" s="1"/>
  <c r="AD588" i="27"/>
  <c r="AE588" i="27" s="1"/>
  <c r="AD589" i="27"/>
  <c r="AE589" i="27" s="1"/>
  <c r="AD590" i="27"/>
  <c r="AE590" i="27" s="1"/>
  <c r="AD591" i="27"/>
  <c r="AE591" i="27" s="1"/>
  <c r="AD592" i="27"/>
  <c r="AE592" i="27" s="1"/>
  <c r="AD593" i="27"/>
  <c r="AE593" i="27" s="1"/>
  <c r="AD594" i="27"/>
  <c r="AE594" i="27" s="1"/>
  <c r="AD595" i="27"/>
  <c r="AE595" i="27" s="1"/>
  <c r="AD596" i="27"/>
  <c r="AE596" i="27" s="1"/>
  <c r="AD597" i="27"/>
  <c r="AE597" i="27" s="1"/>
  <c r="AD598" i="27"/>
  <c r="AE598" i="27" s="1"/>
  <c r="AD599" i="27"/>
  <c r="AE599" i="27" s="1"/>
  <c r="AD600" i="27"/>
  <c r="AE600" i="27" s="1"/>
  <c r="AD601" i="27"/>
  <c r="AE601" i="27" s="1"/>
  <c r="AD602" i="27"/>
  <c r="AE602" i="27" s="1"/>
  <c r="AD603" i="27"/>
  <c r="AE603" i="27" s="1"/>
  <c r="AD604" i="27"/>
  <c r="AE604" i="27" s="1"/>
  <c r="AD605" i="27"/>
  <c r="AE605" i="27" s="1"/>
  <c r="AD606" i="27"/>
  <c r="AE606" i="27" s="1"/>
  <c r="AD607" i="27"/>
  <c r="AE607" i="27" s="1"/>
  <c r="AD608" i="27"/>
  <c r="AE608" i="27" s="1"/>
  <c r="AD609" i="27"/>
  <c r="AE609" i="27" s="1"/>
  <c r="AD610" i="27"/>
  <c r="AE610" i="27" s="1"/>
  <c r="AD611" i="27"/>
  <c r="AE611" i="27" s="1"/>
  <c r="AD612" i="27"/>
  <c r="AE612" i="27" s="1"/>
  <c r="AD613" i="27"/>
  <c r="AE613" i="27" s="1"/>
  <c r="AD614" i="27"/>
  <c r="AE614" i="27" s="1"/>
  <c r="AD615" i="27"/>
  <c r="AE615" i="27" s="1"/>
  <c r="AD616" i="27"/>
  <c r="AE616" i="27" s="1"/>
  <c r="AD617" i="27"/>
  <c r="AE617" i="27" s="1"/>
  <c r="AD618" i="27"/>
  <c r="AE618" i="27" s="1"/>
  <c r="AD619" i="27"/>
  <c r="AE619" i="27" s="1"/>
  <c r="AD620" i="27"/>
  <c r="AE620" i="27" s="1"/>
  <c r="AD621" i="27"/>
  <c r="AE621" i="27" s="1"/>
  <c r="AD622" i="27"/>
  <c r="AE622" i="27" s="1"/>
  <c r="AD623" i="27"/>
  <c r="AE623" i="27" s="1"/>
  <c r="AD624" i="27"/>
  <c r="AE624" i="27" s="1"/>
  <c r="AD625" i="27"/>
  <c r="AE625" i="27" s="1"/>
  <c r="AD626" i="27"/>
  <c r="AE626" i="27" s="1"/>
  <c r="AD627" i="27"/>
  <c r="AE627" i="27" s="1"/>
  <c r="AD628" i="27"/>
  <c r="AE628" i="27" s="1"/>
  <c r="AD629" i="27"/>
  <c r="AE629" i="27" s="1"/>
  <c r="AD630" i="27"/>
  <c r="AE630" i="27" s="1"/>
  <c r="AD631" i="27"/>
  <c r="AE631" i="27" s="1"/>
  <c r="AD632" i="27"/>
  <c r="AE632" i="27" s="1"/>
  <c r="AD633" i="27"/>
  <c r="AE633" i="27" s="1"/>
  <c r="AD634" i="27"/>
  <c r="AE634" i="27" s="1"/>
  <c r="AD635" i="27"/>
  <c r="AE635" i="27" s="1"/>
  <c r="AD636" i="27"/>
  <c r="AE636" i="27" s="1"/>
  <c r="AD637" i="27"/>
  <c r="AE637" i="27" s="1"/>
  <c r="AD638" i="27"/>
  <c r="AE638" i="27" s="1"/>
  <c r="AD639" i="27"/>
  <c r="AE639" i="27" s="1"/>
  <c r="AD640" i="27"/>
  <c r="AE640" i="27" s="1"/>
  <c r="AD641" i="27"/>
  <c r="AE641" i="27" s="1"/>
  <c r="AD642" i="27"/>
  <c r="AE642" i="27" s="1"/>
  <c r="AD643" i="27"/>
  <c r="AE643" i="27" s="1"/>
  <c r="AD644" i="27"/>
  <c r="AE644" i="27" s="1"/>
  <c r="AD645" i="27"/>
  <c r="AE645" i="27" s="1"/>
  <c r="AD646" i="27"/>
  <c r="AE646" i="27" s="1"/>
  <c r="AD647" i="27"/>
  <c r="AE647" i="27" s="1"/>
  <c r="AD648" i="27"/>
  <c r="AE648" i="27" s="1"/>
  <c r="AD649" i="27"/>
  <c r="AE649" i="27" s="1"/>
  <c r="AD650" i="27"/>
  <c r="AE650" i="27" s="1"/>
  <c r="AD651" i="27"/>
  <c r="AE651" i="27" s="1"/>
  <c r="AD652" i="27"/>
  <c r="AE652" i="27" s="1"/>
  <c r="AD653" i="27"/>
  <c r="AE653" i="27" s="1"/>
  <c r="AD654" i="27"/>
  <c r="AE654" i="27" s="1"/>
  <c r="AD655" i="27"/>
  <c r="AE655" i="27" s="1"/>
  <c r="AD656" i="27"/>
  <c r="AE656" i="27" s="1"/>
  <c r="AD657" i="27"/>
  <c r="AE657" i="27" s="1"/>
  <c r="AD658" i="27"/>
  <c r="AE658" i="27" s="1"/>
  <c r="AD659" i="27"/>
  <c r="AE659" i="27" s="1"/>
  <c r="AD660" i="27"/>
  <c r="AE660" i="27" s="1"/>
  <c r="AD661" i="27"/>
  <c r="AE661" i="27" s="1"/>
  <c r="AD662" i="27"/>
  <c r="AE662" i="27" s="1"/>
  <c r="AD663" i="27"/>
  <c r="AE663" i="27" s="1"/>
  <c r="AD664" i="27"/>
  <c r="AE664" i="27" s="1"/>
  <c r="AD665" i="27"/>
  <c r="AE665" i="27" s="1"/>
  <c r="AD666" i="27"/>
  <c r="AE666" i="27" s="1"/>
  <c r="AD667" i="27"/>
  <c r="AE667" i="27" s="1"/>
  <c r="AD668" i="27"/>
  <c r="AE668" i="27" s="1"/>
  <c r="AD669" i="27"/>
  <c r="AE669" i="27" s="1"/>
  <c r="AD670" i="27"/>
  <c r="AE670" i="27" s="1"/>
  <c r="AD671" i="27"/>
  <c r="AE671" i="27" s="1"/>
  <c r="AD672" i="27"/>
  <c r="AE672" i="27" s="1"/>
  <c r="AD673" i="27"/>
  <c r="AE673" i="27" s="1"/>
  <c r="AD674" i="27"/>
  <c r="AE674" i="27" s="1"/>
  <c r="AD675" i="27"/>
  <c r="AE675" i="27" s="1"/>
  <c r="AD676" i="27"/>
  <c r="AE676" i="27" s="1"/>
  <c r="AD677" i="27"/>
  <c r="AE677" i="27" s="1"/>
  <c r="AD678" i="27"/>
  <c r="AE678" i="27" s="1"/>
  <c r="AD679" i="27"/>
  <c r="AE679" i="27" s="1"/>
  <c r="AD680" i="27"/>
  <c r="AE680" i="27" s="1"/>
  <c r="AD681" i="27"/>
  <c r="AE681" i="27" s="1"/>
  <c r="AD682" i="27"/>
  <c r="AE682" i="27" s="1"/>
  <c r="AD683" i="27"/>
  <c r="AE683" i="27" s="1"/>
  <c r="AD684" i="27"/>
  <c r="AE684" i="27" s="1"/>
  <c r="AD685" i="27"/>
  <c r="AE685" i="27" s="1"/>
  <c r="AD686" i="27"/>
  <c r="AE686" i="27" s="1"/>
  <c r="AD687" i="27"/>
  <c r="AE687" i="27" s="1"/>
  <c r="AD688" i="27"/>
  <c r="AE688" i="27" s="1"/>
  <c r="AD689" i="27"/>
  <c r="AE689" i="27" s="1"/>
  <c r="AD690" i="27"/>
  <c r="AE690" i="27" s="1"/>
  <c r="AD691" i="27"/>
  <c r="AE691" i="27" s="1"/>
  <c r="AD692" i="27"/>
  <c r="AE692" i="27" s="1"/>
  <c r="AD693" i="27"/>
  <c r="AE693" i="27" s="1"/>
  <c r="AD694" i="27"/>
  <c r="AE694" i="27" s="1"/>
  <c r="AD695" i="27"/>
  <c r="AE695" i="27" s="1"/>
  <c r="AD696" i="27"/>
  <c r="AE696" i="27" s="1"/>
  <c r="AD697" i="27"/>
  <c r="AE697" i="27" s="1"/>
  <c r="AD698" i="27"/>
  <c r="AE698" i="27" s="1"/>
  <c r="AD699" i="27"/>
  <c r="AE699" i="27" s="1"/>
  <c r="AD700" i="27"/>
  <c r="AE700" i="27" s="1"/>
  <c r="AD701" i="27"/>
  <c r="AE701" i="27" s="1"/>
  <c r="AD702" i="27"/>
  <c r="AE702" i="27" s="1"/>
  <c r="AD703" i="27"/>
  <c r="AE703" i="27" s="1"/>
  <c r="AD704" i="27"/>
  <c r="AE704" i="27" s="1"/>
  <c r="AD705" i="27"/>
  <c r="AE705" i="27" s="1"/>
  <c r="AD706" i="27"/>
  <c r="AE706" i="27" s="1"/>
  <c r="AD707" i="27"/>
  <c r="AE707" i="27" s="1"/>
  <c r="AD708" i="27"/>
  <c r="AE708" i="27" s="1"/>
  <c r="AD709" i="27"/>
  <c r="AE709" i="27" s="1"/>
  <c r="AD710" i="27"/>
  <c r="AE710" i="27" s="1"/>
  <c r="AD711" i="27"/>
  <c r="AE711" i="27" s="1"/>
  <c r="AD712" i="27"/>
  <c r="AE712" i="27" s="1"/>
  <c r="AD713" i="27"/>
  <c r="AE713" i="27" s="1"/>
  <c r="AD714" i="27"/>
  <c r="AE714" i="27" s="1"/>
  <c r="AD715" i="27"/>
  <c r="AE715" i="27" s="1"/>
  <c r="AD716" i="27"/>
  <c r="AE716" i="27" s="1"/>
  <c r="AD717" i="27"/>
  <c r="AE717" i="27" s="1"/>
  <c r="AD718" i="27"/>
  <c r="AE718" i="27" s="1"/>
  <c r="AD719" i="27"/>
  <c r="AE719" i="27" s="1"/>
  <c r="AD720" i="27"/>
  <c r="AE720" i="27" s="1"/>
  <c r="AD721" i="27"/>
  <c r="AE721" i="27" s="1"/>
  <c r="AD722" i="27"/>
  <c r="AE722" i="27" s="1"/>
  <c r="AD723" i="27"/>
  <c r="AE723" i="27" s="1"/>
  <c r="AD724" i="27"/>
  <c r="AE724" i="27" s="1"/>
  <c r="AD725" i="27"/>
  <c r="AE725" i="27" s="1"/>
  <c r="AD726" i="27"/>
  <c r="AE726" i="27" s="1"/>
  <c r="AD727" i="27"/>
  <c r="AE727" i="27" s="1"/>
  <c r="AD728" i="27"/>
  <c r="AE728" i="27" s="1"/>
  <c r="AD729" i="27"/>
  <c r="AE729" i="27" s="1"/>
  <c r="AD730" i="27"/>
  <c r="AE730" i="27" s="1"/>
  <c r="AD731" i="27"/>
  <c r="AE731" i="27" s="1"/>
  <c r="AD732" i="27"/>
  <c r="AE732" i="27" s="1"/>
  <c r="AD733" i="27"/>
  <c r="AE733" i="27" s="1"/>
  <c r="AD734" i="27"/>
  <c r="AE734" i="27" s="1"/>
  <c r="AD735" i="27"/>
  <c r="AE735" i="27" s="1"/>
  <c r="AD736" i="27"/>
  <c r="AE736" i="27" s="1"/>
  <c r="AD737" i="27"/>
  <c r="AE737" i="27" s="1"/>
  <c r="AD738" i="27"/>
  <c r="AE738" i="27" s="1"/>
  <c r="AD739" i="27"/>
  <c r="AE739" i="27" s="1"/>
  <c r="AD740" i="27"/>
  <c r="AE740" i="27" s="1"/>
  <c r="AD741" i="27"/>
  <c r="AE741" i="27" s="1"/>
  <c r="AD742" i="27"/>
  <c r="AE742" i="27" s="1"/>
  <c r="AD743" i="27"/>
  <c r="AE743" i="27" s="1"/>
  <c r="AD744" i="27"/>
  <c r="AE744" i="27" s="1"/>
  <c r="AD745" i="27"/>
  <c r="AE745" i="27" s="1"/>
  <c r="AD746" i="27"/>
  <c r="AE746" i="27" s="1"/>
  <c r="AD747" i="27"/>
  <c r="AE747" i="27" s="1"/>
  <c r="AD748" i="27"/>
  <c r="AE748" i="27" s="1"/>
  <c r="AD749" i="27"/>
  <c r="AE749" i="27" s="1"/>
  <c r="E749" i="27"/>
  <c r="E748" i="27"/>
  <c r="E8" i="27" l="1"/>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alcChain>
</file>

<file path=xl/sharedStrings.xml><?xml version="1.0" encoding="utf-8"?>
<sst xmlns="http://schemas.openxmlformats.org/spreadsheetml/2006/main" count="31472" uniqueCount="3760">
  <si>
    <t>Client</t>
  </si>
  <si>
    <t>Client Description</t>
  </si>
  <si>
    <t>Client Geography</t>
  </si>
  <si>
    <t>EXL Delivery Location</t>
  </si>
  <si>
    <t>EXL Process Manager</t>
  </si>
  <si>
    <t>Relationship Tenure (years)</t>
  </si>
  <si>
    <t>Current Status</t>
  </si>
  <si>
    <t>Function (L1)</t>
  </si>
  <si>
    <t xml:space="preserve">Function (L2) </t>
  </si>
  <si>
    <t xml:space="preserve">Process Name (L3) </t>
  </si>
  <si>
    <t>Task Name</t>
  </si>
  <si>
    <t>Process Description/ High-level steps</t>
  </si>
  <si>
    <t>Business Lines</t>
  </si>
  <si>
    <t>LOB / Product Type</t>
  </si>
  <si>
    <t>LOB Breakup</t>
  </si>
  <si>
    <t>Market Type</t>
  </si>
  <si>
    <t>Work Type</t>
  </si>
  <si>
    <t>Complexity Level</t>
  </si>
  <si>
    <t>Pre-Process Training Duration (weeks)</t>
  </si>
  <si>
    <t>Process Training Duration (weeks)</t>
  </si>
  <si>
    <t>Ramp Duration (weeks)</t>
  </si>
  <si>
    <t>Pricing Model</t>
  </si>
  <si>
    <t>Pricing Currency</t>
  </si>
  <si>
    <t>Annual Rate</t>
  </si>
  <si>
    <t>Billable FTEs</t>
  </si>
  <si>
    <t>SME + QA + Trainer</t>
  </si>
  <si>
    <t>Supervisor</t>
  </si>
  <si>
    <t>Roster HC (Only Buffer Resources)</t>
  </si>
  <si>
    <t>Total Staff</t>
  </si>
  <si>
    <t>Roster %</t>
  </si>
  <si>
    <t>Average Monthly Volume</t>
  </si>
  <si>
    <t>Avergae Monthly Volume by LOB</t>
  </si>
  <si>
    <t>Peak Volume Months</t>
  </si>
  <si>
    <t>Process AHT (Minutes)</t>
  </si>
  <si>
    <t>Timeliness SLA</t>
  </si>
  <si>
    <t>Quality SLA</t>
  </si>
  <si>
    <t>Quality Methodology</t>
  </si>
  <si>
    <t>Additional Metrics - 1</t>
  </si>
  <si>
    <t>Additional Metrics - 2</t>
  </si>
  <si>
    <t>Pain Points</t>
  </si>
  <si>
    <t>Key Customer / Business Outcomes Impacted</t>
  </si>
  <si>
    <t>Implemented Digital Solutions (if any)</t>
  </si>
  <si>
    <t>Summary of Implemented Solution</t>
  </si>
  <si>
    <t>Expected/ Derived Benefits</t>
  </si>
  <si>
    <t>Planned/Ongoing Digital Solutions (if any)</t>
  </si>
  <si>
    <t>Summary of Planned Solutions</t>
  </si>
  <si>
    <t>Expected Benefits</t>
  </si>
  <si>
    <t>Any client led innovation / transformation</t>
  </si>
  <si>
    <t>Suppliers</t>
  </si>
  <si>
    <t>Input Format</t>
  </si>
  <si>
    <t>Standardization level of Inputs</t>
  </si>
  <si>
    <t>% split of Input types</t>
  </si>
  <si>
    <t>Output Format</t>
  </si>
  <si>
    <t>Customers</t>
  </si>
  <si>
    <t>Client Applications / Admin Systems</t>
  </si>
  <si>
    <t>North America</t>
  </si>
  <si>
    <t>Noida, India</t>
  </si>
  <si>
    <t>Active</t>
  </si>
  <si>
    <t>Claims</t>
  </si>
  <si>
    <t>Subrogation and Compliance</t>
  </si>
  <si>
    <t>Platform Provider</t>
  </si>
  <si>
    <t>Multi/ Combination</t>
  </si>
  <si>
    <t>Large</t>
  </si>
  <si>
    <t>Blended</t>
  </si>
  <si>
    <t>L3</t>
  </si>
  <si>
    <t>Others</t>
  </si>
  <si>
    <t>NA</t>
  </si>
  <si>
    <t>EXL Platform</t>
  </si>
  <si>
    <t>Client's claims department / adjusters</t>
  </si>
  <si>
    <t>Multiple</t>
  </si>
  <si>
    <t>Unstructured</t>
  </si>
  <si>
    <t>Underwriting and UW Support</t>
  </si>
  <si>
    <t>Risk Control</t>
  </si>
  <si>
    <t>UW Surveys</t>
  </si>
  <si>
    <t>Property</t>
  </si>
  <si>
    <t>All</t>
  </si>
  <si>
    <t>Back Office</t>
  </si>
  <si>
    <t>2 to 4</t>
  </si>
  <si>
    <t xml:space="preserve">Transaction Based </t>
  </si>
  <si>
    <t>USD</t>
  </si>
  <si>
    <t>Structured</t>
  </si>
  <si>
    <t>Allstate</t>
  </si>
  <si>
    <t>Fortune 100 US P&amp;C Carrier</t>
  </si>
  <si>
    <t>Noida &amp; Pune, India</t>
  </si>
  <si>
    <t>Meeta Sarkar, Varunjesh Bhambri</t>
  </si>
  <si>
    <t>Inactive</t>
  </si>
  <si>
    <t>Initiate Recovery Collection &amp; processing</t>
  </si>
  <si>
    <t>Subro  -ERT</t>
  </si>
  <si>
    <t>ERT- perform authorized subrogation services to reach agreement for settlement with Third Party Carriers (TPCs) who are US Arbitration Forum Members (the “Arb Members”)</t>
  </si>
  <si>
    <t>Auto</t>
  </si>
  <si>
    <t>L2</t>
  </si>
  <si>
    <t>FTE Based</t>
  </si>
  <si>
    <t>DPO – Defect Per Opportunity</t>
  </si>
  <si>
    <t>Cycle Time</t>
  </si>
  <si>
    <t>Instructions in Application</t>
  </si>
  <si>
    <t>clients</t>
  </si>
  <si>
    <t>Next Gen</t>
  </si>
  <si>
    <t>Subro - ART</t>
  </si>
  <si>
    <t>ART- perform authorized subrogation services to reach agreement for settlement with Third Party Carriers (TPCs) who are not members of E-Subro Hub</t>
  </si>
  <si>
    <t>Subro - DD</t>
  </si>
  <si>
    <t>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t>
  </si>
  <si>
    <t>Varunjesh Bhambri, Meeta Sarkar</t>
  </si>
  <si>
    <t>Issuance</t>
  </si>
  <si>
    <t>Endorsements Issuance</t>
  </si>
  <si>
    <t>Allstate Business Insurance -Crystal Reports</t>
  </si>
  <si>
    <t>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t>
  </si>
  <si>
    <t>Package</t>
  </si>
  <si>
    <t>Auto and Property Business</t>
  </si>
  <si>
    <t>no Quality parameter in SLA's</t>
  </si>
  <si>
    <t>Agent/Customers</t>
  </si>
  <si>
    <t>Emails</t>
  </si>
  <si>
    <t xml:space="preserve">ABI OPS, Outlook, InternetConnexus, Manta, Centralized Mailbox </t>
  </si>
  <si>
    <t>Policy Servicing</t>
  </si>
  <si>
    <t>Endorsements intake and setup</t>
  </si>
  <si>
    <t>2 week</t>
  </si>
  <si>
    <t>Endorsements Quotes/ Rating</t>
  </si>
  <si>
    <t>Allstate Business Insurance -Special Project</t>
  </si>
  <si>
    <t>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t>
  </si>
  <si>
    <t>Allstate Business Insurance - QV</t>
  </si>
  <si>
    <t>Allstate Business Insurance Quality Assurance (ABI QA) - review and evaluate selected audit files representative of the different types of audits performed and sharing regular report with clients</t>
  </si>
  <si>
    <t>L4</t>
  </si>
  <si>
    <t>4 Week</t>
  </si>
  <si>
    <t>Feb, May,Aug, Nov</t>
  </si>
  <si>
    <t>100% due date</t>
  </si>
  <si>
    <t>Clients</t>
  </si>
  <si>
    <t xml:space="preserve">ABI OPS, Outlook, Internet Connexus, Centralized Mailbox, Google Chrome </t>
  </si>
  <si>
    <t>Allstate Business Insurance - Quote</t>
  </si>
  <si>
    <t>In relation to ABI Quote, Service Provider shall -
a) Review Accord forms received from agents
b) Update mandatory fields in Connexus basis the information provided in the Accord</t>
  </si>
  <si>
    <t> 5 to 20 vehicles: 3 business days
 More than 20 Vehicles: 5 business days
 Commercial Package Policy: 5 business days</t>
  </si>
  <si>
    <t xml:space="preserve">ABI OPS, Outlook, Internet Connexus, Centralized Mailbox, Google Chrome, Duck Creek </t>
  </si>
  <si>
    <t>Customer service</t>
  </si>
  <si>
    <t>Emergency Roadside Assistance</t>
  </si>
  <si>
    <t>Voice</t>
  </si>
  <si>
    <t>8 Week</t>
  </si>
  <si>
    <t>Jan / Jun / Jul</t>
  </si>
  <si>
    <t>Process Excellence</t>
  </si>
  <si>
    <t>1) Reduce/ optimize the cost incurred by Allstate per transaction for OON
2) Improve efficiency,
bandwidth and customer satisfaction</t>
  </si>
  <si>
    <t>Analytics</t>
  </si>
  <si>
    <t>Customer/IVR</t>
  </si>
  <si>
    <t>Member Service</t>
  </si>
  <si>
    <t>Handling membership queries related to the motorclub plans and billing, processing payment, retaining and cancelling the membership, sending ID cards, making endorsements, catering to customer complaints etc</t>
  </si>
  <si>
    <t>Customer</t>
  </si>
  <si>
    <t>Negotiation/ Arbitration/ Resolution</t>
  </si>
  <si>
    <t>Outcome Based</t>
  </si>
  <si>
    <t>Small, Mid Size &amp; Large</t>
  </si>
  <si>
    <t>Semi-Structured</t>
  </si>
  <si>
    <t>Initiation</t>
  </si>
  <si>
    <t>Claim Setup and assignment</t>
  </si>
  <si>
    <t>Auto &amp; Property FNOL</t>
  </si>
  <si>
    <t>Personal &amp; Commercial</t>
  </si>
  <si>
    <t>80% within 20 sec</t>
  </si>
  <si>
    <t>Closed Loop Feedback (CSAT)
Regulatory Compliance</t>
  </si>
  <si>
    <t>Mehod of Inspection (MOI) at FNOL
Initia and Final Strategic MOI</t>
  </si>
  <si>
    <t>NextGen
Avaya
RightAnswers</t>
  </si>
  <si>
    <t>First Notice of Loss Calls</t>
  </si>
  <si>
    <t xml:space="preserve">Handle FNOL calls for Auto and Property losses and setup claims on the system </t>
  </si>
  <si>
    <t>Auto &amp; Property</t>
  </si>
  <si>
    <t>Auto - 80-90%
Property - 10-20%</t>
  </si>
  <si>
    <t>16 -17 min</t>
  </si>
  <si>
    <t>Insured / Claimant / TPC / Attorney / Agent / Others</t>
  </si>
  <si>
    <t>FNOL form</t>
  </si>
  <si>
    <t>Completed FNOL</t>
  </si>
  <si>
    <t>Insured / Claimant / TPC / Attorney / Others / Cleint's claim adjusters</t>
  </si>
  <si>
    <t>Investigation</t>
  </si>
  <si>
    <t>American Modern Insurance Group</t>
  </si>
  <si>
    <t>US National Specialty Carrier</t>
  </si>
  <si>
    <t>Souvick Paul</t>
  </si>
  <si>
    <t>Broker and Agent Management</t>
  </si>
  <si>
    <t>New Agent Set-up</t>
  </si>
  <si>
    <t>Coordination
Setup
Modification
Cancellations</t>
  </si>
  <si>
    <t>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t>
  </si>
  <si>
    <t>Auto, Home, Motor Cycle, Collector Vehicle, Watercraft, Manufactured/Mobile home</t>
  </si>
  <si>
    <t>Small &amp; Mid Size</t>
  </si>
  <si>
    <t>Mar, Apr, May &amp; Jun</t>
  </si>
  <si>
    <t>Same Day</t>
  </si>
  <si>
    <t>Agency feedbacks</t>
  </si>
  <si>
    <t>Quality</t>
  </si>
  <si>
    <t>Appian for workflow management. Scout for sched aderence monitoring</t>
  </si>
  <si>
    <t>Agencies &amp; inhouse team</t>
  </si>
  <si>
    <t>Emails: 10%
Database: 90%</t>
  </si>
  <si>
    <t>Agencies</t>
  </si>
  <si>
    <t>Citrix
Appian
Modern Link
AMSuite
Filenet
Outlook
Vertafore
DocuSign
Cognos
Adobe Pro Access
Accessory Manager Blue Screens
AMIG Shared Drive
MS EXCEL
MS Teams
MS Word</t>
  </si>
  <si>
    <t>Non Premium Endorsement, Premium Bearing Endorsement, AOR, Schedule Manufactured Home, Cancellation, AOR, Watercraft Processing, Motorcycle processing, Collector vehicle processing, EZPAY, e-Sign, New Business, DocuSign</t>
  </si>
  <si>
    <t>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t>
  </si>
  <si>
    <t>1 Day</t>
  </si>
  <si>
    <t>Customer feedbacks</t>
  </si>
  <si>
    <t>Agent, Insured, Third Parties &amp; inhouse team</t>
  </si>
  <si>
    <t xml:space="preserve">Emails: 90%
Images: 10%
</t>
  </si>
  <si>
    <t>Agents, Insureds &amp; Third parties</t>
  </si>
  <si>
    <t>Citrix
Appian
Modern Link
AMSuite
Filenet
Outlook
DocuSign
Adobe Pro Access
MAT Tool 
AMIG Shared Drive
MS EXCEL
MS Teams
MS Word</t>
  </si>
  <si>
    <t>Indexing</t>
  </si>
  <si>
    <t>Cordination to Underwriting</t>
  </si>
  <si>
    <t>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t>
  </si>
  <si>
    <t>Agent, Insured &amp; inhouse team</t>
  </si>
  <si>
    <t>Emails: 98%
Application on browser: 1%
Mainframe: 1%</t>
  </si>
  <si>
    <t>Underwriters</t>
  </si>
  <si>
    <t>Citrix
Appian
Modern Link
AMSuite
Filenet
Outlook
Adobe Pro Access
AMIG Shared Drive
MS EXCEL
MS Teams
MS Word</t>
  </si>
  <si>
    <t xml:space="preserve">Claims FileNet, File Copy, Police/Fire Report, Recorded Statement, NSM, MBA Commercial, SerachTec deed search, ISO Deed Search  &amp; New Losses </t>
  </si>
  <si>
    <t>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t>
  </si>
  <si>
    <t>Mar &amp; Oct</t>
  </si>
  <si>
    <t>No</t>
  </si>
  <si>
    <t>Adjuster &amp; inhouse team</t>
  </si>
  <si>
    <t xml:space="preserve">Emails: 80%
Application on browser: 20%
</t>
  </si>
  <si>
    <t>Citrix
Modern Link
AMSuite
Filenet
Outlook
Production tool
Adobe Pro Access
MS Access Tool
ISO
Guidewire Claims Center 
Infraware 
SerachTEc
Fonefinder
AMIGAddin.Amclaims tool
AMIG Shared Drive
MS EXCEL
MS Teams
MS Word</t>
  </si>
  <si>
    <t>Global</t>
  </si>
  <si>
    <t>Issuing Certificate of Insurance</t>
  </si>
  <si>
    <t>Onshore clients</t>
  </si>
  <si>
    <t>Assurant Solutions</t>
  </si>
  <si>
    <t>Large US Multi-line Specialty Carrier</t>
  </si>
  <si>
    <t>Alabang, PHP</t>
  </si>
  <si>
    <t>Mark Redondo</t>
  </si>
  <si>
    <t>Customer Service Call Centre - Repair/ Replacement/ SOS help/ General Inquiry</t>
  </si>
  <si>
    <t>Renters</t>
  </si>
  <si>
    <t xml:space="preserve">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t>
  </si>
  <si>
    <t>Property, Auto</t>
  </si>
  <si>
    <t>Aug - Nov</t>
  </si>
  <si>
    <t>360 secs</t>
  </si>
  <si>
    <t>shared queue with onshore</t>
  </si>
  <si>
    <t>Al Coach</t>
  </si>
  <si>
    <t>Insured, Property Management, Agents</t>
  </si>
  <si>
    <t>Insured</t>
  </si>
  <si>
    <t>PMS, AIC, Collab network, Exceed, Policy Prefix, CRM, Outlook, MS Office</t>
  </si>
  <si>
    <t>FNOL</t>
  </si>
  <si>
    <t>Files FNOL for property and auto claims
Receives calls checking status of claim/payment</t>
  </si>
  <si>
    <t>378 secs</t>
  </si>
  <si>
    <t>SL - 80%</t>
  </si>
  <si>
    <t>Nervehub - Gameboards</t>
  </si>
  <si>
    <t>Gameboard is a comprehensive visualization of operational performance across process, people and transformation</t>
  </si>
  <si>
    <t>Higher performance rates given that the agents have access to view their performance scores</t>
  </si>
  <si>
    <t>Generate actionable insights, AL/ML based Cognitive Nudges to drive behavior change and Personalise coaching regime unquely for each employee</t>
  </si>
  <si>
    <t xml:space="preserve">Achieve target behavior to drive performance of each employee
</t>
  </si>
  <si>
    <t>ICE Claims System, Outlook, KwikWork, Guidewire, MS Office, PLNAR</t>
  </si>
  <si>
    <t>Ramesh Kumar, Devashish Dhingra</t>
  </si>
  <si>
    <t>Legal Support Services</t>
  </si>
  <si>
    <t>Procurement</t>
  </si>
  <si>
    <t>Contract Deliverables &amp; Obligation Management</t>
  </si>
  <si>
    <t xml:space="preserve">Tracking of approved Vendor D&amp;O’s 
Vendor Performance SLA Review
Invoice Initial Review 
Credits and Earn backs Review
Tracking Action Item Updates provided by Customer in the Governance Library
</t>
  </si>
  <si>
    <t xml:space="preserve">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
</t>
  </si>
  <si>
    <t>Auto, WC, CUP, Package Lines</t>
  </si>
  <si>
    <t>March/ April / November/ December</t>
  </si>
  <si>
    <t xml:space="preserve">Tracking of approved Vendor D&amp;O’s  - 4-8 hours 
Vendor Performance SLA Review - 4-12 hours
Invoice Initial Review - 4-8 hours
Credits and Earn backs Review- 1-2 hours
Tracking Action Item Updates provided by Customer in the Governance Library - 6-10 hours
</t>
  </si>
  <si>
    <t xml:space="preserve">Tracking of approved Vendor D&amp;O’s  - 5 days (Expected - 90%, Minimum - 90%)
Vendor Performance SLA Review - 5 days
(Expected - 90%, Minimum - 90%)
Invoice Initial Review - 5 days
(Expected - 90%, Minimum - 90%)
Credits and Earn backs Review- 2 days
(Expected - 90%, Minimum - 90%)
Tracking Action Item Updates provided by Customer in the Governance Library - 2 days
(Expected - 90%, Minimum - 90%)
</t>
  </si>
  <si>
    <t>Procurement Department</t>
  </si>
  <si>
    <t xml:space="preserve">Process Excellence - Input methodology for one vendor 
Process Excellence - Removal of redundant reports </t>
  </si>
  <si>
    <t>Eliminating irrelevant details and simplifying the report for one vendor thereby saving 4 hours processing time/ month
Time and cost savings - 2 to 3 hours/ month processing time saved for 1 vendor deliverable</t>
  </si>
  <si>
    <t>EXL delivery and analytics team is working together on automating – Global expense reports for one of the vendors. EXL delivery team is sharing subject matter expertise with analytics team to reduce manual input time via VBA program to arrive at increased efficiency</t>
  </si>
  <si>
    <t xml:space="preserve">Accuracy - No human intervention
Time reduction in creating a complicated file for a vendor from ~16 hours/ month to ~12  hours/ month
</t>
  </si>
  <si>
    <t>Assurant Vendors</t>
  </si>
  <si>
    <t xml:space="preserve">Email - 90%
SharePoint - 10%
</t>
  </si>
  <si>
    <t>Assurant Procurement Team</t>
  </si>
  <si>
    <t>Fieldglass, SharePoint,  Custom Point,  MS Office Suite</t>
  </si>
  <si>
    <t>E2E Contracting Services</t>
  </si>
  <si>
    <t>Pune, India</t>
  </si>
  <si>
    <t>Ruchika,, Yusuf Bhavnagarwala</t>
  </si>
  <si>
    <t>Coverage Verification</t>
  </si>
  <si>
    <t>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t>
  </si>
  <si>
    <t>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t>
  </si>
  <si>
    <t>Indexing - 7700
Proof of Loss / CRB - 10200
Pending Review - 8300
Model Verification - 15000
Billing Verification - 7000
Web Claim - 2600
SIU - 2700
OPR - 250
Phone Bill - 125
Driving License - 7300
Replacement Issue - 900</t>
  </si>
  <si>
    <t>Aug, Sep</t>
  </si>
  <si>
    <t>Indexing - 0.15
Proof of Loss / CRB - 1.30
Pending Review - 2
Model Verification - 3
Billing Verification - 3
Web Claim - 2.45
SIU - 2
OPR - 4.30
Phone Bill - 2.30
Driving License - 2.30
Replacement Issue - 4.15</t>
  </si>
  <si>
    <t>100% cases should be completed within 24Hrs</t>
  </si>
  <si>
    <t>DPU – Defect Per Unit</t>
  </si>
  <si>
    <t>Overall Productivity should be above 90%</t>
  </si>
  <si>
    <t>All the worktypes that needs to be processed comes through ePrism application</t>
  </si>
  <si>
    <t>57%  Sharp &amp; 43% Workqueue</t>
  </si>
  <si>
    <t>The Claims are either approved or rejected in the application</t>
  </si>
  <si>
    <t>MyWorkspace, ePrism, T-Mobile ATLAS, EDGE, Compass Carrier</t>
  </si>
  <si>
    <t xml:space="preserve">Data entry </t>
  </si>
  <si>
    <t>Commercial &amp; Specialty</t>
  </si>
  <si>
    <t>Specialty</t>
  </si>
  <si>
    <t>Specialized</t>
  </si>
  <si>
    <t>4 to 6</t>
  </si>
  <si>
    <t>2 to 3</t>
  </si>
  <si>
    <t>6 to 8</t>
  </si>
  <si>
    <t>Berkshire Hathaway Guard</t>
  </si>
  <si>
    <t>Cape Town, South Africa</t>
  </si>
  <si>
    <t>Faeekah Cornelius</t>
  </si>
  <si>
    <t>Inquiry calls from providers (medical bill review; bill intake; medical billing form and payment)</t>
  </si>
  <si>
    <t xml:space="preserve">FROI, General Enquiries, Existing Claims, Medical bills, </t>
  </si>
  <si>
    <t>Property &amp; Casualty</t>
  </si>
  <si>
    <t>10 minutes</t>
  </si>
  <si>
    <t>N/A</t>
  </si>
  <si>
    <t>Client's claims department / adjusters/ Providers</t>
  </si>
  <si>
    <t>Client Customers</t>
  </si>
  <si>
    <t>IIS, MS Office 365, Ring Central, NiceInContact</t>
  </si>
  <si>
    <t>Certificates (COI, AI, Renewal)</t>
  </si>
  <si>
    <t>Billing, audits, Policy documents, Data Entry</t>
  </si>
  <si>
    <t>Clients Underwriting department/Mortgagee Agents/auditors</t>
  </si>
  <si>
    <t>Convex</t>
  </si>
  <si>
    <t>International speciality Insurance and Reinsurance</t>
  </si>
  <si>
    <t>UK</t>
  </si>
  <si>
    <t>Aghraja Bhatia, Deepak Bansal</t>
  </si>
  <si>
    <t>Information Gathering and Risk Selection</t>
  </si>
  <si>
    <t>New Business setup</t>
  </si>
  <si>
    <t>Property and Casualty, Marine, Aviation and Aerospace, Credit and Political Risk, Property D&amp;F Reinsurance, Kidnap and Ransom, War Breach and Yatch</t>
  </si>
  <si>
    <t>12K</t>
  </si>
  <si>
    <t>January/July</t>
  </si>
  <si>
    <t>10 to 50 mins</t>
  </si>
  <si>
    <t>24 to 48 Hrs</t>
  </si>
  <si>
    <t>ESL - 97%</t>
  </si>
  <si>
    <t>Timelines - 98%</t>
  </si>
  <si>
    <t>Dependency on Client team to get completed volumes &amp; TAT data</t>
  </si>
  <si>
    <t>Variance in the SLA numbers (EXL considers the manual data tracked every month)</t>
  </si>
  <si>
    <t xml:space="preserve">Nerve Hub implementation in progress </t>
  </si>
  <si>
    <t>Nerve hub implementation is completed, however new new changes and as per the updates in progress</t>
  </si>
  <si>
    <t>Centralised MI Data will be tracked on real time basis, Less dependency on client to track SLA volumes &amp; TAT, Individual wise &amp; Team capacity and performance will be tracked month on month</t>
  </si>
  <si>
    <t>OWL, Slack, ( Input ) 
Client Application entry ( Eclipse)</t>
  </si>
  <si>
    <t>Claim Coding</t>
  </si>
  <si>
    <t xml:space="preserve">Claim Coding </t>
  </si>
  <si>
    <t>11K</t>
  </si>
  <si>
    <t>10 mins</t>
  </si>
  <si>
    <t>24 hrs</t>
  </si>
  <si>
    <t>Sequel Claims</t>
  </si>
  <si>
    <t>Esure</t>
  </si>
  <si>
    <t>UK General Insurance Carrier</t>
  </si>
  <si>
    <t>Office of General Counsel</t>
  </si>
  <si>
    <t>Webchat - Query resolution, General Inquiry</t>
  </si>
  <si>
    <t>Webchat and Inbound Calls</t>
  </si>
  <si>
    <t xml:space="preserve">Handling incoming calls and chats from customers regarding various querries like mid-term amendments, renewals cancellations, complaints, payments, billing, general queries, etc. </t>
  </si>
  <si>
    <t>Personal</t>
  </si>
  <si>
    <t>Personal Auto</t>
  </si>
  <si>
    <t>GBP</t>
  </si>
  <si>
    <t>Oct - Dec</t>
  </si>
  <si>
    <t>Net Lock Down (staffing delivery per interval): 100%</t>
  </si>
  <si>
    <t>Compliance: 95%</t>
  </si>
  <si>
    <t>AI Coach and Process Excellence</t>
  </si>
  <si>
    <t>AI Coach for real-time performance view to Agents and Team Leaders</t>
  </si>
  <si>
    <t>Multiple digital solutions in flight by esure including accelerated self service adoption</t>
  </si>
  <si>
    <t>Phone call / chat</t>
  </si>
  <si>
    <t>EIS, Amazon Connect, Lighthouse</t>
  </si>
  <si>
    <t>Everest Global Services</t>
  </si>
  <si>
    <t>Leading Global Insurer and Reinsurer</t>
  </si>
  <si>
    <t>New claim set up or existing claim inquiry search</t>
  </si>
  <si>
    <t>Auto, WC, Property, GL, Excess Casualty</t>
  </si>
  <si>
    <t>L1</t>
  </si>
  <si>
    <t>Jan, March, April and Oct</t>
  </si>
  <si>
    <t>9:25 (Average, pm)</t>
  </si>
  <si>
    <t>8 second call  wait time</t>
  </si>
  <si>
    <t>Weighted DPU – Weighted Defect Per Unit</t>
  </si>
  <si>
    <t>Customer Satisfaction</t>
  </si>
  <si>
    <t>Abandonment Rate</t>
  </si>
  <si>
    <t>Claim adjusters</t>
  </si>
  <si>
    <t>Emails/Calls</t>
  </si>
  <si>
    <t>Claim adjuster/Insureds/Lawyers/Claimants/Other insurnace companies</t>
  </si>
  <si>
    <t>Claim Center, Escape, Power BI, Sedgwick ViaOne, Gallagher Bassett, Clear Sight, PEGA, MS Office Suite</t>
  </si>
  <si>
    <t>Bir</t>
  </si>
  <si>
    <t>Draft and Final Endorsement</t>
  </si>
  <si>
    <t xml:space="preserve">Perform rating, issue endorsement, update Agent, insured &amp; home office copy for the change processed
</t>
  </si>
  <si>
    <t>Auto, WC, Umbrella, GL, IM, Property, Energy, Wholesale</t>
  </si>
  <si>
    <t>8 to 10</t>
  </si>
  <si>
    <t>24 Hours</t>
  </si>
  <si>
    <t>Underwriter Assistant</t>
  </si>
  <si>
    <t>60%-PDF
40%-Excel</t>
  </si>
  <si>
    <t>PDFs</t>
  </si>
  <si>
    <t xml:space="preserve">&gt;Underwriter (UW)
&gt;Underwriter Assistant 
</t>
  </si>
  <si>
    <t>ImageRight, Policy Decision, ESCAPE, Workbook/Rater</t>
  </si>
  <si>
    <t>Non Renewals/Renewal notice</t>
  </si>
  <si>
    <t>Conditional Renewal Notices</t>
  </si>
  <si>
    <t>Review the conditions for policy to be renewed</t>
  </si>
  <si>
    <t>6 Days</t>
  </si>
  <si>
    <t xml:space="preserve">&gt;Underwriter (Only if specified on email body)
&gt;Underwriter Assistant
</t>
  </si>
  <si>
    <t>Cancellation notice</t>
  </si>
  <si>
    <t>Notices of Cancellation/ Notices of Reinstatement</t>
  </si>
  <si>
    <t>Create the notice of cancellation due to non-payment of premium
Create the reinstatement notice after Insured pays the premium</t>
  </si>
  <si>
    <t>6 Hours</t>
  </si>
  <si>
    <t>Renewal Prep</t>
  </si>
  <si>
    <t>Bind</t>
  </si>
  <si>
    <t xml:space="preserve">Review the specific booking/binding instructions in RBI sheet and launch the rating workbook to complete the transmittal to send the booking information to Policy Management
</t>
  </si>
  <si>
    <t>6 Hrs - Property, Inland Marine, Excess Casualty, Energy, Environmental, Wholesale Primary Casualty, Executive Solutions and Cyber Liability
24 Hrs - Transactional, Surety, Professional Liability, Private Equity, Private Company, Financial Institutions and CPR
2 Days - Workers Compensation</t>
  </si>
  <si>
    <t>Renewal Issuance</t>
  </si>
  <si>
    <t>Draft and Final Issuance</t>
  </si>
  <si>
    <t xml:space="preserve">Verify/update policy information &amp; Issuing information per Acord App
</t>
  </si>
  <si>
    <t>Re-Rating</t>
  </si>
  <si>
    <t>Re-Rate the transaction based on revised information</t>
  </si>
  <si>
    <t xml:space="preserve">Rate policy in Policy Decisions based on the Acord application, default guidelines, and any additional information identified in File Notes &amp; RBI Sheet
Review ImageRight File Notes  for Auto and/or GL rating instructions and launch policy decisions to create shell quotes to process the test rating
</t>
  </si>
  <si>
    <t xml:space="preserve">24 Hrs - (Rate/ Quote) Commercial Casualty &amp; Risk Management
8 Hrs-  (Rate/ Quote) Energy, Environmental, Workers Comp &amp; CA Expansion, Wholesale Primary Casualty
6 Hrs - (Re-Rate) Energy, Environmental, Wholesale Primary Casualty, Workers Comp &amp; CA Expansion
4 Hrs - (Rush Rating and Re-Rate)Commercial Casualty &amp; Risk Management, Wholesale Primary Casualty
2 Hrs - (Re-rate) Excess Casualty
</t>
  </si>
  <si>
    <t>Prepare Written Quote/ Proposal</t>
  </si>
  <si>
    <t>Clearance and Submission</t>
  </si>
  <si>
    <t>Initial submission task has been received in the intake box in the image right application, we set up all the files as per the procedure and working on the escape application as per the submission request</t>
  </si>
  <si>
    <t xml:space="preserve">Mar, July, Aug and Nov </t>
  </si>
  <si>
    <t>6 hrs</t>
  </si>
  <si>
    <t>Manual reporting</t>
  </si>
  <si>
    <t>Created macros on raw report pulled from client tool and SLAs are being prepared basis same macros</t>
  </si>
  <si>
    <t>Better reporting structure and real time visibility to client on SLA performance</t>
  </si>
  <si>
    <t>Underwriter Assistant/ Underwriter/Brokers</t>
  </si>
  <si>
    <t>ImageRight, Policy Decision, ESCAPE</t>
  </si>
  <si>
    <t>FNOL Non Voice</t>
  </si>
  <si>
    <t>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t>
  </si>
  <si>
    <t>Auto, Property, GL, Financial lines</t>
  </si>
  <si>
    <t>Sep-Jan</t>
  </si>
  <si>
    <t>Advanced Digital</t>
  </si>
  <si>
    <t>FNOL as a service</t>
  </si>
  <si>
    <t>TBA</t>
  </si>
  <si>
    <t>Agents/Brokers</t>
  </si>
  <si>
    <t>Adjuster</t>
  </si>
  <si>
    <t>Image right, Guidewire ClaimCenter, Escape, Power BI, Policy decision</t>
  </si>
  <si>
    <t>Litigation and Resolution</t>
  </si>
  <si>
    <t>Bill Payment (Medical Legal, Non Medical, Vendor)</t>
  </si>
  <si>
    <t>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t>
  </si>
  <si>
    <t>5 Days</t>
  </si>
  <si>
    <t>Image right, Guidewire ClaimCenter, Escape, WINS, PeopleSoft AP</t>
  </si>
  <si>
    <t>Fidelis</t>
  </si>
  <si>
    <t>Leading specialist (Re)insurance group of UK</t>
  </si>
  <si>
    <t>Deepak Pardeshi/Pranabendu Barman</t>
  </si>
  <si>
    <t>Pre Bind, Endorsement Processing, Slip Processing, Agg Data Processing, AlloQ (Dealing with queries), Premium Management, Messaging, BDX</t>
  </si>
  <si>
    <t>Exl will process the Endorsement ,Slip Processing, Premium Management, BDX, Messaging and Agg Data Processing requests received from client (Fidelis and Pine Walk ). Also, deal with queries received from Credit Control team</t>
  </si>
  <si>
    <t>10 to 30mins</t>
  </si>
  <si>
    <t>24 to 48 Hrs, Few SLAs for the new tasks are yet to be finalised</t>
  </si>
  <si>
    <t>Client is demanding lot of MI data which is manual in nature and time consuming</t>
  </si>
  <si>
    <t>Due to manual collation of data there are chances of reporting incorrect numbers to the client. However, MIS resource hired effective Jan 25 onwards to collate and present the data in structured format</t>
  </si>
  <si>
    <t>Hollard</t>
  </si>
  <si>
    <t>Fortune 100 APAC P&amp;C Carrier</t>
  </si>
  <si>
    <t>Australia</t>
  </si>
  <si>
    <t>Mithu Das</t>
  </si>
  <si>
    <t>1 year 5 months</t>
  </si>
  <si>
    <t>Claims - Lodgements and Existing Claims</t>
  </si>
  <si>
    <t xml:space="preserve">Lodgments - Policy holder requests progress update on the claim that was lodged. Verify the customer details and claim number.
Home and Motor Existing Claims is the next department after a claim has been lodged. </t>
  </si>
  <si>
    <t>• Lodgments
•  Motor &amp; Home Claims Enquiry
•  Broker Lodgments
•  Digital Lodgments
•  Supplier Payments
•  Mailbox Management</t>
  </si>
  <si>
    <t>Mid Size</t>
  </si>
  <si>
    <t>1 week</t>
  </si>
  <si>
    <t>5 weeks</t>
  </si>
  <si>
    <t>AUD</t>
  </si>
  <si>
    <t>Motor Lodgments - 8519
Home Lodgments - 812
Motor Claims - 8132
Home Claims - 3311</t>
  </si>
  <si>
    <t>December /January</t>
  </si>
  <si>
    <t>Lodgments - 20 minutes
Existing Motor Claims - 20 minutes
Existing Home Claims - 20 minutes</t>
  </si>
  <si>
    <t xml:space="preserve">Digital Lodgments - 12 hour
Back Office Support - NA
Motor Payments - NA
Home Payments - 24 hours
</t>
  </si>
  <si>
    <t>GOS - 70%</t>
  </si>
  <si>
    <t>ACW- 5 minutes</t>
  </si>
  <si>
    <t>DQA</t>
  </si>
  <si>
    <t>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t>
  </si>
  <si>
    <t>Increased in the audit quantiy and time frames.</t>
  </si>
  <si>
    <t>Claim Center
Auto Integrity
Europcar
SIXT
Athena
End-Data
Athena</t>
  </si>
  <si>
    <t>Insurance Australia Group</t>
  </si>
  <si>
    <t>Fortune 500 Global P&amp;C Carrier</t>
  </si>
  <si>
    <t xml:space="preserve">Phenyo Nong / Yunus Bayat </t>
  </si>
  <si>
    <t>Information gathering and Risk Selection</t>
  </si>
  <si>
    <t>We service customers in the AUTO/Property, we set up policy, amend, cancel and renew policies</t>
  </si>
  <si>
    <t xml:space="preserve">Auto / Property </t>
  </si>
  <si>
    <t>Small</t>
  </si>
  <si>
    <t>6 to 7</t>
  </si>
  <si>
    <t>23.70/Hour</t>
  </si>
  <si>
    <t>March, July</t>
  </si>
  <si>
    <t>680 to 760</t>
  </si>
  <si>
    <t>3 months</t>
  </si>
  <si>
    <t>AHT, Customer Experience Score, Sales, Inception Cancellation</t>
  </si>
  <si>
    <t>Renewals, Customer Advocasy Score, New business</t>
  </si>
  <si>
    <t xml:space="preserve">Qualiy
</t>
  </si>
  <si>
    <t xml:space="preserve">NA </t>
  </si>
  <si>
    <t>Manila, PHP</t>
  </si>
  <si>
    <t>Red Dayao / Verna Arzadon</t>
  </si>
  <si>
    <t>Claims Management</t>
  </si>
  <si>
    <t>Manage Claims from validation to finalization</t>
  </si>
  <si>
    <t>22.70/Hour</t>
  </si>
  <si>
    <t>September-December</t>
  </si>
  <si>
    <t>20 Mins</t>
  </si>
  <si>
    <t>Training Compliance - 100%</t>
  </si>
  <si>
    <t>Call volume gets high in case of any major event in Australia</t>
  </si>
  <si>
    <t>Claim Centre/Mailbox/Voice Calls</t>
  </si>
  <si>
    <t>70% Claim Centre, 5 % Mailbox, 25 % Calls</t>
  </si>
  <si>
    <t>Claim owners</t>
  </si>
  <si>
    <t>Claim Centre/Policy Orbit</t>
  </si>
  <si>
    <t>Classification of documents</t>
  </si>
  <si>
    <t>Staff classify the documents related to claims &amp; Policy received thourgh Email/Fax/Post</t>
  </si>
  <si>
    <t>DCT AUS &amp; NZ</t>
  </si>
  <si>
    <t>Feb-Mar</t>
  </si>
  <si>
    <t>40 secs</t>
  </si>
  <si>
    <t>Rework</t>
  </si>
  <si>
    <t>Implemented B-prompt to normalize the audit process</t>
  </si>
  <si>
    <t xml:space="preserve">Manual audit work has been reduced completely </t>
  </si>
  <si>
    <t>Claim Consultants/Policy Underwriters/customers/Brokers</t>
  </si>
  <si>
    <t>Email/Fax - 90%
Postal - 10%</t>
  </si>
  <si>
    <t>Claims Consultant/Policy Underwriter</t>
  </si>
  <si>
    <t>Claim centre/WMC</t>
  </si>
  <si>
    <t>MAPFRE</t>
  </si>
  <si>
    <t>Bradley Somayi</t>
  </si>
  <si>
    <t>November - February</t>
  </si>
  <si>
    <t>80% calls answered within 30 seconds</t>
  </si>
  <si>
    <t xml:space="preserve">Schedule Adherence - 92% 
</t>
  </si>
  <si>
    <t>Genesys, Tronweb, Guidewire, CAR-EZ</t>
  </si>
  <si>
    <t>Bogota, COL</t>
  </si>
  <si>
    <t>Sales and Service</t>
  </si>
  <si>
    <t>Sales and Customer Support</t>
  </si>
  <si>
    <t>Inbound calls / outbound tasks</t>
  </si>
  <si>
    <t>Query resolved 
or
Inbound call query handled
or
call transferred</t>
  </si>
  <si>
    <t>Genesys, Tronweb, Guidewire</t>
  </si>
  <si>
    <t>General Inquiry</t>
  </si>
  <si>
    <t>Answers incoming General Inquiry telephone calls from policyholders and other parties according to procedure. The focus being First Call Resolution for the customer whenever possible</t>
  </si>
  <si>
    <t>Triage/ Demand Issuance</t>
  </si>
  <si>
    <t>RSA Insurance</t>
  </si>
  <si>
    <t>UK P&amp;C client</t>
  </si>
  <si>
    <t>Kanishka Singh</t>
  </si>
  <si>
    <t>Maintenance</t>
  </si>
  <si>
    <t>BRM Support
Application Management
Change/testing Coordination
Data Monitoring
Application Support
Data Reporting</t>
  </si>
  <si>
    <t>Identify opportunities and manage trends: Use BRM to spot business opportunities and trends.
Plan broker strategies: Utilize the application to support strategic planning for brokers.
Allocate policy activities: Assign policy-related tasks requested by brokers and customers.
Perform periodic policy services: Carry out regular services on policies.
Manage broker relationships: Proactively manage broker interactions and relationships.
Enable seamless workflow management: Handle leads, quotes, mid-term adjustments, and renewals efficiently.</t>
  </si>
  <si>
    <t>Auto,Property,Package</t>
  </si>
  <si>
    <t>L5</t>
  </si>
  <si>
    <t>1 weeks</t>
  </si>
  <si>
    <t>4 weeks</t>
  </si>
  <si>
    <t>2 weeks</t>
  </si>
  <si>
    <t>Internal departments
Brokers
Onshore  Underwriters</t>
  </si>
  <si>
    <t>Information, forms, policy details, customer requests, database entries, and broker strategies</t>
  </si>
  <si>
    <t>Emails: 60%
Spreadsheets: 20%
System-Generated Reports: 10%
Broker Correspondence: 10%</t>
  </si>
  <si>
    <t>Reports, strategic plans, task assignments, service records, Digital reports, dashboards, emails, notifications, and workflow updates</t>
  </si>
  <si>
    <t>Onshore Underwriters
Internal Teams</t>
  </si>
  <si>
    <t>Broker Relationship Management (BRM) systems</t>
  </si>
  <si>
    <t>Broker Correspondence</t>
  </si>
  <si>
    <t>System-Generated Reports (HUB) Management
Scanned Correspondence Handling (SRI)
Policy Rekeying Report Management
Diary Reminder Management
Geo Score Generation and Provision
Policy Actions and Leads Creation
RNL Declarations Dispatch to Brokers
New Policy Setup via Rekeying
Motor Cover Notes Upload (SRI)</t>
  </si>
  <si>
    <t>Handle policy rekeying details: Process details from the shared mailbox and HUB broker platform.
Manage diary reminders: Handle reminders from BRM.
Manage scanned correspondence: Handle correspondence received from brokers, for PA, lead or Indexising.
Process periodic spreadsheets: Manage spreadsheets from onshore stakeholders.
Handle Motor cover note work: Process work received on the Motor cover note system.
Create logs in BRM: Identify requests as new business or changes to existing customer details.
Chase required information: Follow up with brokers for necessary information.
Rekey policies: Update policies received from brokers.
Correspond with brokers: Communicate regarding RNL declarations.
Provide Geo scores: Send Geo scores to underwriters on SRI.
Upload Motor cover notes: Upload Motor cover notes on SRI.</t>
  </si>
  <si>
    <t>July, September, October</t>
  </si>
  <si>
    <t>Maximum - 120 min, Minimum - 30 sec</t>
  </si>
  <si>
    <t>Onshore teams
Brokers</t>
  </si>
  <si>
    <t>Shared mailbox
HUB broker platform
BRM diary reminders
Scanned correspondence
Periodic spreadsheets
Motor cover note system</t>
  </si>
  <si>
    <t>Emails: 60%
Spreadsheets: 20%
System-Generated Reports: 10%
Broker Correspondence: 5%
Policy Adjustment Requests: 3%
Renewal Requests: 2%</t>
  </si>
  <si>
    <t>Policy actions and leads
Geo scores
Notepad updates</t>
  </si>
  <si>
    <t>Underwriters
Brokers</t>
  </si>
  <si>
    <t>IS2000: For managing policies and generating documents.
Acturis: For making underwriting decisions and generating quotes.
SRI &amp; IS2000: For handling broker correspondence and policy changes.
SRI - Document Management System: For storing and retrieving scanned documents and emails.
BRM - Broker Relationship manager software application used to manage workflow across teams</t>
  </si>
  <si>
    <t>New Business Issuance</t>
  </si>
  <si>
    <t>System-Generated Reports Management
Scanned Correspondence Handling
Policy Information Debiting on IS2000
Premium Matching with Underwriter’s Quote
Policy Document and Certificate Issuance
Broker Leads Management
Quote Creation on System
Quote Sharing with Onshore Underwriters</t>
  </si>
  <si>
    <t>Handle system-generated reports: Process reports generated by the system.
Manage scanned correspondence: Handle correspondence received from underwriters and brokers.
Process broker leads: Manage leads received from brokers.
Debit policy information: Enter policy information on IS2000.
Match premiums with quotes: Ensure premiums match the underwriter’s quote.
Issue policy documents and certificates: Provide customers with policy documents and certificates.
Create quotes: Generate quotes on the system based on lead presentations.
Share quotes with underwriters: Send quotes to onshore underwriters for further correspondence.
Issue motor certificates: Provide motor certificates to customers.</t>
  </si>
  <si>
    <t>6 weeks</t>
  </si>
  <si>
    <t>3 weeks</t>
  </si>
  <si>
    <t>System-generated reports
Scanned correspondence
Broker leads</t>
  </si>
  <si>
    <t>System-generated reports: 30%
Scanned correspondence: 40%
Broker leads: 30%</t>
  </si>
  <si>
    <t>Policy documents and certificates
Quotes
Premium matches
Policy debiting records</t>
  </si>
  <si>
    <t xml:space="preserve">Correspondence with Brokers and UWs </t>
  </si>
  <si>
    <t>System-Generated Reports Management
Scanned Correspondence Handling
Policy Updates (Cover, Address, Name)
Policy Actions (Cancellations, Renewals)
Premium and Refund Calculations
Referral Clearing
Renewal Terms Issuance
Terrorism Quotes Creation
Geo Scores Provision
Commercial Vehicle Administrative Work
Agency Transfer Handling
Payment Collection and Banking (CARD/BACS)
Outstanding Direct Debit Chasing</t>
  </si>
  <si>
    <t>Handle system reports and broker correspondence: Update policies and perform actions like cancellations and renewals.
Calculate premiums and refunds: Determine policy costs and process refunds.
Clear referrals: Resolve referrals to ensure policy accuracy.
Issue renewal terms: Provide renewal conditions to brokers.
Create terrorism quotes: Generate quotes for terrorism coverage.
Provide geo scores: Assess and provide geographical risk scores.
Manage agency transfers: Handle the transfer of agency responsibilities.
Issue payments: Process day-to-day premium-related payments.
Chase outstanding premiums: Follow up on unpaid premiums.
Administer commercial vehicle policies: Manage EDI transactions and issue No Claims Bonus certificates.</t>
  </si>
  <si>
    <t>Brokers
Onshore teams</t>
  </si>
  <si>
    <t>Shared mailbox
Acturis broker platform
Shared drive
BRM
SRI</t>
  </si>
  <si>
    <t>Shared mailbox: 25%
Acturis broker platform: 25%
Shared drive: 20%
BRM: 15%
SRI: 15%</t>
  </si>
  <si>
    <t>Renewals
Referrals
Policy amendments
Premium calculations
Refunds
Direct debit mandates
Collected premiums
Policy documents</t>
  </si>
  <si>
    <t>Setting Terms and Conditions
Renewal Allocations and Premium Calculation
Additional and Refund Premiums (AP/RP) Calculation
Mid-Term Adjustments (MTAs) Management
Referral Review and Authorization (PUA Level)
Reviewing and Clearing Referrals
Preparing Renewals
Reviewing Premium Terms
Issuing Policies
Managing Claims Queries
eTrade Migration (Rekey) Management</t>
  </si>
  <si>
    <t>Review referrals and policy details: Assess referrals from brokers, claims department, or system triggers at various stages.
Gather necessary information: Collect data from Geo reports, survey reports, and Google, and communicate with brokers for additional or missing information.
Apply terms and conditions: Make required changes based on risk information and PUA authority level.
Refer complex cases: Escalate cases above PUA authority level to the appropriate PUA with full review and recommendations.
Manage diaries: Schedule future actions on agreed cover.
Update files: Ensure all required changes are made and files are updated.
Send decisions to brokers: Communicate agreed decisions and confirmations to brokers via email.
Review internal referrals: Handle premium or commission queries from accounts and cover queries from claims.
Issue renewals: Process renewals as per referral guidance.
Clear referrals: Ensure all conditions are met according to underwriting appetite.
Amend policies and issue documents: Update policies or create new quotes and send documents/emails to brokers.
Adjust premiums and provide refunds: Modify premiums or issue refunds based on changes in cover or conditions.</t>
  </si>
  <si>
    <t>L4 - L7</t>
  </si>
  <si>
    <t>12 weeks</t>
  </si>
  <si>
    <t>8 weeks</t>
  </si>
  <si>
    <t>MTA - 30 min, Renewals - 60 min</t>
  </si>
  <si>
    <t>Acturis
Power Place
SRI
Emails</t>
  </si>
  <si>
    <t>Renewals
Referrals
Policy amendments
Premium adjustments
Refunds</t>
  </si>
  <si>
    <t>IS2000: Manages policies, generates documents, calculates premiums, issues refunds, and manages direct debits.
Acturis: Makes underwriting decisions and generates quotes.
SRI: Stores and retrieves scanned documents and emails. Handles broker correspondence and policy changes.
BRM: Manages workflow across teams.</t>
  </si>
  <si>
    <t>Premium Billing and Collections</t>
  </si>
  <si>
    <t>Timely Negotiations and Collections
Accurate Account Reconciliations
Investigation of Unpaid Premiums</t>
  </si>
  <si>
    <t>Manage system reports and broker correspondence: Handle incoming documents and communications from brokers.
Negotiate and collect premiums: Facilitate timely negotiations and collections of commercial policy premiums.
Reconcile accounts: Perform thorough and accurate account reconciliations to minimize debt.
Investigate unpaid premiums: Conduct detailed investigations to resolve unpaid premiums.
Chase collections: Actively pursue collections on the allocated portfolio.
Send statements: Inform brokers of overdue or due amounts.
Allocate payments: Apply received payments to various agencies and perform reconciliation.
Follow up on payments: Follow up with brokers and underwriters for unresolved queries.
Issue refunds: Process refunds to brokers if they are due.
Clear premiums: Reconcile payments to clear outstanding/due premiums from accounts.</t>
  </si>
  <si>
    <t>Files from onshore
Emails from brokers</t>
  </si>
  <si>
    <t>Files from onshore: 60%
Emails from brokers: 40%</t>
  </si>
  <si>
    <t>Cleared premiums
Statements
Payment allocations
Follow-up records
Refunds</t>
  </si>
  <si>
    <t>Suncorp</t>
  </si>
  <si>
    <t>Large APAC P&amp;C Carrier</t>
  </si>
  <si>
    <t>Verna  Arzadon</t>
  </si>
  <si>
    <t xml:space="preserve">Voice Policy enquiries, endorsements, payment, online support </t>
  </si>
  <si>
    <t xml:space="preserve">Policy Servicing Contact Center for Personal insurance handling Queries, Changes to policy, Documents, Payments/direct debit, Password Reset walkthrough, Self-servce Support </t>
  </si>
  <si>
    <t xml:space="preserve">Motor and Home </t>
  </si>
  <si>
    <t>AAMI and SUNGIO - 625</t>
  </si>
  <si>
    <t>SLAs:
MoPS
COINS
VoC OSAT
VoC NPS
Process and Underwriting Compliance
Regulatory Compliance</t>
  </si>
  <si>
    <t>KPIs:
CBTs
Empower Audits
Development Coaching
AHT
ACW/Hold
Transfers
HD Required
Shrinkage</t>
  </si>
  <si>
    <t>NPS/OSAT</t>
  </si>
  <si>
    <t>Calls</t>
  </si>
  <si>
    <t>100% Calls</t>
  </si>
  <si>
    <t>Customer, Sales</t>
  </si>
  <si>
    <t>Mainframe,Protect and Customer Workbench</t>
  </si>
  <si>
    <t>Chat, Email Support Policy enquiries, endorsements, payment</t>
  </si>
  <si>
    <t xml:space="preserve">Policy Servicing through Chat and Email Support, Personal insurance handling Queries, Changes to policy, Documents, Payments/direct debit, Password Reset, Self-servce Support </t>
  </si>
  <si>
    <t>CHAT - 395
EMAIL - 559</t>
  </si>
  <si>
    <t>EMAIL  - 24 hrs</t>
  </si>
  <si>
    <t>SLAs:
Availability
Process and Understanding Compliance
Regulatory Compliance
VoC OSAT (live chat)
VoC NPS (live chat)
GOS (live chat)
GOS (Email)
GOS (Async)
ASA (live chat)
ASA (Email)
ASA (Async)</t>
  </si>
  <si>
    <t>KPIs:
CBTs
Empower Audits
Development Coaching
HD Required
Shrinkage
IPH (Combined)
AIT
Wrap time</t>
  </si>
  <si>
    <t>EMAIL and CHAT</t>
  </si>
  <si>
    <t>100% CHAT/Email</t>
  </si>
  <si>
    <t>Westcor Land Title Insurance</t>
  </si>
  <si>
    <t>Yusuf Bhavnagarwala</t>
  </si>
  <si>
    <t>Payments Processing/Management</t>
  </si>
  <si>
    <t>Broker and Agent payment</t>
  </si>
  <si>
    <t>Receive remittance from Agents and update it in client  system with Premium and retention details</t>
  </si>
  <si>
    <t>Property 100%</t>
  </si>
  <si>
    <t>$0.55 - Year 1
$0.50 - Year 2
$0.40 - Year 3
$0.38 - Year 4+</t>
  </si>
  <si>
    <t>TBP</t>
  </si>
  <si>
    <t>Jul-Dec</t>
  </si>
  <si>
    <t>To be baselined post ramp</t>
  </si>
  <si>
    <t xml:space="preserve">Legacy application resulting in 100% manual efforts in processing </t>
  </si>
  <si>
    <t>Delay in processing/reconcilation</t>
  </si>
  <si>
    <t>Extraction Tool</t>
  </si>
  <si>
    <t>&gt; Implementing cloud native AI powered Remittance app to replace Company’s OTIS application, to automate the processing of Remittance reports from Agents in form of email, mail or web
&gt; Development of rating calculator in conjunction with the Remittance Application
&gt; Integrated system built using Low code/No code platform for Remittance processing
&gt; Extraction engine to extract details from structured and unstructured documents and integrate the output with Remittance Application
&gt; Standalone component to consume data feed from external API sources and prepare feed for Import Agent (Standalone utility) or directly feed into new Remittance database through API service layer. Segregate data and prepare data entities for storage in application database tables
&gt; Normalized data structure to eliminate data redundancy/ replication  and provides real time data integration with eWestCor DB</t>
  </si>
  <si>
    <t>25% Productivity Benefit</t>
  </si>
  <si>
    <t>Brokers and Agents</t>
  </si>
  <si>
    <t>Not available</t>
  </si>
  <si>
    <t>UW, Agent, Broker</t>
  </si>
  <si>
    <t>Citrix, OTIS, E-Westcor, Outlook, Shared Drive and MS Teams</t>
  </si>
  <si>
    <t>ZAUS</t>
  </si>
  <si>
    <t>Teresa Aldea</t>
  </si>
  <si>
    <t>Documents received are indexed: either get attached to existing claim or moved to New Claims Queue to create a new claim</t>
  </si>
  <si>
    <t>Auto/Motor</t>
  </si>
  <si>
    <t>AUD 31478</t>
  </si>
  <si>
    <t>5000+</t>
  </si>
  <si>
    <t>Feb and Mar</t>
  </si>
  <si>
    <t>Fatal DPU – Fatal Defect Per Unit</t>
  </si>
  <si>
    <t>None</t>
  </si>
  <si>
    <t>Multiple initiatives as they have tie up with capgemini for automation.</t>
  </si>
  <si>
    <t>Broker,Assessor and Repairer</t>
  </si>
  <si>
    <t>100% emails</t>
  </si>
  <si>
    <t>FTCM Team at EXL
FRT team at Client site</t>
  </si>
  <si>
    <t>Indexing Mailbox
Filenet
Outlook
Zstream
SmartComm</t>
  </si>
  <si>
    <t>Motor Claims</t>
  </si>
  <si>
    <t>New or existing claims are settled basis claims form, assessment report and repairer invoices submitted by the broker</t>
  </si>
  <si>
    <t>AUD 42534</t>
  </si>
  <si>
    <t>7000+</t>
  </si>
  <si>
    <t>Hard Leakage less than 2% of all payments raised and Hard Leakage for $5000 AUD for OBG Validation</t>
  </si>
  <si>
    <t>Sporadic incoming volume</t>
  </si>
  <si>
    <t>Timelines</t>
  </si>
  <si>
    <t>90% Client appication
10% excel file</t>
  </si>
  <si>
    <t>Client Claims Team, Broker and Repairer</t>
  </si>
  <si>
    <t>Guidewire
Mainframe
Estimage
Filenet
Outlook
MS Office
Zstream
SmartComm</t>
  </si>
  <si>
    <t>Finalize Issuance of policies</t>
  </si>
  <si>
    <t>Pre-RNL, DS, FUP Closing, Check closing, Processing, Schdule Issuance, CH &amp; COC</t>
  </si>
  <si>
    <t>Sending Renewal Invite, Data structuring (updating scattered information in formulated sheet), chasing for closing, checking and validating closings information with quotation &amp; processing sheet, booking premium and other details in Mainframe and issuing schedule to broker</t>
  </si>
  <si>
    <t>Motor and Marine</t>
  </si>
  <si>
    <t>Mid Size &amp; Large</t>
  </si>
  <si>
    <t>90% Motor
10% Marine</t>
  </si>
  <si>
    <t>Apr to Sep</t>
  </si>
  <si>
    <t>Pre -RNL : 40.00
DS : 126.00
FUP Closing : 13:00
CC &amp; Processing  : 53:00
Schecule : 24:00
CH : 15.00</t>
  </si>
  <si>
    <t>1.Non availability of correct broker email id and multiple follow up with broker for acceptance
2.Unstructured data
3.Manual rating tool
4.Missing information</t>
  </si>
  <si>
    <t>Multiple initiatives as they have tie up with cogni for automation</t>
  </si>
  <si>
    <t>Client application
Broker and/or UW</t>
  </si>
  <si>
    <t>100% Client application</t>
  </si>
  <si>
    <t>Broker</t>
  </si>
  <si>
    <t>Z-Horizon, Mainframe, Outlook, Zabi, Shared Drives, MS Office and Webtools</t>
  </si>
  <si>
    <t>DS, FUP Closing, Check closing, Processing, Schdule Issuance, CH &amp; COC</t>
  </si>
  <si>
    <t>Data structuring (updating scattered information in formulated sheet), chasing for closing, checking and validating closings information with quotation &amp; processing sheet, booking premium and other details in Mainframe and issuing schedule to broker</t>
  </si>
  <si>
    <t>Property, Construction and Engineering</t>
  </si>
  <si>
    <t>DS : 100.00
FUP Closing : 13:00
CC &amp; Processing  : 56:00
Schecule : 27:00
CH : 18.00</t>
  </si>
  <si>
    <t>Accident &amp; Health, Financial Lines and Liability</t>
  </si>
  <si>
    <t>Pre -RNL : 40.00
DS : 75
FUP Closing : 13:00
CC &amp; Processing  : 56:00
Schecule : 23:00
CH : 15.00</t>
  </si>
  <si>
    <t>Check closing, processing, FUP Closing, schedule, group emails, premium calculation, CH, logging contracts, feed robot, debit note, tax invoice &amp; E-Filling</t>
  </si>
  <si>
    <t xml:space="preserve">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t>
  </si>
  <si>
    <t>IPZ</t>
  </si>
  <si>
    <t>Premium Calc : 14
CH : 15
check closing : 12
Processing : 15
FUP Closing : 11
Schedule : 12
Group Emails : 15
Logging Contract : 7
Feed Robot : 9
Debit Note : 13
Tax Invoice : 11
E-Filling : 6</t>
  </si>
  <si>
    <t>RC Handler, Producing Country or Broker</t>
  </si>
  <si>
    <t>PC, Broker &amp; Client</t>
  </si>
  <si>
    <t xml:space="preserve">Zflow, IPS, Manframe, Share Point, Outlook, MS Office, Zabi, Shared Drive </t>
  </si>
  <si>
    <t xml:space="preserve">Assisting Underwriters for processing of sendoing qutes , Bimnding of the policy ,  Endorsement, Renewal , CH, COC , LOA </t>
  </si>
  <si>
    <t>SME Packages</t>
  </si>
  <si>
    <t>100% packages</t>
  </si>
  <si>
    <t>Brokers/Onshore Clients</t>
  </si>
  <si>
    <t>Broker and UW</t>
  </si>
  <si>
    <t>Zstream,ZCase,Outlook, Ztrack, Mainframe</t>
  </si>
  <si>
    <t>Account Reconciliation</t>
  </si>
  <si>
    <t>Packages Unmatched Cash</t>
  </si>
  <si>
    <t>Reconcilation of unmatched Cash and tagging the cash received from broker onto the policies</t>
  </si>
  <si>
    <t>Workflow</t>
  </si>
  <si>
    <t>Zstream,ZCase,Outlook, Mainframe, Broker segment</t>
  </si>
  <si>
    <t>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t>
  </si>
  <si>
    <t>1200+</t>
  </si>
  <si>
    <t>18 Minutes</t>
  </si>
  <si>
    <t xml:space="preserve">The process is in backlog and has not been declared BAU. The backlog was created due to onshore clean up drive and also over due activities getting assigned on daily basis in EXL queue by onshore team (issues known to client) </t>
  </si>
  <si>
    <t>Backlog %, Timelines</t>
  </si>
  <si>
    <t>Borkers/Onshore Clients</t>
  </si>
  <si>
    <t>Broker, Client</t>
  </si>
  <si>
    <t>Guidewire, Sharepoint, Estimage, Caspar, Google, Outlook, MS Office, SmartComm</t>
  </si>
  <si>
    <t>Receive calls from customers / brokers, Triage Calls, Warm transfer of calls to onshore agent, Address queries related to HMC/TLC, LG, ODTP, Managed Claims, Motor Claims, Provide an update on queries and update required information on the system</t>
  </si>
  <si>
    <t>8000+</t>
  </si>
  <si>
    <t>10 Minutes</t>
  </si>
  <si>
    <t>Guidewire, Estimage, Filenet, Outlook, MS Office</t>
  </si>
  <si>
    <t>DLG</t>
  </si>
  <si>
    <t>Top-3 UK P&amp;C Carrier</t>
  </si>
  <si>
    <t>Gauri Jain Sharma</t>
  </si>
  <si>
    <t>Webchat</t>
  </si>
  <si>
    <t>Motor Policy new business support, servicing, cancellation, renewal  and upselling of breakdown cover</t>
  </si>
  <si>
    <t>Motor</t>
  </si>
  <si>
    <t>Jan, Feb,Mar</t>
  </si>
  <si>
    <t>CSAT</t>
  </si>
  <si>
    <t>Online Rate</t>
  </si>
  <si>
    <t>Complaints Assurance</t>
  </si>
  <si>
    <t>Need to ensure consistent performance on complaints  assurance</t>
  </si>
  <si>
    <t>Onshore</t>
  </si>
  <si>
    <t>Excel</t>
  </si>
  <si>
    <t>Operations and Assurance Teams</t>
  </si>
  <si>
    <t xml:space="preserve">AVD Based applications
MS Office
Chrome
AVAYA
</t>
  </si>
  <si>
    <t>Business Support</t>
  </si>
  <si>
    <t xml:space="preserve">Indexing, Midterm amendments,issuing COC,Chase of documents and outstanding premium, Renewal,Cancellation and Correspondance </t>
  </si>
  <si>
    <t>Motor, Home, Pet, Travel and Premium Collections</t>
  </si>
  <si>
    <t>March, June and Sep</t>
  </si>
  <si>
    <t>AHT ranging from 1 minutes to 13 minutes</t>
  </si>
  <si>
    <t>Ranging from 1 hour SLA to 5 days</t>
  </si>
  <si>
    <t>TAT</t>
  </si>
  <si>
    <t>Error Rate</t>
  </si>
  <si>
    <t xml:space="preserve">3 RPA - NCD Proforma is a process where customers request for a proof of No Claims Discount (NCD) for their policies. The process of creating the NCD proof in PDF format and emailing it to the customer was automated.
Point Automation  - 24 Business Support reports were automatically extracted from application 
Point Automation - Macro enabled tools to extract the 165 Business support reports have been created. A total of 29 tools have been created to cover the extraction of these reports. </t>
  </si>
  <si>
    <t>11.74( Contractual Target Completed)</t>
  </si>
  <si>
    <t>New system is more user friendly and customer can do self service</t>
  </si>
  <si>
    <t>50% Excel
10% Imaging system
40% web based application</t>
  </si>
  <si>
    <t>AVD Based Applications
MS Office
Chrome
Khronos</t>
  </si>
  <si>
    <t>Customer Assurance</t>
  </si>
  <si>
    <t>Conducting risk assessments for Business Support, Webchat &amp; Telephony</t>
  </si>
  <si>
    <t>Motor, Home, Pet, Travel ,Premium Collections &amp; Webchat</t>
  </si>
  <si>
    <t>AHT ranging from 2 minutes to 30 minutes</t>
  </si>
  <si>
    <t>Weekly and Monthly</t>
  </si>
  <si>
    <t>Challenges</t>
  </si>
  <si>
    <t>Operations Team</t>
  </si>
  <si>
    <t>AVD Based Applications
MS Office
Chrome
AVAYA
Khronos</t>
  </si>
  <si>
    <t>Commercial Claims</t>
  </si>
  <si>
    <t>Claim progression towards closure, Payments to PH/TP/Sols, update to PH via brokers, Recovery from TPI</t>
  </si>
  <si>
    <t>Motor, Property &amp; Liability</t>
  </si>
  <si>
    <t>L2 &amp; L3</t>
  </si>
  <si>
    <t>Motor - 17770
Property -7215
Liability - 2596</t>
  </si>
  <si>
    <t xml:space="preserve">Sept to 
Dec </t>
  </si>
  <si>
    <t>Daily, Weekly</t>
  </si>
  <si>
    <t>RPA Tool implemented</t>
  </si>
  <si>
    <t>Opportunity:
 EXL assists to set-up FNOL for Commercial Claim Property and Motor (windscreen). There are multiple channel via which inputs are received.
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
Summary of Change: 
•	SDD, User Story etc. created and approved
•	BOT code developed based on SDD and User Story
•	Excel based input sheet created for FNOLs received via emails to be sent to FNOL mailbox
•	BOT tested effectively in UAT and RAMP environment
•	Appropriate success and exception codes created
•	BOT efficiency stands at 87% and 83% for Property and Motor.
Commercial Claims FNOL -
FTE Saved: 4.2 (5 FTE to be realised, 0.8 to be withdrawn from bank); Complexity: VO2</t>
  </si>
  <si>
    <t>5 FTE</t>
  </si>
  <si>
    <t>Onshore &amp; Brokers</t>
  </si>
  <si>
    <t>Emails 70%
Spreadsheet 25%
On call request 5%</t>
  </si>
  <si>
    <t xml:space="preserve">MS Office
Chrome
AVAYA
Guiidewire
Audatex
Activeweb
Miaftr
HPI
MID
Thrifty
ARMS
Ns-Genius
UIS
NIG Mainframe
SRI
</t>
  </si>
  <si>
    <t>Damage Fulfilment - Blend</t>
  </si>
  <si>
    <t>Providing Hire service and repair to PH &amp; TP and validating the services assigned at initial level Raise Total loss payments for PHV and disposal of vehicles
Raise outlay payments for fault cases to TP via TPI/TPR
Inbound and Outbound calls to Suppliers, TPI, Engineers, TPR,etc
recovery costs from TPI/TPR/TP on nonfault cases,</t>
  </si>
  <si>
    <t>Sept - Jan</t>
  </si>
  <si>
    <t>RPA</t>
  </si>
  <si>
    <t>Damage Fulfilment - Voice</t>
  </si>
  <si>
    <t>Customer/insured call post FNOL to check on vehicle repair, liability progression, payments, litigation status, additional information
Inbound and Outbound calls, Off phones activities - New claim, Establish liability, Chase activity, Litigation, Vehicle repair, engineer/Total loss</t>
  </si>
  <si>
    <t>Monthly</t>
  </si>
  <si>
    <t>Net Conexp</t>
  </si>
  <si>
    <t>Abandon rate
Customer conduct</t>
  </si>
  <si>
    <t>Net ConExp
Complaint identification</t>
  </si>
  <si>
    <t>Customer experience and QA metrics</t>
  </si>
  <si>
    <t>Potential deployment of Analytics to improve claim journey.
Automated Tool to streamline extraction</t>
  </si>
  <si>
    <t>To improve the Claim journey on split claims
To eliminate duplication and improve efficiency in allocation</t>
  </si>
  <si>
    <t>B4C platform
Robotics on certain activity types (currently in the pipeline)</t>
  </si>
  <si>
    <t>Policy holder, end customer</t>
  </si>
  <si>
    <t>AVD Based Applications
MS Office
Chrome
AVAYA</t>
  </si>
  <si>
    <t>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t>
  </si>
  <si>
    <t>L1 &amp; L2</t>
  </si>
  <si>
    <t>All months except Dec &amp; Jan</t>
  </si>
  <si>
    <t>Quality of completion</t>
  </si>
  <si>
    <t>Categrozing document &amp; emails correctly and within expected TAT</t>
  </si>
  <si>
    <t>Motor Insurance</t>
  </si>
  <si>
    <t>Downstream operations processes</t>
  </si>
  <si>
    <t>BI tool,AVD based,Chrome,MS office</t>
  </si>
  <si>
    <t>Manual work allocation and reporting</t>
  </si>
  <si>
    <t>Home VO and Home BO</t>
  </si>
  <si>
    <t>Key Activities Include: 
- Action Supplier Posts : Update scanned images of supplier estimates and reports from  onto the claims.
- Issue Supplier Payments : Issue supplier payments on claims, on receiving spreadsheet from the onshore team.
- Action Supplier Diary : Update diaries after reviewing the claim, on receiving spreadsheet from the onshore team.
Suspense account claims on UIS, Home Control Report, Inactives, £0-£1 report, Home Control report duplicates, Aged Debt, Payment authorization</t>
  </si>
  <si>
    <t>USD/GBP</t>
  </si>
  <si>
    <t>Nov - Jan</t>
  </si>
  <si>
    <t>PDFs and spreadsheets</t>
  </si>
  <si>
    <t>Excel - 80%,  PDF - 20%</t>
  </si>
  <si>
    <t> Claim Center, MS Office,  Avaya , CMS, Outlook, DVS Web Portal</t>
  </si>
  <si>
    <t>Home Recoveries</t>
  </si>
  <si>
    <t>The process involves dealing with new claims, 
chasing outlay with the liable party. We deal with 
third party and third party insurance company to 
recover our outlay on non-fault home claim forms. 
The team reviews the file, chase third party 
insurance. The team also Diary the activity which 
involves housekeeping for periodic review of the 
progress on an open claim
Key Activities are : 
- Request outlays from TPI’s via telephone/ in writing
- Establish contact with TPI’s, solicitors, Suppliers in case additional information is required
- Setup diary entries where response/update is awaited
- Process payments to be authorized by Team Leaders
- Uplift cheques from  the suspense report to the relevant claim</t>
  </si>
  <si>
    <t>Email - 60%, PDF - 20%, Word - 20%</t>
  </si>
  <si>
    <t>Third Party Insurers, PH, Suppliers</t>
  </si>
  <si>
    <t> Claim Center, MS Office,  Avaya , CMS, Outlook, DVS Web Portal, MIB, WYI5</t>
  </si>
  <si>
    <t>Invoicing VO and Invoicing BO</t>
  </si>
  <si>
    <t>The process involves making payments to motor suppliers and repairers once the invoice is received. Each invoice needs to be reviewed as per the process map.</t>
  </si>
  <si>
    <t>Self-authorised &amp; authorised (L2) payments error rate less than 3%</t>
  </si>
  <si>
    <t>Repairers and suppliers / Payments</t>
  </si>
  <si>
    <t>Payment automation for some activities</t>
  </si>
  <si>
    <t>80% structured and 20% unstructured</t>
  </si>
  <si>
    <t>Repairers and suppliers</t>
  </si>
  <si>
    <t>Credit Hire</t>
  </si>
  <si>
    <t>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t>
  </si>
  <si>
    <t>FNOL Rekey</t>
  </si>
  <si>
    <t>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
Key Activities : 
- 360 Portal
- Ni-Miles
- Subro
- I-Process
- IG
-New Windscreen Activity
-Autoglass Exception ( Payments )
-Audabridege
-Hire
-MCH Claims
-Chase Activities
-Audabridge</t>
  </si>
  <si>
    <t>Nov-Feb</t>
  </si>
  <si>
    <t>Review online forms within expected TAT</t>
  </si>
  <si>
    <t>Online forms/documents</t>
  </si>
  <si>
    <t>Policy holders &amp; Third party insurers</t>
  </si>
  <si>
    <t>Loss/ Damage verification</t>
  </si>
  <si>
    <t>Supplier Webchat</t>
  </si>
  <si>
    <t>Handle inbound chats from suppliers (Garages and Hire) and make outbound calls to PH/ND/TP to obtain further information and progress servcices.
Key Activities : 
- Take appropriate action to progress services for customers (PH/TP).
- Dealing with Hire Extension &amp; Termination.
- Arranging Green Flag recovery.
- Redirection or searching another repairer incase garage not covering a specific post code.</t>
  </si>
  <si>
    <t>Jan-Feb</t>
  </si>
  <si>
    <t>669.4 sec</t>
  </si>
  <si>
    <t>Daily</t>
  </si>
  <si>
    <t>Online incoming chats</t>
  </si>
  <si>
    <t>100% Structured</t>
  </si>
  <si>
    <t>Claim Centre (V5 &amp; V9)
Heat Portal
Active Web
Live Person
Audatex
MIB
360
THOR
Quantex Portal - Subro claims
Pulse
NS Genius 
IVI
UIS - (This access is only with the supervisor)</t>
  </si>
  <si>
    <t>DL4B Finance, Business Support ,CCCV&amp; UKIBs DLG Retained Business</t>
  </si>
  <si>
    <t>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
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t>
  </si>
  <si>
    <t>Landlord, VAN,  Trades Person, Bread and Breakfast , Hair and Beauty,Motor,Property,Churchill , VW,Shop,Hotel,SME,</t>
  </si>
  <si>
    <t>L2 to L3</t>
  </si>
  <si>
    <t>AHT ranging for 00:00:30 to 1 hour</t>
  </si>
  <si>
    <t>1 working to 14 working days</t>
  </si>
  <si>
    <t>System issues,Application issue</t>
  </si>
  <si>
    <t>60% Excel and 40% on other applications</t>
  </si>
  <si>
    <t>AVD Based Applications
MS Office
Chrome
Acturis, EVO, Select,, IS2K, CMS,Geo Sphere, Claim Centre,Paragon, Bibit Worldpay,NIG Mainframe,Bankline,Cover Notes</t>
  </si>
  <si>
    <t xml:space="preserve">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t>
  </si>
  <si>
    <t>30 mins to 1hour</t>
  </si>
  <si>
    <t>1 to 21 working days</t>
  </si>
  <si>
    <t>System issues,Application issue( Slowness)</t>
  </si>
  <si>
    <t>Uploaded in web based application</t>
  </si>
  <si>
    <t>Acturis, EVO, Select, Avaya Playback, IS2K, CMS</t>
  </si>
  <si>
    <t>1.5 months</t>
  </si>
  <si>
    <t>Validate and Update Policy info (Limits, Exposure State, Exposure, FEIN, Address, Name Insured, Employers Liability etc.)</t>
  </si>
  <si>
    <t>Simply Business</t>
  </si>
  <si>
    <t>Review MTA by checking all correspondence received.
Gather required information from all available sources e.g., Geo-Report, Survey Report.
Apply terms &amp; conditions amend the required changes as requested if falls under provided underwriting authorities.</t>
  </si>
  <si>
    <t>Landlord, Tradesman,Shops</t>
  </si>
  <si>
    <t>TBC</t>
  </si>
  <si>
    <t>30 Min</t>
  </si>
  <si>
    <t>24 hours</t>
  </si>
  <si>
    <t>System issues</t>
  </si>
  <si>
    <t>Emails, Vlog</t>
  </si>
  <si>
    <t>Brokers</t>
  </si>
  <si>
    <t>MS Outlook, Chrome,MS offoce, Experian,Claim Centre, Geo Sphere</t>
  </si>
  <si>
    <t>Capturing the details of the claim, processing of all details on the system</t>
  </si>
  <si>
    <t>Decmber, January</t>
  </si>
  <si>
    <t>Customer Expereince</t>
  </si>
  <si>
    <t>Network Conversion</t>
  </si>
  <si>
    <t>Customer Experience</t>
  </si>
  <si>
    <t>Complaints</t>
  </si>
  <si>
    <t>New reporting based on new systems</t>
  </si>
  <si>
    <t xml:space="preserve">Citrix Based Applications
MS Office
Chrome
AVAYA
</t>
  </si>
  <si>
    <t>Pierre De Villiers / Sodiqa Karlie</t>
  </si>
  <si>
    <t>Service and Upsell</t>
  </si>
  <si>
    <t>Sales &amp; Service</t>
  </si>
  <si>
    <t>February, March, August, September</t>
  </si>
  <si>
    <t>Cross Sales</t>
  </si>
  <si>
    <t>Complaints, BCTU</t>
  </si>
  <si>
    <t>Citrix Based Applications
MS Office
Chrome
AVAYA</t>
  </si>
  <si>
    <t>Hanover</t>
  </si>
  <si>
    <t>Large US Multi-Regional P&amp;C Carrier</t>
  </si>
  <si>
    <t xml:space="preserve">Personall lines - Billing </t>
  </si>
  <si>
    <t>4 to 8</t>
  </si>
  <si>
    <t>Aug, Sept, Oct</t>
  </si>
  <si>
    <t>6:20</t>
  </si>
  <si>
    <t>60 seconds</t>
  </si>
  <si>
    <t>FCR</t>
  </si>
  <si>
    <t>Abandonment rate</t>
  </si>
  <si>
    <t>N\A</t>
  </si>
  <si>
    <t>Agents\Brokers</t>
  </si>
  <si>
    <t>Insureds/Agents</t>
  </si>
  <si>
    <t>Vmware, AWS connect</t>
  </si>
  <si>
    <t>Rajesh Kodath</t>
  </si>
  <si>
    <t>GL, Auto, Umbrella, Package, WC, BOP, Inland Marine and Specialty</t>
  </si>
  <si>
    <t>Robotics</t>
  </si>
  <si>
    <t>UW/Agency</t>
  </si>
  <si>
    <t>UW/Raters</t>
  </si>
  <si>
    <t>Jan &amp; July</t>
  </si>
  <si>
    <t>90% (0+1 working days)</t>
  </si>
  <si>
    <t xml:space="preserve">Citrix, CAAMS, IPS, APEX, </t>
  </si>
  <si>
    <t>Bond</t>
  </si>
  <si>
    <t>There are various bonds that require some basic renewal quoting and purchasing to complete the renewal process. Bonds are renewed with limit Increase base premium and there is printing and mailing required for Renewal with Limit Increase.</t>
  </si>
  <si>
    <t>Renewals</t>
  </si>
  <si>
    <t>The process involves processing requests received from Agents for renewals, for Auto, Business Owner’s Policy and WC,CPP, Umbrella, Inland Marine &amp; Specialty policies. The renewals are done depending upon the State compliance requirements prior to the expiry of the existing term.</t>
  </si>
  <si>
    <t>Auto, WC, Commercial Package Policies, Umbrella , Inland Marine &amp; Specialty</t>
  </si>
  <si>
    <t>ALL LOBs</t>
  </si>
  <si>
    <t>First touch above 60 days to effective, Policy to be issued within 5 business days once back from UW at TAT of 90%</t>
  </si>
  <si>
    <t>Endorsements (Mid-Term Change)</t>
  </si>
  <si>
    <t xml:space="preserve">The process involves processing requests received from Agents for endorsing, canceling and re-instating the policies for Auto, Business Owner’s Policy and WC,CPP, Umbrella, Inland Marine &amp; Specialty policies. </t>
  </si>
  <si>
    <t>Endorsements to be completed within 14 days of request created
Cancellations to be completed within 7 days of request created date at TAT of 90%</t>
  </si>
  <si>
    <t>Agent, TP</t>
  </si>
  <si>
    <t>New Business</t>
  </si>
  <si>
    <t>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t>
  </si>
  <si>
    <t>Auto, WC, Commercial Package Policies, Umbrella  &amp; Specialty</t>
  </si>
  <si>
    <t xml:space="preserve">TAT -24 Hrs.
</t>
  </si>
  <si>
    <t>Book Rolls</t>
  </si>
  <si>
    <t xml:space="preserve">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t>
  </si>
  <si>
    <t>Record Keeping</t>
  </si>
  <si>
    <t>NAICS Validation</t>
  </si>
  <si>
    <t>Identify and record accurate classifications for all businesses flowing through the Small Commercial Consolidation process.</t>
  </si>
  <si>
    <t>Auto, WC, Commercial Package Policies, Umbrella 
Business Owners’ Policy</t>
  </si>
  <si>
    <t>New Business Quotes/ Rating</t>
  </si>
  <si>
    <t>Uderwriting Assistant</t>
  </si>
  <si>
    <t>Prep the account and provide the Quote information to Rating and  UW when referred to UW</t>
  </si>
  <si>
    <t>Auto, WC, Commercial Package Policies, Umbrella  &amp; Business Owners’ Policy</t>
  </si>
  <si>
    <t>Quality Audit</t>
  </si>
  <si>
    <t>The process involves auditing of policies processed onshore by Hanover</t>
  </si>
  <si>
    <t>Internal</t>
  </si>
  <si>
    <t>Service Requests - DMV/ MVR</t>
  </si>
  <si>
    <t xml:space="preserve">DMV error reports, </t>
  </si>
  <si>
    <t>DMV - Electronic transmission to state departement (Departement of Motor Vehicles) for coverage. whenever a name or vehicle is removed from vehicle and is not accepted by department, need to check discrepancies and re-send information to state department with correct information</t>
  </si>
  <si>
    <t>DMV</t>
  </si>
  <si>
    <t>Internal - DMV</t>
  </si>
  <si>
    <t>&gt; Document management team working through Kofax to tag incoming documents with existing claims
&gt; Upload &amp; download the documents as per the request from onshore</t>
  </si>
  <si>
    <t>GL, Auto, Property</t>
  </si>
  <si>
    <t>2 Hours</t>
  </si>
  <si>
    <t>Indexing automation - 4 FTE reduction implemented in 2021</t>
  </si>
  <si>
    <t>Agent, Adjuster, Vendor</t>
  </si>
  <si>
    <t>CMX, Kofax, Excel</t>
  </si>
  <si>
    <t>Claims FNOL receives faxes through e-mails from insured, Insured Agents, Claimant , Claimant’s Agents, Claimant’s Attorney’s and validate the information then create the claim number to the insured’s loss according to the loss information</t>
  </si>
  <si>
    <t>CMX, Outlook, Excel</t>
  </si>
  <si>
    <t>Oden</t>
  </si>
  <si>
    <t>This task includes generating legal notices using ODEN system. Some of the possible notices are cancellation, reinstatement, non-renewal, conditional cancellation, conditional renewal etc.</t>
  </si>
  <si>
    <t>Auto, Property, Umbrella, Watercraft</t>
  </si>
  <si>
    <t>4 Hours</t>
  </si>
  <si>
    <t>UW</t>
  </si>
  <si>
    <t>Edge, PMS, POS, TAP Sales, Oden tool</t>
  </si>
  <si>
    <t>Evaluation</t>
  </si>
  <si>
    <t xml:space="preserve">NCM support tasks, Med Tasks </t>
  </si>
  <si>
    <t>Medical Record Summarization</t>
  </si>
  <si>
    <t>Legal Support</t>
  </si>
  <si>
    <t>Paralegal &amp; Legal Secretary Services</t>
  </si>
  <si>
    <t>Claims Auto Physical Damage</t>
  </si>
  <si>
    <t>5-6 mins</t>
  </si>
  <si>
    <t>AHT</t>
  </si>
  <si>
    <t>Transfer Rate</t>
  </si>
  <si>
    <t>Insured / Adjusters</t>
  </si>
  <si>
    <t>Billing Business Insurance</t>
  </si>
  <si>
    <t>Productivity</t>
  </si>
  <si>
    <t>Brokers/Agents</t>
  </si>
  <si>
    <t>Kemper</t>
  </si>
  <si>
    <t>Regional US P&amp;C Carrier</t>
  </si>
  <si>
    <t>Gaurav Agarwal</t>
  </si>
  <si>
    <t>After Hours Support</t>
  </si>
  <si>
    <t>Claim File Copies</t>
  </si>
  <si>
    <t xml:space="preserve">Claim file copy requests. </t>
  </si>
  <si>
    <t>Auto/Property</t>
  </si>
  <si>
    <t>Claim Adjuster</t>
  </si>
  <si>
    <t>Instructions in Application/Emails</t>
  </si>
  <si>
    <t>Access to claim related documents</t>
  </si>
  <si>
    <t>Attorney/Law firms, Claim adjusters, Government agencies etc</t>
  </si>
  <si>
    <t>Claim Center, P8, MS office, Medflow, Infinty Policy System, Foxit Phantom</t>
  </si>
  <si>
    <t>IA Supplement Messages</t>
  </si>
  <si>
    <t>Send emails/voice mail messages received from repair facilities to regional dispatch mailboxes.</t>
  </si>
  <si>
    <t>Body Shops</t>
  </si>
  <si>
    <t>Documents uploaded to CCC Portal and assignment to damage appraiser for vehicle inspection</t>
  </si>
  <si>
    <t>Appraiser, Claim Adjuster</t>
  </si>
  <si>
    <t>Claim Center, CCC portal, MS office</t>
  </si>
  <si>
    <t>Matter Setups &amp; Closures</t>
  </si>
  <si>
    <t>Setup Matter on claim files for legal expenses to be paid and close Matters post payments</t>
  </si>
  <si>
    <t>Matter created for law firm and claim adjuster</t>
  </si>
  <si>
    <t>Claim Adjuster/Law firm</t>
  </si>
  <si>
    <t>Claim Center &amp; Bottomline Legal Exchange, MS office</t>
  </si>
  <si>
    <t>Quality Management</t>
  </si>
  <si>
    <t>QA Support</t>
  </si>
  <si>
    <t>All Client Applications / Admin Systems</t>
  </si>
  <si>
    <t>Salvage Settlement</t>
  </si>
  <si>
    <t>Salvage Deficit Payments</t>
  </si>
  <si>
    <t xml:space="preserve">Salvage deficit payments processed for invoices received via email from vendor. </t>
  </si>
  <si>
    <t>Payment/EFT issued to salvage vendor</t>
  </si>
  <si>
    <t>Vendor</t>
  </si>
  <si>
    <t>Claim Center</t>
  </si>
  <si>
    <t>Eschest Checks</t>
  </si>
  <si>
    <t>Processing of returned escheat letters from customers. Confirm if money owed and reissue check as needed</t>
  </si>
  <si>
    <t>Uncashed payment forwarded to escheatment team</t>
  </si>
  <si>
    <t>Onshore Escheatment Team</t>
  </si>
  <si>
    <t>Claim Center, Nintex Application</t>
  </si>
  <si>
    <t>Adjuster Onboarding/Off-boarding</t>
  </si>
  <si>
    <t>Onshore Employee</t>
  </si>
  <si>
    <t>Claim Center, Multiple applications whose access is required</t>
  </si>
  <si>
    <t>Unidentified Mail Queues</t>
  </si>
  <si>
    <t xml:space="preserve">Research unidentified documents received in Indexing systems so as to match them to the correct claim files.  </t>
  </si>
  <si>
    <t>Images</t>
  </si>
  <si>
    <t>Document indexed with correct claim</t>
  </si>
  <si>
    <t>Claim Center, D360, Claims Historical Repository</t>
  </si>
  <si>
    <t>Vendor Payments and Legal Bill Invoice Payments</t>
  </si>
  <si>
    <t xml:space="preserve">Issue payments to various vendors in claims systems.  Invoices are emailed. </t>
  </si>
  <si>
    <t>Payment issued to vendor</t>
  </si>
  <si>
    <t>Claim Center, Bottemline Legal Exchange</t>
  </si>
  <si>
    <t>Subro Recovery payments</t>
  </si>
  <si>
    <t>Payments issuance in Kemper Claims Center (KCC) of demands with completed PD reviews</t>
  </si>
  <si>
    <t>Recovered amount posted in claims system</t>
  </si>
  <si>
    <t>Recovery Compliance Letters</t>
  </si>
  <si>
    <t>Completion of NY/TX compliance letters</t>
  </si>
  <si>
    <t>Acknowledgement letter sent to insured</t>
  </si>
  <si>
    <t>AACC Vendor Payments</t>
  </si>
  <si>
    <t>American Access Claims Center, CCC Portal</t>
  </si>
  <si>
    <t>FNOL Claim Setup</t>
  </si>
  <si>
    <t>Reviews the FNOL document, set up a claim with available information and assign it to the claims adjuster</t>
  </si>
  <si>
    <t>Claim generated for a loss</t>
  </si>
  <si>
    <t>AACC Mail Processing</t>
  </si>
  <si>
    <t xml:space="preserve">Reviews the misrouted documents and index those to the correct claim file </t>
  </si>
  <si>
    <t>Image Right and AA Claims Center, Lexis Nexis</t>
  </si>
  <si>
    <t>Requesting Police report</t>
  </si>
  <si>
    <t>AACC Ordering Police Report</t>
  </si>
  <si>
    <t>Draft requests to oder police report from an application basis adjuster's request</t>
  </si>
  <si>
    <t>Police report ordered for further investigation</t>
  </si>
  <si>
    <t xml:space="preserve"> AA Claims Center, Lexis Nexis</t>
  </si>
  <si>
    <t>TL Assignments</t>
  </si>
  <si>
    <t>Assignment of claims and exposures to the total loss adjuster per the daily log sheet</t>
  </si>
  <si>
    <t>Claim Center, P8, MS office</t>
  </si>
  <si>
    <t>Vendor Payments / Legal Bill Invoice Payment</t>
  </si>
  <si>
    <t>Appraiser</t>
  </si>
  <si>
    <t>Claim Center, CCC, MS office</t>
  </si>
  <si>
    <t>Subro - Post Salvage Proceeds</t>
  </si>
  <si>
    <t>Return Check</t>
  </si>
  <si>
    <t>Review of outstanding checks to verify funds owed, and void &amp; reissue checks as needed.</t>
  </si>
  <si>
    <t>Transcription Request - Send</t>
  </si>
  <si>
    <t xml:space="preserve">Locating recorded statements, identify wether recordings match, sending them to sysman folder to be transcribed. </t>
  </si>
  <si>
    <t>Claim Center, P8, NICE, MSTEAMS, INFINITY</t>
  </si>
  <si>
    <t>Transcription Request - Receive</t>
  </si>
  <si>
    <t xml:space="preserve">Locating transcribed statements in the sysman folder and uploading document to correct claim. </t>
  </si>
  <si>
    <t>Claim File Copies - KCC/ICS</t>
  </si>
  <si>
    <t>Letter Print File</t>
  </si>
  <si>
    <t>Assignment of requested letters and check.</t>
  </si>
  <si>
    <t>Arbitration Assignments</t>
  </si>
  <si>
    <t>Assigning Claims to adjusters in order to litigate arbitration process</t>
  </si>
  <si>
    <t>Salvage Assignments</t>
  </si>
  <si>
    <t>Assignment of requests added to Salvage Assignment Queue.</t>
  </si>
  <si>
    <t>PIP Assignments</t>
  </si>
  <si>
    <t xml:space="preserve">Assignment and reassignment of claims and exposures to suitable adjusters according to live spreadsheet. </t>
  </si>
  <si>
    <t>Property Document Import Mailbox</t>
  </si>
  <si>
    <t>Uploads of Property documents.</t>
  </si>
  <si>
    <t xml:space="preserve">Misrouted Documents Queue  </t>
  </si>
  <si>
    <t xml:space="preserve">Routing/sending documents from incorrect claim file to the approriate claim file. </t>
  </si>
  <si>
    <t xml:space="preserve">New Document Queue </t>
  </si>
  <si>
    <t xml:space="preserve">Reasigning an activity to a new adjuster due to to the the previous adjusters absence. </t>
  </si>
  <si>
    <t>CCO Requests</t>
  </si>
  <si>
    <t>Policy update requests.</t>
  </si>
  <si>
    <t>KPC Claims DD E-mail Return Mailbox</t>
  </si>
  <si>
    <t>Downloading emails and audio/video files from KPC mailbox and upload them in D360</t>
  </si>
  <si>
    <t>D360,Claim Center</t>
  </si>
  <si>
    <t>Info Gathering &amp; Analysis</t>
  </si>
  <si>
    <t>Subro Arb Act Tracker</t>
  </si>
  <si>
    <t>Collating a spreadsheet for all the activites assigned to adjusters/groups on previous day and upload on OneDrive for the  managers to access and retrieve data for their respective teams</t>
  </si>
  <si>
    <t>Claim Center KCC</t>
  </si>
  <si>
    <t>Lexis Nexis, AACC Portal, Image Right</t>
  </si>
  <si>
    <t>Lexis Nexis, AACC Portal, Image Right, Kemper Auto</t>
  </si>
  <si>
    <t>Nationwide</t>
  </si>
  <si>
    <t>Fortune 500 &amp; Large US Insurance carrier</t>
  </si>
  <si>
    <t>Chona Mae Catimbang</t>
  </si>
  <si>
    <t>Auto, Property</t>
  </si>
  <si>
    <t>Quality methodology</t>
  </si>
  <si>
    <t>FNOL, Inquiry</t>
  </si>
  <si>
    <t>Policyholders, agent, 3rd party</t>
  </si>
  <si>
    <t>Claims Center</t>
  </si>
  <si>
    <t>Auto FNOL - Spanish lines</t>
  </si>
  <si>
    <t>Receive first notice of loss calls for auto collissions, accidents and any type of loss related to automobile/vehicle</t>
  </si>
  <si>
    <t>Property FNOL - Spanish lines</t>
  </si>
  <si>
    <t>Receive first notice of loss calls for property loss - weather related, wind hail, hurricane, tornadoes etc.</t>
  </si>
  <si>
    <t>David De Vera</t>
  </si>
  <si>
    <t>Business FNOL
Inquiry calls</t>
  </si>
  <si>
    <t>Receive first notice of loss calls for business auto and property loss - weather related, wind hail, hurricane, tornadoes etc.
Receive calls from policyholders on FNOL incuiries and existing claims</t>
  </si>
  <si>
    <t>FNOL, Inquiry calls</t>
  </si>
  <si>
    <t>John Pin Onrade</t>
  </si>
  <si>
    <t>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t>
  </si>
  <si>
    <t>Forwarding to the right department. Sorting the queries that mailbox is receiving.
Claimant carrier requests assist the adjuster with reporting FNOL to the claimant (other party in a claim). When a claim has already been filed with the Claimant Carrier, these requests assist in obtaining additional claim information.
A File Copy request is received as an activity through Claim Center when an adjuster requests a complete copy of the claim file materials (Claim Center documents, notes, medical bills, records, etc)
This task covers the process for uploading images into Claim Center when they are received from LITSPEC mailbox. Admin processers will be getting the box link and passwords to open and retrieve the documents.
This task covers the process for uploading images into Claim Center when they are received from Complex, LSI and Claims Adjusters. These are mostly medical related documents - medical records and/or bills.
This task is received as an activity through Claim Center in the form of a Policy Request. 
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
Policy Request is received as an activity through Claim Center. The process often starts with the adjuster requesting policy documents such as certified declaration page, the policy jacket and/or endorsements. 
This task covers request for a Genesys call recording to be pulled and uploaded to Claim Center.
Adjuster send requests to Litigation Solutions for documents pertaining to their claim file for medical records, employment records, surveillance, Xrays etc. LitSol will send these requests on to assist with uploading the documents to the claim files.
To determine if any liens exist
To review the check status to determine a resolution to the check
Our sales partners will send an email to connect with claim's leader regarding an escalated claim issue.
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
This is the process for sending packs to field or CAT adjusters.
Assistance in provided for Adding, Changing, or Deleting authorized users and Password Resets for TX DMV</t>
  </si>
  <si>
    <t>Admin Voice + Foundational</t>
  </si>
  <si>
    <t>Outlook, Ariba, EA Sharepoint, MyTech, Service Now, IIQ, Agero, Mozart, DPA, ARMS, Knowledge Advance, EFileNet, Onboarding Guide Excel</t>
  </si>
  <si>
    <t>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t>
  </si>
  <si>
    <t>A Doc ID is considered a Claim No Match when the information provided on the bill or in the accompanying documentation does not match the same information in the Nationwide claim feed received by Mitchell or there are multiple dates of loss.
Review request to see who the NY DMV search is to be run for. Requestor may be asking for a VIN search or a license plate search.
This provides instructions for pulling a credit report from TransUnion.
Claims Associates requests checks be written to PIP providers for services completed. Bills are assigned to Admins in Mitchell each day.
Once all bills have been submitted, refer to Bill Assignment Tracker spreadsheet as Claim Number, MCCA, and Bill Number will be needed to issue each payment.
Admin review all incoming demands and distributes accordingly in E-Subrogation Hub (ESH) and mark the Productivity Tracker Spreadsheet.
Kentucky Arbitrations are received from the Kentucky Insurance Arbitration Association. Admins assign the arbitrations to specific adjusters who have been trained as independent arbitrators for KY PIP claims involving other insurance companies.
Once a claim has gone into Litigation, Nationwide will be served through NWSOP. A request will be submitted via email to LITFAX@nationwide.comemail link from NWSOP to have the claim reassigned to a Litigation Adjuster.
This outlines Material Damage (MD) Supplements and invoices received for additional repairs needed.
The Nationwide Crime Bureau submits fees that are due for services related to Claims investigations.
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
Processing new respondent arbitration files to be assigned for response to a National Recovery Associate.
Assigning and completing of recovery tasks placed in recovery queues.
Running report in the Arbitration Forums website to determine all unanswered respondent arbitration files due within 48 hours and notifying the handling associate.
This covers the processes for assigning claims from ClaimCenter that cannot be automated and file assigning Fire &amp; Theft claims to adjusters.
This covers the processes for reassigning claims from requests received from parties requesting reconsideration of the claims decision on the BI coverage.
This covers the processes for assigning claims from ClaimCenter that cannot be automated and file assigning CICS claims to adjusters in the Northeast claims area.
This covers the processes for manually assigning claims to subrogation Claims Associates.
This covers the processes for assigning claims from multiple Proxies within ClaimCenter. Each Proxy has specific handling procedures and assignment criteria.
This overs the processes for assigning MD Total Loss claims from ClaimCenter that cannot be automated and assigning claims sent in via the TLWESTDISPATCH, SHAREDTLESTIMATE, and TLDISPATCHCCZ queues.
Assigning Private Client MD claims that are not located in ClaimCenter for all other dispatch buckets D out of the CCC1 portal.</t>
  </si>
  <si>
    <t>Doc Mgmt</t>
  </si>
  <si>
    <t>Dimension 360, Claim center
Iron Mountain Connect
NY DMV site, DMV spreadsheet
Claim Center, Transunion, CBR template
Mitchell decision point, Claim Center
Mitchell decision point, Claim Center
Arbitration forums, productivity sharepoint</t>
  </si>
  <si>
    <t>CSP- Orphan mail | TOWRMB | Faxed FNOL Queue | Incoming phone call | Indexing | Mail Upload | Personal line FNOL's Recieved in enewloss email | PL request sent to CCCTECH | Private Client FNOL | Safelite Verification Request
Route mails | RSA Towing | Tow Uncashed Checks | Voicemail | Arbiration Tasks | Check Copy Request | Child liens | Claimcenter Unarchived request | Claims Maintenance Services Request | Compex | CSU Pending | Detached claim | 
Documents on Disabled claim | Litigation images | Litigation Solution | PL Transfer/ Disable | Salvage EFT | Tow Glass Unidentified Mail | Wdclms |W9 Request</t>
  </si>
  <si>
    <t>Claim services processing receives claims mail documents through ClaimCenter in the Orphan Files. Items are routed from document solutions that are unidentified. Mail is routed as need to the appropriate claim or department.
Invoices for Roadside Assistance are received in call center agent and has been set up already requesting to pay the policyholder or vendor. Claims are reviewed for coverage and paid in Claim Center.
Auto FNOL(First notices of loss) can originate from AWD. All personal lines auto claims are filed and handled out of the ClaimCenter system.
Claims Services processing completes call out to obtain additional information on First Notices of Loss(FNOLs), claim mail, or unidentifiable mail. Associates skilled to specific work types will take inbound calls from agents, members, or providers.
AWD captures work electronically and allocates it based on importance, processor skill and processor availability. This page describes the process of identifying the type of work so AWD can allocate work appropriately.
Personal Lines Property FNOLs(first notices of loss) originate in AWD. All personal lines property claim are filed and handled out of claim center with the exception of Harleysville.
Agents, associates, and third paries send FNOLs and other requests to CCCCTECH
All Private Client first notice of loss(FNOL) request received are filed and handled out of CBI(Private Client intake system). This can be located under Aplication in Claims gateway.
Claims Serrvices completes coverage verification on Glass Only claims for Nationwide's glass partner, Safelite. Processor also reassign existing claims to Claims Associates for investigation on California car seat claims.
Claims Services processing receives claims mail documents through AWD system, various email inboxes, and hard copy mail sent into the processing locations. Mail is routed as needed to the appropriate Claims Associate or Department.
Invoices for Roadside Assistance are received in Claim Services via fax, email, or mail and paid to the policyholder or vendor. The claims are set up and paid in Claim Center once the invoice is reviewed and coverage is determined.
Activity generates at 180 days to call out the payee to verify if check was received or not.
Child Support Lien Network emails the CCCTECH inbox each day, requesting the status of claims.
If Claim is archived in ClaimCenter submit request to unarchive</t>
  </si>
  <si>
    <t>FNOL Processing</t>
  </si>
  <si>
    <t>Claim center, Gateway, ISO, AWD</t>
  </si>
  <si>
    <t>Cherree Anne Leones</t>
  </si>
  <si>
    <t>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
Vendor Referral | W-9 Requests / Provider Contact.</t>
  </si>
  <si>
    <t>Certified Mail can be requested anytime a document needs to be sent certified, this typically occurs with a state form
Requests are received from claims associates to make payment code changes on Workers' Compensation related claims.  The Changes are caused from either a check being send on a wrong claim, the incorrect amount was paid, or a check was coded incorrectly.
Workers' Compensation Claims associates will request various parts of the file to be printed.  Documents are then returned to the adjuster or sent to another party, typically Trial Division and/or Outside Counsel, per the request via Box.com
New Documents are sent to insured and injured works for new Workers' Compensation claims.  
Mail, email or fax letters to providers to request bills and/or records for the claim file
Create and issue claim center letters for the requesting adjuster
"1. Emails come from sassupport daily
2. Invoices must be paid by EOD unless the W9 is missing
3. If payment amount issued by Mitchell is $0.00, still mail EOR to provider without check and notate the claim
4. When issuing Private Client payments, follow up next business day to see if any transactions need to be reapproved"
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
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
Handling payments and account information via email, EFT, digital payments and manual checks.
Workers' Compensation team receives a request via email to upload attached documents in Claim Center and inform the adjuster on file for further processing.
Requests are received via email to confirm whether the filed claim is within Nationwide's system or its assigned to a Third Party Administrator.
Utilization of contracted vendors in making vendor referrals such as social media, surveillance and Medical canvassing, Field Case Management and others
Contact providers to get the bills and/or records for the claim file.</t>
  </si>
  <si>
    <t>Commercial</t>
  </si>
  <si>
    <t>Workers Compensation</t>
  </si>
  <si>
    <t>Business, agents, providers</t>
  </si>
  <si>
    <t>Claim Center, Genesys, Outlook Mailbox, Fax Link, ISO, Private Client</t>
  </si>
  <si>
    <t>Narissa Dela Rosa</t>
  </si>
  <si>
    <t>Dispatch+Assignments
File Claimant Carrier FNOL
File Copy/File Request
General Admin+Imaging
General Admin+Medical Requests
ID Admin/Ordering+ClaimCenter Changes
ID Admin/Ordering+New Hire Equipment and Access
ID Admin/Ordering+Order Supplies/Equipment
ID Admin/Ordering+Ordering System Access/IDs
ID Admin/Ordering+Terminations
General Admin+AIS No Match
General Admin+Box
General Admin+Child Liens
General Admin+Document Uploads
General Admin+Escheat
General Admin+eSubro Hub
General Admin+Inventory Content Lists
General Admin+LitFax
General Admin+Litigation Solutions
General Admin+Medicare
General Admin+NWSOP
General Admin+Other -
General Admin+Record Requests
General Admin+Respondant Arbitrations
General Admin+SIU Blue</t>
  </si>
  <si>
    <t>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t>
  </si>
  <si>
    <t>Claims Admin</t>
  </si>
  <si>
    <t>1099 Correction
Bnotice
W9 Requests 
Reject Report - Taxport
Tax Returned Mail
CL requests sent to CCCCTECH
Check copy requests
Claims Maintenance Services Requests
PL Transfer/Disable
CL Transfer/disables
NWAG email box
AG FNOLs received in enewloss email
Commercial Lines FNOLs received in enewloss email 
Faxed FNOL queue
Harleysville CL Requests sent to FNOL
Tow Claims/Tow Mail 
Detached Claims
Safelite verification requests - Help Desk
AGASSIST
Allied Extra
CLAIMTAX
CSP - Orphan Mail
Incoming Phone Call
IRS Penalty List - 972CG
Mail Upload
MailPrep
NWAG Claims Operation Queue
Salvage EFT
Special Project
Tow Glass Unidentified Mail
Voicemail
W9 Entry  - via email to associate
Wdclms
Code Cards for Allied purged policies
Tax Levy and UCC Liens</t>
  </si>
  <si>
    <t>Supplier shall handle a combination of tasks for 
commercial lines of business such as handling claim resolution, managing intricate claims 
services functions, handling correspondence, conducting statistical reporting, handling small first_x0002_party claims, assisting with special projects across various business lines of the Customer</t>
  </si>
  <si>
    <t>Claims Processing</t>
  </si>
  <si>
    <t xml:space="preserve"> Keying Processing: Agent/Foreign Wire Transfers
 Keying Processing: Multiple &amp; Bulk Invoices – Emails
 Keying Processing: ODEI Invoices to Pay
 Keying Processing: Stale Dated/Stop Pays
 Keying Processing: Transfers/Recodes
 Keying Processing: Invoices – Emails / Omniview
 Vendor Processing: Link &amp; Sync
 Vendor Processing: New Vendor Setup with W9
 Vendor Processing: PIP New Vendor Setup
 Vendor Processing: Scheduler – ClaimCenter
 Vendor Processing: Scheduler – Omniview
 Vendor Processing: THF New Vendor Setup
 Vendor Processing: Vendor Updates
 Vendor Processing: W9 Repository</t>
  </si>
  <si>
    <t xml:space="preserve"> Supplier shall provide check processing 
services which involves handling time sensitive requests, vendor processing tasks, claims invoice 
tasks, payment tasks and single invoices that come in via email or Omniview that need paid to be 
paid to third party vendors.</t>
  </si>
  <si>
    <t xml:space="preserve"> First Notice of Loss: ESS emails and eFaxes
 First-Notice-Of-Loss: ESS Special programs and Western
 Heritage: Emails &amp; eFaxes 
 First-Notice-Of-Loss: Incoming inquiry and FNOL Calls
 (Phones - CSR) 
 NW E&amp;S FNOL &amp; Inquiry Calls
 (Previously in Todd Robertson's org)
 ClaimCenter Research</t>
  </si>
  <si>
    <t xml:space="preserve">Supplier shall handle back-office services 
include managing FNOL emails (essreportaloss@nationwide.com), eFaxes and emails for the 
ESS program business and small volume of Western Heritage business. Supplier will also manage 
FNOL emails (essreportaloss@nationwide.com) and faxes that are ingested into Omniview. </t>
  </si>
  <si>
    <t>Claims Support: ESS New Loss Back Office</t>
  </si>
  <si>
    <t>Gathering relevant reports</t>
  </si>
  <si>
    <t>GL</t>
  </si>
  <si>
    <t>Evidence gathering</t>
  </si>
  <si>
    <t>External Distribution</t>
  </si>
  <si>
    <t>Non Medical Bill Review &amp; Approval</t>
  </si>
  <si>
    <t xml:space="preserve">Case Management of File </t>
  </si>
  <si>
    <t>Hartford</t>
  </si>
  <si>
    <t>Fortune 500 US P&amp;C Carrier</t>
  </si>
  <si>
    <t>Rajit C</t>
  </si>
  <si>
    <t>MedOps Payment Correction- WC</t>
  </si>
  <si>
    <t>Team is working on the various payment correction work types like 
-sending overpayment request to the provider
-investigating uncashed check for 180 days
-applying stop and raising reissue requests
-Changing history of the payment to correct claim</t>
  </si>
  <si>
    <t>95% - 2 day 
100% - 4 days</t>
  </si>
  <si>
    <t>Handler</t>
  </si>
  <si>
    <t>100% Standard</t>
  </si>
  <si>
    <t>Providers</t>
  </si>
  <si>
    <t>Guidewire, SW, EDM, Outlook, RAD</t>
  </si>
  <si>
    <t>Correspondence</t>
  </si>
  <si>
    <t>WC - Letters &amp; Forms</t>
  </si>
  <si>
    <t>Team send acknowledgement letter to different parties 
Initial: Team send letter to Insured stating that this is to intimate you that your claim has been 
started in initial we receive two types of claims LT(Loss time) and MO(Medical Only).
Closing: Team send letter to Insured stating that claim has been settled and now its closed  LT(Loss time).</t>
  </si>
  <si>
    <t>WC</t>
  </si>
  <si>
    <t>95% - 1 day 
100% - 2 days</t>
  </si>
  <si>
    <t>FNOL/Policy Verification</t>
  </si>
  <si>
    <t>Insured
Agent
Injured Worker</t>
  </si>
  <si>
    <t>Guidewire. EDM, Outlook</t>
  </si>
  <si>
    <t>WC - Payment Processing</t>
  </si>
  <si>
    <t>Team issue non medical expense payments to vendors and  mileage payments to claimant based on the state mileage rates</t>
  </si>
  <si>
    <t>95% - 5 days
100% - 6 Days</t>
  </si>
  <si>
    <t>Provider</t>
  </si>
  <si>
    <t>20%- Non Std
80% Std</t>
  </si>
  <si>
    <t>Vendor
Injured Worker</t>
  </si>
  <si>
    <t>WC - EDM</t>
  </si>
  <si>
    <t>Policy Attach - When a new claim is reported and the policy number is not available or is invalid. 
Exception/Inactive workbasket: Team search claim based on the information in documents and attached the document to appropriate claim file</t>
  </si>
  <si>
    <t>95% - 1 days 
100% - 2 Days</t>
  </si>
  <si>
    <t>Scanning Vendor</t>
  </si>
  <si>
    <t>Exception Inactive- Claim Handler
Policy - Insured</t>
  </si>
  <si>
    <t>Guidewire. EDM, IDARS, Outlook &amp; Policy Center</t>
  </si>
  <si>
    <t>APG
This is the claim matching process for end to end documents related to claim that fail the automated match criteria executed by the scanning vendor,
 Representative at EXL locates the correct claim number using system application and defined search criteria. Once the Rep locates the correct claim number, documents gets attached to the claim else other procedures are followed.
This function is also responsible to reconcile claim system application (Guidewire, CCPS &amp; RAD) by correcting system generated errors and also correcting policy statistical data in claim system application as per coding team request.
Workers Comp
This function is also responsible to reconcile claim system application (Guidewire, CCPS &amp; RAD) by correcting system generated errors and also correcting policy statistical data in claim system application as per coding team request.</t>
  </si>
  <si>
    <t>95% 2 days
100% 10 days</t>
  </si>
  <si>
    <t>ACS
Underwriter
Claim coder
Finance
System generated</t>
  </si>
  <si>
    <t>20% Non Std
80% Standard</t>
  </si>
  <si>
    <t>Q1</t>
  </si>
  <si>
    <t>TAT1 - 98%
TAT2 - 100%</t>
  </si>
  <si>
    <t>Claim Handler</t>
  </si>
  <si>
    <t>95% Structured
5% non Structured</t>
  </si>
  <si>
    <t>Claim handlers</t>
  </si>
  <si>
    <t xml:space="preserve">  KOR (Key Outcome Review)</t>
  </si>
  <si>
    <t>The process involves  reviewing a claim file to see if an handler has  appropriately validated the wage statement and calculated correct AWW
Each state has its own set of Statue and Regulations (Laws) that govern how you handle claims within that jurisdiction
The purpose of the claim handling laws in each state are to ensure that citizens of the state are treated fairly by insurance carriers and also to clearly outline for insurance carriers what the state’s expectations are</t>
  </si>
  <si>
    <t>40% - 15 Days 
100% by last BD</t>
  </si>
  <si>
    <t>Centralized ops team</t>
  </si>
  <si>
    <t>Guidewire, EDM, Audit Central, Outlook</t>
  </si>
  <si>
    <t xml:space="preserve">EXL team verifies the Invoices received from different third party vendors and issue payments basis fee schedule.  Bills are paid to adjusters for the expenses they incur for visiting loss location to estimate gross value. </t>
  </si>
  <si>
    <t>Q4</t>
  </si>
  <si>
    <t>95% -5 days
100% - 7 days</t>
  </si>
  <si>
    <t>Manual processing</t>
  </si>
  <si>
    <t>Reduction in payment leakage
Reduction in operating cost</t>
  </si>
  <si>
    <t>Digital Automation of payment processing using RPA</t>
  </si>
  <si>
    <t>Third party vendors</t>
  </si>
  <si>
    <t>Guidewire, EDM, COPART Seller Site, Mitchell</t>
  </si>
  <si>
    <t>98% - 6 days, 
99.90%  - 10 days</t>
  </si>
  <si>
    <t>FCO/ adjusters</t>
  </si>
  <si>
    <t>OVC/ 3rd party/ Insured</t>
  </si>
  <si>
    <t>95% - 3 days
100% - 5 days</t>
  </si>
  <si>
    <t>Team is responsible for creating and sending supplement assignments to the appraisers for the request received for additional supplement damages from the body shop.
Team also uploads the supplement related documents.</t>
  </si>
  <si>
    <t>100% Same day</t>
  </si>
  <si>
    <t>Body Shop</t>
  </si>
  <si>
    <t>Staff Appraisers</t>
  </si>
  <si>
    <t>File Open</t>
  </si>
  <si>
    <t>Obtain case level information needed to open a case file. Complete required data fields in the case management system to facilitate opening of a case.  Advise attorney when case is opened</t>
  </si>
  <si>
    <t>Document management</t>
  </si>
  <si>
    <t>Compile medical records, deposition transcripts, and other relevant documents, remove unnecessary documents, label files by doctor’s name &amp; date of service, prepare exhibit list and letter, send to opposing counsel and doctor.</t>
  </si>
  <si>
    <t>Compile EOBs, medical reports, draft letter and send to lien claimant.</t>
  </si>
  <si>
    <t xml:space="preserve">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t>
  </si>
  <si>
    <t>Q3</t>
  </si>
  <si>
    <t>100% -Month</t>
  </si>
  <si>
    <t>Onshore Team</t>
  </si>
  <si>
    <t>Files shared by onshore team</t>
  </si>
  <si>
    <t>100% unstructured</t>
  </si>
  <si>
    <t>Handlers</t>
  </si>
  <si>
    <t>Audit Central, Guidewire,</t>
  </si>
  <si>
    <t xml:space="preserve">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t>
  </si>
  <si>
    <t>99%-Same Day</t>
  </si>
  <si>
    <t>Typo error due to manual data entry</t>
  </si>
  <si>
    <t>Policy Holder</t>
  </si>
  <si>
    <t xml:space="preserve">1. Access to all level given 
2. Daily Target Setup Completed
3. Supervisor are reviewing team performance and sharing nudges accordingly
4.Improvement in individual and team's efficiency </t>
  </si>
  <si>
    <t>1 FTE</t>
  </si>
  <si>
    <t>• Agents
• Insured 
• Insurance Company
• Claimants
• Attorneys</t>
  </si>
  <si>
    <t>70%- Non Standard
30%- Standard</t>
  </si>
  <si>
    <t>Guidewire
EDM
Outlook</t>
  </si>
  <si>
    <t>WC CCT FNOL</t>
  </si>
  <si>
    <t>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t>
  </si>
  <si>
    <t>100%-WC</t>
  </si>
  <si>
    <t>Done auto claim setup for ITL's (internet templates)</t>
  </si>
  <si>
    <t>Medical Technicians are responsible for making payments towards first party automobile injury medical claims and assist the claim handlers with the bill resolution of submitted medical bills</t>
  </si>
  <si>
    <t>99.15%-- State Timelines</t>
  </si>
  <si>
    <t>97%-Under Payment Exception Severity 
103%-Over Payment Exception Severity</t>
  </si>
  <si>
    <t>Payments to Providers</t>
  </si>
  <si>
    <t>Scanned bills (Standard &amp; Non-standard)</t>
  </si>
  <si>
    <t>10%- Non Standard
90%- Standard</t>
  </si>
  <si>
    <t>Guidewire, Mitchell DP, EDM</t>
  </si>
  <si>
    <t>Claim Tech team handle exception bill volume and send delay letters to providers to request missing information. Team also issue payments to different IME vendors.</t>
  </si>
  <si>
    <t>98% -1 day
100%- 2 days</t>
  </si>
  <si>
    <t>Provider/IME Vendors</t>
  </si>
  <si>
    <t>Handlers, Mitchell</t>
  </si>
  <si>
    <t>Guidewire, Mitchell DP, EDM, Outlook, Mitchell DP, WebNow and Jopari</t>
  </si>
  <si>
    <t>Med Ops Payment Processing Lien (Settlement)- WC</t>
  </si>
  <si>
    <t>Q2</t>
  </si>
  <si>
    <t>95% -2 days
100% -3 days</t>
  </si>
  <si>
    <t>Strata Ware,  EDM, Outlook, Guidewire</t>
  </si>
  <si>
    <t>Data Validation-WC</t>
  </si>
  <si>
    <t>95%-3 days
99.9%- 6 days</t>
  </si>
  <si>
    <t>Claim Match Exception-WC</t>
  </si>
  <si>
    <t>This is the initial claim matching process for medical bills that fail the automated match criteria executed by the scanning vendor during the medical bill intake process</t>
  </si>
  <si>
    <t>95%-1 days
100%-5 days</t>
  </si>
  <si>
    <t>10% Non Std
90% Standard</t>
  </si>
  <si>
    <t>WeQ, StrataWare, Outlook, Guidewire</t>
  </si>
  <si>
    <t>WC MSA</t>
  </si>
  <si>
    <t>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t>
  </si>
  <si>
    <t>90%-3 Days
95%- 5 Days
100% -7 Days</t>
  </si>
  <si>
    <t>Nurses</t>
  </si>
  <si>
    <t>Outlook, EDM, Guidewire, PDF viewer</t>
  </si>
  <si>
    <t>Major Case</t>
  </si>
  <si>
    <t xml:space="preserve"> 95%-3 Days
100%-5 Days</t>
  </si>
  <si>
    <t>Right Coding Review</t>
  </si>
  <si>
    <t>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t>
  </si>
  <si>
    <t>95%- 3 Days</t>
  </si>
  <si>
    <t>Medical Provider
Hospital</t>
  </si>
  <si>
    <t>90% Non Std
10% Standard</t>
  </si>
  <si>
    <t>StrataWare, EDM, Guidewire, Outlook</t>
  </si>
  <si>
    <t>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t>
  </si>
  <si>
    <t>Q1 &amp; Q2</t>
  </si>
  <si>
    <t>S1 (1-25 L-es) -95%-1 Days
S1 (1-25 L-es) -99.9%-2 Days
S2- (26-149 L-es) -95%-5 Days
S2- (26-149 L-es)- 99.9%-6 Days
S3 (150-300 L-es) -95%-7 Days
S3 (150-300 L-es) -99.9%-8 Days
L1( 301-750 L-es) -95%-12 Days
L1(301-750 L-es) -99.9%-13 Days
L2 (751-2499 L-es)-95%-14 Days
L2 (751-2499 L-es)-99.9%-15 Days
L3 (&gt;2500L-es) -95%-16 Days
L3 (&gt;2500L-es)-99.9%-17 Days</t>
  </si>
  <si>
    <t>~55%Personal
~45% Commercial</t>
  </si>
  <si>
    <t>Guidewire, Xactimate (X1), Xact analysis, EDM &amp; Outlook</t>
  </si>
  <si>
    <t xml:space="preserve">This work unit involves Uploading claim related documents by identifying correct claim either via claim number provided on reports, or using Advanced Search if necessary. Set activity within ECOS after uploading documents. </t>
  </si>
  <si>
    <t>99% in 3Hrs
100% in 5 Hrs</t>
  </si>
  <si>
    <t>Handler/Adjuster</t>
  </si>
  <si>
    <t>100% Non-Standard</t>
  </si>
  <si>
    <t>Packet Prep, chronology summary</t>
  </si>
  <si>
    <t>IMR Prep</t>
  </si>
  <si>
    <t>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t>
  </si>
  <si>
    <t xml:space="preserve">
100%-2 Days</t>
  </si>
  <si>
    <t>Outlook, EDM, Guidewire, PDF viewer, SharePoint</t>
  </si>
  <si>
    <t>WCC-Bill Review Adjudication</t>
  </si>
  <si>
    <t>We receive medical bills from providers {Physician, Hospital &amp; Pharmacy). Team of specialized Medical Bill Examiners review all the documents, handler's instruction and state guidelines before making any decision.</t>
  </si>
  <si>
    <t>5% Non Std
95% Standard</t>
  </si>
  <si>
    <t>Hyderabad, India</t>
  </si>
  <si>
    <t>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t>
  </si>
  <si>
    <t>98% within 0+2</t>
  </si>
  <si>
    <t>Agents, Insured</t>
  </si>
  <si>
    <t>Named Insured, Agency</t>
  </si>
  <si>
    <t>Client, Café, PLI, IKE, TABS, PEGA</t>
  </si>
  <si>
    <t>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t>
  </si>
  <si>
    <t>Cancel and Rewrite</t>
  </si>
  <si>
    <t>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t>
  </si>
  <si>
    <t>Auto &amp; Home</t>
  </si>
  <si>
    <t>NQ Auto NB Issues</t>
  </si>
  <si>
    <t>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t>
  </si>
  <si>
    <t xml:space="preserve">Manual Auto Cancel Rewrites  </t>
  </si>
  <si>
    <t>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t>
  </si>
  <si>
    <t xml:space="preserve">Auto New Business Quotes  </t>
  </si>
  <si>
    <t>Customer initiated transaction when a new customer calls to receive a price quotation for a new policy. We receive the request in the form of QSL (Quote Status List) or which is created by CSR. We rate the policy and match it using Testing solution application.</t>
  </si>
  <si>
    <t>Cancellation &amp; Reinstatement</t>
  </si>
  <si>
    <t xml:space="preserve">Manual Auto Reinstatements  </t>
  </si>
  <si>
    <t>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t>
  </si>
  <si>
    <t>98% within 0+3</t>
  </si>
  <si>
    <t>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t>
  </si>
  <si>
    <t>98% within 0+7</t>
  </si>
  <si>
    <t>NQ Home Renewals</t>
  </si>
  <si>
    <t>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t>
  </si>
  <si>
    <t>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t>
  </si>
  <si>
    <t>Home</t>
  </si>
  <si>
    <t>95% within 0+4</t>
  </si>
  <si>
    <t>Home New Business Issues</t>
  </si>
  <si>
    <t>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t>
  </si>
  <si>
    <t>95% within 0+2</t>
  </si>
  <si>
    <t>Home New Business Quotes</t>
  </si>
  <si>
    <t>Customer initiated transaction when a new customer calls to receive a price quotation for a new policy. We rate the policy using the tracker provided by Client and validate the premium with comments in Client application.</t>
  </si>
  <si>
    <t>FHCF</t>
  </si>
  <si>
    <t>Declaration Narratives require updating as the supporting departments inform the process team/underwriting areas of updates or changes.</t>
  </si>
  <si>
    <t xml:space="preserve">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"R" status is the follow-up to ensure the policy transaction for the system renewal is now in the active status.</t>
  </si>
  <si>
    <t>Client, Café, PLI, IKE, TABS</t>
  </si>
  <si>
    <t>Real time management of mailbox. daily tracking of inflow and outflow of emails, mailbox reporting, track progress on rework status.</t>
  </si>
  <si>
    <t>95% within 0+1</t>
  </si>
  <si>
    <t>Client, Café, PLI, IKE, TABS, mailbox</t>
  </si>
  <si>
    <t>QCA</t>
  </si>
  <si>
    <t>Processing internal audits in personal lines</t>
  </si>
  <si>
    <t>Chennai, India</t>
  </si>
  <si>
    <t>ESR</t>
  </si>
  <si>
    <t xml:space="preserve">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t>
  </si>
  <si>
    <t>Service</t>
  </si>
  <si>
    <t>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t>
  </si>
  <si>
    <t>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t>
  </si>
  <si>
    <t>IRC</t>
  </si>
  <si>
    <t>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t>
  </si>
  <si>
    <t>Auto ID Cards</t>
  </si>
  <si>
    <t>Mail ID</t>
  </si>
  <si>
    <t>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t>
  </si>
  <si>
    <t>Account Credit</t>
  </si>
  <si>
    <t>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t>
  </si>
  <si>
    <t>98% within 0+5</t>
  </si>
  <si>
    <t>LCP II</t>
  </si>
  <si>
    <t>Processing of changes to the personal lines Auto policies as requested by the customers. The changes includes Addition &amp; Deletion of Account Credit/PUP Liability based on the insured's eligibility</t>
  </si>
  <si>
    <t>CARCO</t>
  </si>
  <si>
    <t>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t>
  </si>
  <si>
    <t>No Hit MVR</t>
  </si>
  <si>
    <t>A No Hit MVR is returned when The Hartford is unable to obtain a MVR for an insured. The report is returned as a "No Hit".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t>
  </si>
  <si>
    <t>PSU Type ID</t>
  </si>
  <si>
    <t>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t>
  </si>
  <si>
    <t>98% within 0+1</t>
  </si>
  <si>
    <t>TLRA</t>
  </si>
  <si>
    <t>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t>
  </si>
  <si>
    <t>Cancel Memo</t>
  </si>
  <si>
    <t xml:space="preserve">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t>
  </si>
  <si>
    <t>DMV and MVR</t>
  </si>
  <si>
    <t>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t>
  </si>
  <si>
    <t>96% within 0+2</t>
  </si>
  <si>
    <t>WIPS</t>
  </si>
  <si>
    <t>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t>
  </si>
  <si>
    <t>HO 61</t>
  </si>
  <si>
    <t>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t>
  </si>
  <si>
    <t>PLASS</t>
  </si>
  <si>
    <t>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"Shunt" to customer service only if specific information needs to be validated. All type of adding, deleting &amp; modification will do and any completed changes or "shunts" will be documented in contact history.</t>
  </si>
  <si>
    <t>5+ DBME</t>
  </si>
  <si>
    <t xml:space="preserve">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t>
  </si>
  <si>
    <t>ARMS</t>
  </si>
  <si>
    <t>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t>
  </si>
  <si>
    <t>Weighted DPO – Weighted Defect Per Opportunity</t>
  </si>
  <si>
    <t>MDT</t>
  </si>
  <si>
    <t>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t>
  </si>
  <si>
    <t>NB Correspondence</t>
  </si>
  <si>
    <t xml:space="preserve"> Application correspondence consists of reviewing applications that are returned from customers. The process includes verifying if the changes are needed, checking for appropriate signatures on the applications, and making basic changes as indicated by the returned application.</t>
  </si>
  <si>
    <t>AARP and PI/Auto, Home, PUP Correspondence Detailed Description &amp;Purpose of Process</t>
  </si>
  <si>
    <t xml:space="preserve">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t>
  </si>
  <si>
    <t>95% - 2 days</t>
  </si>
  <si>
    <t>PL Claim Coding</t>
  </si>
  <si>
    <t>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t>
  </si>
  <si>
    <t>Client, Café, PLI, IKE, TABS, ECOS, Mainframe</t>
  </si>
  <si>
    <t>Document clinical info</t>
  </si>
  <si>
    <t>Claim Completion</t>
  </si>
  <si>
    <t>4:00</t>
  </si>
  <si>
    <t>TAT 1 - 95% Within 24 Hours
TAT 2 - 100% Within 48 Hours</t>
  </si>
  <si>
    <t>Employer and Provider Contact queues
Disability Benefit Manager queues</t>
  </si>
  <si>
    <t>100% Unstructured</t>
  </si>
  <si>
    <t>medical providers, Employer, Employee</t>
  </si>
  <si>
    <t>THAA, Genesys,CIT, CNS</t>
  </si>
  <si>
    <t xml:space="preserve">Provider outreach </t>
  </si>
  <si>
    <t>5:00</t>
  </si>
  <si>
    <t>Provider Contact Queue</t>
  </si>
  <si>
    <t>Ability Analysts</t>
  </si>
  <si>
    <t xml:space="preserve"> CCT Claims Inquiry</t>
  </si>
  <si>
    <t>Provider service</t>
  </si>
  <si>
    <t>TSF</t>
  </si>
  <si>
    <t>medical providers, medical provider billing offices, billing companies, Claims Adjuster, WCB personnel and case managers</t>
  </si>
  <si>
    <t>Strata, Ecos, EDM, Talispoint, Genesys</t>
  </si>
  <si>
    <t>CCT WC FNOL</t>
  </si>
  <si>
    <t>CCT WC Claim Inquiry</t>
  </si>
  <si>
    <t xml:space="preserve">Web portal response </t>
  </si>
  <si>
    <t>Group Benefits Claim Contact Center</t>
  </si>
  <si>
    <t>TBD</t>
  </si>
  <si>
    <t>Schedule Adherence - 92% 
Transfer - 20%
Post Call Survey
Customer Effort - 89%
Customer Satisfaction - 87%</t>
  </si>
  <si>
    <t>THAA, C3PO, KMT, CIT</t>
  </si>
  <si>
    <t>GB Nurse Review</t>
  </si>
  <si>
    <t xml:space="preserve">Clinical Consultant Reviews TAT 1 - 95% in 3 business days
Clinical Consultant Reviews TAT 2 - 100% in 7 business days
All Other Tasks TAT 1 - 95% in 3 business days
All Other Tasks TAT 2 - 100% in 4 business days </t>
  </si>
  <si>
    <t>CQI Voice - 95%
CQI  - .90</t>
  </si>
  <si>
    <t>Ability Analyst, Appeals Analyst</t>
  </si>
  <si>
    <t>THAA, ODG</t>
  </si>
  <si>
    <t>GB Clinical Intake</t>
  </si>
  <si>
    <t>Claimants, Employers</t>
  </si>
  <si>
    <t>IME Scheduling</t>
  </si>
  <si>
    <t>IME Non - NY 11.68
IME NY - 38.61
CA Med Appt - 63.85</t>
  </si>
  <si>
    <t>Claim Handler, Claim Adjuster</t>
  </si>
  <si>
    <t>Vendor, Claim Handler and Claim Adjuster</t>
  </si>
  <si>
    <t>ECOS, EDM,Talispoint</t>
  </si>
  <si>
    <t>Utilization Review</t>
  </si>
  <si>
    <t>UR - ICR</t>
  </si>
  <si>
    <t>95% - 1 DAY
TAT 2 - 95% - 2 days (2-3 days state)
TAT3 - 98% - 7-10 days</t>
  </si>
  <si>
    <t>ECOS, EDM,Talispoint, RS, Genesys</t>
  </si>
  <si>
    <t>Determine assignment</t>
  </si>
  <si>
    <t>UR - URC</t>
  </si>
  <si>
    <t>Claim Handler,Claim Adjuster</t>
  </si>
  <si>
    <t>Clinical Case Management Support</t>
  </si>
  <si>
    <t>Correspondence - 3.00
Outbound calls - 4.33</t>
  </si>
  <si>
    <t>Drug Review Coordinator</t>
  </si>
  <si>
    <t>TAT Referrals 95%
TAT Referrals (Retro Review/Paper Bills) - 98.50%</t>
  </si>
  <si>
    <t>Peer Review &amp; support</t>
  </si>
  <si>
    <t>Peer Review Referral and 
(“IME”) Vendor Coordinator</t>
  </si>
  <si>
    <t>Ability Analyst, Appeals Analyst, Vendor</t>
  </si>
  <si>
    <t>THAA, DCS, Talispoint, Vendor SharePoint, KMT</t>
  </si>
  <si>
    <t>GB Clinical Referral Assignment</t>
  </si>
  <si>
    <t>MCM's BHCM. VCM</t>
  </si>
  <si>
    <t>THAA</t>
  </si>
  <si>
    <t>History and Takeover</t>
  </si>
  <si>
    <t>Policy Holder, Onshore Implementation team</t>
  </si>
  <si>
    <t>Ability Analyst, Claimants</t>
  </si>
  <si>
    <t>THAA, LMS, CIT</t>
  </si>
  <si>
    <t>After Hours Support
*contract ended Feb 1, 2023</t>
  </si>
  <si>
    <t>GB Leave Management</t>
  </si>
  <si>
    <t>Eligibility Notices (5 Days) 100%
Determination Notify (3 Days)	97%
Denial Sign-Offs (Same Day)	100%
Eligibility Task Timeliness (2 Days)	100%
Voice Mail - Sundown rule (95%)
Escalations - 24 Hours	0.96</t>
  </si>
  <si>
    <t>Call Quality - 88%</t>
  </si>
  <si>
    <t>Quality Decision Accuracy
Quality Coding Accuracy</t>
  </si>
  <si>
    <t>Tasks received from the client system</t>
  </si>
  <si>
    <t>Employers, Employees, Plan Sponsors</t>
  </si>
  <si>
    <t>CNA</t>
  </si>
  <si>
    <t>Top-10 US Commercial &amp; Specialty Carrier</t>
  </si>
  <si>
    <t>Arpan Pandey, Varunjesh</t>
  </si>
  <si>
    <t>Send Closing Documents</t>
  </si>
  <si>
    <t>File Closure</t>
  </si>
  <si>
    <t>Closing the file and sending closure letter</t>
  </si>
  <si>
    <t>Auto, Property, GL, Specialty lines, WC</t>
  </si>
  <si>
    <t>ClaimCenter</t>
  </si>
  <si>
    <t>ClaimCenter/ACT/T360/Coventry</t>
  </si>
  <si>
    <t>File Reloads</t>
  </si>
  <si>
    <t>Team works on the Claims for which the payment history is closed in ACT. Once the claim gets reload then the payment history opens/active in ACT.</t>
  </si>
  <si>
    <t>Email</t>
  </si>
  <si>
    <t>ClaimCenter/ACT/MS Outlook</t>
  </si>
  <si>
    <t>ICD 9/10 Coding</t>
  </si>
  <si>
    <t>This is the process of updating and entering the ICD Event Code and the ICD Diagnosis Code in ClaimCenter for Specialty, Auto General Liability and General Liability claims.</t>
  </si>
  <si>
    <t>Initial Acknowledgement Letters</t>
  </si>
  <si>
    <t xml:space="preserve">Letters &amp; Forms - 21 Day Follow Ups </t>
  </si>
  <si>
    <t>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t>
  </si>
  <si>
    <t>Single LOB - WC</t>
  </si>
  <si>
    <t>CA Independent Medical Review</t>
  </si>
  <si>
    <t>Team review the medical documents to ensure that documents belong to the policy holder (injured worker).</t>
  </si>
  <si>
    <t>CA Independent Medical Reviews Download</t>
  </si>
  <si>
    <t>Maximus</t>
  </si>
  <si>
    <t>Maximus/ClaimCenter</t>
  </si>
  <si>
    <t>CM Admin Fee Prep (Excel Log)</t>
  </si>
  <si>
    <t xml:space="preserve">Transfer documents and notes from old claim to re-keyed claim. </t>
  </si>
  <si>
    <t>MS Outlook</t>
  </si>
  <si>
    <t>CM Admin Fee Entry (Pyramid Data Entry)</t>
  </si>
  <si>
    <t>Impairment</t>
  </si>
  <si>
    <t xml:space="preserve">Subro recovery payments to be posted and daily check deposits to be processed.  </t>
  </si>
  <si>
    <t>ECE</t>
  </si>
  <si>
    <t>ECE/MS Outlook</t>
  </si>
  <si>
    <t>Acknowledgement Letters – Workers &amp; Non-Worker Compensation, Claim Reporting</t>
  </si>
  <si>
    <t>Team sends the acknowledgement letters/documents to the required parties that their claim has been received  and share the adjuster details with main contact/claimant</t>
  </si>
  <si>
    <t>BOT</t>
  </si>
  <si>
    <t>4 BOTs are placed in AckLetter for end to end processing of NWC claims (Non SCHI)</t>
  </si>
  <si>
    <t>By implementing BOT there was 3 FTE deduction</t>
  </si>
  <si>
    <t>* Commercial Auto (includes SnapSheet Full Time Employee)
* Commercial Property
* Commercial General Liability
* Commercial Workers Compensation</t>
  </si>
  <si>
    <t>All high severity claims to set up and assigned to adjustor on priority</t>
  </si>
  <si>
    <t>Auto/Property/GL/WC</t>
  </si>
  <si>
    <t>Insureds / Agents</t>
  </si>
  <si>
    <t>Claim number in Application</t>
  </si>
  <si>
    <t>Claim center, ECE, MS Office, PDF, ECF, EPC</t>
  </si>
  <si>
    <t>Commercial Work Distribution &amp; Sorting</t>
  </si>
  <si>
    <t>Review loss information and claims document to assess LOB and transfer claim to respective queue</t>
  </si>
  <si>
    <t>Auto/Property/GL/WC/Specialty HP</t>
  </si>
  <si>
    <t>Specialty - HealthPro</t>
  </si>
  <si>
    <t>Based on the loss information and documents set up a claim and assigned to adjuster</t>
  </si>
  <si>
    <t>Auto/Property/GL/WC/Specialty HP/DBA/TPA Oversight/Crawford/WC Tier 3</t>
  </si>
  <si>
    <t>Risktech and Specialty Policy Attachment</t>
  </si>
  <si>
    <t>Request and attach policy document to the claim</t>
  </si>
  <si>
    <t>Claim Center, ECE, MS Office</t>
  </si>
  <si>
    <t>MOX Claim Set up</t>
  </si>
  <si>
    <t>Audit all the fields and create medical summary for claim professionals</t>
  </si>
  <si>
    <t>Claim Center Activities</t>
  </si>
  <si>
    <t>Payment Transfer</t>
  </si>
  <si>
    <t>purpose of this task is to assist claim field operations with the processes of making a payment transfer through claim center</t>
  </si>
  <si>
    <t>Claim Center &amp; ACT</t>
  </si>
  <si>
    <t>Legal Bill Payment</t>
  </si>
  <si>
    <t>In this task we make payments to Law firms, Vendors &amp; Insureds for any legal expense/cost involved</t>
  </si>
  <si>
    <t>Claim Center, Mobius, TeamConnect, T360 &amp; ACT</t>
  </si>
  <si>
    <t>Reassign File Handler</t>
  </si>
  <si>
    <t>Purpose of this task is to assign the claims/matters to the correct claim professional</t>
  </si>
  <si>
    <t>Claim Center, TeamConnect &amp; T360</t>
  </si>
  <si>
    <t>Request for Reconsideration (RFR) Payments</t>
  </si>
  <si>
    <t>In this task when a law firm disputes the amount that was paid on an original invoice, they would submit a letter to RFR concerning the adjusted amount, a response letter is sent to the firm with a blind copy to the RFR mailbox for claims operations to process the payment</t>
  </si>
  <si>
    <t>Folder</t>
  </si>
  <si>
    <t>Claim Center, TeamConnect, T360 &amp; ACT</t>
  </si>
  <si>
    <t>Medical Bills Pending List</t>
  </si>
  <si>
    <t>In this task we receive request to pay all the bills related to Medical on claim center</t>
  </si>
  <si>
    <t>Claim Center,Conduent &amp; ACT</t>
  </si>
  <si>
    <t>Vehicle Registration Monthly Inquiry</t>
  </si>
  <si>
    <t>This process describes the steps to review the vehicle registration monthly inquiry report and to identify the invoice and amounts for payment</t>
  </si>
  <si>
    <t>Close Recovery Indicator</t>
  </si>
  <si>
    <t>In this task we need to close recovery portion in claimcenter and in ACT post recovery</t>
  </si>
  <si>
    <t>Wage Calculation</t>
  </si>
  <si>
    <t xml:space="preserve">In this task team uses the wage calculator is used to eliminate the manual steps involved in validation and sanity checks </t>
  </si>
  <si>
    <t>Deductible Tracking</t>
  </si>
  <si>
    <t>In this task team reviews the DT every 30 days until it's exausted</t>
  </si>
  <si>
    <t>Second Injury Fund</t>
  </si>
  <si>
    <t>Second Injury Fund is the dedicated fund for the purpose of reimbursing compensation payment made by th emmployers, insures or CP to their employees</t>
  </si>
  <si>
    <t>Duplicate Payment</t>
  </si>
  <si>
    <t>Identify Duplicate payments and initate recovery for the payments</t>
  </si>
  <si>
    <t>Nov-Dec</t>
  </si>
  <si>
    <t>Claim Center, ACT, MS outlook, CRS, Teamconnect</t>
  </si>
  <si>
    <t>Stop Payment</t>
  </si>
  <si>
    <t>Stop incorrect payments</t>
  </si>
  <si>
    <t>Claim Center, ACT, MS outlook,</t>
  </si>
  <si>
    <t>Manager Entry in ACT AZ and Check Release</t>
  </si>
  <si>
    <t>Add AZ authority and release payment checks</t>
  </si>
  <si>
    <t>Claim Center, ACT, MS outlook,CRT DocumentMobius</t>
  </si>
  <si>
    <t>Bill Payment - Non Workers Compensation, Bulk, Workers Compensation, Central Bill Pay Processing Unit</t>
  </si>
  <si>
    <t>Paid Vendor invoices, Insured, Claimants, Injured workers</t>
  </si>
  <si>
    <t xml:space="preserve">Claim Center, ACT, MS outlook, </t>
  </si>
  <si>
    <t>Bill Payment - Wilber Invoices, PIP Bills, Mitchell Bills, Glass (Geber) Invoices</t>
  </si>
  <si>
    <t>Paid vendor invoices</t>
  </si>
  <si>
    <t>Claim Center, ACT, MS outlook, Michell Decision Point</t>
  </si>
  <si>
    <t>Recovery Vendor Bills Arbitration</t>
  </si>
  <si>
    <t>Paid Recovery arbitration bills to vendor</t>
  </si>
  <si>
    <t>SIU/Subrogation Bills Assign Pay</t>
  </si>
  <si>
    <t>Paid SIU/Subrogation bills</t>
  </si>
  <si>
    <t>Indexing &amp; Scanning Non Medical bills</t>
  </si>
  <si>
    <t>Crawford Cunningham Bill Payment</t>
  </si>
  <si>
    <t xml:space="preserve">Indexing - This is a process of indexing for vendor Crawford Cunnigham Bills </t>
  </si>
  <si>
    <t>Scheduled Payments Nearing Completion Report and Activity</t>
  </si>
  <si>
    <t>Create activity to claim professional for notify scheduled payment nearing complition</t>
  </si>
  <si>
    <t xml:space="preserve">Oklahoma Settlement Tax Payments and Puerto Rico with Waivers </t>
  </si>
  <si>
    <t>Indexing and Paid Oklahoma Settlement invoices, and paid Puerto Rico state invoices</t>
  </si>
  <si>
    <t>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t>
  </si>
  <si>
    <t>ClaimCenter/ACT/NY Site/Coventry/Conduent/FileNet/ShareFile</t>
  </si>
  <si>
    <t>Claim Activity Triage</t>
  </si>
  <si>
    <t xml:space="preserve">This process is to assist with activity reassignments due to ALC changes. </t>
  </si>
  <si>
    <t>Statistical Coding Tasks</t>
  </si>
  <si>
    <t>Statistical coding is the process of capturing claim data to apply existing policy information to a new claim at the suffix level.</t>
  </si>
  <si>
    <t>Auto, Specialty lines, WC</t>
  </si>
  <si>
    <t>ClaimCenter/Covers</t>
  </si>
  <si>
    <t>Legal Document Review</t>
  </si>
  <si>
    <t>Document Filing</t>
  </si>
  <si>
    <t>Purpose of this task is to rename and upload legal documents in TeamConnect</t>
  </si>
  <si>
    <t>TeamConnect</t>
  </si>
  <si>
    <t>Legal Research &amp; Analysis</t>
  </si>
  <si>
    <t>New File TC Data Entry (DBA/WC:  IL-MN-MO-NY</t>
  </si>
  <si>
    <t>In this task we update TeamConnect post reviewing legal documents like – Venue, Litigation counsel office, case caption, category, claimant details and attorney details etc. and create introductory letter as well</t>
  </si>
  <si>
    <t>Mutiple LOBs like - Auto, Property, GL, Specialty lines, WC. Etc.</t>
  </si>
  <si>
    <t>Claim Center, TeamConnect</t>
  </si>
  <si>
    <t>CCG</t>
  </si>
  <si>
    <t>Purpose of this task is to rename and file legal documents in TeamConnect. We also close, open and re-open the coverage matters in TeamConnect</t>
  </si>
  <si>
    <t>Legal Referral</t>
  </si>
  <si>
    <t>In this task we set up matter in TeamConnect/T360, create litigation screen and send engagement letter to parties</t>
  </si>
  <si>
    <t>Bulk Matter Transfer</t>
  </si>
  <si>
    <t>In this task we receive request transfer matter from Litigation counsel to Outisde counsel, outisde counsel to outside counsel and outisde counsel to Litigation counsel. We also downlad legal documents from TC and send to outside counsel via sharefile link</t>
  </si>
  <si>
    <t>ClaimCenter/Email</t>
  </si>
  <si>
    <t>Claim Center, TeamConnect and T360</t>
  </si>
  <si>
    <t>Legal Matter Update (Closing Request)</t>
  </si>
  <si>
    <t>In this task we receive request to close the matter in T360</t>
  </si>
  <si>
    <t>Claim Center and T360</t>
  </si>
  <si>
    <t>Medical Bills Pending - First Script</t>
  </si>
  <si>
    <t>EXL to receive monthly spreadsheet to process the First Script (Vendor) items, team to follow appropriate steps to issue payments and to update CNA comments on the spreadsheet.</t>
  </si>
  <si>
    <t>CP</t>
  </si>
  <si>
    <t>Individual Mailbox</t>
  </si>
  <si>
    <t>ACT</t>
  </si>
  <si>
    <t>Vendors</t>
  </si>
  <si>
    <t>ACT, ClaimCenter, Mailbox</t>
  </si>
  <si>
    <t>Medical Bills Pending - EOR</t>
  </si>
  <si>
    <t>EXL to issue payment on the bills as they appear on manual Database Payments application (PPT), EXL to receive bills on every Monday, Wednesday &amp; Friday.</t>
  </si>
  <si>
    <t>Manual Database Payments Application</t>
  </si>
  <si>
    <t>WC - Request from Tier 3</t>
  </si>
  <si>
    <t>1. Receive first notification of loss via voice and non-voice channels specified in the SOP to be entered in Claim system
2. Research the missing information per the SOP and create claim and update claim system as per the SOP</t>
  </si>
  <si>
    <t>FNOL TPA Oversight</t>
  </si>
  <si>
    <t>TPA Oversight claims are setup in ClaimCenter as companion files to claims being handled by a hired third party company. These losses are setup as we set up for other LOB claims but with minimal required fields in ClaimCenter.</t>
  </si>
  <si>
    <t>Mutiple LOBs like - Auto, Property, GL, WC. Etc.</t>
  </si>
  <si>
    <t>Crawford FNOL Follow Up</t>
  </si>
  <si>
    <t xml:space="preserve">Follow up request on a pre filed loss is received which needs to be attached to the existing claim </t>
  </si>
  <si>
    <t>C NA</t>
  </si>
  <si>
    <t>Legal File Opening</t>
  </si>
  <si>
    <t>T360 New User Set Up</t>
  </si>
  <si>
    <t>We set up new user in T360 as per the IIQ requests we receive from onshore</t>
  </si>
  <si>
    <t>T360</t>
  </si>
  <si>
    <t>Onshore Legal Referral QA</t>
  </si>
  <si>
    <t>1. Complete transaction quality monitoring for tasks completed across Legal Referral, in accordance with the SOP
2. Complete QA sheet and report QA scores to onshore monthly, per the SOP</t>
  </si>
  <si>
    <t>WC, Auto, PMT, CNP, CUP, CUE, Speciality</t>
  </si>
  <si>
    <t>Outside Counsel</t>
  </si>
  <si>
    <t>ClaimCenter, T360, Outlook</t>
  </si>
  <si>
    <t>Court Docket and TeamConnect Uploads (LCGR)</t>
  </si>
  <si>
    <t>We re-name and upload documents in TeamConnect as per the request receive from onshore team</t>
  </si>
  <si>
    <t>Attorneys</t>
  </si>
  <si>
    <t>Legal Matter Update (Missing Information)</t>
  </si>
  <si>
    <t>We update litigation screen as per the information provided in the activity</t>
  </si>
  <si>
    <t>Close Auto With or Without Recovery</t>
  </si>
  <si>
    <t>EXL team to assist with file closure process based on Excel spreadsheet/closing report provided by onshore team with list of claims that requires closure and also sending closure letters to insured and agent
This task pertains to claims where no recovery has been made due to which no deductible reimbursement is owned to the insured, objective is to send closure letters to insured and agent, closure of claim in ACT &amp; claim center</t>
  </si>
  <si>
    <t>ACT, ClaimCenter, Alacrity Solutions</t>
  </si>
  <si>
    <t>Spartan Referral</t>
  </si>
  <si>
    <t>Objective is to prepare and send the Spartan referral sheet on Auto, Property &amp; WC claims - Where recovery is referred to Spartan (Recovery Vendor)</t>
  </si>
  <si>
    <t>Auto, WC &amp; Property</t>
  </si>
  <si>
    <t>Spartan</t>
  </si>
  <si>
    <t>Cisco Referral</t>
  </si>
  <si>
    <t>In this task team assigns to claims from spartan (Recovery Vendor) to Cisco (Collection Vendor) for further pursuit</t>
  </si>
  <si>
    <t>Cisco</t>
  </si>
  <si>
    <t>New Business issuance</t>
  </si>
  <si>
    <t xml:space="preserve">Issue New Business and Renewal Policies as per UW instructions, updated  Binder, Quote Letter and make following changes:-
Mailing Address/Location Address/Named Insured
Adding / deleting/ amending Vehicle /Property/Payroll/Limits
Addition / deletion of forms
Comp/ Collision coverage
Waiver of subrogation
Voluntary Compensation
Class code Classification
</t>
  </si>
  <si>
    <t>WC, Auto, PMT, CNP, CUP, CUE</t>
  </si>
  <si>
    <t>Jan, June, July, Oct</t>
  </si>
  <si>
    <t>95% ( 0+3 Days)</t>
  </si>
  <si>
    <t xml:space="preserve">Reduction in Exceptions to Onshore: Reduced multiple handoffs between UW – client – vendor
</t>
  </si>
  <si>
    <t xml:space="preserve">20% reduction in exceptions
</t>
  </si>
  <si>
    <t>UT/UW</t>
  </si>
  <si>
    <t>60% Accord, 40% Mail</t>
  </si>
  <si>
    <t>Agents, Underwriter and Insured</t>
  </si>
  <si>
    <t>Aspire, UWS, EPC, TAP, Dashboard, DMF, RST and Mobius</t>
  </si>
  <si>
    <t>Rollover</t>
  </si>
  <si>
    <t xml:space="preserve">Review the Policy during the last 80 days of its term and make following changes:-
Generate a Quote for the next term
Check Endorsement Alerts and make applicable changes
Amend or update any additional information as per UW notes
</t>
  </si>
  <si>
    <t>Jan, Sep, Oct</t>
  </si>
  <si>
    <t>80 Days</t>
  </si>
  <si>
    <t xml:space="preserve">Eliminate/Automate and Re-engineer process steps for improved efficiency and  effectiveness
</t>
  </si>
  <si>
    <t xml:space="preserve">&gt;~20% efficiency augmented via 
Lean/Kaizen leading to elimination/revision of 
&gt;11 out of 40 steps in the process
</t>
  </si>
  <si>
    <t>Premium Audit</t>
  </si>
  <si>
    <t>Audit Scheduling</t>
  </si>
  <si>
    <t>Prepare Premium Audit schedule and communicate</t>
  </si>
  <si>
    <t xml:space="preserve">Package lines, Auto, Specialty lines, WC </t>
  </si>
  <si>
    <t>99.10%(0-2 Business Days)</t>
  </si>
  <si>
    <t>Premium Audit Manager &amp; CSR</t>
  </si>
  <si>
    <t>Outlook - 30%
PDF - 70%</t>
  </si>
  <si>
    <t>Agent, Insured</t>
  </si>
  <si>
    <t xml:space="preserve">Nexus, UWS, TAP , Mobius , IBM Host and Demand (Pledge)
EXL B- Prompt Application 
</t>
  </si>
  <si>
    <t>Clerical Support</t>
  </si>
  <si>
    <t xml:space="preserve">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t>
  </si>
  <si>
    <t>Premium audit work assignment process (Onshore + Offshore)</t>
  </si>
  <si>
    <t>May, August</t>
  </si>
  <si>
    <t xml:space="preserve">&gt;Agents
&gt;CSRs
&gt;Premium Audit Manager
&gt;Auditors
&gt;Vendors
I&gt;insured
</t>
  </si>
  <si>
    <t>Outlook - 20%
PDF - 20%
EXCEL - 60%</t>
  </si>
  <si>
    <t xml:space="preserve">&gt;Agents
&gt;Insured
&gt;Underwriter
</t>
  </si>
  <si>
    <t xml:space="preserve">Guidewire(EPC), Nexus, UWS, TAP , Mobius
EXL B- Prompt Application,  E-gain, Dashboard
</t>
  </si>
  <si>
    <t>Field Audit</t>
  </si>
  <si>
    <t>Physical Audit</t>
  </si>
  <si>
    <t>The Premium Audit reviewers are responsible for reviewing policyholder records at the end of the policy period to determine the final, audited premium for coverage provided basis the Physical audit report</t>
  </si>
  <si>
    <t>Aug, Dec</t>
  </si>
  <si>
    <t xml:space="preserve">&gt;Agents
&gt;Insured
</t>
  </si>
  <si>
    <t>Internet Audit</t>
  </si>
  <si>
    <t>The Premium Audit reviewers are responsible for reviewing policyholder records at the end of the policy period to determine the final, audited premium for coverage provided basis the Internet audit report</t>
  </si>
  <si>
    <t>Jun, Aug</t>
  </si>
  <si>
    <t>Phone Audit</t>
  </si>
  <si>
    <t>Telephone Audit</t>
  </si>
  <si>
    <t>The Premium Audit reviewers are responsible for reviewing policyholder records at the end of the policy period to determine the final, audited premium for coverage provided basis the Telephone Audit report</t>
  </si>
  <si>
    <t>Premium Audit Endorsements</t>
  </si>
  <si>
    <t>Adding States &amp; Codes into the policy basis Audit reports
Processing Endorsement if Automation Fails</t>
  </si>
  <si>
    <t>Jan, Aug</t>
  </si>
  <si>
    <t xml:space="preserve">Guidewire, EXL B- Prompt Application, Nexus, Mobius, Host on Demand (Pledge)
</t>
  </si>
  <si>
    <t xml:space="preserve">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t>
  </si>
  <si>
    <t>Payment management is the process to apply the payments accurately which received from Agents &amp; Insured via check , ACH &amp; Wire after auto matching system and also refund the excess amount paid by Agents and Insured</t>
  </si>
  <si>
    <t>Aug, Oct</t>
  </si>
  <si>
    <t xml:space="preserve">&gt;Agents
&gt;Insured
</t>
  </si>
  <si>
    <t>Outlook - 10%
PDF - 40%
EXCEL - 50%</t>
  </si>
  <si>
    <t xml:space="preserve">Agents
Insured
</t>
  </si>
  <si>
    <t xml:space="preserve">Appian, Workday, Cash Management Tool, COLLQ, TAP, UWS Mobius, IBM Host and Demand, EXL B- Prompt Application.
</t>
  </si>
  <si>
    <t>Solicitation - 45 Days, 90 Days, Financial Institution, Life Science, Non Standard</t>
  </si>
  <si>
    <t xml:space="preserve">Solicitation letter is sent to Broker and Agent 45/90 Days prior to renewal of a policy. </t>
  </si>
  <si>
    <t>Jan</t>
  </si>
  <si>
    <t>100% (5 Business Days)</t>
  </si>
  <si>
    <t>CAN Resources - Onshore</t>
  </si>
  <si>
    <t>Client Application - 100%</t>
  </si>
  <si>
    <t>Agent</t>
  </si>
  <si>
    <t>JAZ, Famous-R, E-File, MS-Outlook</t>
  </si>
  <si>
    <t>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t>
  </si>
  <si>
    <t>SB Rating tasks</t>
  </si>
  <si>
    <t>99% (=&gt; 45 days to renewal issuance date)</t>
  </si>
  <si>
    <t>Policy Database</t>
  </si>
  <si>
    <t>Policy Holders</t>
  </si>
  <si>
    <t>Policy Center, Mobius and UWS</t>
  </si>
  <si>
    <t>CNA Processing Mailbox</t>
  </si>
  <si>
    <t xml:space="preserve">CNA Processing Mailbox - This is a process to review emails received in CNA Mail box and either Re-Route emails to appropriate teams or just categorize it as ‘Duplicate’ if the email is already copied to appropriate teams. 
</t>
  </si>
  <si>
    <t>100% (Same Day/ one business day)</t>
  </si>
  <si>
    <t xml:space="preserve">&gt;Agents
&gt;Underwriters
&gt;Other CNA teams / Resources
</t>
  </si>
  <si>
    <t>Emails-100%</t>
  </si>
  <si>
    <t xml:space="preserve">&gt;Appropriate teams / individuals – Endorsement, Cancellation, New Business teams etc.
&gt;Agents
</t>
  </si>
  <si>
    <t>MS-Outlook</t>
  </si>
  <si>
    <t>Indexing - This is a process of creating tasks received in Endorsement Portal and routing them to appropriate teams based on request types.</t>
  </si>
  <si>
    <t>72% (Same Day) / 99.05% (One Day)</t>
  </si>
  <si>
    <t>Agents and CNA Resources</t>
  </si>
  <si>
    <t>Emails - 50%, Accord - 20%, PDF - 10%, Excel - 10%, Others - 10%</t>
  </si>
  <si>
    <t xml:space="preserve">&gt;Endorsement Team
&gt;Other departments – FSR (Cancellation, Loss Run transactions), New Account Setup etc.
</t>
  </si>
  <si>
    <t>Endorsement Portal, UWS, MS-Outlook</t>
  </si>
  <si>
    <t>CAT Modeling</t>
  </si>
  <si>
    <t xml:space="preserve">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
</t>
  </si>
  <si>
    <t>95% (3 Business Days)</t>
  </si>
  <si>
    <t>Underwriter</t>
  </si>
  <si>
    <t>20% Emails and 80 % Excel files</t>
  </si>
  <si>
    <t>CAT Model Tool</t>
  </si>
  <si>
    <t>Endorsement MM,SB,Conractor</t>
  </si>
  <si>
    <t>Any type of change we do in endorsement . An endorsement can be issued at the time of purchase , mid term or at renewal. Endorsement can affect insurance agreed premium depending on the type of change</t>
  </si>
  <si>
    <t>100% (4 Business Days)</t>
  </si>
  <si>
    <t xml:space="preserve">Client Application - 100% </t>
  </si>
  <si>
    <t>Aspire, UWS, EPC, Mobius, TAP, Endorsement Portal</t>
  </si>
  <si>
    <t>D&amp;B Scores</t>
  </si>
  <si>
    <t>D&amp;B / Flood Map</t>
  </si>
  <si>
    <t xml:space="preserve">D&amp;B / Flood Map - This is a process to find the D&amp;B financial credit score and Flood Map risk category of locations. The information gathered is updated in EPC and UWS for further handling by Underwriter. </t>
  </si>
  <si>
    <t>Aspire, UWS, EPC, Swiss Re</t>
  </si>
  <si>
    <t>SBSC Egain COI, Policy update,  Audit Queue,SBSC Endt</t>
  </si>
  <si>
    <t xml:space="preserve">Address customer issues related to Audit submitted via message in applicable call center portal. </t>
  </si>
  <si>
    <t>98% (2 Business days (48 hours))</t>
  </si>
  <si>
    <t>Aspire, UWS, EPC, ECE</t>
  </si>
  <si>
    <t>Assess Renewal</t>
  </si>
  <si>
    <t>Renewal Prep/Prospect letter/Mailout/Irater/Mailbox logging</t>
  </si>
  <si>
    <t>1 Receive request via work queue and determine if already complete or exception
2. Verify which procedure to follow per the policy prefix type (i.e. PST, WP, or MDA)
3. Update the applications, checklists, and renewal spreadsheets  and attach required documents
4. Quality check and mark complete in all work management systems</t>
  </si>
  <si>
    <t>100% (90 calendar days prior to renewal date)
Prospect letter -14 business days
Mail out- 10 business day
Logging- Same day</t>
  </si>
  <si>
    <t>Aspire, UWS, EPC</t>
  </si>
  <si>
    <t>Loss Runs</t>
  </si>
  <si>
    <t>CPC and PSS Loss Run</t>
  </si>
  <si>
    <t>Team process Loss Runs post validating all required details.</t>
  </si>
  <si>
    <t>100% (2 Business Days)</t>
  </si>
  <si>
    <t>&gt;Agent
&gt;UW
&gt;Insured</t>
  </si>
  <si>
    <t>25% Excel,PDF 75% Email</t>
  </si>
  <si>
    <t>Agent/Insured/UW</t>
  </si>
  <si>
    <t>EPC, UWS, AIPS, Famous-R, Lotus Notes, MS Outlook, Merlin, JAZ, Reference Tools, Excel Sheet, PDF</t>
  </si>
  <si>
    <t>DMV 1st touch, 2nd touch, corrections, referred</t>
  </si>
  <si>
    <t xml:space="preserve">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
</t>
  </si>
  <si>
    <t>99% (5 Business Days)</t>
  </si>
  <si>
    <t>Identifying non-value steps resulted in 28% efficiency gain</t>
  </si>
  <si>
    <t>28% efficiency gain</t>
  </si>
  <si>
    <t xml:space="preserve">60% pdf and 40% Excel format
</t>
  </si>
  <si>
    <t>Client Applications, Outlook, Reference Tools, Excel Sheet
EPC, UWS, ALIR, Statewebsites, reference tools, excel sheet</t>
  </si>
  <si>
    <t>MVR</t>
  </si>
  <si>
    <t>MVR team validate all required details and add/delete order drivers in MVR web or handle it as an exception case</t>
  </si>
  <si>
    <t>99% (2 Business Days)</t>
  </si>
  <si>
    <t>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t>
  </si>
  <si>
    <t>Reduction in FTE Effort : 30%
Increase in Efficiency : 35-40%
Accuracy Results : 100%</t>
  </si>
  <si>
    <t>Reinstatement</t>
  </si>
  <si>
    <t>Team process reinstatement/cancellation in TAP, EPC or PC as per policy source and sends notification and notice to requester and multimedia</t>
  </si>
  <si>
    <t>Oct</t>
  </si>
  <si>
    <t xml:space="preserve">&gt;Agent
&gt;CNA Internal Departments
&gt;UW
&gt;Insured
</t>
  </si>
  <si>
    <t>60% pdf or excel format
40% egain body</t>
  </si>
  <si>
    <t>&gt;Agent
&gt;Insured
&gt;UW
&gt;CNA Internal dept</t>
  </si>
  <si>
    <t>Egain, TAP, EPC, PC, UWS, MS Outlook, Oden, Act prod, Reference Tools, Excel Sheet</t>
  </si>
  <si>
    <t>WC Filings/ CRITS</t>
  </si>
  <si>
    <t>WC Crits</t>
  </si>
  <si>
    <t>Process requires the team to access state websites to extract Bureau CRIT reports and post triaging assign to appropriate queues for further handling by onshore</t>
  </si>
  <si>
    <t>100% (Same Day)</t>
  </si>
  <si>
    <t>&gt;State Authorities
&gt;Bureau
&gt;Agents
&gt;UW</t>
  </si>
  <si>
    <t>90% in EPC ~10% in Egain</t>
  </si>
  <si>
    <t>State Authorities
Bureaus</t>
  </si>
  <si>
    <t>Egain, Outlook, UWS Bureau websites EMS resources Library Excel Sheet, Crits Tool</t>
  </si>
  <si>
    <t>General Blend &amp; Cancellations</t>
  </si>
  <si>
    <t>New Account Setup/Clearance/Registration/Add Product</t>
  </si>
  <si>
    <t>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t>
  </si>
  <si>
    <t>98% (24 Hrs)</t>
  </si>
  <si>
    <t xml:space="preserve">&gt;Agents
&gt; UW
</t>
  </si>
  <si>
    <t>Outlook - 20%
PDF - 70%
EXCEL - 10%</t>
  </si>
  <si>
    <t xml:space="preserve">Guidewire , Policy system,
EXL B- Prompt Application, Reference Tools, EXL Smart Work Management
</t>
  </si>
  <si>
    <t>Small Business Renewal - Non-legacy &amp; Mailbox</t>
  </si>
  <si>
    <t>Making requested changes in the policy, including agency code change and issue the renewal</t>
  </si>
  <si>
    <t>Small Business</t>
  </si>
  <si>
    <t>99% (35 Days prior to renewal effective date)</t>
  </si>
  <si>
    <t>Yes</t>
  </si>
  <si>
    <t>RPA implemented for ~20% volume</t>
  </si>
  <si>
    <t>EPC/PC - 80%, Emails- 20%</t>
  </si>
  <si>
    <t xml:space="preserve">Insured, agents and CNA resources
</t>
  </si>
  <si>
    <t>EPC, Policy Center and MS Outlook</t>
  </si>
  <si>
    <t>Small Business Renewal - Legacy lines</t>
  </si>
  <si>
    <t>100% (35 Days prior to renewal effective date)</t>
  </si>
  <si>
    <t>EPC/PC - 100%</t>
  </si>
  <si>
    <t xml:space="preserve">EPC and Policy Center </t>
  </si>
  <si>
    <t>UT_ Doc attachment</t>
  </si>
  <si>
    <t>We receive mails with in mail box from UT to update policies document to efile application</t>
  </si>
  <si>
    <t>D&amp;O , EPL , FDLS , CRIME ,IMS, FI BOND ,ICPL,DOAS , PEFS,ERISA</t>
  </si>
  <si>
    <t>100% (0+2)</t>
  </si>
  <si>
    <t>Shared mailbox:100%</t>
  </si>
  <si>
    <t>Efile application ,shared mail box, Share drive access</t>
  </si>
  <si>
    <t>Renewal Prep UWC</t>
  </si>
  <si>
    <t>Renewal Prep is the task we do on account level and this processed once rollover has been completed. In this task we upddate UW checklist in RST based on our workflow</t>
  </si>
  <si>
    <t>90 days</t>
  </si>
  <si>
    <t>Aspire : 100%</t>
  </si>
  <si>
    <t>Scheduling assignments, pulling up, sorting and uploading documents to vendor websites, creating document packets for onshore printing and mailing, scheduling IME appointments, and making calls to non-vendor IMEs for scheduling appointments as and when required</t>
  </si>
  <si>
    <t>97% within 2 Business Days</t>
  </si>
  <si>
    <t>Claim adjusters/ Claim case owner</t>
  </si>
  <si>
    <t>Medical Providers, Injured workers</t>
  </si>
  <si>
    <t>VP Regular, Extended, RX Summary, VP Tasks</t>
  </si>
  <si>
    <t xml:space="preserve">Support Medical Case Managers (MCM) - Prepare the case before MCM handles them. Create clinical summaries and various adhoc tasks prior assigning to MCM. </t>
  </si>
  <si>
    <t>96% within the day</t>
  </si>
  <si>
    <t>Case Manager, Injured workers</t>
  </si>
  <si>
    <t>NCM Screener</t>
  </si>
  <si>
    <t>Review the treatment/ referral request based on injury guidelines, state specific rules and assign them to onshore Nurse case manager. Determine if assignment is going to internal or external case manager.</t>
  </si>
  <si>
    <t>96% same day</t>
  </si>
  <si>
    <t>Conduent, Claim adjusters/Claim case owners, Medical Providers</t>
  </si>
  <si>
    <t>Bill Payment, Medical Providers, Injured workers</t>
  </si>
  <si>
    <t>Medical Bill Entry &amp; Review</t>
  </si>
  <si>
    <t>MOX Bill Review</t>
  </si>
  <si>
    <t>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t>
  </si>
  <si>
    <t>98% in 5 business days</t>
  </si>
  <si>
    <t>Claim center, Conduent</t>
  </si>
  <si>
    <t>Medical Bill Approval</t>
  </si>
  <si>
    <t xml:space="preserve">Review - Responsible for reviewing medical bills and records for accuracy and taking a decision to approve or deny bills based on claim file information, claim professional feedback, medical appropriateness and state guidelines.
Summarization - Responsible for summarizing specific types of medical reports to have a baseline data in most medical visits of the injured worker. </t>
  </si>
  <si>
    <t>98% within 5 business days</t>
  </si>
  <si>
    <t>Case Managers</t>
  </si>
  <si>
    <t>NCM Support Task; Request for Records, , FS OpIoid Reports</t>
  </si>
  <si>
    <t>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t>
  </si>
  <si>
    <t>CMS request for records -10.65</t>
  </si>
  <si>
    <t>96% within 5 business days for RFR</t>
  </si>
  <si>
    <t>Claim center, Talispoint</t>
  </si>
  <si>
    <t>Account Service and Coordination</t>
  </si>
  <si>
    <t>Risk Control Review</t>
  </si>
  <si>
    <t>Reviewing Closed Claims to identify the necessary data for Claim Studies.</t>
  </si>
  <si>
    <t xml:space="preserve">CNA </t>
  </si>
  <si>
    <t>Risk Control Nurse, Injured workers, CN_A</t>
  </si>
  <si>
    <t>Claim center, MS Access</t>
  </si>
  <si>
    <t>Mailroom Ops and Scanning</t>
  </si>
  <si>
    <t>Return Mail</t>
  </si>
  <si>
    <t>Obtain correct mailing addresses for returned mails</t>
  </si>
  <si>
    <t>Return Mail: 9
Premium Finance: 2.15</t>
  </si>
  <si>
    <t xml:space="preserve">96% within 5 business days </t>
  </si>
  <si>
    <t>Policy holders</t>
  </si>
  <si>
    <t>Filenet, Outlook, Jupiter, E-file, UWS</t>
  </si>
  <si>
    <t>Legal Bill Review - Quick Pay</t>
  </si>
  <si>
    <t>Review whether the Quick Pay discount is applicable based on the firm’s level of participation in the Quick Pay program, and if so, applying the appropriate discount amount to the invoice. Reduction of 3% or 5% of the gross invoice fees will be calculated.</t>
  </si>
  <si>
    <t>99% in 5 business days</t>
  </si>
  <si>
    <t>Wolters Kluwer, Claim Center, Outlook</t>
  </si>
  <si>
    <t>NCM Support task; FS Opioid Reports</t>
  </si>
  <si>
    <t>Responsible for completing referrals for DME, Transportation, PT/OT, Responsible for reviewing the systems to identify recent RX intervention and forward to Screener to for appropriate RX MCM assignment if no recent Rx intervention has been made.</t>
  </si>
  <si>
    <t>90 calendar days for FS Opioid reports</t>
  </si>
  <si>
    <t>Liberty Mutual Insurance Company</t>
  </si>
  <si>
    <t>Fortune 100 Global P&amp;C Carrier</t>
  </si>
  <si>
    <t>Bhuwan Dass</t>
  </si>
  <si>
    <t>Adjuster License Management (addition/renewal/removal)</t>
  </si>
  <si>
    <t>CM Contact</t>
  </si>
  <si>
    <t>Addition of new (or existing) agent for NI business</t>
  </si>
  <si>
    <t>WC, Auto, Property</t>
  </si>
  <si>
    <t>Jan- Sep</t>
  </si>
  <si>
    <t>15 Min</t>
  </si>
  <si>
    <t>All generic emails are being handeled by EMS</t>
  </si>
  <si>
    <t>TAT Reporting, No manual interventation</t>
  </si>
  <si>
    <t> Agency/Agent
 Underwriters
 Liberty</t>
  </si>
  <si>
    <t>Standard Vs Non Standard (90:10)</t>
  </si>
  <si>
    <t> Agent
 Agency
 Producer</t>
  </si>
  <si>
    <t>1. Salesforce
2. Sircon
3. RAMP
4. CAR
5. LAI
6. Applicant Insight
7. BIG
8. Generic Email box
9. CMPM</t>
  </si>
  <si>
    <t>Compliance Notice</t>
  </si>
  <si>
    <t>Possible addition as well as appointment for new (or existing) agent for NI business</t>
  </si>
  <si>
    <t>13.56 Min</t>
  </si>
  <si>
    <t>Compliance Notice Appt</t>
  </si>
  <si>
    <t>Appointment for existing agent for NI business</t>
  </si>
  <si>
    <t>Contracts/Agreements</t>
  </si>
  <si>
    <t>Logging and filing of returned/signed agency agreement</t>
  </si>
  <si>
    <t>5 Min</t>
  </si>
  <si>
    <t>Nonresident Appointment</t>
  </si>
  <si>
    <t>Non-Resident appointment for both agent and agency for applicable line of business to specific agency code(s) as well as opening product lines within Safeco</t>
  </si>
  <si>
    <t>25 Min</t>
  </si>
  <si>
    <t>Part II Termination</t>
  </si>
  <si>
    <t>Termination of appointments for Agency and last agent after an Agency Termination</t>
  </si>
  <si>
    <t>1 WK</t>
  </si>
  <si>
    <t>10 Min</t>
  </si>
  <si>
    <t>Producer Appointment</t>
  </si>
  <si>
    <t>Addition of new agent for applicable line of business requested to specific agency code(s)</t>
  </si>
  <si>
    <t>Producer Transfer</t>
  </si>
  <si>
    <t>Producer Termination</t>
  </si>
  <si>
    <t>Termination of individual agent from specific agency relationship</t>
  </si>
  <si>
    <t>12 Min</t>
  </si>
  <si>
    <t>HardStop</t>
  </si>
  <si>
    <t>In this task we appoint agent and agency for commercial line of business</t>
  </si>
  <si>
    <t>9 Min</t>
  </si>
  <si>
    <t>License Validation</t>
  </si>
  <si>
    <t>This task is for commercial lines only. In this task we resolve compliance of both agency and agent</t>
  </si>
  <si>
    <t>Address Change(Same State) - USRM Adjusters</t>
  </si>
  <si>
    <t>Address to be changed on NIPR website. EXL to complete the address change request within 2 Business Days from the date of request</t>
  </si>
  <si>
    <t>Jan-Sep</t>
  </si>
  <si>
    <t>Complaints - High number of complaints for Follow up not done on time</t>
  </si>
  <si>
    <t>Rework - If the follow ups are not done on time then the request again come for processing which is a rework for EXL</t>
  </si>
  <si>
    <t>SWM implemented for work allocation and reporting purpose</t>
  </si>
  <si>
    <t>Production data is being pulled on a click. Follow cases are handled more efficiently than earlier manual process. System flag people to follow up on open cases</t>
  </si>
  <si>
    <t xml:space="preserve"> Liberty
 Adjuster
</t>
  </si>
  <si>
    <t> Onboarding
 Renewals
 Address change
 Name Change
 Termination</t>
  </si>
  <si>
    <t>• Vertafore
• Share Point
• NIPR
• Outlook
• Cognos</t>
  </si>
  <si>
    <t>Terminations - USRM Adjusters</t>
  </si>
  <si>
    <t>Completed within 3 business days of updating Term Report on WIP Tracker on Sharepoint</t>
  </si>
  <si>
    <t>8 Min</t>
  </si>
  <si>
    <t>Web CE Terminations - USRM Adjusters</t>
  </si>
  <si>
    <t>Name Changes - USRM Adjusters</t>
  </si>
  <si>
    <t>EXL to complete in-scope activities of the name change request within 25 calendar days from the date of receiving request</t>
  </si>
  <si>
    <t>Customer Communications (USRM Adjusters)</t>
  </si>
  <si>
    <t>All Emails received before 3 PM would be processed in 1 Business Day</t>
  </si>
  <si>
    <t>LIAM</t>
  </si>
  <si>
    <t>LIAM implemented for work allocation and reporting purpose</t>
  </si>
  <si>
    <t>New Hire Intake - USRM Adjusters</t>
  </si>
  <si>
    <t>8 WK</t>
  </si>
  <si>
    <t>20 Min</t>
  </si>
  <si>
    <t>New Hire Initial Licensing - USRM Adjusters</t>
  </si>
  <si>
    <t>Setup licensing for resident state / designated home state within 5 business days</t>
  </si>
  <si>
    <t>New Hire Reciprocals - USRM Adjusters</t>
  </si>
  <si>
    <t xml:space="preserve">Setup licensing for all states (for reciprocals) wherever needed within 5 business days </t>
  </si>
  <si>
    <t>New Hire Appointment - USRM Adjusters</t>
  </si>
  <si>
    <t>Setup appointment for Florida on state website &amp; for New Mexico on Sircon within 5 business days</t>
  </si>
  <si>
    <t>CE Review - USRM Adjusters</t>
  </si>
  <si>
    <t>CE follow up requested 30 Calendar days prior to resident expiration date</t>
  </si>
  <si>
    <t>Renewals - USRM Adjusters</t>
  </si>
  <si>
    <t>All renewals to be completed within 30 calender days of state opening for birtdate, appraiser and Manual</t>
  </si>
  <si>
    <t>16 Min</t>
  </si>
  <si>
    <t>Attestations - USRM Adjusters</t>
  </si>
  <si>
    <t>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t>
  </si>
  <si>
    <t>• Vertafore
• PADMS
• SLQT
• RAMP
• CAR
• Teams
• Share Point
• NIPR
• Outlook
• Cognos</t>
  </si>
  <si>
    <t>New Hire Intake - USRM Producers</t>
  </si>
  <si>
    <t xml:space="preserve">Orientation Checklist sent to new hire along with relevant PX Packet within 1 business day of receiving the request from Liberty </t>
  </si>
  <si>
    <t>Complaints &amp; Manual reporting</t>
  </si>
  <si>
    <t>Rework - If the follow ups are not done on time then the request again come for processing which is a rework for EXL. Potential changes of missing the critical items resulted in client complaint</t>
  </si>
  <si>
    <t xml:space="preserve"> Liberty
 Adjuster
 Producer
</t>
  </si>
  <si>
    <t xml:space="preserve">• Vertafore
• PADMS
• Share Point
• NIPR
• Outlook
</t>
  </si>
  <si>
    <t>New Hire Intake- USRM IA Partnership</t>
  </si>
  <si>
    <t xml:space="preserve">Registration Email sent to new hire within 1 business day of receiving the request from Liberty </t>
  </si>
  <si>
    <t>20.04 Min</t>
  </si>
  <si>
    <t>New Hire Initial Licensing - USRM Producers</t>
  </si>
  <si>
    <t>Apply for resident license within 2 business days of passing exam</t>
  </si>
  <si>
    <t>!5 Min</t>
  </si>
  <si>
    <t>New Hire Reciprocals - USRM Producers</t>
  </si>
  <si>
    <t>Apply for nonresident licenses within 5 business days of resident license approval or new request.</t>
  </si>
  <si>
    <t>18 Min</t>
  </si>
  <si>
    <t>New Hire appointment - USRM Producers</t>
  </si>
  <si>
    <t>Non-JIT EE  appointments within 7 business days from EE license approval</t>
  </si>
  <si>
    <t>New Hire appointment- USRM IA Partnership</t>
  </si>
  <si>
    <t>Once registration email is received for IA, appointments start for respective states</t>
  </si>
  <si>
    <t>CE Review - USRM Producers</t>
  </si>
  <si>
    <t>Renewals - USRM Producers</t>
  </si>
  <si>
    <t>Renewals to be completed 30 days prior to expiration date (if CE done)</t>
  </si>
  <si>
    <t>Customer Communications - USRM Producers</t>
  </si>
  <si>
    <t>Emails have to be responded within 2 business days of receiving in the mailbox.</t>
  </si>
  <si>
    <t>Customer Communications - USRM IA Partnership</t>
  </si>
  <si>
    <t>Address Changes (same state) - USRM Producers</t>
  </si>
  <si>
    <t>Name Changes - USRM Producers</t>
  </si>
  <si>
    <t>Attestations - USRM Producers</t>
  </si>
  <si>
    <t>EXL to complete in-scope activities of the attestation i.e. getting license renewal packets completed request within 30 calendar days from the date of receiving request</t>
  </si>
  <si>
    <t>Terminations - USRM Producers</t>
  </si>
  <si>
    <t>Web CE Terminations - USRM Producers</t>
  </si>
  <si>
    <t>2 Min</t>
  </si>
  <si>
    <t>Terminations - USRM IA Partnership</t>
  </si>
  <si>
    <t>Address Change(Same State) - GRS Adjusters</t>
  </si>
  <si>
    <t xml:space="preserve">• Vertafore
• Share Point
• NIPR
• Outlook
</t>
  </si>
  <si>
    <t>Terminations - GRS Adjusters</t>
  </si>
  <si>
    <t>Name Changes - GRS Adjusters</t>
  </si>
  <si>
    <t>Customer Communications - GRS Adjusters</t>
  </si>
  <si>
    <t>Web CE Termination - GRS Adjusters</t>
  </si>
  <si>
    <t>New Hire Intake - GRS Adjusters</t>
  </si>
  <si>
    <t>New Hire Initial Licensing - GRS Adjusters</t>
  </si>
  <si>
    <t>New Hire Reciprocals - GRS Adjusters</t>
  </si>
  <si>
    <t>New Hire Appointment - GRS Adjusters</t>
  </si>
  <si>
    <t>CE Review - GRS Adjusters</t>
  </si>
  <si>
    <t>Renewals - GRS Adjusters</t>
  </si>
  <si>
    <t>Attestations - GRS Adjusters</t>
  </si>
  <si>
    <t xml:space="preserve">This is pre- bill processing review to validate the data with scanned image on exception thrown cases at the time of scanning for missing information  
</t>
  </si>
  <si>
    <t>Mar-Oct</t>
  </si>
  <si>
    <t>2.86 Min</t>
  </si>
  <si>
    <t>CM Response-Delay in receiving case manager response on certain requests.i.e-WA agency number, DOS prior to DOI</t>
  </si>
  <si>
    <t xml:space="preserve">Providers/Hospitals - Inaccurate data validation &amp; Errors 
Data Validation - Incorrect or incomplete data validation may cause delay in medical bill review process
Error Corrections - Additional effort required to next team in order to review the bill before releasing the payment 
</t>
  </si>
  <si>
    <t>Hotkey Implementation</t>
  </si>
  <si>
    <t>e-Review team needs to replicate same details from one tab to other tabs manually for state reporting bills. It requires ~2 minutes to input information into multiple fields. This process can be automated for efficiency and accuracy</t>
  </si>
  <si>
    <t>Healthcare Providers
1. Individual Doctors
2. Hospitals
3 Pharmacies</t>
  </si>
  <si>
    <t>1.StrataWare 
2.ExPRS
3.State specific web portals
4. Outlook</t>
  </si>
  <si>
    <t>MSR Original</t>
  </si>
  <si>
    <t>Decision to pay or deny a bill is taken basis State handling guidelines and Claim Adjuster’s recommendation after adjudication</t>
  </si>
  <si>
    <t>2.37 Min</t>
  </si>
  <si>
    <t>CM Response-Delay in receiving case manager response on certain requests</t>
  </si>
  <si>
    <t>Providers/Hospitals - Under Payment/Over Payment/ delayed or No payment due to inaccurate processing of a transaction.
Under Payment - Rework required to process additional payment
Over Payment - Additional effort required to recoup payment 
Delayed Payment - Financial impact on Liberty as any delayed payment could result in incurring P&amp;I on Liberty</t>
  </si>
  <si>
    <t>SWM</t>
  </si>
  <si>
    <t>Improved individual / Team overall performance</t>
  </si>
  <si>
    <t>1. StrataWare
2. ExPRS
3. Appeal Queue
4. OnDemand</t>
  </si>
  <si>
    <t>MSR Recon</t>
  </si>
  <si>
    <t>Team reviews the bill processed incorrectly in original submission &amp; resulted into under payment or incorrect denial</t>
  </si>
  <si>
    <t>Tech MSR</t>
  </si>
  <si>
    <t>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t>
  </si>
  <si>
    <t>If incorrect form submitted to NY board then Liberty has to bear penality charges</t>
  </si>
  <si>
    <t xml:space="preserve">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t>
  </si>
  <si>
    <t>NY C8.1</t>
  </si>
  <si>
    <t xml:space="preserve">• Access excel sheet on SharePoint
• Type the C8 form for provided ICN in excel sheet
• Turn-around time for uploading of C8.1 to the NY State WC Board Portal and mail out of copies to the provider is 45 calendar days from “Carrier Receipt Date”
• Save the file with comments as processed on LM SharePoint
</t>
  </si>
  <si>
    <t>4 WK</t>
  </si>
  <si>
    <t>28 Days</t>
  </si>
  <si>
    <t>1. eCase
2. StrataWare 
3.ExPRS
4. Client CRS server</t>
  </si>
  <si>
    <t>NY C8.4</t>
  </si>
  <si>
    <t xml:space="preserve">• Access excel sheet on SharePoint
• Type the C8 form for provided ICN in excel sheet
• Turn-around time for uploading of C8.4 to the NY State WC Board Portal and mail out of copies to the provider is 45 calendar days from “Carrier Receipt Date”
• Save the file with comments as processed on LM SharePoint
</t>
  </si>
  <si>
    <t>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t>
  </si>
  <si>
    <t xml:space="preserve"> 01. Adobe 02. Appeal Queue 03. Bocomp 04. Ecase 05. ExPRES 06. ISO 07. OnDemand 08. Phoenix 09. Returns Queue 10. Strata 11. Worker's Comp Board 12. MBR OA SharePoint 13. MBR Vendor 14. Coventry Connect</t>
  </si>
  <si>
    <t>Formwork</t>
  </si>
  <si>
    <t>Send formwork letter to claimant/Customer/Attorney for worker compensation  as per claim details and as per State guideline, to let them know about their rights and contact person.</t>
  </si>
  <si>
    <t xml:space="preserve">Auto
GL
Property
WC </t>
  </si>
  <si>
    <t>Multiple as per sub activities</t>
  </si>
  <si>
    <t>Volume is consistent through out year</t>
  </si>
  <si>
    <t>Efficiency</t>
  </si>
  <si>
    <t>Adjusters</t>
  </si>
  <si>
    <t>Doc Dropping</t>
  </si>
  <si>
    <t>Download the Notice of Decision and Notice of Indexing pdfs from NY State website for worker compensation claims and drop notice of decision/Indexing PDF Documents into processing application and create an activity to notify the case owner.</t>
  </si>
  <si>
    <t>CSLN</t>
  </si>
  <si>
    <t>Received Lien Notices or Lien releases from the state for worker compensation/auto/property/GL claims and combine them with the appropriate claim and processing application. And notify the case owner for further processing.</t>
  </si>
  <si>
    <t>Triaging for SIU, Subro</t>
  </si>
  <si>
    <t>SIU</t>
  </si>
  <si>
    <t>We receive ICN numbers for claims in a spreadsheet and we have to find the settlement details for a particular ICN through On Demand and Exprs and update the spreadsheet accordingly.</t>
  </si>
  <si>
    <t>Document Management</t>
  </si>
  <si>
    <t>Document Handling</t>
  </si>
  <si>
    <t>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t>
  </si>
  <si>
    <t>Claim File Assignment</t>
  </si>
  <si>
    <t xml:space="preserve">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t>
  </si>
  <si>
    <t>LRU UPS</t>
  </si>
  <si>
    <t>UPS Triage documents are received, reviewed and a claim is created assigned in Client applications</t>
  </si>
  <si>
    <t>PF Phoenix Upload</t>
  </si>
  <si>
    <t>Requests received in inbox are routed to different work queue as per procedure (This is a work upload task for other teams)</t>
  </si>
  <si>
    <t>ICM &amp; ID's</t>
  </si>
  <si>
    <t>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t>
  </si>
  <si>
    <t>Litigation management</t>
  </si>
  <si>
    <t>Processing worker compensation claims pdfs, hearing notices pdfs and pre-authorization request for medicals and notify to case owner/claimant/attorney by processing applications/outlook</t>
  </si>
  <si>
    <t>Received worker compensation claims to file the first report of injury. Validate the appropriate information in processing applications. Update the required information on state portal and submit for state approval for further processing.</t>
  </si>
  <si>
    <t>State</t>
  </si>
  <si>
    <t>SIF &amp; COLA</t>
  </si>
  <si>
    <t>Request reimbursement from state for indemnity/medical cost by submitting proofs of payments made by Liberty mutual (Documents).</t>
  </si>
  <si>
    <t>ExPRS WC Payment</t>
  </si>
  <si>
    <t>Payments are issued to Injured workers, Medical providers or Vendors as per applicable procedure and State rules.</t>
  </si>
  <si>
    <t>VIA &amp; Bulk Payments</t>
  </si>
  <si>
    <t>Payments are issued to Vendors and Attorney as per applicable procedure.</t>
  </si>
  <si>
    <t>Receivable</t>
  </si>
  <si>
    <t>Payments are received and applied in applicable systems as per remmitance.</t>
  </si>
  <si>
    <t>Payments Support</t>
  </si>
  <si>
    <t>Bank Details and providers are added in system so that payments team can issue payment as applicable.</t>
  </si>
  <si>
    <t>Vendor Referral</t>
  </si>
  <si>
    <t>Investigation (Social Media Investigation, Surveillance, Recorded Interview, Alive and Well check activity etc.) for WC claims as per claim adjuster requests</t>
  </si>
  <si>
    <t xml:space="preserve">
CSC Matters/CA-  Request received in Phoenix. Required to pull all the available documents from a WC claims and place them on the share point after creating a folder overthere with the claim# for the claim adjusters/legal department
Document Handling - Request received in Phoenix to send specific documents requested by the adjuster's. Documents pulled and saved on the share point. Email dropped to printing team sent the documents in CD/physical copy/email as mentioned on the request
</t>
  </si>
  <si>
    <t>Shared Economy</t>
  </si>
  <si>
    <t xml:space="preserve">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t>
  </si>
  <si>
    <t>In PRS we submit Provider Incident Form in these forms details are sent to networks to update the correct details for providers for E.g -Demographic changes ( Address or Phone Number) , Provider is currently practicing or not and do they accept WC patients or no</t>
  </si>
  <si>
    <t>Customer has excess coverage on shared economy claims. Reporting to 
the Personal auto Provider (PAP) is needed to verify a claim has been 
reported and to request a coverage position letter.
• Supplier will be responsible for filing 3rd party PAP (personal auto 
policy) claims submitted both online and via phone for sharing
economy (Uber, Lyft etc.).
• EXL will complete reporting to the PAP either by making an Outbound 
phone call to the carrier or reporting through a carrier’s online portal.
• EXL is prohibited from sharing any third-party information with other 
carriers.
• Operating hours are 8 AM CST to 5 PM CST.
• Supplier will operate using Customer telephony System Triton and call 
recording tool Calabrio. Supplier will leverage Liberty Mutual MPLS 
setup in India location to access applications.</t>
  </si>
  <si>
    <t>AUTO</t>
  </si>
  <si>
    <t xml:space="preserve">Auto
</t>
  </si>
  <si>
    <t>Liberty Mutual Insurance</t>
  </si>
  <si>
    <t>Rashmi Arora</t>
  </si>
  <si>
    <t>12 months</t>
  </si>
  <si>
    <t>Renewal Quotes/ Rating</t>
  </si>
  <si>
    <t>Generating Quotes</t>
  </si>
  <si>
    <t>Generating quotes for Auto policies by following instructions</t>
  </si>
  <si>
    <t>May</t>
  </si>
  <si>
    <t>Prospect Quotes-120
Prospect Quote Re-Rates-90
Renewal Quotes-80
Renewal Quote Re-Rates-80
Driver/MVR List -45
Quote Fleet List - 51</t>
  </si>
  <si>
    <t>Total Produced Error Free Rate (TPEFR)</t>
  </si>
  <si>
    <t>Faster turnaround process requires fast processing and with complexities impacts TAT &amp; Quality</t>
  </si>
  <si>
    <t>Impact on quality output</t>
  </si>
  <si>
    <t>Driver List</t>
  </si>
  <si>
    <t>Fleet Tool</t>
  </si>
  <si>
    <t xml:space="preserve">None </t>
  </si>
  <si>
    <t xml:space="preserve">`@ Work - Excel, PDF, Email, Scan copies, Word </t>
  </si>
  <si>
    <t xml:space="preserve">Excel, PDF, Email, Scan copies-10-15%, Word </t>
  </si>
  <si>
    <t>Account Analyst</t>
  </si>
  <si>
    <t>@ work, Outlook, MS Teams, Compass. IUW</t>
  </si>
  <si>
    <t>Issuing Policy</t>
  </si>
  <si>
    <t>Issuance policies for finalised quotes by updating forms and fill-ins as per AA instructions</t>
  </si>
  <si>
    <t>June , July</t>
  </si>
  <si>
    <t>New Business-160	
Renewal - 140</t>
  </si>
  <si>
    <t>Multiple checkpoint to view in the process to issue 1 policy leading to missing on some check points and impacting quality</t>
  </si>
  <si>
    <t xml:space="preserve">Vehicle Schedule </t>
  </si>
  <si>
    <t xml:space="preserve">Compass Extraction Tool </t>
  </si>
  <si>
    <t xml:space="preserve">`@ Work - Excel, PDF, Word </t>
  </si>
  <si>
    <t xml:space="preserve">Comparing Forms </t>
  </si>
  <si>
    <t>Comparing forms of renewal quotes and old quote to match and finalize forms</t>
  </si>
  <si>
    <t>Major Market - 40
Middle Market - 170</t>
  </si>
  <si>
    <t xml:space="preserve"> Nov, Dec, Jan</t>
  </si>
  <si>
    <t xml:space="preserve">Exposure Calculator </t>
  </si>
  <si>
    <t xml:space="preserve">`@ Work </t>
  </si>
  <si>
    <t xml:space="preserve">Quotes creation </t>
  </si>
  <si>
    <t>Generating quotes for WC policies by following AA instructions</t>
  </si>
  <si>
    <t>Middle Market - 540
Major Market - 448</t>
  </si>
  <si>
    <t>March, May, August and November</t>
  </si>
  <si>
    <t>Major Market-
Prospect Quote - 83 Min
Renewal Quote - 58 Min
Rerate Quote - 55 Min
Forms Comparison - 24 Min
Middle Market-
Prospect Quote - 78 Min
Renewal Quote - 74 Min
Rerate Quote - 55 Min
Forms Comparison - 24 Min</t>
  </si>
  <si>
    <t>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t>
  </si>
  <si>
    <t>Re work if missed, and delay in closing deal.</t>
  </si>
  <si>
    <t>Standard Payroll template - VBA based template to convert given payroll details into standard format and keep it ready to upload into system</t>
  </si>
  <si>
    <t>Emails, Excel &amp; PDF</t>
  </si>
  <si>
    <t>PDFs &amp; Emails</t>
  </si>
  <si>
    <t>@ work, Outlook, MS Teams, Librator, Bureaus site, IDX, IDM, NUALP &amp; NMWB</t>
  </si>
  <si>
    <t>Auditing finalized premium after the renewal / new business issuance for every policy</t>
  </si>
  <si>
    <t>August, June, July,  November, December</t>
  </si>
  <si>
    <t>49 Min</t>
  </si>
  <si>
    <t>@ work, Outlook, MS Teams, Librator</t>
  </si>
  <si>
    <t>Issuance policies for finalised quotes by updating forms and fill-ins as per AA instructions. Updating Experience mods for midterms.</t>
  </si>
  <si>
    <t>Middle Market - 131
Major OCIP - 1223</t>
  </si>
  <si>
    <t>Mar, Apr, May, Jun, Aug, Sept, Oct</t>
  </si>
  <si>
    <t xml:space="preserve">JK - 55
Major NB - 53
Major RNL - 44
Middle Market NB - 96
Middle Market RNL - 92
</t>
  </si>
  <si>
    <t xml:space="preserve">CA &amp; NY State policies has to prioritize </t>
  </si>
  <si>
    <t>If we miss the deadline LM has to pay penalty charges</t>
  </si>
  <si>
    <t>Standard verbiage for waiver form</t>
  </si>
  <si>
    <t>Standard Vs Non Standard (95:5)</t>
  </si>
  <si>
    <t xml:space="preserve">@ work, Outlook, MS Teams, Librator, CCO, Policy View, NMWB, iUnderwrite </t>
  </si>
  <si>
    <t>Middle Market - 449
Major OCIP - 2693</t>
  </si>
  <si>
    <t>Feb, May, Jun, Aug, Sep, Oct, Nov</t>
  </si>
  <si>
    <t>Major - 12
Middle - 21</t>
  </si>
  <si>
    <t>Receiving excess volume over the capacity</t>
  </si>
  <si>
    <t>Excel &amp; PDF</t>
  </si>
  <si>
    <t>@ work, Outlook, MS Teams, Librator, CCO, Policy View, NMWB</t>
  </si>
  <si>
    <t>* Policy Number Assignment 
* Policy Writing Instruction
* Risk Management Select</t>
  </si>
  <si>
    <t>* Assigning policy numbers for all LOB which has come to us as submission
* Update details as per Instruction received
* Upload Final and Cover document for electronic and non-electronic policy</t>
  </si>
  <si>
    <t>Auto
GL
Property
WC 
Inland Marine</t>
  </si>
  <si>
    <t>June and July</t>
  </si>
  <si>
    <t>* PNA - 5 mins
* PWI - 6 mins
* RMS - 15 mins</t>
  </si>
  <si>
    <t>PNA has a TAT of 1 hour</t>
  </si>
  <si>
    <t>Policy Issuance get delayed</t>
  </si>
  <si>
    <t>* PNA - Excel, Word, Mail attached, Type in Isnstruction
* PWI -  Excel, Word, Mail attached, Type in Isnstruction
* RMS - Excel, Pades report, LM PW</t>
  </si>
  <si>
    <t>* PNA - Mail sent to AA
* PWI - Re-assigned to COE Issuance
* RMS - Complete the task in @work</t>
  </si>
  <si>
    <t>* PNA -  AA
* PWI - COE Issuance
* RMS - AA</t>
  </si>
  <si>
    <t>@Work, Outlook, MS Teams, CCO, LM PW, Pades Report, IUnderwriter, NMWB, CMPM,</t>
  </si>
  <si>
    <t>Policy Assembly</t>
  </si>
  <si>
    <t>Updating forms of the GL policies as per broker instruction and finalizing the policy</t>
  </si>
  <si>
    <t>GL- 81</t>
  </si>
  <si>
    <t>Jul, Aug</t>
  </si>
  <si>
    <t>Need to rearrange forms as per inventory manually</t>
  </si>
  <si>
    <t>Rework if any form misplaced</t>
  </si>
  <si>
    <t xml:space="preserve">`@ Work , PDF </t>
  </si>
  <si>
    <t xml:space="preserve">30% unstructured </t>
  </si>
  <si>
    <t>@ work, Outlook, MS Teams, clipper, PDF edits</t>
  </si>
  <si>
    <t>Issue renewal &amp; Issue new business</t>
  </si>
  <si>
    <t>Work received post sold quotes
Input data as per binder received and AA/UW instructions
Contact AA/UW for any conflicting information for approval
Once approved Issue the policy and upload in the system
Distribute the policy to Broker/Agent/Customer
Policy Type: Premier Property Protector, Specialty Property, Equipment Breakdown, Specialty and MM Inland Marine, National Inland Marine, Canadian Specialty Property, Global Concierge</t>
  </si>
  <si>
    <t>Quality &amp; latency in application "BOT' successful email to proceed</t>
  </si>
  <si>
    <t>Delay in closures</t>
  </si>
  <si>
    <t xml:space="preserve">`@ Work  </t>
  </si>
  <si>
    <t xml:space="preserve"> @ work, CCO,Policy View,EPA,PUTT,BART,EPC, BOT,NM doc, Task @work LMPW, Outlook, MS Teams</t>
  </si>
  <si>
    <t>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t>
  </si>
  <si>
    <t>General Liability</t>
  </si>
  <si>
    <t>GL-575</t>
  </si>
  <si>
    <t>March, May, August</t>
  </si>
  <si>
    <t>Prospects	91
Prospect Quote Re-Rate - 62
Renewal Quote - 85
Renewal Quote Re-Rate - 62
Form Comparison - 86</t>
  </si>
  <si>
    <t>Need to validate all updated customer details with expiring policy, add locations and exposures as per the AA request, need to add or delete or replace forms as per the iUW instrcutions</t>
  </si>
  <si>
    <t>RE-WORK - If the incorrect information is updated then it will impact various policy components, policy effective and expiration date, payment plan, estimated premium, incorrect broker commission</t>
  </si>
  <si>
    <t xml:space="preserve">SOV creation tool </t>
  </si>
  <si>
    <t>Data extraction tool</t>
  </si>
  <si>
    <t>Data from Clipper will be captured and validate with expising policy for renewal task</t>
  </si>
  <si>
    <t xml:space="preserve">`@ Work , excel sheet, PDF </t>
  </si>
  <si>
    <t>50% Structured
50% Unstructured(SOV)</t>
  </si>
  <si>
    <t xml:space="preserve"> @ work, Clipper, Outlook, MS Teams, IDX</t>
  </si>
  <si>
    <t>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t>
  </si>
  <si>
    <t>GL-149</t>
  </si>
  <si>
    <t>Nov- Dec</t>
  </si>
  <si>
    <t>Prospects	 - 131
Prospect Quote Re-Rate - 62
Renewal Quote - 113
Renewal Quote Re-Rate - 62
Form Comparison  - 96</t>
  </si>
  <si>
    <t xml:space="preserve"> @ work, Clipper, NMWB, Outlook, MS Teams, IDX</t>
  </si>
  <si>
    <t>&gt;Work received post Issuance, Cross check data(E mod, exposure &amp; premium) with different bureau site, validate forms, Distribute the policy to customer/broker, if there is variance in premium, send to onshore team middle officer for approval &amp; complete the task</t>
  </si>
  <si>
    <t>WC-127</t>
  </si>
  <si>
    <t>January &amp; February</t>
  </si>
  <si>
    <t>@ work, Outlook, MS Teams, Liberator</t>
  </si>
  <si>
    <t>Policy Maintainance/Amendments</t>
  </si>
  <si>
    <t xml:space="preserve">Work received post Issuance where team need to update add delete named insured, forms, exposure, class code and add/amend location address </t>
  </si>
  <si>
    <t>Major Market/Middle Market - 591</t>
  </si>
  <si>
    <t xml:space="preserve">Jun, Aug and Sep. </t>
  </si>
  <si>
    <t>33.5 Min</t>
  </si>
  <si>
    <t>We received complex and lengthy Middle Market endorsement which required all the US states manually which is more time consuming , also client application restriction we can not run any micro tool</t>
  </si>
  <si>
    <t>Re work and customer impact</t>
  </si>
  <si>
    <t>@ work, Outlook, MS Teams, Librator, BART &amp; NMWB</t>
  </si>
  <si>
    <t>Rate Validation</t>
  </si>
  <si>
    <t>&gt;Work received post Issuance, Request generated due to new information added in the midterm, original document is updated to include changes., Rater completes an excel template with account information &amp; Premium details</t>
  </si>
  <si>
    <t>WC-18</t>
  </si>
  <si>
    <t>February &amp; August</t>
  </si>
  <si>
    <t>ARR - 90 mins</t>
  </si>
  <si>
    <t xml:space="preserve">ARR - Mail Request attached in @Work, Issue page and Quote in PDF  format in Liberator Web Browser  </t>
  </si>
  <si>
    <t>ARR - AA</t>
  </si>
  <si>
    <t>@Work, Outlook, MS Teams, CCO, Liberator Web Browser</t>
  </si>
  <si>
    <t>6 months</t>
  </si>
  <si>
    <t>Process UW renewals</t>
  </si>
  <si>
    <t>This includes reviewing the renewal list, pre-renewal tasks in Midway, Pricing Tools, processing any outstanding endorsements, importing rollover into current year, running reports, and other data entry tasks
Update Renewal Information and Submit - If Agent/Broker or UW comes back with updates, make necessary changes to information entered Pre-Renewals.</t>
  </si>
  <si>
    <t>ALL LOB</t>
  </si>
  <si>
    <t>Auto, GL, Prop, WC, Crime</t>
  </si>
  <si>
    <t>Low volume &amp; client dependancy on issues impacting processing result in delay on closure and high hold cases</t>
  </si>
  <si>
    <t>AA</t>
  </si>
  <si>
    <t>@ work, Outlook, MS Teams, Midway production URL, LMPW, Clipper, Compass, Liberator, Midway, Property workstation-  LMPW</t>
  </si>
  <si>
    <t>New Business-285	
Renewal - 232</t>
  </si>
  <si>
    <t>Generating quotes for Auto policies by following AA instructions</t>
  </si>
  <si>
    <t>-Prospect Quotes - 141 Min
'-Prospect Quote Re-Rates - 96 Min
'-Renewal Quotes - 110 Min
'-Renewal Quote Re-Rates - 96 Min</t>
  </si>
  <si>
    <t>-Lengthy Processing
-Lot of checkpoints</t>
  </si>
  <si>
    <t>`@ Work - Excel, PDF</t>
  </si>
  <si>
    <t>@ work, Outlook, MS Teams, Compass. IUW, NMWB</t>
  </si>
  <si>
    <t>-Endorsement - 756
-Cancellation and Reinstatement - 172</t>
  </si>
  <si>
    <t>Jan, Feb Mar</t>
  </si>
  <si>
    <t>-Endorsement - 48.51
-Cancellation and Reinstatement - 12.13</t>
  </si>
  <si>
    <t>-Formatting
-Complex verbiage</t>
  </si>
  <si>
    <t xml:space="preserve"> @ work, Clipper, Policy View, Bart, CCO, Outlook, MS Teams</t>
  </si>
  <si>
    <t xml:space="preserve">72 mins </t>
  </si>
  <si>
    <t xml:space="preserve">Multiple manual entries </t>
  </si>
  <si>
    <t>.@work</t>
  </si>
  <si>
    <t>Na</t>
  </si>
  <si>
    <t xml:space="preserve">@ work, Outlook, MS Teams, LMPW, Policy View , Pades , CCO </t>
  </si>
  <si>
    <t xml:space="preserve">44 mins </t>
  </si>
  <si>
    <t>Policy Assignment</t>
  </si>
  <si>
    <t>Assigning policy numbers for all LOB which has come to us as submission</t>
  </si>
  <si>
    <t>Auto, GL, Prop, WC</t>
  </si>
  <si>
    <t xml:space="preserve">20 mins </t>
  </si>
  <si>
    <t>Multiple reps have to work on one task for it to be completed / Tracking task  as Multiple task are received via email</t>
  </si>
  <si>
    <t xml:space="preserve">@ work, Outlook, MS Teams , Bart, policy view , CCO </t>
  </si>
  <si>
    <t>Process UW Pre-Renewal</t>
  </si>
  <si>
    <t>Pre renewal of existing policies according to eligibility criterias, Losses, TIV, Premium limits etc</t>
  </si>
  <si>
    <t>MA Excess Casualty, E-Breakdown, In. Marine &amp; Property</t>
  </si>
  <si>
    <t>Property 72, Inland Marine 28, Equipment Breakdown - 259, Excess Casualty, 346</t>
  </si>
  <si>
    <t>Mar, Apr, May, Jun, Jul</t>
  </si>
  <si>
    <t>Proprty 110, Inland Marine 30, E. Break down 110, Excess Casualty 90</t>
  </si>
  <si>
    <t>Loss Run History not available, Pending records are not available</t>
  </si>
  <si>
    <t>@work, iUW, Compass, Microsft Word, Adobe Acrobat PDF, Property Work Station, iDM</t>
  </si>
  <si>
    <t>Insured, AA, UW</t>
  </si>
  <si>
    <t>@ work, Outlook, MS Teams</t>
  </si>
  <si>
    <t>Pre renewal according to exping accounts</t>
  </si>
  <si>
    <t>Auto, GL, Prop, WC, Government Line and School Lines, Crime, Liquor Liability</t>
  </si>
  <si>
    <t>July</t>
  </si>
  <si>
    <t>165 mins</t>
  </si>
  <si>
    <t>Property not Rolled over</t>
  </si>
  <si>
    <t>@work, iUW, DocuSign, Compass, Microsft Word, Adobe Acrobat PDF, Outllook</t>
  </si>
  <si>
    <t>Process Pre-Renewal CNR</t>
  </si>
  <si>
    <t>Sending templates to the UW and sending Drafts to the insured with Condistions of the renewal / non-renewal of the policies</t>
  </si>
  <si>
    <t>Auto, GL, Prop, WC, Umbrella, Excess Casualty, Inland Marine, Crime</t>
  </si>
  <si>
    <t>CNR Template NUALP - 40 per month, Renewal Spec Request - 11 per Month, CNR Letter Drafting Non-NUALP - 304 per month</t>
  </si>
  <si>
    <t>Non Renewal - 30 mins, Other Letters - 10 mins</t>
  </si>
  <si>
    <t>Incorrect Information on templates, Delay in response from AA / UW</t>
  </si>
  <si>
    <t>@work, iUW, Policy veiw, NMWV, Walters Kluver, CCO, CMPM, USPS, Microsft Word, Adobe Acrobat PDF, Outlook, property Work Station</t>
  </si>
  <si>
    <t>Process Signed Docs</t>
  </si>
  <si>
    <t>Generate policy documents, calculate premium and send it to Insured for Signing</t>
  </si>
  <si>
    <t>Auto, GL, Prop, WC, UM/UIM, Umbrella, Inland Marine, Liquor, RRR (rail road protection)</t>
  </si>
  <si>
    <t>576 - As per RAMP Plan</t>
  </si>
  <si>
    <t>Middle Market - 334, Major Market - 242</t>
  </si>
  <si>
    <t>Middle Market - 60, Major Market - 75</t>
  </si>
  <si>
    <t>Delay in Signed Docs from Insured</t>
  </si>
  <si>
    <t>@work, iUW, DocuSign, Compass, Microsft Word, Adobe Acrobat PDF, Outlook</t>
  </si>
  <si>
    <t>1 month</t>
  </si>
  <si>
    <t>Middle Market - 795
Major Market - 415</t>
  </si>
  <si>
    <t>Middle Market - 20, Major Market - 45</t>
  </si>
  <si>
    <t>Apr, Jul, Aug, Sep</t>
  </si>
  <si>
    <t>Need to update forms manually in final PDF</t>
  </si>
  <si>
    <t>Accuracy</t>
  </si>
  <si>
    <t xml:space="preserve"> @ work, PDF, excel sheet</t>
  </si>
  <si>
    <t>@ work, Outlook, MS Teams, CCO, Clipper</t>
  </si>
  <si>
    <t>Ruth Verzonilla</t>
  </si>
  <si>
    <t>PSU</t>
  </si>
  <si>
    <t>Intake of medical provider calls regarding WC medical bill status</t>
  </si>
  <si>
    <t>15 days</t>
  </si>
  <si>
    <t>March, April &amp; May</t>
  </si>
  <si>
    <t>ABA% 10%</t>
  </si>
  <si>
    <t>AHT 1420 secs</t>
  </si>
  <si>
    <t>Email Automation, Documentation Tool</t>
  </si>
  <si>
    <t>14% PI Gains</t>
  </si>
  <si>
    <t>Medical Providers</t>
  </si>
  <si>
    <t>Strataware, ECM, On demand</t>
  </si>
  <si>
    <t>Medical Bill Review and Repricing</t>
  </si>
  <si>
    <t>CRS</t>
  </si>
  <si>
    <t>Review of WC medical bills based on State specific WC guidelines, CPT/ICD, CPT modifier etc.</t>
  </si>
  <si>
    <t>20 days</t>
  </si>
  <si>
    <t xml:space="preserve">February, March, April, August, November &amp; December </t>
  </si>
  <si>
    <t>21.75 per FTE per day</t>
  </si>
  <si>
    <t>Quality accuracy</t>
  </si>
  <si>
    <t>QA %; potential leakage, Recons</t>
  </si>
  <si>
    <t>Quality Checklist, Error Propensity, Knowledge Tool</t>
  </si>
  <si>
    <t>QA Score lift</t>
  </si>
  <si>
    <t>Informationation Aggregation</t>
  </si>
  <si>
    <t>Phoenix</t>
  </si>
  <si>
    <t xml:space="preserve">Strataware, ECM, On demand, </t>
  </si>
  <si>
    <t>UM Calls</t>
  </si>
  <si>
    <t>Intake of medical provider calls and members regarding UR status</t>
  </si>
  <si>
    <t>March, May, June &amp; August</t>
  </si>
  <si>
    <t>ABA% 4%</t>
  </si>
  <si>
    <t>AHT 166 secs</t>
  </si>
  <si>
    <t>Medical Providers, Members</t>
  </si>
  <si>
    <t>ECM</t>
  </si>
  <si>
    <t>MBR OP</t>
  </si>
  <si>
    <t xml:space="preserve">Review of overpayment and refund for WC medical bills </t>
  </si>
  <si>
    <t>-</t>
  </si>
  <si>
    <t>April, May, June, July, August, September &amp; October</t>
  </si>
  <si>
    <t>Efficiency 95%</t>
  </si>
  <si>
    <t>Phoenix, ECM</t>
  </si>
  <si>
    <t>ZNA</t>
  </si>
  <si>
    <t>Arbind Singh/Saurabh Sharma</t>
  </si>
  <si>
    <t>Subpoena Reviews</t>
  </si>
  <si>
    <t>Admin Queue (Admin, CA Bill Objections, WC Copy service Bill)</t>
  </si>
  <si>
    <t>The purpose of this task is to review the un assigned documents in each claim office and try to find a claim number it is associated with. Sub Peona bills needs to be sent to MCSC queue for payment processing.</t>
  </si>
  <si>
    <t>WC, Property, GL, Auto</t>
  </si>
  <si>
    <t>Insured and Claimants</t>
  </si>
  <si>
    <t>Application - 100%</t>
  </si>
  <si>
    <t>Claims Professionals</t>
  </si>
  <si>
    <t>EZAcces and MS Outlook</t>
  </si>
  <si>
    <t>Triage - (Auto, GL, Liability, Total loss &amp; Excess, Occ Acc office 37 claims assignment)</t>
  </si>
  <si>
    <t>The purpose of this task is to assign the claim to right claim handler, according to the office, business type and severity of the claim. Triage Portal is being used to identify appropriate adjuster to assign claims</t>
  </si>
  <si>
    <t>GL, Auto,WC</t>
  </si>
  <si>
    <t>3 - 5 mins</t>
  </si>
  <si>
    <t>Reassignment %</t>
  </si>
  <si>
    <t>New Web based DBMS implemented</t>
  </si>
  <si>
    <t>0.3 FTE Reduction</t>
  </si>
  <si>
    <t>EZAcces, Triage Portal</t>
  </si>
  <si>
    <t>The purpose of this task is to take off the paid amount from incorrect claim and transfer it to correct claim as per the instructions received</t>
  </si>
  <si>
    <t>WC, Property, GL, Auto,Specialities</t>
  </si>
  <si>
    <t>Claim professionals</t>
  </si>
  <si>
    <t>Email - 50% , Application - 50%</t>
  </si>
  <si>
    <t>EZAccess,MS Outlookand Mainframe</t>
  </si>
  <si>
    <t>Trail Companion Letter</t>
  </si>
  <si>
    <t>The purpose of this task is mimic the master claim file to accommodate a different date of loss. The file which is created is known a Trail file.</t>
  </si>
  <si>
    <t>Property &amp; GL</t>
  </si>
  <si>
    <t>Email - 15% , Application - 85%</t>
  </si>
  <si>
    <t>EZAccess, MS Outlook</t>
  </si>
  <si>
    <t>Independent Medical Review</t>
  </si>
  <si>
    <t>This task is performed as a result of request received from Maximus Federal Services for documents pertaining to claimant injury. We provide medical records for 6 months prior to date of denial, till the date we receive the request.</t>
  </si>
  <si>
    <t>Claim prpfessionals</t>
  </si>
  <si>
    <t>EZAccess, MS Outlook and Claims Connect</t>
  </si>
  <si>
    <t>Indeterminates-Aged</t>
  </si>
  <si>
    <t>The purpose of this task is to check and follow up with claim handler if no action (for 30 days)has been taken on claims which do not have a policy number assigned. The task is received on 5th and 20th of each month.</t>
  </si>
  <si>
    <t>LOB</t>
  </si>
  <si>
    <t>Email  - 100%</t>
  </si>
  <si>
    <t>Email - 10% , Application - 90%</t>
  </si>
  <si>
    <t xml:space="preserve">EZAccess, MS Outlook </t>
  </si>
  <si>
    <t>Medicare CMS Letter</t>
  </si>
  <si>
    <t>The purpose of this task is to check and update 5 key elements. And if the Key elements are missing we send CMS letter to Claimant/Attorney</t>
  </si>
  <si>
    <t>WC, GL, Auto</t>
  </si>
  <si>
    <t>Surety Letters</t>
  </si>
  <si>
    <t>The purpose of this task is to send surety letters to Claimants, Principals, Obligee/Owners, Group name and Claim Handlers etc. as per the instructions</t>
  </si>
  <si>
    <t>Medicare COBC Letters</t>
  </si>
  <si>
    <t>The purpose of this task is to check and update 5 key elements. If these elements are not found we send CMS letter to claimant, a Lotus notes to claim handler and setup a task to update the information.</t>
  </si>
  <si>
    <t>State Form and Filing</t>
  </si>
  <si>
    <t>State Auto Regulation Letters</t>
  </si>
  <si>
    <t>The purpose of this task is send State regulatory letters, which system was unable to send due to missing information. If we are unable to find information we setup a task for Claim handler</t>
  </si>
  <si>
    <t>Triage office 12 &amp; 26 (Env)</t>
  </si>
  <si>
    <t>The process involves assigning of Mass Lit (typically law suit) &amp; Pollution (includes contamination to property, air or water, this includes fuel, oil, chemical spills from vehicles such as semi trucks hauling these items) claims to claim adjusters.</t>
  </si>
  <si>
    <t>GL, Mass Litigation,Pollution and Environment</t>
  </si>
  <si>
    <t>Office 41- Veterinary claims Set up</t>
  </si>
  <si>
    <t xml:space="preserve">Vet claims setup requests are received directly from the Veterinarians who are our insureds. These Claims are for animals that were treated by our insureds. </t>
  </si>
  <si>
    <t>Specialities</t>
  </si>
  <si>
    <t>Office 41- Environmental set up &amp; Triage</t>
  </si>
  <si>
    <t>The process involves setting up claims, triage and send ack letters.  These claims are where there is a bodily injury and/or property damage exposure.  
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t>
  </si>
  <si>
    <t>Office 41- Professional Liability claims</t>
  </si>
  <si>
    <t>These Claims cover claims for harassment, wrongful termination, discrimination and errors and omissions against professional entities.  The claims are generally setup by the Care Center and sent to the assignment queue for triage.
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t>
  </si>
  <si>
    <t>Office 41- MGS - Claim Setup</t>
  </si>
  <si>
    <t>Management Solutions Group Claims covers claims for harassment, wrongful termination, discrimination and errors and omissions. The process involves setting up claims &amp; triage</t>
  </si>
  <si>
    <t>The purpose of this task to mirror and create existing claims which end up in litigation</t>
  </si>
  <si>
    <t>Legal Team</t>
  </si>
  <si>
    <t>Send Initial Notification</t>
  </si>
  <si>
    <t>GL Task/Letters</t>
  </si>
  <si>
    <t>GL Letters Task- The purpose of the task is to preapre and send required letter as per request received to the requester. Letters type - Delay letter, Subsequent Contact Letter, No Response closing letter, Med connection Pakage Upload</t>
  </si>
  <si>
    <t>Claims Connect</t>
  </si>
  <si>
    <t>NCM Vendor task</t>
  </si>
  <si>
    <t>The Purpose of the task is to update the claim file with notification of the actions performed on physical therepy or Diagnostics treatment by copy pasting information received in email to the note sections of ezaccess claims file.</t>
  </si>
  <si>
    <t>Adjuster Licensing - This task is no more with us</t>
  </si>
  <si>
    <t>EXL Team needs to compare renewal date/list to state website and update the same in new adjuster license compliance database sharepoint site with new expiry date as per state site.</t>
  </si>
  <si>
    <t>Feb,Mar,Apr</t>
  </si>
  <si>
    <t>MS Outlook, Adjuster Lisensing Database</t>
  </si>
  <si>
    <t>Claim Fox- Sub Poena</t>
  </si>
  <si>
    <t>The purpose of the task is to provide producable documents (non previlaged nonPHI,nonPI) to requester claimant's attorney for closed claims which are challenged via judiciary system (court proceeding).</t>
  </si>
  <si>
    <t>MS Outlook, Legal Tracker</t>
  </si>
  <si>
    <t>WC - Triage</t>
  </si>
  <si>
    <t>The purpose of this task is to assign the claim to right claim handler, according to the office, business type and severity of the claim. Triage Portal is being used to assign claims</t>
  </si>
  <si>
    <t>Claim Cancellation</t>
  </si>
  <si>
    <t xml:space="preserve">This task is performed as a result of a cancellation request received on claims. A claim maybe cancelled due to reasons like claim denial, coverage not available, policy expiration, duplicate set ups etc. </t>
  </si>
  <si>
    <t>IA Appraisal</t>
  </si>
  <si>
    <t>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t>
  </si>
  <si>
    <t>Duplicate Claims</t>
  </si>
  <si>
    <t>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t>
  </si>
  <si>
    <t>Acknowledgement Closing Letter</t>
  </si>
  <si>
    <t>Acknowledgement closing letters are sent to notify the insured and/or broker that the claim has been closed by the insurance carrier. The letter includes the closing date, closing amounts of both Indemnity and expense payments.</t>
  </si>
  <si>
    <t>New Claim Property Triage and ISO Reports</t>
  </si>
  <si>
    <t>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t>
  </si>
  <si>
    <t>Recovery Referral</t>
  </si>
  <si>
    <t>This task involves assigning claim referrals to  a Recovery Professional based on their skill set, availability and claim amount</t>
  </si>
  <si>
    <t>The task involves to code the changes made to the claim information like Site Code, Policy number, name of insured, Date of loss etc.</t>
  </si>
  <si>
    <t>Aggregate Report</t>
  </si>
  <si>
    <t>Aggregate Report is used by Claim Professionals to validate the amounts paid on a claim at different stages. The processor needs to publish and send set of Aggregate reports to the claim handlers upon their requests</t>
  </si>
  <si>
    <t>Police Rpt Follow Up</t>
  </si>
  <si>
    <t>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t>
  </si>
  <si>
    <t>Police Rpt New</t>
  </si>
  <si>
    <t>Excess Ack letters/ Opening Acknowledgement Letter</t>
  </si>
  <si>
    <t>The purpose of this task is to send the acknowledgement letters to the insured for the new claims generated. This is worked through MS Access in shared drive.</t>
  </si>
  <si>
    <t>Police Recovery Letter</t>
  </si>
  <si>
    <t>The purpose of this task is to send letter to respective police department (loss address) to send notification for recovered items to insurance carrier.</t>
  </si>
  <si>
    <t>6 Pack</t>
  </si>
  <si>
    <t>The purpose of this task is to publish and send multiple letters in a packet to the Insured/Claimant upon their request as per the state/Law requirements.</t>
  </si>
  <si>
    <t>Wage Statement</t>
  </si>
  <si>
    <t>WC Wage Statement Request</t>
  </si>
  <si>
    <t>The purpose of this task is to request wage statement &amp; job description from employer for the injured employee. The employer completes the wage statement form which documents the injured worker's actual wages at the time of injury and returns it to the insurance carrier.</t>
  </si>
  <si>
    <t>NY-LA Decision Letter</t>
  </si>
  <si>
    <t>This Process involves finding, analyzing, completing, mailing and filing the required NY/LA State Form for decision Letters issued by nurses &amp; doctors</t>
  </si>
  <si>
    <t>WC &amp; GL</t>
  </si>
  <si>
    <t>Provider Sendback</t>
  </si>
  <si>
    <t>This Process shows the details of reviewing the document and sending them back to the provider where request is not in approved format.</t>
  </si>
  <si>
    <t>Transfer Notes/Docs</t>
  </si>
  <si>
    <t>This process shows the details of transferring Notes from the cancelled claims to new claims and upon the completion of the transfer send email to the requester</t>
  </si>
  <si>
    <t>Mass Lit</t>
  </si>
  <si>
    <t>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t>
  </si>
  <si>
    <t>Recovery Transfer</t>
  </si>
  <si>
    <t>This Process shows to assign the claim to the appropriate recovery claim handler and if the handler does not work in the organization anymore send email to the Team leader</t>
  </si>
  <si>
    <t>HC Let Rest set up and traige</t>
  </si>
  <si>
    <t>The process involves setting up new claims for Claims Adjusters on the client application for 4 lines of business:   
Auto, Property, GL and WCensation, including specialty claims
The work is received via 5 channels namely scan , fax , web , FTP(File Transfer Protocol) and E-mail. The EXL team receives work in the application as incident number and sets up the claim to generate the claim number for Claim Adjuster
Triage of most LOBs also is a part of the process - some to adjusters and some to the LOB office, as per rules.</t>
  </si>
  <si>
    <t>Auto, GL, WC, Property, Specialty</t>
  </si>
  <si>
    <t>State Form Filing</t>
  </si>
  <si>
    <t>WC Form Filing</t>
  </si>
  <si>
    <t>The purpose of Form Filing is to provide worker compensation information to State along with informing employer and Attorneys as per State guidelines.</t>
  </si>
  <si>
    <t>Claims Transfer (WC Single, Regular, bulk &amp; Property)</t>
  </si>
  <si>
    <t>In this work type, the processor needs to transfer a claim from one claim professional to another basis set criteria. A notification letter has to be sent to Insured/Claimant/Claimant Attorney upon transferring. We process request for all LOBs like Auto, GL, WC, Property &amp; specialties</t>
  </si>
  <si>
    <t>WC, GL &amp; Auto</t>
  </si>
  <si>
    <t>File &amp; Serve</t>
  </si>
  <si>
    <t>The purpose of this task is to send any claim related document to a party who sends a document to request.</t>
  </si>
  <si>
    <t>Generate &amp; Distribute</t>
  </si>
  <si>
    <t>The process involves retrieval and then distribution of the various reports in the appropriate folders on the DER and Non-DER SharePoint site and send email to Admin Managers.  This process covers a total of 12 reports.</t>
  </si>
  <si>
    <t>Print Errors Distribution</t>
  </si>
  <si>
    <t>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t>
  </si>
  <si>
    <t>WC BOE reports (24066)</t>
  </si>
  <si>
    <t>This tasks required payment reports to be fetched as per the paykind codes provided. Once reports for the paykind codes is fetched then these reports are uploaded on Citrix application on the claim</t>
  </si>
  <si>
    <t>State Guideline Research &amp; Review</t>
  </si>
  <si>
    <t>Transfer report distribution</t>
  </si>
  <si>
    <t>Receive report through email on a mailbox, data to be reviewed and shared with different teams as per the instructions daily day beginning. This report includes all the new transfers completed day before and they are shared with CP of different states with state wise details.</t>
  </si>
  <si>
    <t>Reconsideration Reviews</t>
  </si>
  <si>
    <t>C-Partials</t>
  </si>
  <si>
    <t xml:space="preserve">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t>
  </si>
  <si>
    <t>PAC</t>
  </si>
  <si>
    <t>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t>
  </si>
  <si>
    <t>Incomplete Setup</t>
  </si>
  <si>
    <t>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t>
  </si>
  <si>
    <t>MPH Voice</t>
  </si>
  <si>
    <t>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t>
  </si>
  <si>
    <t>SB1159 Covid Reporting</t>
  </si>
  <si>
    <t>This keeps track of all Covid affected workers as per information shared by the insured via email. Data details are captured on a excel sheet which is saved on share point for reporting purpose.</t>
  </si>
  <si>
    <t>Instructions in Application/ MS Excel</t>
  </si>
  <si>
    <t>MS Outlook, MS Office</t>
  </si>
  <si>
    <t>MPCR</t>
  </si>
  <si>
    <t>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t>
  </si>
  <si>
    <t>Med Connections Report</t>
  </si>
  <si>
    <t>In this task, we receive instructions from vendor that report has been generated as per the instructions provided by CP. We save it on client application.</t>
  </si>
  <si>
    <t>NY-PA-ME-  SROI Letter</t>
  </si>
  <si>
    <t>Subsequent report of injury letters are sent to Injured worker, Insured and Attorney's as per CPs instructions</t>
  </si>
  <si>
    <t>BOE Reports</t>
  </si>
  <si>
    <t>Various reports are pulled through client application manipulated and then saved on share point for future reference or shared with CPs via email</t>
  </si>
  <si>
    <t>Email - 15% , Sharepoint - 85%</t>
  </si>
  <si>
    <t>Michelle Fontamillas</t>
  </si>
  <si>
    <t>CPTA (Claims Professional Tasks Assignment)</t>
  </si>
  <si>
    <t xml:space="preserve">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t>
  </si>
  <si>
    <t>January &amp; October</t>
  </si>
  <si>
    <t>8 Minutes</t>
  </si>
  <si>
    <t>Attrition</t>
  </si>
  <si>
    <t>TAT &amp; QA</t>
  </si>
  <si>
    <t>Productivity gains</t>
  </si>
  <si>
    <t>Contact rate improvement, Red flags analysis, SWM and documentation tool enhancement</t>
  </si>
  <si>
    <t>productivity gains, improved quality and tat</t>
  </si>
  <si>
    <t>Onshore nurses , onshore claims professionals, Admin ops team in India and Referral and Triage team in Manila</t>
  </si>
  <si>
    <t>Client Application- 60%, Email - 40%</t>
  </si>
  <si>
    <t>Nurse case managers and Claims Professionals</t>
  </si>
  <si>
    <t>Referral and Triage</t>
  </si>
  <si>
    <t xml:space="preserve">Assignment of NCMs or Client Integrated Nurses on claims as necessary. Requests can be from an automated system or adjusters/other nurses and reviewed using a list of client-approved criteria.
</t>
  </si>
  <si>
    <t>QA</t>
  </si>
  <si>
    <t>Automated distributor, Workflow manager</t>
  </si>
  <si>
    <t>Onshore nurses ,claims professionals and onshore system generated tool</t>
  </si>
  <si>
    <t>Client Application- 45%; Email- 10%; Excel- 45%</t>
  </si>
  <si>
    <t>Identify claims for closing</t>
  </si>
  <si>
    <t>Return to Work Coordinator</t>
  </si>
  <si>
    <t xml:space="preserve">Nurse associates review and classify claims based on current work status parameters.  If it is determined, the claim will be sent to RTW nurses onshore for further review.
</t>
  </si>
  <si>
    <t>Documentation tool, PGT</t>
  </si>
  <si>
    <t>Process quality</t>
  </si>
  <si>
    <t>Workflow manager</t>
  </si>
  <si>
    <t>improved quality and tat</t>
  </si>
  <si>
    <t>Onshore system generated tool</t>
  </si>
  <si>
    <t>Client Application- 100%</t>
  </si>
  <si>
    <t>Onshore return to work coordinator nurses</t>
  </si>
  <si>
    <t>EZAccess, Share Point, Business Object Portal.</t>
  </si>
  <si>
    <t>Intake and Closure</t>
  </si>
  <si>
    <t xml:space="preserve">Intake Unit is responsible to  receive the request, review it for completeness and assign it to the USRN at EXL for complete Clinical Review. Closure Unit is responsible of sending out decision letters 
</t>
  </si>
  <si>
    <t>TAT 1: 70%
TAT 2: 99.6%
TAT 3: 99. 9%</t>
  </si>
  <si>
    <t>Quality: 95%</t>
  </si>
  <si>
    <t>1. Attrition
2. Backlogs
3. MEI</t>
  </si>
  <si>
    <t>UR TAT</t>
  </si>
  <si>
    <t>UR Extraction Tool</t>
  </si>
  <si>
    <t>Increased Efficiency</t>
  </si>
  <si>
    <t>Requests received by fax and  worked by EXL nurse</t>
  </si>
  <si>
    <t>Injured Workers, Claims Professionals, providers, Facility, Atty., NCM</t>
  </si>
  <si>
    <t>UR End to End Clinical Review</t>
  </si>
  <si>
    <t xml:space="preserve">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t>
  </si>
  <si>
    <t xml:space="preserve">1. PA Referral Reduction Project
2. SWM
3. Process guidance tool
4. AIM implemented Ideas
</t>
  </si>
  <si>
    <t>AIM - 3.71 FTEs Prod Gain (2020)
PA Referral Reduction: $566,145 Annualized benefit - Reduced Client's cost to their Peer vendor</t>
  </si>
  <si>
    <t>PA Referral Reduction Phase 2</t>
  </si>
  <si>
    <t>Increased Efficiency and decrease in PA referrals to vendor</t>
  </si>
  <si>
    <t xml:space="preserve">Requests received by fax and  worked by EXL nurse in Client UR Platform Tool- assigned by Intake Team 
</t>
  </si>
  <si>
    <t>UR Call Center</t>
  </si>
  <si>
    <t xml:space="preserve">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
</t>
  </si>
  <si>
    <t>7.13 minutes</t>
  </si>
  <si>
    <t>Service Level: 80%</t>
  </si>
  <si>
    <t>1. Attrition
2. Queue staffing during system issues
3. MEI</t>
  </si>
  <si>
    <t>Service Levels</t>
  </si>
  <si>
    <t>Process Guidance Tool</t>
  </si>
  <si>
    <t>To continuously meet QA</t>
  </si>
  <si>
    <t xml:space="preserve">Inbound calls from medical providers, injured workers
</t>
  </si>
  <si>
    <t>Medical Professional Case Review</t>
  </si>
  <si>
    <t xml:space="preserve">Nurse associates assign MPCR referrals from claim professionals (CP) to MCU Nurse, medical director, and vendor physician onshore. Nurse associates check availability and case load of MCU Nurse and assigns accordingly. 
All non-MCU CP requests should be assigned or offered a medical director review.
</t>
  </si>
  <si>
    <t xml:space="preserve">WC Claims (except requests from Staff Legal   **Liability Claims (for vendor physician review requests only)
</t>
  </si>
  <si>
    <t>12.78 minutes</t>
  </si>
  <si>
    <t>TAT: 98%</t>
  </si>
  <si>
    <t>Quality: 98%</t>
  </si>
  <si>
    <t>1. MEI
2. Growth opportunities
3. Client Satisfaction</t>
  </si>
  <si>
    <t>1. Prod Gains</t>
  </si>
  <si>
    <t xml:space="preserve">Task Request from Claim Professionals 
</t>
  </si>
  <si>
    <t>40% EZ Access
30% Email
30% secureit</t>
  </si>
  <si>
    <t xml:space="preserve">Nurse/ Medical Director/Vendor,  Claims Professionals
</t>
  </si>
  <si>
    <t>Sharepoint, Claims Connect, MS Teams, MS Outook, SWM</t>
  </si>
  <si>
    <t>Vendor Correspondence</t>
  </si>
  <si>
    <t>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t>
  </si>
  <si>
    <t>To continuously meet QA and TAT</t>
  </si>
  <si>
    <t>Catastrophic Claims</t>
  </si>
  <si>
    <t>Nurse associates review claims based on catastrophic parameters. If it is determined to be a true catastrophic file, the claim will be sent to CAT nurses onshore for further review, otherwise, it will be dropped if did not meet CAT claims criteria.</t>
  </si>
  <si>
    <t>11 minutes</t>
  </si>
  <si>
    <t>Anshuman Singh/Arbind Singh</t>
  </si>
  <si>
    <t>Clearance and Registration</t>
  </si>
  <si>
    <t>C&amp;R</t>
  </si>
  <si>
    <t>Clearing a Submission determines if the potential customer has been Submitted, Quoted, Covered, or Serviced by ZNA in the past.
Registration, following Clearance, is the process of recording as much submission information as it is available into Workbench (ZNA Corporate Database).</t>
  </si>
  <si>
    <t>Round the year</t>
  </si>
  <si>
    <t>Productivity - 100%</t>
  </si>
  <si>
    <t>MI</t>
  </si>
  <si>
    <t>Underwriting Assistant
Underwriting Services</t>
  </si>
  <si>
    <t>Instruction in application</t>
  </si>
  <si>
    <t>PDF-70%
Excel- 20%
Word- 10%</t>
  </si>
  <si>
    <t>Submission ID created</t>
  </si>
  <si>
    <t>Underwriter
Underwriter Assistant
Agency
Agent</t>
  </si>
  <si>
    <t>Underwriting Desktop
eFile
Workbench</t>
  </si>
  <si>
    <t>Correctly naming all documents per the Indexing Guidelines that are part of the Submission in eFile</t>
  </si>
  <si>
    <t>Additional System Setup</t>
  </si>
  <si>
    <t>To fill all the details related to a policy (Insured, producer) in the required source system and setup rating taks.</t>
  </si>
  <si>
    <t>Rating and Issuance ready applications</t>
  </si>
  <si>
    <t xml:space="preserve">Ultra, Zorba, Neptune, PolicyCenter
</t>
  </si>
  <si>
    <t>Add Product</t>
  </si>
  <si>
    <t>Adding product to an existing submission because of Missed Product, or Broker made new requests or other reasons during New Business Set-Up of policy</t>
  </si>
  <si>
    <t>PLAC Decline</t>
  </si>
  <si>
    <t>Clearing &amp; Registering upfront decline assignments in Underwriting Management</t>
  </si>
  <si>
    <t>Auto, Property, GL, WC</t>
  </si>
  <si>
    <t>Outlook, 
Underwriting Management</t>
  </si>
  <si>
    <t>State Guideline Research &amp; Review, ODG Benchmarks</t>
  </si>
  <si>
    <t>GA-120</t>
  </si>
  <si>
    <t>WC Claims Rate Cards for the State of Georgia are printed</t>
  </si>
  <si>
    <t>NCCI</t>
  </si>
  <si>
    <t>E&amp;S C&amp;R</t>
  </si>
  <si>
    <t>To clear and register the assignments for E&amp;S- PNP and Excess Casualty market baskets in Underwriting Management</t>
  </si>
  <si>
    <t>Project work</t>
  </si>
  <si>
    <t>Outlook
Underwriting Management
eFile</t>
  </si>
  <si>
    <t>Paychex-NB</t>
  </si>
  <si>
    <t>Paychex helps in small-business owners to succeed by taking care of the details that go into running a business. This helps client to spend more time on their customers, employees and their organisation/companies.</t>
  </si>
  <si>
    <t>Submission ID created
Policy Issued</t>
  </si>
  <si>
    <t>Workbench
Ultra</t>
  </si>
  <si>
    <t>Paychex-RN</t>
  </si>
  <si>
    <t>Submission ID created
Policy issued</t>
  </si>
  <si>
    <t>Paychex-NB (EPD)</t>
  </si>
  <si>
    <t>Fidelity Bond</t>
  </si>
  <si>
    <t>Policy Document generated in PDF</t>
  </si>
  <si>
    <t>EPD</t>
  </si>
  <si>
    <t>Paychex-RN (EPD)</t>
  </si>
  <si>
    <t>Captive Bind</t>
  </si>
  <si>
    <t>The bind policy function is performed, once an order is received on a submission &amp; the policy is bound in Workbench.</t>
  </si>
  <si>
    <t>Policy Bound for further issuance</t>
  </si>
  <si>
    <t>Outlook
Workbench
eFile</t>
  </si>
  <si>
    <t>Captive C&amp;R</t>
  </si>
  <si>
    <t>Clearing and Registering New Business Submissions is the process of recording all the submission information available into Workbench (Zurich Corporate Database).</t>
  </si>
  <si>
    <t>Customer submission setup and made ready for rate and issuance</t>
  </si>
  <si>
    <t>Verification of Agent/Agency license (P&amp;AL initial &amp; secondary)</t>
  </si>
  <si>
    <t>Captive PA&amp;L</t>
  </si>
  <si>
    <t>UW Services confirms that the proper state appointment and/or licenses are in place. A reporting mechanism has been developed that is accessed via ZPACT that allows you to see whether an agency and/or individual agent meets state license/appointment requirements.</t>
  </si>
  <si>
    <t>Producer confirmed with applicable license</t>
  </si>
  <si>
    <t>Program Bind</t>
  </si>
  <si>
    <t>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t>
  </si>
  <si>
    <t>Program Upload</t>
  </si>
  <si>
    <t>A document upload request in Outlook Mailbox comes into Inbox. These requests have documents related to Endorsements, hence only needs to be uploaded in eFile.</t>
  </si>
  <si>
    <t>Index the documents to the submission for record keeping</t>
  </si>
  <si>
    <t>Outlook
eFile</t>
  </si>
  <si>
    <t>Program Submission</t>
  </si>
  <si>
    <t>Submission requests are processed under Alternative Markets to initiate the New Business and Renewal transactions in ULTRA and Workbench.</t>
  </si>
  <si>
    <t>Auto, Property, GL</t>
  </si>
  <si>
    <t>Paychex Endorsement</t>
  </si>
  <si>
    <t>Modifying and changing the forms used in Paychex policies</t>
  </si>
  <si>
    <t>Endorsement completed and New policy with changes created</t>
  </si>
  <si>
    <t>Outlook
Ultra
eFile</t>
  </si>
  <si>
    <t>Paychex Cancellation</t>
  </si>
  <si>
    <t>Cancelling the policies issued in paychex</t>
  </si>
  <si>
    <t>Cancelled policy and Premium Reversal generated</t>
  </si>
  <si>
    <t>PoST Tool</t>
  </si>
  <si>
    <t>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t>
  </si>
  <si>
    <t>Underwriting Assistant
Underwriting Services
Brokers</t>
  </si>
  <si>
    <t>Appetite Checked to quote and rate
Customer submission setup and made ready for rate and issuance</t>
  </si>
  <si>
    <t>Outlook
PoST Tool</t>
  </si>
  <si>
    <t>CCR</t>
  </si>
  <si>
    <t>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t>
  </si>
  <si>
    <t>Outlook
Underwriting Desktop
eFile</t>
  </si>
  <si>
    <t>CRR</t>
  </si>
  <si>
    <t>To review and determine if ZNA is interested in continuing the business currently written with it.</t>
  </si>
  <si>
    <t>Renewed policy</t>
  </si>
  <si>
    <t>Underwriting Desktop
eFile
Workbench
Zorba, Neptune, Ultra, PolicyCenter</t>
  </si>
  <si>
    <t>Update Renewal and Index</t>
  </si>
  <si>
    <t>Indexed documents to submission</t>
  </si>
  <si>
    <t>Underwriting Desktop
eFile
Workbench
Ultra</t>
  </si>
  <si>
    <t>Adding product to an existing submission because of Missed Product, or Broker made new requests or other reasons during Renewal Set-Up of policy</t>
  </si>
  <si>
    <t>Added additional products to the account</t>
  </si>
  <si>
    <t>Underwriting Desktop
Workbench</t>
  </si>
  <si>
    <t>Initial Verification</t>
  </si>
  <si>
    <t>To confirms that the proper state appointment and/or licenses are in place</t>
  </si>
  <si>
    <t>Appointment Verified and communication sent to UW</t>
  </si>
  <si>
    <t>Secondary Verification</t>
  </si>
  <si>
    <t>UM PA&amp;L Resolution</t>
  </si>
  <si>
    <t>Underwriting Management
eFile
Workbench</t>
  </si>
  <si>
    <t>Rating and Issuance</t>
  </si>
  <si>
    <t>Process deals in Rating and Issuance of Policy. Rating of policy is Premium quotation which is used by UW/UA and Issuance of Policy is to assemble policy as per the terms and conditions which is in binder and issue it to UA/broker</t>
  </si>
  <si>
    <t xml:space="preserve">Management Liability PNP
Management Liability Public
Financial Institutions
</t>
  </si>
  <si>
    <t>Due to manual work allocation dependency sometimes TAT gets impacted</t>
  </si>
  <si>
    <t xml:space="preserve">1- Manual Allocation by Supervisor prioritizing Rush Rating (4 hrs. TAT) over non Rush(24 Hrs.) to meet TAT
2- Change in the Shift allignment basis on incoming volume time pattern
3- Followed up process set up for referrals for quick response
4- solutions implemented for improving AHT, where in team would be using default information rather than referring task to UWS </t>
  </si>
  <si>
    <t>Underwriter/Underwriter Assistant/Broker</t>
  </si>
  <si>
    <t>Application - 95%
Accord Form - 30%
Broker Correspondence - 100%
Financial Statement - 90%
Binder - 30%
Underlying Documents - 10%</t>
  </si>
  <si>
    <t>Rating</t>
  </si>
  <si>
    <t>EXL manages Rating for Mid Size Business commercial market for ZNA. Team processes rating task for Auto, GL, Worker’s Compensation, OCP RRP, Construction and Property for Quation of Premium</t>
  </si>
  <si>
    <t>Auto
GL
WC
Property
Non Truck Liability
OCP RRP
Construction</t>
  </si>
  <si>
    <t>Auto - 30
GL - 20
WC - 20
Property - 30</t>
  </si>
  <si>
    <t>May and October</t>
  </si>
  <si>
    <t>TAT gets impacted due to large accounts</t>
  </si>
  <si>
    <t>Raters are alligned in split shift so rush accounts can be prioirtised and completed within TAT</t>
  </si>
  <si>
    <t>Guidewire implementation ongoing for Rating and Issuance tasks</t>
  </si>
  <si>
    <t>Accord Form - 60%
SOV - 40%
Application specification - 10%</t>
  </si>
  <si>
    <t>MSB Issuance will Issue middle market policies. It is defined for UW Services Specialist-Rating Tech to issue the policy. All the Issuance policies are then sent/emailed to the broker and UW/UA and this task is known as Finalize Issuance.</t>
  </si>
  <si>
    <t>Jan, March, Dec</t>
  </si>
  <si>
    <t>Binder - 100%</t>
  </si>
  <si>
    <t>To issue the New business policy per instruction/finalize premium and generate final Issuance documents</t>
  </si>
  <si>
    <t>UMB</t>
  </si>
  <si>
    <t>Umbrella</t>
  </si>
  <si>
    <t>1 to 2</t>
  </si>
  <si>
    <t>UA/UW</t>
  </si>
  <si>
    <t>UA &amp; UW</t>
  </si>
  <si>
    <t>To issue the renewal policy per instruction/finalize premium and generate final Issuance documents</t>
  </si>
  <si>
    <t>Endorsement</t>
  </si>
  <si>
    <t>To process instructed changes on policy through endorsement</t>
  </si>
  <si>
    <t>AIM idea implemented</t>
  </si>
  <si>
    <t xml:space="preserve">If multiple changes requested in endorsement, then create endorsement wording for all changes, rather than creating seprate endorsement wordings for all request </t>
  </si>
  <si>
    <t xml:space="preserve">0.5 FTE </t>
  </si>
  <si>
    <t>Email Correspondance-90%, PDF-10%</t>
  </si>
  <si>
    <t>New Business Rate</t>
  </si>
  <si>
    <t>As per UA/UW instructions to generate Umbrella New business Quote premium</t>
  </si>
  <si>
    <t>Renewal Rate</t>
  </si>
  <si>
    <t>As per UA/UW revise instructions to generate Umbrella Renewal-Rate premium</t>
  </si>
  <si>
    <t>Re-Rate</t>
  </si>
  <si>
    <t>As per UA/UW revise instructions to generate Umbrella Re-Rate premium</t>
  </si>
  <si>
    <t>Cancel - Rewrite</t>
  </si>
  <si>
    <t>To process cancel/Rewrite per instructions</t>
  </si>
  <si>
    <t>PDF-100%</t>
  </si>
  <si>
    <t>To process cancellation &amp; Reinstament per instructions</t>
  </si>
  <si>
    <t>Rate - Per Expring</t>
  </si>
  <si>
    <t>To create renewal rating worksheet as per expired details and upload in efile for premium reference</t>
  </si>
  <si>
    <t xml:space="preserve">Auto, GL, AL, Package </t>
  </si>
  <si>
    <t xml:space="preserve">2 to 3 </t>
  </si>
  <si>
    <t>Insturctions - 100%</t>
  </si>
  <si>
    <t>Location Data Cleansing</t>
  </si>
  <si>
    <t xml:space="preserve">Location Data Cleansing </t>
  </si>
  <si>
    <t>Cleanse the SOV, verify and update in teamplate and  to match SOV values with instructions</t>
  </si>
  <si>
    <t xml:space="preserve">Macro tool implemented </t>
  </si>
  <si>
    <t>Macro tool implemented for TIV value calculation and finding CAT &amp; FIRE code as per SOP</t>
  </si>
  <si>
    <t>Excel-100%</t>
  </si>
  <si>
    <t>New Business Quote</t>
  </si>
  <si>
    <t>Prepare the quote for UW review. These quotes are utilized for pricing details and neogiation with customers</t>
  </si>
  <si>
    <t>Auto, GL, WC, Property</t>
  </si>
  <si>
    <t>3 to 4</t>
  </si>
  <si>
    <t xml:space="preserve">Auto - 2
GL - 2
WC - 2
</t>
  </si>
  <si>
    <t>Auto, GL - 70
WC -73</t>
  </si>
  <si>
    <t>Pricing</t>
  </si>
  <si>
    <t>Guidewire implemented for Rating</t>
  </si>
  <si>
    <t>UA/UW, Broker</t>
  </si>
  <si>
    <t>Excel - 70%, Word - 30%</t>
  </si>
  <si>
    <t>Prducer
UW, UA</t>
  </si>
  <si>
    <t>Renewal Rating</t>
  </si>
  <si>
    <t>Renewal Quote</t>
  </si>
  <si>
    <t>Prepare the quote for UW review. These quotes are utilized for pricing details and neogiation with customers during renewals</t>
  </si>
  <si>
    <t xml:space="preserve">Auto - 2
GL - 2
WC - 200
</t>
  </si>
  <si>
    <t>Issue New Business Policies as per UW instructions, send the policy document via EPD (Electronic Policy  Distribution)</t>
  </si>
  <si>
    <t>Auto, GL - 106
WC -122</t>
  </si>
  <si>
    <t>Guidewire implemented for Issuance</t>
  </si>
  <si>
    <t>Issue Renewal Policies as per UW instructions, send the policy document via EPD (Electronic Policy  Distribution)</t>
  </si>
  <si>
    <t>This process consists of processing requested changes both Premium bearing and Non-Premium bearing in policy information like coverage change,  Name change, calculation of revised premium and generation of policy documents to reflect the changes requested.</t>
  </si>
  <si>
    <t>Thread request in application</t>
  </si>
  <si>
    <t>Issue the NB policy in the client application</t>
  </si>
  <si>
    <t>Auto, GL, Property, Pkg, Crime, Umbrella and S&amp;P</t>
  </si>
  <si>
    <t>Jan, Mar, Apr and Jul</t>
  </si>
  <si>
    <t>Excel-80%, PDF-20%</t>
  </si>
  <si>
    <t>Rating Worksheet</t>
  </si>
  <si>
    <t>UA</t>
  </si>
  <si>
    <t>Issue the renewal policy in the client application</t>
  </si>
  <si>
    <t>Prepare the quote options for UA review</t>
  </si>
  <si>
    <t>Excel-95%, PDF-5%</t>
  </si>
  <si>
    <t>Initial Quote for UA review
Rating Worksheet</t>
  </si>
  <si>
    <t>Prepare the quote options for UW review on Policy renewal</t>
  </si>
  <si>
    <t>Renewal Quote for UW review
Rating Worksheet</t>
  </si>
  <si>
    <t>Re-rate</t>
  </si>
  <si>
    <t>Process the changes in Quotes based on Re-rate information</t>
  </si>
  <si>
    <t>Email Correspondance-80%, PDF-10%, Excel-10%</t>
  </si>
  <si>
    <t>Rerate Quote for UA/UW review
Rating Worksheet</t>
  </si>
  <si>
    <t>Endorsements</t>
  </si>
  <si>
    <t>Process the changes in Quotes and issuance based on the change request received</t>
  </si>
  <si>
    <t>Application</t>
  </si>
  <si>
    <t>Excel 100%</t>
  </si>
  <si>
    <t>PDF and Rating Worksheet</t>
  </si>
  <si>
    <t>UW and Producer</t>
  </si>
  <si>
    <t>Issue Endorsement / Quote</t>
  </si>
  <si>
    <t xml:space="preserve">Process is to add the new location to existing policies and coverage on those premises. Also add certain coverage, forms and entities can be added/amended/deleted.
</t>
  </si>
  <si>
    <t>Jan/Feb/March</t>
  </si>
  <si>
    <t>DPU -Defect per Unite</t>
  </si>
  <si>
    <t xml:space="preserve">AHT reduction </t>
  </si>
  <si>
    <t>3 solutions implemented around simplifying narratives, reaching out to UWs for confirmation and considering default values - STA if its not given. This has helped to complete task in straight through and improved average handle time</t>
  </si>
  <si>
    <t>All transactions would be Straight Through transactions, Improvement in end to end TAT and customer experience</t>
  </si>
  <si>
    <t xml:space="preserve">Underwriters/ Underwriting Associates/ Brokers
</t>
  </si>
  <si>
    <t>100% UWD</t>
  </si>
  <si>
    <t xml:space="preserve">Endorsement Document
</t>
  </si>
  <si>
    <t>Underwriters/ Underwriting Associates/ Brokers</t>
  </si>
  <si>
    <t>Benefits from projects either to Client or Process internal</t>
  </si>
  <si>
    <t>All transactions would be Straight Through transactions, Improvement in end to end TAT and customer experiece</t>
  </si>
  <si>
    <t>AUTO , GL Property</t>
  </si>
  <si>
    <t>CAT modeling</t>
  </si>
  <si>
    <t>Riskmodeling</t>
  </si>
  <si>
    <t xml:space="preserve">Process to run risk modeling for CAT coverage (TRIA, Wind, EQ and Flood) on new/existing locations and also for amend/add/del coverage
</t>
  </si>
  <si>
    <t>Teams working on Endorsements transaction that require risk modeling</t>
  </si>
  <si>
    <t>Risk browser</t>
  </si>
  <si>
    <t>Upload in Efile</t>
  </si>
  <si>
    <t>OFAC Verification</t>
  </si>
  <si>
    <t>New Business (OFAC)</t>
  </si>
  <si>
    <t>Screening of Accord forms, Policy Documents, SOV, Submission/Correspondence/Applicaion documents to identify entity/individual/country names and to run a report to identify if any of the names have a hit(s) and to escalate as necessary [if hit(s) are found] and to upload the results</t>
  </si>
  <si>
    <t>Auto, GL, WC, Property, Umbrella</t>
  </si>
  <si>
    <t>Jan - May</t>
  </si>
  <si>
    <t>Guidewire</t>
  </si>
  <si>
    <t>Team(s) working on New Business tranasctions that require OFAC</t>
  </si>
  <si>
    <t>Application : 100%</t>
  </si>
  <si>
    <t>Task creation team/
UA/UW</t>
  </si>
  <si>
    <t>Renewal (OFAC)</t>
  </si>
  <si>
    <t>Team(s) working on renewal tranasctions that require OFAC</t>
  </si>
  <si>
    <t>Endorsement (OFAC)</t>
  </si>
  <si>
    <t>Team(s) working on endorsement tranasctions that require OFAC</t>
  </si>
  <si>
    <t>Service Request (OFAC)</t>
  </si>
  <si>
    <t>OFAC Captives</t>
  </si>
  <si>
    <t>UA/UW/Client Team via email</t>
  </si>
  <si>
    <t>Excel : 45%
PDF : 30%
Email : 25%</t>
  </si>
  <si>
    <t>OFAC Programs</t>
  </si>
  <si>
    <t>OFAC Captives Indexing</t>
  </si>
  <si>
    <t>Uploading the document received in the email at the submission level given in the email</t>
  </si>
  <si>
    <t>Email : 100%</t>
  </si>
  <si>
    <t>New Business (Wrapup)</t>
  </si>
  <si>
    <t>Rating and Issuance of new WC policies of sub-contractors</t>
  </si>
  <si>
    <t>Feb, Apr &amp; Aug</t>
  </si>
  <si>
    <t>Delay in processing could lead to missing the bureau date which in turn may have a financial impact due to the fine that needs to be paid for missing the bureau date</t>
  </si>
  <si>
    <t xml:space="preserve">Rating of New Business  transactions in the application. Inputs provided </t>
  </si>
  <si>
    <t>46% FTE Reduction</t>
  </si>
  <si>
    <t>Wrap-up Triage Team (client location)</t>
  </si>
  <si>
    <t>Renewals (Wrapup)</t>
  </si>
  <si>
    <t>Renewing policies by performing rating and Issuance of WC policies of sub-contractors</t>
  </si>
  <si>
    <t xml:space="preserve">Rating of Renewal transactions in the application. Inputs provided </t>
  </si>
  <si>
    <t>Endorsement (Wrapup)</t>
  </si>
  <si>
    <t>Making changes to an existing WC Policy of a sub-contractor</t>
  </si>
  <si>
    <t>Non Renewal (Wrapup)</t>
  </si>
  <si>
    <t>Sub-contractor WC polcies that do not need to be renewed as per the broker must go through the non-renwal process in the system</t>
  </si>
  <si>
    <t>Cancellations (Wrapup)</t>
  </si>
  <si>
    <t>Cancelling a WC Policy as requested by the broker/insured</t>
  </si>
  <si>
    <t>Loss run retrieval</t>
  </si>
  <si>
    <t>Loss Runs External</t>
  </si>
  <si>
    <t>Team generate loss runs report for requested policy and sends to the requester</t>
  </si>
  <si>
    <t>Auto, GL, Property, WC</t>
  </si>
  <si>
    <t>Jan &amp; Aug</t>
  </si>
  <si>
    <t>Broker dis-sat which may lead to the policy getting cancelled</t>
  </si>
  <si>
    <t>Read instructions, identify the type of report, generate the report and send the email to the requestor and upload the report, distribution email to the document library as per business rules</t>
  </si>
  <si>
    <t>2 FTEs</t>
  </si>
  <si>
    <t>Loss Runs Assess Team</t>
  </si>
  <si>
    <t>Loss Runs Internal</t>
  </si>
  <si>
    <t>Team generate loss runs report and upload to efile. If requested then sends to the requester</t>
  </si>
  <si>
    <t>Delay in UA/UW processing the policy leading to end customer dis-sat</t>
  </si>
  <si>
    <t>Read instructions, identify the type of report, generate the report and upload the report to the document library as per business rules</t>
  </si>
  <si>
    <t>UA/UW, Renewal task created Automatically</t>
  </si>
  <si>
    <t>Loss Runs External Programs</t>
  </si>
  <si>
    <t>Loss Runs Internal Programs</t>
  </si>
  <si>
    <t xml:space="preserve">Manual Policy Issuance </t>
  </si>
  <si>
    <t>Teams works on creating the policy document by using forms,instructions and binder etc.</t>
  </si>
  <si>
    <t>Mar &amp; Aug</t>
  </si>
  <si>
    <t>Broker/Producer</t>
  </si>
  <si>
    <t>Cancellation</t>
  </si>
  <si>
    <t>Direct Market</t>
  </si>
  <si>
    <t>5 calender days</t>
  </si>
  <si>
    <t xml:space="preserve">Agent </t>
  </si>
  <si>
    <t>Transfer</t>
  </si>
  <si>
    <t>Data Entry</t>
  </si>
  <si>
    <t>20th of every month</t>
  </si>
  <si>
    <t>EXL manages Rating for Domestic Casualty Auto Rating for ZNA. Team processes rating task for Auto policies.</t>
  </si>
  <si>
    <t>Auto, Domestic Casualty</t>
  </si>
  <si>
    <t>PDFs, Excel</t>
  </si>
  <si>
    <t>Excel - 50% and PDF - 50%</t>
  </si>
  <si>
    <t>Affinity &amp; Travel</t>
  </si>
  <si>
    <t xml:space="preserve">Accident and Health certificates to create as per master document for Accident and Travel policies  and issue the policy to Underwriter </t>
  </si>
  <si>
    <t>Accident &amp; Health</t>
  </si>
  <si>
    <t>Word</t>
  </si>
  <si>
    <t>Word - 100%</t>
  </si>
  <si>
    <t>SharePoint
Outlook</t>
  </si>
  <si>
    <t>Functions</t>
  </si>
  <si>
    <t>Risk Assessment and Rating</t>
  </si>
  <si>
    <t>Pricing and Negotiation</t>
  </si>
  <si>
    <t>Sales</t>
  </si>
  <si>
    <t>Complete referral to Providers</t>
  </si>
  <si>
    <t>Assess Conditional / Non Renewal Notice</t>
  </si>
  <si>
    <t>Prep Pricing</t>
  </si>
  <si>
    <t>Confirming Declaration of Policy details</t>
  </si>
  <si>
    <t>Phone Surveys</t>
  </si>
  <si>
    <t>Quotes</t>
  </si>
  <si>
    <t>MTA Processing and Issuance</t>
  </si>
  <si>
    <t>Agency Bill Operations</t>
  </si>
  <si>
    <t>Assess DMV Report</t>
  </si>
  <si>
    <t>Debit/ credit application</t>
  </si>
  <si>
    <t>Book of Profits</t>
  </si>
  <si>
    <t>Express Surveys</t>
  </si>
  <si>
    <t>E-Discovery Document Review</t>
  </si>
  <si>
    <t>Abstraction &amp; Summarization</t>
  </si>
  <si>
    <t>New Business Processing and Issuance</t>
  </si>
  <si>
    <t>Renewal Processing and Issuance</t>
  </si>
  <si>
    <t>Policy verification</t>
  </si>
  <si>
    <t>Collections</t>
  </si>
  <si>
    <t>Applying fees and charges for any unusual expenses</t>
  </si>
  <si>
    <t>Redactions &amp; Privilege Review</t>
  </si>
  <si>
    <t>Legal Research</t>
  </si>
  <si>
    <t>Supplier Monitoring</t>
  </si>
  <si>
    <t>Cross Sell</t>
  </si>
  <si>
    <t>Complaint Management</t>
  </si>
  <si>
    <t>Mileage Calculation</t>
  </si>
  <si>
    <t>Debt Management</t>
  </si>
  <si>
    <t>Update pricing template</t>
  </si>
  <si>
    <t>Consultative Risk Assessments</t>
  </si>
  <si>
    <t>Redactions &amp; Subpoena Review</t>
  </si>
  <si>
    <t>Compliance Services</t>
  </si>
  <si>
    <t>Contractors' &amp; Service Providers' Performance (SLAs)</t>
  </si>
  <si>
    <t>MTA Processing</t>
  </si>
  <si>
    <t>Cancellations/ Reinstatements</t>
  </si>
  <si>
    <t xml:space="preserve">Determining nature/severity of claim </t>
  </si>
  <si>
    <t>Stat Coding</t>
  </si>
  <si>
    <t>Validate Lien/ 3rd Party holder info</t>
  </si>
  <si>
    <t>Direct Bill</t>
  </si>
  <si>
    <t>Error Correction</t>
  </si>
  <si>
    <t>Fraud Management</t>
  </si>
  <si>
    <t>Summarization &amp; Chronology of Documents</t>
  </si>
  <si>
    <t>External Counsel Management</t>
  </si>
  <si>
    <t>Renewal Prep and Processing</t>
  </si>
  <si>
    <t>Query resolution</t>
  </si>
  <si>
    <t>Litigation Management</t>
  </si>
  <si>
    <t>Actuarial Support</t>
  </si>
  <si>
    <t>Legal Admin Support</t>
  </si>
  <si>
    <t>Contract Compliance</t>
  </si>
  <si>
    <t>Requesting MVRs</t>
  </si>
  <si>
    <t>Adjuster License Management</t>
  </si>
  <si>
    <t>Marketing Analytics</t>
  </si>
  <si>
    <t>Printing, Scanning and Mailroom operations</t>
  </si>
  <si>
    <t>Mail Audits</t>
  </si>
  <si>
    <t>Litigation Support</t>
  </si>
  <si>
    <t>Fraud detection</t>
  </si>
  <si>
    <t>Field Quality Management</t>
  </si>
  <si>
    <t>Manual coding of policies</t>
  </si>
  <si>
    <t>Estimated Audits</t>
  </si>
  <si>
    <t>Premium Collections</t>
  </si>
  <si>
    <t>Scheduling for field investigation</t>
  </si>
  <si>
    <t>Fraud Handling</t>
  </si>
  <si>
    <t>Outreach</t>
  </si>
  <si>
    <t>Service Requests - Police Reports</t>
  </si>
  <si>
    <t>Analyze Exposure</t>
  </si>
  <si>
    <t>Quality Review and Premium billing</t>
  </si>
  <si>
    <t>Query Resolution</t>
  </si>
  <si>
    <t>Full Service Mailroom &amp; Scanning</t>
  </si>
  <si>
    <t>Medical Bill Coding</t>
  </si>
  <si>
    <t>Communicate Claim Disposition</t>
  </si>
  <si>
    <t>PA&amp;L License Appointment Request</t>
  </si>
  <si>
    <t>Review Loss History</t>
  </si>
  <si>
    <t>Upsell</t>
  </si>
  <si>
    <t>Witness statements</t>
  </si>
  <si>
    <t>Service Request - OFAC / OFAC Clearance</t>
  </si>
  <si>
    <t>Assess and summarize financials</t>
  </si>
  <si>
    <t>Non-discretionary price modifications</t>
  </si>
  <si>
    <t>Premium Administration</t>
  </si>
  <si>
    <t>Provider Help Lines</t>
  </si>
  <si>
    <t>Prepare underwriter (UW) risk evaluation sheet</t>
  </si>
  <si>
    <t>Loss Reserve</t>
  </si>
  <si>
    <t>Send packets for final submission</t>
  </si>
  <si>
    <t>Surety</t>
  </si>
  <si>
    <t>Equipment Valuation</t>
  </si>
  <si>
    <t>Bordereaux Management</t>
  </si>
  <si>
    <t>Process Premium Refund</t>
  </si>
  <si>
    <t>Transfers</t>
  </si>
  <si>
    <t>SOV standardization</t>
  </si>
  <si>
    <t>Filing Services</t>
  </si>
  <si>
    <t>Legal Case creation</t>
  </si>
  <si>
    <t>State Reporting Corrections</t>
  </si>
  <si>
    <t>Unpaid items and written premiums</t>
  </si>
  <si>
    <t>Assign expense codes</t>
  </si>
  <si>
    <t>Contract Management</t>
  </si>
  <si>
    <t>Rate - Per Expiring</t>
  </si>
  <si>
    <t>Property estimates</t>
  </si>
  <si>
    <t>Experience Mods</t>
  </si>
  <si>
    <t>Loss History Summary</t>
  </si>
  <si>
    <t>Service Requests - Survey records</t>
  </si>
  <si>
    <t>Request Missing Information from Broker</t>
  </si>
  <si>
    <t>Project Based</t>
  </si>
  <si>
    <t>Input/ Output Formats</t>
  </si>
  <si>
    <t>Standardization of Tools</t>
  </si>
  <si>
    <t>Acord</t>
  </si>
  <si>
    <t>Editable PDFs</t>
  </si>
  <si>
    <t>PPT</t>
  </si>
  <si>
    <t xml:space="preserve">Faeekah Cornelius/Robyn Wilson </t>
  </si>
  <si>
    <t>DPU and DPO</t>
  </si>
  <si>
    <t>General Instructions</t>
  </si>
  <si>
    <t>1)</t>
  </si>
  <si>
    <t>2)</t>
  </si>
  <si>
    <t>3)</t>
  </si>
  <si>
    <t>4)</t>
  </si>
  <si>
    <t>5)</t>
  </si>
  <si>
    <t>Please include details for processes we performed in the past but are no longer active/ ramped down. There is a provision to call out their status appropriately in the sheet</t>
  </si>
  <si>
    <t>6)</t>
  </si>
  <si>
    <t>Please add rows as required depending on the number of processes. The template currently has provision to include details for 100 processes</t>
  </si>
  <si>
    <t>7)</t>
  </si>
  <si>
    <t>When updating LOB details, please use the abbreviations provided below and be consistent. Also, if you use additional abbreviations please share them on email when sending the updated file</t>
  </si>
  <si>
    <t xml:space="preserve">8) </t>
  </si>
  <si>
    <t>Field Description and Input Instructions</t>
  </si>
  <si>
    <t>#</t>
  </si>
  <si>
    <t>Field Names</t>
  </si>
  <si>
    <t>Field Type</t>
  </si>
  <si>
    <t>Description</t>
  </si>
  <si>
    <t>GENERAL OVERVIEW</t>
  </si>
  <si>
    <t>Drop Down</t>
  </si>
  <si>
    <t>Please select your client name from the drop down menu</t>
  </si>
  <si>
    <t>This is a formula driven cell. Once you selct the clinet name, the drop down menu will only provide the corresponding 'Client Description' to select. Please choose and move forward</t>
  </si>
  <si>
    <t>Free Text</t>
  </si>
  <si>
    <t>Please state the Process Manager name</t>
  </si>
  <si>
    <t>Relationship Tenure</t>
  </si>
  <si>
    <t xml:space="preserve">Please state the number of years (upto 2 decimal places) your process has been active with EXL. </t>
  </si>
  <si>
    <t>Please select the appropriate status from drop down menu</t>
  </si>
  <si>
    <t>Please select the appropriate function from the drop down menu</t>
  </si>
  <si>
    <t>This is a formula driven cell. Once you selct the Function (L1), the drop down menu will only provide corresponding options. Please select the most appropriate option and move forward</t>
  </si>
  <si>
    <t>This is a formula driven cell. Once you selct the Function (L2), the drop down menu will only provide corresponding options. Please select the most appropriate option and move forward</t>
  </si>
  <si>
    <t xml:space="preserve">Please state the task name using comon industry key words such as FNOL, Endorsements, Vendor Payments etc. that best describes the task </t>
  </si>
  <si>
    <t>Please provide a description of the work performed. Use bullet points to detail the process, with not more than 10 bullet points</t>
  </si>
  <si>
    <t>Please selct the appropriate business line/s supported from the drop down menu</t>
  </si>
  <si>
    <t>Please select the appropriate option from the drop down menu. Keep in mind the below while selecting: 
1) Single LOB/ Product : Please state the specific LOB. Example - Auto/ Prpoerty/ WC etc.
2) More than 1 LOB/ Product : Please use 'Multi/ Combination"</t>
  </si>
  <si>
    <t>Please follow the below format:
1) Single LOB/ Product : Please state the specific LOB. Example - Auto/ Prpoerty/ WC etc.
2) More than 1 LOB/ Product : Please state each LOB using a comma as seperator. Example - Auto, Package, IM, BOP, UMB, WC, GL</t>
  </si>
  <si>
    <t>Please selct the appropriate market segment from the drop down menu</t>
  </si>
  <si>
    <t>Please selct the appropriate work type from the drop down menu</t>
  </si>
  <si>
    <t>Please selct the appropriate complexity from the drop down menu. L1 is least complex and L5 is most complex</t>
  </si>
  <si>
    <t>Pre-Process Training Duration</t>
  </si>
  <si>
    <t>Please state the number of weeks required for pre-process trainings. Please include time spent on any customized modules as well. Please use the below format while updating:
1) If training uses complete weeks then state the exact number of weeks. Example - 2
2) If training spills over to a portion of the following week state a range. Example - 3 to 4</t>
  </si>
  <si>
    <t>Process Training Duration</t>
  </si>
  <si>
    <t>Please state the number of weeks required for onboarding a new resource to the process, should include nesting/ hands on practice duration. Please use the below format while updating:
1) If training uses complete weeks then state the exact number of weeks. Example - 2
2) If training spills over to a portion of the following week state a range. Example - 3 to 4</t>
  </si>
  <si>
    <t>Ramp Duration</t>
  </si>
  <si>
    <t>Please state the number of weeks required for live production to achieve steady state. Please use the below format while updating:
1) If ramp uses complete weeks then state the exact number of weeks. Example - 2
2) If ramp spills over to a portion of the following week state a range. Example - 3 to 4</t>
  </si>
  <si>
    <t>STAFFING &amp; PRICING</t>
  </si>
  <si>
    <t>Please selct the appropriate pricing model from the drop down menu</t>
  </si>
  <si>
    <t>Please provide details of the annual rate</t>
  </si>
  <si>
    <t>Please state the billable FTE count (upto 2 decimal places)</t>
  </si>
  <si>
    <t>Please state the combined count of SME+QA+Trainer supporting the process. Do not include buffer staff.  (upto 2 decimal places)</t>
  </si>
  <si>
    <t>Please state the supervisor FTE count supporting the process (upto 2 decimal places)</t>
  </si>
  <si>
    <t>Roster HC</t>
  </si>
  <si>
    <t>Please state the buffer staff count supporting the process (upto 2 decimal places)</t>
  </si>
  <si>
    <t>PERFORMANCE MANAGEMENT</t>
  </si>
  <si>
    <t>Work Allocation</t>
  </si>
  <si>
    <t>Please select the appropriate work allocation method from the drop down menu</t>
  </si>
  <si>
    <t>Please state the combined average monthly volume across all LOBs serviced in the process</t>
  </si>
  <si>
    <t>Please state a breakdown of average monthly volume by LOB. If this data is not tracked/ available please enter "NA"</t>
  </si>
  <si>
    <t>Please state details of peak volume months; use the format - MMM, Volume. Example - Jan, Feb, 6300
If there are no peak months please enter "NA"</t>
  </si>
  <si>
    <t>Process AHT</t>
  </si>
  <si>
    <t>Please state the process AHT as agreed with yur client (in mins and upto 2 deciaml places)</t>
  </si>
  <si>
    <t>Please state the timeliness SLA as agreed with your client</t>
  </si>
  <si>
    <t>Please state the quality SLA as agreed with your client</t>
  </si>
  <si>
    <t>Please select the appropriate methodology from the drop down menu</t>
  </si>
  <si>
    <t>Provide the details of any additional metrics captured in the process</t>
  </si>
  <si>
    <t>VALUE ADDED SERVICES</t>
  </si>
  <si>
    <t>Please state top 3 pain points that exist today in the process. If there areny any, please state "NA"</t>
  </si>
  <si>
    <t>Please provide details of any customer/ business metrics impacted. If there aren't any please state "NA"</t>
  </si>
  <si>
    <t>Please select the appropriate type of digital solution implemented in the process from the drop down menu</t>
  </si>
  <si>
    <t>Please provide the details of the implemented solution</t>
  </si>
  <si>
    <t>Please provide details of the benefits yeilded from the digital solution</t>
  </si>
  <si>
    <t>Please select the appropriate type of digital solution planned to be implemented in the process from the drop down menu</t>
  </si>
  <si>
    <t>Please provide details of the benefits expected from the digital solution</t>
  </si>
  <si>
    <t>Please provide details of any digital solutions implemented by the client. If there arent any, please state "NA"</t>
  </si>
  <si>
    <t>ADDITIONAL DETAILS</t>
  </si>
  <si>
    <t>Please provide details of teams that provide inputs for the process</t>
  </si>
  <si>
    <t>Please select the appropriate input format from the drop down menu</t>
  </si>
  <si>
    <t>Please select the appropriate option from the drop down menu</t>
  </si>
  <si>
    <t>Please provide a breakdown of volume% split by each input type. Example - Emails : 70%, SharePoint : 30%</t>
  </si>
  <si>
    <t>Please select the appropriate output format from the drop down menu</t>
  </si>
  <si>
    <t xml:space="preserve">Please provide details of teams/roles that use the output from the process </t>
  </si>
  <si>
    <t>Provide the names of clients applications/admin systems used to perform the activities in this process</t>
  </si>
  <si>
    <t>5 months</t>
  </si>
  <si>
    <t>5 Weeks</t>
  </si>
  <si>
    <t>10 Weeks</t>
  </si>
  <si>
    <t>Manual</t>
  </si>
  <si>
    <t>To be finalized</t>
  </si>
  <si>
    <t>L4 - £22803
L5 - £25059
L6 - £27994
L7 - £30043</t>
  </si>
  <si>
    <t>Assistant Accountant - £28019.6
Broker Rec Manager - £41475.1</t>
  </si>
  <si>
    <t>KSG Claims System Access Request</t>
  </si>
  <si>
    <t>Submitting system access request for new hires and/or existing employees.</t>
  </si>
  <si>
    <t>Multiple applications access, login Id and password created/deleted/reset for existing employees</t>
  </si>
  <si>
    <t xml:space="preserve">Checks voided </t>
  </si>
  <si>
    <t xml:space="preserve">Documents and recordings uploaded to transcription </t>
  </si>
  <si>
    <t xml:space="preserve">Transcriptibed documents and recording uploaded </t>
  </si>
  <si>
    <t xml:space="preserve">Letters and Checks reissued </t>
  </si>
  <si>
    <t xml:space="preserve">claims assigned to Abitration adjusters </t>
  </si>
  <si>
    <t>Claim Center, Arb Forum</t>
  </si>
  <si>
    <t xml:space="preserve">damaged vehicles assigned to the Salvage department </t>
  </si>
  <si>
    <t xml:space="preserve">Claim Center, CSA Today </t>
  </si>
  <si>
    <t xml:space="preserve">exposures assigned to adjusters for further handling </t>
  </si>
  <si>
    <t xml:space="preserve">Claim Center, D360,MS Office </t>
  </si>
  <si>
    <t xml:space="preserve">documents routed to the correct claim </t>
  </si>
  <si>
    <t>Claim Center,D360</t>
  </si>
  <si>
    <t xml:space="preserve">claim assigned to alternate adjuster </t>
  </si>
  <si>
    <t xml:space="preserve">claim updates </t>
  </si>
  <si>
    <t xml:space="preserve">Access to claim related documents and multimedia </t>
  </si>
  <si>
    <t xml:space="preserve">uploaded for managers veiw </t>
  </si>
  <si>
    <t>May - Oct</t>
  </si>
  <si>
    <t>Submission, Policy Support, Bill Payment, Booking, Premium Accounting</t>
  </si>
  <si>
    <t>WC, Auto, Property, GL, Specialty</t>
  </si>
  <si>
    <t>30</t>
  </si>
  <si>
    <t>CCIS, Efile, Senator, CCIS</t>
  </si>
  <si>
    <t>15</t>
  </si>
  <si>
    <t>Claim Handlers, Adjusters</t>
  </si>
  <si>
    <t>Hardy, Multinational, CSC</t>
  </si>
  <si>
    <t>Allocation, Booking, Submission, Renewal, Filing</t>
  </si>
  <si>
    <t>Marine, Aviation, FS,, PS</t>
  </si>
  <si>
    <t>45</t>
  </si>
  <si>
    <t>5 Day</t>
  </si>
  <si>
    <t>Jitbit, Senator Efile, Sharefile</t>
  </si>
  <si>
    <t>FNOL, Payment</t>
  </si>
  <si>
    <t>Claims Set Up and Payments</t>
  </si>
  <si>
    <t>Claim Center, Talispoint, Conduent, Filenet, Enlyte</t>
  </si>
  <si>
    <t>Claim Center, Talispoint, Enlyte Portal, ODG by MCG</t>
  </si>
  <si>
    <t>Claim Center, Talispoint, Enlyte Portal, ODG by MCG, MD Guidelines</t>
  </si>
  <si>
    <t>Claim center, Enlyte Portal</t>
  </si>
  <si>
    <t>90% Property
10% Energy &amp; Construction</t>
  </si>
  <si>
    <t>50% Liability
30% Finlines
20% Accident and Health</t>
  </si>
  <si>
    <t>100% IPZ</t>
  </si>
  <si>
    <t>Oct to Mar</t>
  </si>
  <si>
    <t xml:space="preserve">Small Business Customers &amp; Individual Policyholders:
Personal Billing\CSC Billing: General Enquiries:  Inbound calls from small business customers and individual customers regarding general inquiries. The aim is to resolve all customer needs, including the associated Service Elements, Sub-Processes, and Work Threads  
 </t>
  </si>
  <si>
    <t xml:space="preserve">Providing updates on existing claims, addressing questions on existing claims i.e Adjuster details, rental initiation &amp; claims status
Callers could be 1st , 2nd or 3rd party involved. </t>
  </si>
  <si>
    <t>Jan,Feb,March</t>
  </si>
  <si>
    <t xml:space="preserve">Small Business Customers :
Commercial lines billing\Agency Billing: General Enquiries: Inbound calls from small business customers and individual customers regarding general billing inquiries. The aim is to resolve all customer needs, including the associated Service Elements, Sub-Processes, and Work Threads.
 </t>
  </si>
  <si>
    <t>Commercial, Agency Billing</t>
  </si>
  <si>
    <t>3.65</t>
  </si>
  <si>
    <t>14.10</t>
  </si>
  <si>
    <t>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t>
  </si>
  <si>
    <t>19.20</t>
  </si>
  <si>
    <t>Outlook, Guidewire, EDM, Copart, Mitchell, Genesys, CCC Portal</t>
  </si>
  <si>
    <t>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t>
  </si>
  <si>
    <t>15.42</t>
  </si>
  <si>
    <t>Outlook, Guidewire, EDM, Copart, Mitchell, CCC Portal</t>
  </si>
  <si>
    <t>7.95</t>
  </si>
  <si>
    <t>Guidewire, Outlook, Mitchell Work Center, CCC Portal</t>
  </si>
  <si>
    <t>Swapnil Dubey</t>
  </si>
  <si>
    <t>8.53</t>
  </si>
  <si>
    <t>5.57</t>
  </si>
  <si>
    <t xml:space="preserve">Final negotiated payment is made to the provider as a settlement amount for claims </t>
  </si>
  <si>
    <t>Team update medical bill information relating to provider/ Claim match issues or other errors as per the state guidelines and other processing requirements</t>
  </si>
  <si>
    <t>30% Non Std
70% Standard</t>
  </si>
  <si>
    <t>E&amp;M: $2.56
Prolong Codes: $0.81</t>
  </si>
  <si>
    <t xml:space="preserve">• Invoices scanned through Conduent and sent through Electronic Image Manager
• Enservio (Excel based inventory)
</t>
  </si>
  <si>
    <t>95% - 5 Days
98.5% - 7 Days</t>
  </si>
  <si>
    <t>94% - Payment Accuracy
91% - Process Accuracy</t>
  </si>
  <si>
    <t>NQ Auto Endorsements</t>
  </si>
  <si>
    <t>Oct'25</t>
  </si>
  <si>
    <t>NQ Duplicate Policy</t>
  </si>
  <si>
    <t>NQ Cancellations</t>
  </si>
  <si>
    <t>Jan'25</t>
  </si>
  <si>
    <t>Jul'25</t>
  </si>
  <si>
    <t>Nov'25</t>
  </si>
  <si>
    <t>NQ Auto Renewals</t>
  </si>
  <si>
    <t>Aug'25</t>
  </si>
  <si>
    <t>NQ HOME Changes</t>
  </si>
  <si>
    <t>System Renewal</t>
  </si>
  <si>
    <t>PLIC EDM Mailbox</t>
  </si>
  <si>
    <t>New Business / NewCo Apps /NewCo NB Task</t>
  </si>
  <si>
    <t>Mar'25</t>
  </si>
  <si>
    <t>Apr'25</t>
  </si>
  <si>
    <t>May'25</t>
  </si>
  <si>
    <t>State Filing</t>
  </si>
  <si>
    <t>Feb'25</t>
  </si>
  <si>
    <t>13 Min</t>
  </si>
  <si>
    <t>3 Min</t>
  </si>
  <si>
    <t>Claimant, Customer and Attorney</t>
  </si>
  <si>
    <t>System activity</t>
  </si>
  <si>
    <t>Form send to customer/claimant</t>
  </si>
  <si>
    <t>Phoenix, ECM, CCP, GCN, Inkling</t>
  </si>
  <si>
    <t>Litigation Dept</t>
  </si>
  <si>
    <t>System activity, PDF Documents</t>
  </si>
  <si>
    <t>Index claim into the system</t>
  </si>
  <si>
    <t>Phoenix, ECM, NY Org Sheet, Lexis Nexis</t>
  </si>
  <si>
    <t>Claims Specialist</t>
  </si>
  <si>
    <t>Index into the system and send email</t>
  </si>
  <si>
    <t>Phoenix, ECM, VIA, CCP, GCN, CICC, ISO, CSLN matches, Ontellus, ABI</t>
  </si>
  <si>
    <t>Adjuster </t>
  </si>
  <si>
    <t>Claim number </t>
  </si>
  <si>
    <t>Documents </t>
  </si>
  <si>
    <t>Phoenix, EDM, Ondemand and Share drive</t>
  </si>
  <si>
    <t>system actvity, claims documents, forms</t>
  </si>
  <si>
    <t>sharing of documents to applicable parties to help move the claim along, timely filings to the state, customers, and injured workers</t>
  </si>
  <si>
    <t xml:space="preserve">Customer, State, Claims Specialist </t>
  </si>
  <si>
    <t>ExPRS, CVO, Mitchell, RCS, Various state websites, SharePoint. IWE</t>
  </si>
  <si>
    <t>system activity or email request</t>
  </si>
  <si>
    <t>assignment to correct claims specialist</t>
  </si>
  <si>
    <t xml:space="preserve">ExPRS, Claim assignment tool, OneNote, ExPRS, RCS, CVO </t>
  </si>
  <si>
    <t>Case Onwer</t>
  </si>
  <si>
    <t>system activity received in Caliber and VIA</t>
  </si>
  <si>
    <t xml:space="preserve">Correct coding </t>
  </si>
  <si>
    <t>Case Owner</t>
  </si>
  <si>
    <t>Phoenix, Caliber, ExPRS, VIA, Passport</t>
  </si>
  <si>
    <t>system actvity, claims documents</t>
  </si>
  <si>
    <t>timely processing of WC documents, forms, letters to help move the claim along timely</t>
  </si>
  <si>
    <t xml:space="preserve">State, Claims Specialist </t>
  </si>
  <si>
    <t>ExPRS, OnBoard, SharePoint, OneNote</t>
  </si>
  <si>
    <t>State Reporting
Payment &amp; Forms</t>
  </si>
  <si>
    <t>Case Owner </t>
  </si>
  <si>
    <t>FROI Request </t>
  </si>
  <si>
    <t>Submit to State</t>
  </si>
  <si>
    <t>Phoenix, Mitchell, NCCI, NAICS Site, USPS, BoComp, Helcat, Outlook, MO FEIN list, ME UI</t>
  </si>
  <si>
    <t>Error Rejction - refiling</t>
  </si>
  <si>
    <t>filings, inquiries, emails, re-filings</t>
  </si>
  <si>
    <t>determine if filing is appropriate</t>
  </si>
  <si>
    <t>ExPRS, BoComp</t>
  </si>
  <si>
    <t>3 to 5</t>
  </si>
  <si>
    <t>Request/Details of the Payments</t>
  </si>
  <si>
    <t>Check issued to the Claimant or Provider</t>
  </si>
  <si>
    <t>Claimant &amp;  Provider</t>
  </si>
  <si>
    <t>Phoenix, Exprs, Passport session, Bocomp</t>
  </si>
  <si>
    <t>Claims Specialist &amp; Vendor</t>
  </si>
  <si>
    <t>Check issued to the Vendors or Provider</t>
  </si>
  <si>
    <t>Vendor &amp;  Provider</t>
  </si>
  <si>
    <t>Phoenix,CVO, E-Session &amp; C-Session, Aces, Bocomp, Ariba, Passport, VIS, CICC, VIA and ExPRS</t>
  </si>
  <si>
    <t>February to April</t>
  </si>
  <si>
    <t>Vendors, Claims Adjuster</t>
  </si>
  <si>
    <t>Returned check</t>
  </si>
  <si>
    <t>apply the refund to the correct claim</t>
  </si>
  <si>
    <t>ExPRS, JPM, BoComp</t>
  </si>
  <si>
    <t>Request/Details of the Vendor to setup and EFT to be added for IW</t>
  </si>
  <si>
    <t>Vendor added/EFT setp</t>
  </si>
  <si>
    <t>*Phoenix, ACCESS and  TDU, ExPRS -BOCOMP, GOOGLE, OUTLOOK, EDM, VIA, Contact manager</t>
  </si>
  <si>
    <t>Adjuster/Vendor</t>
  </si>
  <si>
    <t>Receive  confirmation and request emails from vendors/Adjusters</t>
  </si>
  <si>
    <t>assign requests to respective vendors, add JE and complete the request in Phoenix.</t>
  </si>
  <si>
    <t>Phoenix,Exprs,SIU Singular form,CICC, VIA, ABI, Spatial Map, ICM</t>
  </si>
  <si>
    <t>Support Function Gruoup</t>
  </si>
  <si>
    <t>System activity, PDF Documents, Excel Files, SPR, Mailbox</t>
  </si>
  <si>
    <t>Upload or deliver the document</t>
  </si>
  <si>
    <t>Claimant, Customer and Adjustors</t>
  </si>
  <si>
    <t>Phoenix, Lexis Nexis, ECM, VIA, GCN, CICC, CMS, CVO, Bulk tool</t>
  </si>
  <si>
    <t>October to March</t>
  </si>
  <si>
    <t>Request received in Phoenix for claim set up</t>
  </si>
  <si>
    <t>Claims first processing/set up in system</t>
  </si>
  <si>
    <t>Phoenix - To pick claims 
Via - Claim processing system
Lexis Nexis - To search Carrier Discovery report
Inkling - Processing instructions guide</t>
  </si>
  <si>
    <t>New Scope</t>
  </si>
  <si>
    <t>November to January</t>
  </si>
  <si>
    <t> Network Providers</t>
  </si>
  <si>
    <t> Custom and Batch request</t>
  </si>
  <si>
    <t>Posters</t>
  </si>
  <si>
    <t>Phoenix 
Talispoint
iCase 
SharePoint 
Shared Mailboxes
Risktrac</t>
  </si>
  <si>
    <t>Shared Economy PAP (VO)</t>
  </si>
  <si>
    <t>23.30</t>
  </si>
  <si>
    <t xml:space="preserve">Phoenix - To pick claims 
Via - Claim processing system
Triton - To make an outbound call
Inkling - Processing instructions guide
Phone Form - To gather details such as claim#, our adjuster details and update PAP info  </t>
  </si>
  <si>
    <t>Claim Review - Customer Facing</t>
  </si>
  <si>
    <t>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t>
  </si>
  <si>
    <t>Client Services, Claims Specialist</t>
  </si>
  <si>
    <t>Outlook calendar, spreadsheets, Risktrac claims synopsis reports</t>
  </si>
  <si>
    <t>conversations on a set of claims between the customer, client services and claims</t>
  </si>
  <si>
    <t xml:space="preserve">Customers, Client Services, Claims Specialists </t>
  </si>
  <si>
    <t>Risktrac. ExPRS, BoComp, Adboe, Workbench, Outlook</t>
  </si>
  <si>
    <t>Attestation</t>
  </si>
  <si>
    <t xml:space="preserve"> This process evaluates and verifies financial information to provide assurance on its accuracy and reliability.</t>
  </si>
  <si>
    <t>3</t>
  </si>
  <si>
    <t>RMP internal reporting</t>
  </si>
  <si>
    <t>documentation in RMP to select random audits</t>
  </si>
  <si>
    <t>review of tasks to meet key control requirements</t>
  </si>
  <si>
    <t>Users who completed the task that was reviewed</t>
  </si>
  <si>
    <t>Outlook, RMP, Adobe, ExPRS, BoComp, IWE, CVO, RCS</t>
  </si>
  <si>
    <t>eReview</t>
  </si>
  <si>
    <t>OA_Admin</t>
  </si>
  <si>
    <t>AWW
Issue Payments
 Forms Fillings</t>
  </si>
  <si>
    <t>AWW: Calculate Average Weekly Wages through Injured Worker’s wage statement before indemnity payments are issued.
Issue Payments: Once the AWW is calculated, the indemnity payment issued to the Injured Worker
Additionally, includes Issuance of some medical and expense payments like - awards, order, 
settlement, interest, penalty etc.
Forms Fillings: Paper and electronic filing for FROI and SROI forms; Errors and rejections from automated 
form filing; Claimant communication and State filings.</t>
  </si>
  <si>
    <t xml:space="preserve">Mar, April &amp; July </t>
  </si>
  <si>
    <t>Efficiency 100%</t>
  </si>
  <si>
    <t>State Penalties(If applicable)</t>
  </si>
  <si>
    <t>Incorrect Payment</t>
  </si>
  <si>
    <t>State Penalty</t>
  </si>
  <si>
    <t>Claimant, Claim specialist /Adjuster/Owner</t>
  </si>
  <si>
    <t>Claim details
Activity
Claim Number
Claimant
Date of Injury
Injury Details
Customer
Case Owner
Start Date
Due Date
Review comments from Claim Specialist</t>
  </si>
  <si>
    <t>90% Structured</t>
  </si>
  <si>
    <t>Text comments in application</t>
  </si>
  <si>
    <t>Claimant
Claim specialist /Adjuster/Owner</t>
  </si>
  <si>
    <t>Phoenix
EXPRS
BOCOMP
Calabrio
Wage calculator
Inkling
State Websites</t>
  </si>
  <si>
    <t xml:space="preserve"> Pre-bind, Post - bind Insurance, Re-Insurance, Endorsement, Premium bookings </t>
  </si>
  <si>
    <t xml:space="preserve">Exl will process the process Slip for New business and Renewals along with and mid term adjustements (endorsement) ,requests received from client (Convex). Also handles with queries received from Credit Control team and assits in Premium booking </t>
  </si>
  <si>
    <t xml:space="preserve">$184,652.1 - Including all bands </t>
  </si>
  <si>
    <t xml:space="preserve">Bureau and Non-Bureau Claim coding </t>
  </si>
  <si>
    <t xml:space="preserve">53715.10 - Including all bands </t>
  </si>
  <si>
    <t>ESL - 99%</t>
  </si>
  <si>
    <t>Timelines - 99%</t>
  </si>
  <si>
    <t>Property and Casualty, Marine, Aviation and Aerospace, Credit and Political Risk, Property D&amp;F Reinsurance, Kidnap and Ransom, War Breach and Yacht</t>
  </si>
  <si>
    <t>(FTE) : GBP 23473,(SME) : GBP 28295       (Supervisor) : GBP 37579</t>
  </si>
  <si>
    <t xml:space="preserve">Endorsement -1500
Slip Entry - 900
Agg Data - 170
AlloQ - 20
Messaging - 500
Premium Management - 500
BDX - 18
Pre Bind - 550
</t>
  </si>
  <si>
    <t>July, January</t>
  </si>
  <si>
    <t>ESL - 98.43% (Pine Walk )
98.42% (Fidelis)</t>
  </si>
  <si>
    <t>Timelines - 91% (Pine Walk) &amp; 85% &amp; (Fidelis)</t>
  </si>
  <si>
    <t xml:space="preserve">Accuracy Of Quality Review - 98.43% </t>
  </si>
  <si>
    <t xml:space="preserve">
Nervehub ( SWM and BI Dashboard) implementation is in progress and expected to be completed in next 3 to 4 months</t>
  </si>
  <si>
    <t xml:space="preserve">Xtrakto.ai data gathering and demo sessions are in progress for the Slip processing activity and is expected to be completed by end of October for Fidelis area
Xtrakto.ai POC implementation is succefully completed in the PineWalk side for the Slip processing team. Results from the pilot are awaited by end of August  for full fledge implementation </t>
  </si>
  <si>
    <t>Prequel, Risk write, Falcon, Agg Data Power Hub, Alloq (Query Management Tool), Navium Sharepoint, IMR and CASA</t>
  </si>
  <si>
    <t>CSAT - Still in baselining period</t>
  </si>
  <si>
    <t>Attrition - due to 24/7 working hours</t>
  </si>
  <si>
    <t>Revenue impacted due to being understaffed</t>
  </si>
  <si>
    <t>Exelia / Smart Agent Assist</t>
  </si>
  <si>
    <t>AHT improvement / quicker speed to proficiency</t>
  </si>
  <si>
    <t>Zenerate system to aid during process training. Yet to be deployed</t>
  </si>
  <si>
    <t>Answers incoming billing, payment telephone calls from agents, policyholders and other parties according to procedure</t>
  </si>
  <si>
    <t>2 - 3 min</t>
  </si>
  <si>
    <t>Guidewire Billing</t>
  </si>
  <si>
    <t>8 - 10 min</t>
  </si>
  <si>
    <t>Tronweb Billing</t>
  </si>
  <si>
    <t>V12 Billing</t>
  </si>
  <si>
    <t>Country</t>
  </si>
  <si>
    <t>Latam</t>
  </si>
  <si>
    <t>Europe</t>
  </si>
  <si>
    <t>Delivery Location Country</t>
  </si>
  <si>
    <t>India</t>
  </si>
  <si>
    <t>South Africa</t>
  </si>
  <si>
    <t>Philippines</t>
  </si>
  <si>
    <t>Colombia</t>
  </si>
  <si>
    <t>Row Labels</t>
  </si>
  <si>
    <t>Grand Total</t>
  </si>
  <si>
    <t>Column Labels</t>
  </si>
  <si>
    <t>Sum of Total Staff</t>
  </si>
  <si>
    <t>Jayant Verma</t>
  </si>
  <si>
    <t xml:space="preserve">Reviews claims and requests additional information such as medicals, eligibility or employee demographics
Initial determination are being completed on or before 5th business day and  will follow through until 10th business day of the claim if insufficient information is received.
Recertifies simple surgery claims beyond the last approved through date </t>
  </si>
  <si>
    <t>STD, LTD</t>
  </si>
  <si>
    <t>Obtain medical information from providers either though an outreach, fax request, mail request or medical systems
Reviews request directives from claim owners and requests information from health care providers
Reviews medical records and determines if adequate records have been received</t>
  </si>
  <si>
    <t xml:space="preserve">Inbound calls from Insured, Claimants, Auto Body Shop, Rental Companies, Medical Facility  (Doctors Office, Hospitals, Pharmacies), Attorney, Injured Employees.
EXL Representative checks if bill has been received
EXL Rep provides status of bill in processing, adjuster information and check number. 
EXL Rep advises provider how the bill was paid, and reviews notes if there was an update from the handler
If provider disputes payment, EXL Rep sends bill for review or suggests a written appeal
Caller was informed  that he/ she will be transferred to  the claim adjuster or to the appropriate department that will be giving resolution to their concern
</t>
  </si>
  <si>
    <t>This Customer Service group, working in a call center environment, is responsible for responding to Providers medical billing, and payment status inquiries and sending of list of Providers, hospitals or specialty providers to the callers via email</t>
  </si>
  <si>
    <t xml:space="preserve">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t>
  </si>
  <si>
    <t xml:space="preserve">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t>
  </si>
  <si>
    <t xml:space="preserve">Nurse responds to member &amp; employer queries via email.
EXL nurse will relay member requests to claim managers.
Sending out paperwork for the members to fill out.
</t>
  </si>
  <si>
    <t>Disability</t>
  </si>
  <si>
    <t>Responds to member, employe, provider and other third-party caller queries.
Informing the caller of the claim status
The Agent will relay member requests to claim managers.
Sending out paperwork for the members or providers to fill out.
Filing of absences, updating the employee’s demographics, documenting new claim information, providing payment details,  transferring to dedicated departments, IVR or Claim Owners
Assisting in online portal registration</t>
  </si>
  <si>
    <t>STD, LTD, Absence Management. FMLA</t>
  </si>
  <si>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</si>
  <si>
    <t xml:space="preserve">Assists in initiation of disability and/or leave claims via telephonic intake. CCNs utilize their clinical knowledge to begin the claim evaluation process as well as provide insight into the claimant's clinical status and their ability to perform job duties.
</t>
  </si>
  <si>
    <t>STD</t>
  </si>
  <si>
    <t>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t>
  </si>
  <si>
    <t>The process involves review of medical records to determine the appropriateness of the treatment rendered or to be rendered to the insured</t>
  </si>
  <si>
    <t xml:space="preserve">Associates are to prepare fax with list of tasks provided by the Case Manager to be sent to the Clinical / Medical Provider. After sending the fax, the support team will contact Clinical / Medical Providers office to ensure receipt of fax. </t>
  </si>
  <si>
    <t xml:space="preserve">Drug Review is the determination of medical necessity and appropriateness of Drug treatment using clinical based guidelines. </t>
  </si>
  <si>
    <t>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t>
  </si>
  <si>
    <t>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t>
  </si>
  <si>
    <t>History and Takeover (H&amp;T) describes the process in which past FMLA/LOA absences from prior carrier/customers are added to client’s systems. These absences are loaded to allow client’s system’s to appropriately calculate available leave balances for future requests.</t>
  </si>
  <si>
    <t xml:space="preserve">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t>
  </si>
  <si>
    <t>Personal and commercial &amp; WC</t>
  </si>
  <si>
    <t xml:space="preserve">Leave Management (LM) is the process in which a Group Benefits (GB) Analysts manages leave of absence benefits for an employer (client’s customer/client/insured). The main benefit is called the FMLA (Family Medical Leave Act). The analysts also manages State and Employer Sponsored benefits. </t>
  </si>
  <si>
    <t xml:space="preserve"> Absence Management. FMLA</t>
  </si>
  <si>
    <t>Pasay, PHP</t>
  </si>
  <si>
    <t>22.64 per hour</t>
  </si>
  <si>
    <t xml:space="preserve">Saurabh Sharma </t>
  </si>
  <si>
    <t xml:space="preserve">9 months </t>
  </si>
  <si>
    <t>Collision Recovery Specialist - Issuing Demand/Deductible</t>
  </si>
  <si>
    <t>In this activity we issue demans to recover our insured vehicle repaired cost from adverse carrier and also issue deductible for both insured and third parties</t>
  </si>
  <si>
    <t>$26,838</t>
  </si>
  <si>
    <t xml:space="preserve">1 business day </t>
  </si>
  <si>
    <t>Compliance% - 98.50%, Handling% -  95%</t>
  </si>
  <si>
    <t xml:space="preserve">Manual Data retrieval  and reporting </t>
  </si>
  <si>
    <t xml:space="preserve">Claims center , KA pages, E-Subro hub, Agero, Copart, CCS,CCC, Collect One </t>
  </si>
  <si>
    <t>First Party Medical - Issuing Demand</t>
  </si>
  <si>
    <t>In FPM, we issue demands to the adverse carriers for all the medical expenses we have incurred while treating our insured's injuries. We attached proofs and medical expenses and send the demands through mail, email or fax. We also send letters to attorneys and  law firms  if required</t>
  </si>
  <si>
    <t>Property Damage Specialist - Issuing Check</t>
  </si>
  <si>
    <t>In this activity, we issue checks to the other parties for property damages via checks only after confirming all the details of the payee are correct and matches with the activity</t>
  </si>
  <si>
    <t>Vendor - Manual List Review &amp; Issuing Deductible</t>
  </si>
  <si>
    <t xml:space="preserve">In vendor, we check if we have recovered enough money which is higher than the insured's deductible. If we have recovered more than the insured's deductible amount, we go ahead and issue the deductible of the insured after making sure the insured is yet to recieve the deductible </t>
  </si>
  <si>
    <t>Upload Litigations Documents</t>
  </si>
  <si>
    <t>Receive an email in outlook from adjuster wherein we have to  check the subject line with claim number and upload the documents on claim center and then activity assign to the adjuster.</t>
  </si>
  <si>
    <t>$30600</t>
  </si>
  <si>
    <t>Claims center , KA pages, Outlook and CMS</t>
  </si>
  <si>
    <t>Medicare Welcome Packet</t>
  </si>
  <si>
    <t>Receive an activity in claim center with letter number - (99801/101188) in which, we have to generate the letter to attorney or Injured party via mail or email.</t>
  </si>
  <si>
    <t>Initiating Medicare case reporting</t>
  </si>
  <si>
    <t>We find the beneficiary on government portal i.e CMS WEBSITE in which we put the details of beneficiary such as: DOB, LAST NAME, DOL, SSN number and add the Diagnosis Code (ICD CODE) and create Case ID. After that we assign the activity to the adjuster.</t>
  </si>
  <si>
    <t>MAP/PDP</t>
  </si>
  <si>
    <t>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t>
  </si>
  <si>
    <t>Release Follow-Up</t>
  </si>
  <si>
    <t>In this activity, we share the email with the claimant to complete the signing process per the instructions on the document</t>
  </si>
  <si>
    <t>NY Checks</t>
  </si>
  <si>
    <t>Docs are provided in the claim, according to which we issue the checks to provider and attorney.</t>
  </si>
  <si>
    <t>Expert Issue Payment</t>
  </si>
  <si>
    <t>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t>
  </si>
  <si>
    <t>FPM Packages</t>
  </si>
  <si>
    <t>In this activity, letter is created via using related template, in which injured party's Medpay limit is mentioned. Thereafter it is send via Esign/Mail/Email.</t>
  </si>
  <si>
    <t>)</t>
  </si>
  <si>
    <t>NILC</t>
  </si>
  <si>
    <t>In this activity, we update the profiles of the adjusters by adding Personal Standard Auto/English</t>
  </si>
  <si>
    <t xml:space="preserve">60-90 seconds/profile update </t>
  </si>
  <si>
    <t>1 hour</t>
  </si>
  <si>
    <t>Captiva Claims Indexing – Physical Paper/Faxes</t>
  </si>
  <si>
    <t>When a document is received in captiva application we check for alignment, then review the document and upload to the releavant policy and claims as necessary. In case of invalid documents exception is mentioned on the cases as invalid documents and assignment is closed</t>
  </si>
  <si>
    <t>ES&amp;S</t>
  </si>
  <si>
    <t>$25476</t>
  </si>
  <si>
    <t>Handling% - 95%</t>
  </si>
  <si>
    <t>Guidewire
WP Macro
ODEI
Inbox
Omniview
Compex
LSI</t>
  </si>
  <si>
    <t>Medical Records (Compex, LSI, MCS)</t>
  </si>
  <si>
    <t xml:space="preserve"> In this activity we review all 3 inboxes for medical records and upload documents to the relevant claim, review and remove all blank pages and align docs in right direction and then ingested to the appropriate claim file in OmniView Claims workflow.</t>
  </si>
  <si>
    <t>ODEI ingestion of claims correspondence (Claims Inboxes) - Reports/Legal/Property</t>
  </si>
  <si>
    <t>Emails are ingested into Omniview by selecting an Outlook "button" called ODEI that will send to Omniview for ingestion into the claim file correspondence after verifying notes &amp; Instructions on the email</t>
  </si>
  <si>
    <t>3 hours</t>
  </si>
  <si>
    <t>Restitution Letters</t>
  </si>
  <si>
    <t>In Claim center,when activity is received we check for restitution instructions, loss description.Create restitution letter using template and then format it with stationery requirement. Then send the letter and ingest in Omniview</t>
  </si>
  <si>
    <t xml:space="preserve">3 days </t>
  </si>
  <si>
    <t>ESS Claims File Copy Requests (Copy Center)</t>
  </si>
  <si>
    <t>Open letter and check for Police report and Indeminity amount, Then create letter as per police report and indeminity with address mentioned.Send the leter and ingest in Omniview</t>
  </si>
  <si>
    <t>ESS Claims Word Processing Letters (Claims Handling Letters)</t>
  </si>
  <si>
    <t>Create letters as per the instructions and required templates. Send the letter via email and cc claim processors.Same to be uploaded on releavent claims through Omniview</t>
  </si>
  <si>
    <t>Medical Records &amp; Bills</t>
  </si>
  <si>
    <t>We have to obtain the authorization from Claim Center, in COMPEX click on - Order and then Start new order and update the required fields (DOL, SSN/DOB, Claim#) and update the Providers address and upload the Auth form in Compex. We will receive the report on NW Outlook</t>
  </si>
  <si>
    <t>ESS​​</t>
  </si>
  <si>
    <t>$33084</t>
  </si>
  <si>
    <t>Outlook, Claims centre, KA Pages, Carfax, Compex, Core Logic, Ethos, CAB, Accurint, Mitchell, ISO claims, Jury verdict, Metropolitian,ISG</t>
  </si>
  <si>
    <t>Mitchell Referral &amp; Report</t>
  </si>
  <si>
    <t>We have to obtain the medical records/bills from Claim Center/Omniview, Login to Mitchell.
Update the required fields (Claim#, DOL). On the next page upload the medical records and bills &amp; select the package asked by the adjuster.</t>
  </si>
  <si>
    <t>ESS &amp; CL​​</t>
  </si>
  <si>
    <t>Fire Report/Police Report</t>
  </si>
  <si>
    <t>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t>
  </si>
  <si>
    <t>Weather report</t>
  </si>
  <si>
    <t>After receiving the activity in Claim Center. Login to Core logic. Select Wind/Hail and update the required fields (DOL, Claim#, Loss loc). Select submit and add to cart then place the order for weather report.</t>
  </si>
  <si>
    <t>Accurint/ISO/Jury Verdict  Research</t>
  </si>
  <si>
    <t>In this activity We search for Carrier,VIN,Vehicle Registration &amp; Handling procedures,Ower search and other details through accurint application and raise the request for the required information as a report which is received through NW outlook
In ISOreaserch  we search for all prior losses associated with VIN and persons mentioned on the request.Same is optained as a PDF and the documet is uploaded to claim
 center
In Jury Verdict Rteaserch  we search for jury verdict information with the injuries and other accident related information.</t>
  </si>
  <si>
    <t>ISG /Ethos (Surveillance/social media/Medical Canvass)</t>
  </si>
  <si>
    <t>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t>
  </si>
  <si>
    <t>Onboarding /System Access Requests</t>
  </si>
  <si>
    <t xml:space="preserve">This is the process where we are creating request for access for NW new joiners and also the existing employees any request for application , New laptop issue &amp; any other system access requests
 </t>
  </si>
  <si>
    <t>Carfax</t>
  </si>
  <si>
    <t>This activity is processed through Claim Center. Login to CARFAX.  We Update the required fields (Claim#, VIN, DOL).  And look for details related to Vehicles involved in the accident .We can order Vehicle history report, Vehicle title report and total loss report.</t>
  </si>
  <si>
    <t>Central Analysis Bureau</t>
  </si>
  <si>
    <t>This activity is processed through Claim Center. Login to CAB. Select carrier central. Update the company name, driver name, party involved (Loss state) and click on search</t>
  </si>
  <si>
    <t>Distribute Claim Development Reports (CDRs)</t>
  </si>
  <si>
    <t xml:space="preserve">1.  This is a report prepared when reserves reach a specified threshold, or a claim meets specific criteria. Criteria varies based on the line of business
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t>
  </si>
  <si>
    <t>ACS-Repair Monitoring</t>
  </si>
  <si>
    <t xml:space="preserve">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t>
  </si>
  <si>
    <t>$26442</t>
  </si>
  <si>
    <t>Claims centre, KA pages, Xact Analysis, Xactimate, Seek now, Mica, CRS, My ALE, Outlook</t>
  </si>
  <si>
    <t>ACS-ALE Processing</t>
  </si>
  <si>
    <t xml:space="preserve">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t>
  </si>
  <si>
    <t xml:space="preserve">5 days </t>
  </si>
  <si>
    <t xml:space="preserve">Quality </t>
  </si>
  <si>
    <t xml:space="preserve">Multiple </t>
  </si>
  <si>
    <t xml:space="preserve">ACS-Match Receipts </t>
  </si>
  <si>
    <t xml:space="preserve">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t>
  </si>
  <si>
    <t>1 day</t>
  </si>
  <si>
    <t>ACS-Match Receipts</t>
  </si>
  <si>
    <t>ACS-Match Receipts - Building structure</t>
  </si>
  <si>
    <t>ACS-REM</t>
  </si>
  <si>
    <t>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t>
  </si>
  <si>
    <t>4 hours</t>
  </si>
  <si>
    <t xml:space="preserve">2 months </t>
  </si>
  <si>
    <t>Dispatch</t>
  </si>
  <si>
    <t>Dispatching suits and arbs to the associates received in shared mailbox</t>
  </si>
  <si>
    <t>Not defined</t>
  </si>
  <si>
    <t>Same business day
(Cut off 3:30 PM EST)</t>
  </si>
  <si>
    <t xml:space="preserve">Outlook, Claims centre, KA Pages, Decision Point, MS OneNote, MS Excel, NYSCANNING Share Drive, Lex, Gateway/CLASS, CSC, AAA, NY Physician, NYS DMV Codes, NJ Forthright, MES, Exam Works, D&amp;D, ISG, Medsource, Provider Validation Sharepoint Site, Zelis delay, Zelis Payment Portal, Box, Optum, ISO </t>
  </si>
  <si>
    <t>Input</t>
  </si>
  <si>
    <t>Intake of new suits and arbitrations from process servers and opening new legal matters in Claim Center with state-specific field requirements and standards</t>
  </si>
  <si>
    <t>1412 (Input and Prep)</t>
  </si>
  <si>
    <t>Compliance% - (Input) - 98%
Handling% - (Input) -  95%</t>
  </si>
  <si>
    <t>Prep</t>
  </si>
  <si>
    <t>Reviewing suit and arbitration papers and preparing defense documents</t>
  </si>
  <si>
    <t>48 hours</t>
  </si>
  <si>
    <t>Compliance% - (Prep) - 98%
Handling% - (Prep) -  95%</t>
  </si>
  <si>
    <r>
      <rPr>
        <b/>
        <sz val="9"/>
        <color theme="5"/>
        <rFont val="Calibri"/>
        <family val="2"/>
        <scheme val="minor"/>
      </rPr>
      <t>Do not modify</t>
    </r>
    <r>
      <rPr>
        <sz val="9"/>
        <color theme="1"/>
        <rFont val="Calibri"/>
        <family val="2"/>
        <scheme val="minor"/>
      </rPr>
      <t xml:space="preserve"> the 'Data Collection' sheet in any way.</t>
    </r>
  </si>
  <si>
    <r>
      <rPr>
        <b/>
        <sz val="9"/>
        <color theme="5"/>
        <rFont val="Calibri"/>
        <family val="2"/>
        <scheme val="minor"/>
      </rPr>
      <t>Do not paste values in the dropdowns</t>
    </r>
    <r>
      <rPr>
        <sz val="9"/>
        <color theme="1"/>
        <rFont val="Calibri"/>
        <family val="2"/>
        <scheme val="minor"/>
      </rPr>
      <t xml:space="preserve">. If you are unable to find an option from the drop down menu please provide details using </t>
    </r>
    <r>
      <rPr>
        <b/>
        <sz val="9"/>
        <color theme="5"/>
        <rFont val="Calibri"/>
        <family val="2"/>
        <scheme val="minor"/>
      </rPr>
      <t xml:space="preserve">'Insert Comment' </t>
    </r>
    <r>
      <rPr>
        <sz val="9"/>
        <color theme="1"/>
        <rFont val="Calibri"/>
        <family val="2"/>
        <scheme val="minor"/>
      </rPr>
      <t>function</t>
    </r>
  </si>
  <si>
    <r>
      <rPr>
        <b/>
        <sz val="9"/>
        <color theme="5"/>
        <rFont val="Calibri"/>
        <family val="2"/>
        <scheme val="minor"/>
      </rPr>
      <t>Do not merge cells</t>
    </r>
    <r>
      <rPr>
        <sz val="9"/>
        <color theme="1"/>
        <rFont val="Calibri"/>
        <family val="2"/>
        <scheme val="minor"/>
      </rPr>
      <t xml:space="preserve">.  In the event a data point applies to more than 1 process, please enter on separate row items and/ or add details using the </t>
    </r>
    <r>
      <rPr>
        <b/>
        <sz val="9"/>
        <color theme="5"/>
        <rFont val="Calibri"/>
        <family val="2"/>
        <scheme val="minor"/>
      </rPr>
      <t>'Insert Comment'</t>
    </r>
    <r>
      <rPr>
        <sz val="9"/>
        <color theme="1"/>
        <rFont val="Calibri"/>
        <family val="2"/>
        <scheme val="minor"/>
      </rPr>
      <t xml:space="preserve"> function</t>
    </r>
  </si>
  <si>
    <r>
      <t>In the event additional details need to be shared and you do not see a provision for it, please add using</t>
    </r>
    <r>
      <rPr>
        <b/>
        <sz val="9"/>
        <color theme="5"/>
        <rFont val="Calibri"/>
        <family val="2"/>
        <scheme val="minor"/>
      </rPr>
      <t xml:space="preserve"> 'Insert Comment' </t>
    </r>
    <r>
      <rPr>
        <sz val="9"/>
        <color theme="1"/>
        <rFont val="Calibri"/>
        <family val="2"/>
        <scheme val="minor"/>
      </rPr>
      <t>and highlight the cell</t>
    </r>
  </si>
  <si>
    <r>
      <t xml:space="preserve">For cells that may need multiple data point please only use a </t>
    </r>
    <r>
      <rPr>
        <b/>
        <sz val="9"/>
        <color theme="5"/>
        <rFont val="Calibri"/>
        <family val="2"/>
        <scheme val="minor"/>
      </rPr>
      <t>'comma'</t>
    </r>
    <r>
      <rPr>
        <sz val="9"/>
        <color theme="1"/>
        <rFont val="Calibri"/>
        <family val="2"/>
        <scheme val="minor"/>
      </rPr>
      <t xml:space="preserve"> as a seperator</t>
    </r>
  </si>
  <si>
    <r>
      <t xml:space="preserve">Please select the location from the drop down menu. If a location needs to be added, please insert a comment providing details, and we will add. </t>
    </r>
    <r>
      <rPr>
        <b/>
        <sz val="9"/>
        <color theme="1"/>
        <rFont val="Calibri"/>
        <family val="2"/>
        <scheme val="minor"/>
      </rPr>
      <t>Do Not</t>
    </r>
    <r>
      <rPr>
        <sz val="9"/>
        <color theme="1"/>
        <rFont val="Calibri"/>
        <family val="2"/>
        <scheme val="minor"/>
      </rPr>
      <t xml:space="preserve"> modify the sheet.</t>
    </r>
  </si>
  <si>
    <t>Missing Data</t>
  </si>
  <si>
    <t>Nationwide (Colombia)</t>
  </si>
  <si>
    <t>Hollard (Philippines)</t>
  </si>
  <si>
    <t>AMIG (Philippines)</t>
  </si>
  <si>
    <t>AA Insurance (India)</t>
  </si>
  <si>
    <t>AHT/Compliancxe</t>
  </si>
  <si>
    <t>1.A demonstration of the AI Coach solution and an accompanying discussion on Point Automation are in the process of being scheduled with the new leadership team at Suncorp
.</t>
  </si>
  <si>
    <t xml:space="preserve">1- AI Coach (OPS Sponsored) - AI Solution that will provide coaching nudges and gamified performance management and PKTs)
2 - Assess potential automation opportunities across all solutions and processes running within Citrix, regardless of platform or application.. 
</t>
  </si>
  <si>
    <t>ASYNC GOS/Live chat ASA/HD Required</t>
  </si>
  <si>
    <t>1.A demonstration of the AI Coach solution and an accompanying discussion on Point Automation are in the process of being scheduled with the new leadership team at Suncorp
2- Presented Chat AI - With the current leadership re-ogranization will be pushed to Reset.</t>
  </si>
  <si>
    <t xml:space="preserve">1- Deploy AI Coach (OPS Sponsored)
Assess opportunity to Automate inside Suncorp
2- Chat AI (Smart Chat AI) Tool </t>
  </si>
  <si>
    <t>1- TBD 
2- 6.6 (Original Calculation)</t>
  </si>
  <si>
    <t>Canada</t>
  </si>
  <si>
    <t>US</t>
  </si>
  <si>
    <t>London Market</t>
  </si>
  <si>
    <t>Specimen Forms</t>
  </si>
  <si>
    <t xml:space="preserve">Budling of Forms </t>
  </si>
  <si>
    <t>Payment Dues Reminder</t>
  </si>
  <si>
    <t>Sending reminder when payments are due</t>
  </si>
  <si>
    <t>8 Hours</t>
  </si>
  <si>
    <t>3 Days - Draft and Final Issuance (Environmental,WholeSale, Energy, Access, Property, IM
2 Days - Draft Issuance (WC CA &amp; WC Expansion)
12 Hrs - Final Issuance (Wholesale, Energy and Property)
3 Hrs - Final Issuance ( WC CA &amp; WC Expansion)</t>
  </si>
  <si>
    <t>Analysts - $41955.36/ annum  Supervisor - $47994.6/ annum</t>
  </si>
  <si>
    <t>Allstate Business Insurance-Underwriting Support</t>
  </si>
  <si>
    <t>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Within UW Support, the team also provides administrative assitance through work allocation (identifying the correct request type and routing to the correct department. This 1 FTE work is the only active Commercial Lines process</t>
  </si>
  <si>
    <t>No Quality parameter in SLA's</t>
  </si>
  <si>
    <t>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t>
  </si>
  <si>
    <t>Complaint Ratio - Less than 0.50%</t>
  </si>
  <si>
    <t>Allstate roadside assistance service leverages Out of network providers when In Network Providers are unavailable. The process is manual, whereby agent requires to find providers in the region at suitable price points real time with an anxious customer requiring assistance on line.</t>
  </si>
  <si>
    <t>Customers/Service Providers</t>
  </si>
  <si>
    <t>BAM, OMNI, AWS, AVAYA,Verint</t>
  </si>
  <si>
    <t>Dec / Jan</t>
  </si>
  <si>
    <t>AMC Prod, BAM, EDMS2, OMNI,AVAYA,Verint</t>
  </si>
  <si>
    <t>CEMT - The team confirms service (vehicle) delivery for complex Secondary tow and simple tow for client partners. The team validates the service delivery basis the photos uploaded by the service provider for drop off and pick up location.</t>
  </si>
  <si>
    <t>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t>
  </si>
  <si>
    <t>Complaint Ratio</t>
  </si>
  <si>
    <t>DJ claims set up</t>
  </si>
  <si>
    <t>UMB and property</t>
  </si>
  <si>
    <t>Management Liability PNP - 1200
management Liability Public - 100
Financial Institution -180</t>
  </si>
  <si>
    <t>April and June</t>
  </si>
  <si>
    <t>Rate - Financial Institutions-73
Rate - Mgmt. Liability PNP-77
Rate - Mgmt. Liability public-77
Issuance - Financial Institutions-64
Issuance - Mgmt. Liability Public-52</t>
  </si>
  <si>
    <t>Manual Work Allocation,
No Power BI dashboard</t>
  </si>
  <si>
    <t>Windows app
UWD
Efile
EPD Tool
I-track
Workbench
Ultra
Policy Center
sfaa bond</t>
  </si>
  <si>
    <t>"PACE(All Product) - 131.2
Non PACE (1 Product) - 104
Non PACE (2 Product) - 185
Non PACE (3 Product) - 278
Non PACE (4 Product) - 359
NTL - 410
OCP/RRP - 80</t>
  </si>
  <si>
    <t xml:space="preserve">Z-Spire
E-File
Outlook
Workbench
Underwriting Desktop
VIN Validation Tool
USPS
Prometrics
</t>
  </si>
  <si>
    <t xml:space="preserve">Z-Spire
E-File
Outlook
Underwriting Desktop
USPS
Cesar
Lotus Notes
</t>
  </si>
  <si>
    <t>Shared Services</t>
  </si>
  <si>
    <t>PDF-40%, Excel file - 30%, word -30%</t>
  </si>
  <si>
    <t>Ultra
Lotus Notes
E-file
Underwriting Desktop
Underwriting Management
Outlook
MS Teams</t>
  </si>
  <si>
    <t>Multiple request in a single task</t>
  </si>
  <si>
    <t>PDF-40%, Email Correspondance-35%, Excel - 25%</t>
  </si>
  <si>
    <t>Windows
E-file
Underwriting Desktop
Outlook
MS Teams
Z-spire</t>
  </si>
  <si>
    <t>Property and Excess casuality</t>
  </si>
  <si>
    <t xml:space="preserve">Windows
E-file
Underwriting Desktop
Outlook
MS Teams
Zorba
Underwriting Management </t>
  </si>
  <si>
    <t>Windows
Ultra
Lotus Notes
E-file
Workbench
Outlook
MS Teams</t>
  </si>
  <si>
    <t xml:space="preserve">WC-450
</t>
  </si>
  <si>
    <t>WC-96</t>
  </si>
  <si>
    <t>Windows
Ultra
Lotus Notes
E-file
Workbench
Outlook
MS Teams
PC guidwire</t>
  </si>
  <si>
    <t>Auto, GL - 46
WC -47</t>
  </si>
  <si>
    <t>Windows
UWD
Z-spire
Zapper
Efile
EPD Tool
VIN
I-track</t>
  </si>
  <si>
    <t xml:space="preserve">Windows
Z-spire
Ultra
Efile
Promatrix
SAM Web
Underwriting Management </t>
  </si>
  <si>
    <t>Worker compesation Audit</t>
  </si>
  <si>
    <t>To process endorsement as per audit sheet</t>
  </si>
  <si>
    <t>Excel Sheet</t>
  </si>
  <si>
    <t>Underwriters/ Underwriting Associates</t>
  </si>
  <si>
    <t>Windows
Z-spire
Z-laps
Efile
Policy center
MS teams</t>
  </si>
  <si>
    <t>Windows
Efile
UWD
Sanctions Screener Tool</t>
  </si>
  <si>
    <t>Windows
Efile
UWD</t>
  </si>
  <si>
    <t>Z-spire
NCCI website
D&amp;B
Workbench
Efile</t>
  </si>
  <si>
    <t>Windows
UWD
Underwriting Management
Workbench
Efile
RI 2.0
BOE</t>
  </si>
  <si>
    <t>Windows
UWD
Underwriting Management
Workbench
Efile
iTrac
Shared drive folder</t>
  </si>
  <si>
    <t>SCS &amp; FICS</t>
  </si>
  <si>
    <t xml:space="preserve">E-File
Outlook
Underwriting Desktop
Zspire
Convr
</t>
  </si>
  <si>
    <t>Denver Vieira, Nontobeko Mfeka</t>
  </si>
  <si>
    <t>Voice and Webchat</t>
  </si>
  <si>
    <t>Calls: 20000
Chats: 35000</t>
  </si>
  <si>
    <t>Calls: 540 to 570 sec
Chats: 900 to 950 sec</t>
  </si>
  <si>
    <t>Quality - following all regulatory / compliance scripts 
Net Lock Down Delivery - 100% delivery can be challenging with spikes in absences, etc.</t>
  </si>
  <si>
    <t>CSAT (Target 70%)</t>
  </si>
  <si>
    <t>The claims FNOL team receives calls from customers reporting property damages including auto and submit it in claim form.</t>
  </si>
  <si>
    <t xml:space="preserve">Mainframe: 100%
</t>
  </si>
  <si>
    <t>Insured, Agencies, Brokers, Public Adjusters, Attorney, Claimant, Contractor, Lienholder, Relative</t>
  </si>
  <si>
    <t>Outlook
Claim Form
Adobe Pro Access
AMIG Shared Drive
MS EXCEL
MS Teams
MS Word
8x8</t>
  </si>
  <si>
    <t>Customer Service Chat</t>
  </si>
  <si>
    <t>Customer service chat assists insurance agencies with billing and document requests through chat support.</t>
  </si>
  <si>
    <t>May-Oct</t>
  </si>
  <si>
    <t xml:space="preserve">Mainframe: 70%
Email: 30%
</t>
  </si>
  <si>
    <t>Modern Link
AMSuite
Outlook
8x8
Adobe Pro Access
Guidewire Claims Center 
AMIG Shared Drive
MS EXCEL
MS Teams
MS Word
Training Digital Library
Agency Matrix Tool</t>
  </si>
  <si>
    <t>Delivery Location
(City)</t>
  </si>
  <si>
    <t>Delivery Location
(Country)</t>
  </si>
  <si>
    <t>Cebu, PHP</t>
  </si>
  <si>
    <t>George, South Africa</t>
  </si>
  <si>
    <t>Autopopulated Field</t>
  </si>
  <si>
    <t xml:space="preserve">Personal lines - Billing </t>
  </si>
  <si>
    <t>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t>
  </si>
  <si>
    <t>Homeowners</t>
  </si>
  <si>
    <t>December</t>
  </si>
  <si>
    <t>Commercial Auto, Business Owners Policy, Commercial Package, Workers Compensation, Professional Liability, Commercial Umbrella</t>
  </si>
  <si>
    <t xml:space="preserve">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t>
  </si>
  <si>
    <t>64% Workers Comp</t>
  </si>
  <si>
    <t>MedOps Payment Correction- Auto</t>
  </si>
  <si>
    <t>25% Commercial Auto</t>
  </si>
  <si>
    <t>MedOps Payment Correction- Property</t>
  </si>
  <si>
    <t>11% Commercial Property</t>
  </si>
  <si>
    <t xml:space="preserve">  Error Correction_Personal Auto</t>
  </si>
  <si>
    <t>33% Personal Auto</t>
  </si>
  <si>
    <t>Guidewire, CCPS, EDM, Outlook, RAD</t>
  </si>
  <si>
    <t xml:space="preserve">  Error Correction_Personal Property</t>
  </si>
  <si>
    <t>10% Personal Property</t>
  </si>
  <si>
    <t xml:space="preserve">  Error Correction_Commercial Auto</t>
  </si>
  <si>
    <t>33% commercial Auto</t>
  </si>
  <si>
    <t xml:space="preserve">  Error Correction_Commercial Property</t>
  </si>
  <si>
    <t>10% Commercial Property</t>
  </si>
  <si>
    <t xml:space="preserve">  Error Correction_General Liability</t>
  </si>
  <si>
    <t>2% General Libility</t>
  </si>
  <si>
    <t xml:space="preserve">  Error Correction_WC</t>
  </si>
  <si>
    <t>13% Workers Comp</t>
  </si>
  <si>
    <t>PL Coverage Verification_Personal Auto</t>
  </si>
  <si>
    <t xml:space="preserve">Team Investigates / verifies coverage issues raised by the claim handlers for personal auto claims. Team validates the coverages for the date of loss and provides the required claim related documents to the claim handlers. </t>
  </si>
  <si>
    <t>80% Auto</t>
  </si>
  <si>
    <t>Guidewire, Client, CAFE, Billing, Phoenix, Alchemy, IDARS, CLIB, DocuSign, D uckcerrk</t>
  </si>
  <si>
    <t>PL Coverage Verification_Personal Property</t>
  </si>
  <si>
    <t xml:space="preserve">Team Investigates / verifies coverage issues raised by the claim handlers for personal Property claims. Team validates the coverages for the date of loss and provides the required claim related documents to the claim handlers. </t>
  </si>
  <si>
    <t>15% Property</t>
  </si>
  <si>
    <t>PL Coverage Verification_Home Liability (HL)</t>
  </si>
  <si>
    <t xml:space="preserve">Team Investigates / verifies coverage issues raised by the claim handlers for Home Liability claims. Team validates the coverages for the date of loss and provides the required claim related documents to the claim handlers. </t>
  </si>
  <si>
    <t>5% Home Liability</t>
  </si>
  <si>
    <t>APG Payment Processing_Personal Auto</t>
  </si>
  <si>
    <t>50% Personal Auto</t>
  </si>
  <si>
    <t>APG Payment Processing_Personal Property</t>
  </si>
  <si>
    <t>30% Personal Property</t>
  </si>
  <si>
    <t>APG Payment Processing_Commertial Auto</t>
  </si>
  <si>
    <t>14% Commertial Auto</t>
  </si>
  <si>
    <t>APG Payment Processing_Commertial Property</t>
  </si>
  <si>
    <t>4% Commertial Property</t>
  </si>
  <si>
    <t>APG Payment Processing_General Libility</t>
  </si>
  <si>
    <t>1% Genral Libility</t>
  </si>
  <si>
    <t>APG Payment Processing_Workers compensation</t>
  </si>
  <si>
    <t>1% Workers Comp</t>
  </si>
  <si>
    <t>CRO Demand Package_Peronal Auto</t>
  </si>
  <si>
    <t>70% personal Auto</t>
  </si>
  <si>
    <t>CRO Demand Package_Commercial Auto</t>
  </si>
  <si>
    <t>30% Commercial Auto</t>
  </si>
  <si>
    <t>CRO Demand Resend_Personal Auto</t>
  </si>
  <si>
    <t>CRO Demand Resend_Commercial Auto</t>
  </si>
  <si>
    <t>Auto Supplemental Assignments_Personal Auto</t>
  </si>
  <si>
    <t>Auto Supplemental Assignments_Commercial Auto</t>
  </si>
  <si>
    <t>Compliance Audits-Personal Auto</t>
  </si>
  <si>
    <t>Compliance Audits-Commercial Auto</t>
  </si>
  <si>
    <t>Compliance Audits-Personal Property</t>
  </si>
  <si>
    <t>Compliance Audits-Commercial Property</t>
  </si>
  <si>
    <t>CCT FNOL _Personal Auto</t>
  </si>
  <si>
    <t xml:space="preserve">6% - Personal Auto
</t>
  </si>
  <si>
    <t>CCT FNOL_Personal Property</t>
  </si>
  <si>
    <t xml:space="preserve">
8%- Personal Property
</t>
  </si>
  <si>
    <t>CCT FNOL_Personal Liablity</t>
  </si>
  <si>
    <t>1% - General Liability</t>
  </si>
  <si>
    <t>CCT FNOL_Commercial Auto</t>
  </si>
  <si>
    <t xml:space="preserve">29% - Commercial Auto
</t>
  </si>
  <si>
    <t>CCT FNOL_Commercial Property</t>
  </si>
  <si>
    <t xml:space="preserve">
19%- Commercial Property
</t>
  </si>
  <si>
    <t>CCT FNOL_General Liablity</t>
  </si>
  <si>
    <t>37% - General Liability</t>
  </si>
  <si>
    <t xml:space="preserve">Med Tech-Personal Auto </t>
  </si>
  <si>
    <t xml:space="preserve">Med Tech-Commercial Auto </t>
  </si>
  <si>
    <t>Claim Tech-Personal Auto</t>
  </si>
  <si>
    <t>Claim Tech-Commercial Auto</t>
  </si>
  <si>
    <t>Content Pricing- Personal Property</t>
  </si>
  <si>
    <t>~85% Personal</t>
  </si>
  <si>
    <t>Content Pricing- Commercial Property</t>
  </si>
  <si>
    <t>~15% Commercial</t>
  </si>
  <si>
    <t>APG Vendor Report Upload-Personal</t>
  </si>
  <si>
    <t>APG Vendor Report Upload-Commercial</t>
  </si>
  <si>
    <t>Indexing &amp; New Business</t>
  </si>
  <si>
    <t xml:space="preserve">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t>
  </si>
  <si>
    <t>Jan, Feb, Mar</t>
  </si>
  <si>
    <t>Any request received till 06 PM ESTon a given day is to be processed by 9 AM EST the following day (95% of the transactions to be completed within TAT)</t>
  </si>
  <si>
    <t xml:space="preserve">1 - Imaging of Backend requests in the client system
2 - Setup new business in the system basis on the request recieved from Agents/UW &amp; image the document in the client application </t>
  </si>
  <si>
    <t>na</t>
  </si>
  <si>
    <t>Citrix, CAAMS, IPS, APEX, PEGA</t>
  </si>
  <si>
    <t>UST PSS</t>
  </si>
  <si>
    <t>Providing Underwriting Support &amp; Process Support Services:-
UST process deals with backend support and assist in pulling up MVR report, Loss runs summary and providing details for Loss control details to Uws, sending out Renewal application to agencies before policy expiration
PSS process has four components Assembly, Coding, WC filing &amp; DMV:
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
DMV - Electronic transmission to state departement (Departement of Motor Vehicles) for coverage. whenever a name or vehicle is removed from vehicle and is not accepted by department, need to check discrepancies and re-send information to state department with correct information
WC filing - works as interface between rating and State Bureaus. when a new policy is issued, any change in the policy in form of endoresements, cancellation, reinstatements or policy declaration, filing team updates the same changes to the bureau electronically though their website</t>
  </si>
  <si>
    <t>1 - Automated Assembly of Policy decks
2 - sending conditional renewal notices to the client
3 - Policy non renewal in systems.
4 - Also, extracting Loss Runs from an application and sharing with UW,  agents and customers</t>
  </si>
  <si>
    <t>Quoting</t>
  </si>
  <si>
    <t>Validate prior information and enter that information in TAP Sale Creating Quotation behalf of Hanover</t>
  </si>
  <si>
    <t>Auto, Home, Motorcycle, Umbrella, Watercraft</t>
  </si>
  <si>
    <t>24 Hrs</t>
  </si>
  <si>
    <t>Agents</t>
  </si>
  <si>
    <t>PACE,SharePoint, EDGE, McOps</t>
  </si>
  <si>
    <t>Non-Quoting</t>
  </si>
  <si>
    <t>Validate prior information and enter that information in Excel spreadsheet and creating letters (Prequote &amp; Issuance)</t>
  </si>
  <si>
    <t>PACE,SharePoint, EDGE</t>
  </si>
  <si>
    <t>COE</t>
  </si>
  <si>
    <t>PMT</t>
  </si>
  <si>
    <t>EXL is assisting Hanover on multiple request type, like new business quote, policy verification, endorsement, cancellation &amp; reinstatement as per the request via inform to requestor and update the policy if needed.</t>
  </si>
  <si>
    <t>Jul, Aug, Sep</t>
  </si>
  <si>
    <t>Agent/Insured/3rd Party</t>
  </si>
  <si>
    <t>95% email &amp; 5% excel</t>
  </si>
  <si>
    <t>Insureds/Agents/3rd Party</t>
  </si>
  <si>
    <t>Vmware, Pega, Mainframe, POS, TAP Sales, Oden tool, RMV, Myriad &amp; CoreLogic</t>
  </si>
  <si>
    <t>EXL is assisting underwriting departments in verifying their risks by review the inspection &amp; losses via validation replacement cost, identify hazards &amp; underwriting concerns, and offer loss control recommendations when appropriate.</t>
  </si>
  <si>
    <t>Margin</t>
  </si>
  <si>
    <t>EXL is assisting Hanover on temporary or short-term margin work by validating the changes, inform to agent and update the policy if needed.</t>
  </si>
  <si>
    <t>CFT &amp; WC</t>
  </si>
  <si>
    <t>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t>
  </si>
  <si>
    <t>CMX, Excel, PMS</t>
  </si>
  <si>
    <t>Utilities</t>
  </si>
  <si>
    <t>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t>
  </si>
  <si>
    <t>48 Hours</t>
  </si>
  <si>
    <t>Agency Licensing</t>
  </si>
  <si>
    <t>Setting up New agency code and giving access for downloads to agencies. Validating authorities, license and all, for producers prior to appointing</t>
  </si>
  <si>
    <t>Vmware, Pega, Mainframe, Siricon, OIM Logon, AVP</t>
  </si>
  <si>
    <t>Financial Operations</t>
  </si>
  <si>
    <t>Premium checks along with agent/policy details are received and Posting payment on the policies. Approving the reimbursement based on the request from business.</t>
  </si>
  <si>
    <t>Agent/Insured/Onshore</t>
  </si>
  <si>
    <t>55% email, Portal &amp; 45% excel</t>
  </si>
  <si>
    <t>Vmware, Pega, Mainframe, POS, TAP Sales, Billing Centre</t>
  </si>
  <si>
    <t>Mark Pabon</t>
  </si>
  <si>
    <t>21 months</t>
  </si>
  <si>
    <t>Aug-Oct</t>
  </si>
  <si>
    <t>Staffing</t>
  </si>
  <si>
    <t>Service Level</t>
  </si>
  <si>
    <t>Nervehub</t>
  </si>
  <si>
    <t>AI Coach</t>
  </si>
  <si>
    <t>Improvement in Quality and CLF</t>
  </si>
  <si>
    <t>Smart Agent Assist</t>
  </si>
  <si>
    <t>Rhoda Singh</t>
  </si>
  <si>
    <t>£26,300</t>
  </si>
  <si>
    <t>Implementation of new platform B4C to replace legacy tool UIS
Implementation of Genesys to replace LP</t>
  </si>
  <si>
    <t xml:space="preserve">Home, Pet and Travel - 10,000
Motor - 30,000
Collection - 8,000
</t>
  </si>
  <si>
    <t xml:space="preserve">Home, Pet and Travel - 10,000
Motor - 15,000
Collection - 7,000
</t>
  </si>
  <si>
    <t>Now 100% of the calls are being audited by machines Vs a sample that was done by human
Implementation of Genesys to replace Salesforce</t>
  </si>
  <si>
    <t>Genesys -48%                                 Sheet-52%</t>
  </si>
  <si>
    <t>Meeta Sarkar</t>
  </si>
  <si>
    <t>£26300 £21300</t>
  </si>
  <si>
    <t>MS Office
Edge
AVAYA
Guiidewire
Audatex
Activeweb
Miaftr
HPI
Navigate
Thrifty
Ns-Genius
UIS
NIG Mainframe
360
Paragon
IVI
Copart
Nitro
DVS
Quantex
Sharepoint
CMS
Verisk</t>
  </si>
  <si>
    <t>£13,100/ £14,300</t>
  </si>
  <si>
    <t>Home VO -  £19700
Home BO - £13,400</t>
  </si>
  <si>
    <t>Invoicing VO - £19700
Invoicing BO - £13900</t>
  </si>
  <si>
    <t xml:space="preserve"> £13900</t>
  </si>
  <si>
    <t xml:space="preserve">AVD Based Applications
MS Office
Chrome
AVAYA
Verisk
Claim Centre
MIB
Quantex
CC
360
I process
</t>
  </si>
  <si>
    <t>Insurance</t>
  </si>
  <si>
    <t>Finance-60,000,Business Support- 5,000,UKIBs-69</t>
  </si>
  <si>
    <t>Finance-10,000,Business Support- 15,000,UKIBs-69</t>
  </si>
  <si>
    <t>BCTU-150, Telephony- 500</t>
  </si>
  <si>
    <t>Meeta Sarkar/ Pierre De Villiers</t>
  </si>
  <si>
    <t>27580 GBP (16 GBP per hour per FTE)</t>
  </si>
  <si>
    <t>Sales and Servicing all customers and supporting with general information's and any mid-term changes to their policy. Also support on the renewal and retentions of customers</t>
  </si>
  <si>
    <t>27250 GBP (16 GBP per hour per FTE)</t>
  </si>
  <si>
    <t>Jerome Estares</t>
  </si>
  <si>
    <t>9 months</t>
  </si>
  <si>
    <t>• Lodgments
•  Motor &amp; Home Claims Enquiry
•  Fast Track Claims Management
•  Digital Lodgments
•  Supplier Payments</t>
  </si>
  <si>
    <t>Home Lodgments - 892
Motor Claims - 8495
Home Claims - 5583</t>
  </si>
  <si>
    <t>Anurag Kumar Gupta</t>
  </si>
  <si>
    <t>Support Services</t>
  </si>
  <si>
    <t>Team is responsible to index the policies and claims for UW and Return to sender</t>
  </si>
  <si>
    <t>1 - 2 min</t>
  </si>
  <si>
    <t>Insured / agent / Underwriter</t>
  </si>
  <si>
    <t>Email/pdf/Excel file/guidewire application</t>
  </si>
  <si>
    <t>Deck Page</t>
  </si>
  <si>
    <t>Citrix, Genesys, Tronweb, Guidewire</t>
  </si>
  <si>
    <t>PL Validation</t>
  </si>
  <si>
    <t>Process auto Endorsement/Cancellation/Reinstatement and policy related adjustments, Loss Runs, Inspections and quotes.</t>
  </si>
  <si>
    <t>Auto - 100%</t>
  </si>
  <si>
    <t>3 - 4 min</t>
  </si>
  <si>
    <t>PL Auto</t>
  </si>
  <si>
    <t>Process endorsement on current and renewal term on Home policy</t>
  </si>
  <si>
    <t>5 - 6 min</t>
  </si>
  <si>
    <t>PL Property</t>
  </si>
  <si>
    <t>Team review the eligibility criteria to giving the discount on premium prior to renewal basis historical trend</t>
  </si>
  <si>
    <t>Property - 100%</t>
  </si>
  <si>
    <t>15 - 16 min</t>
  </si>
  <si>
    <t>Atif Khan</t>
  </si>
  <si>
    <t>CL Property</t>
  </si>
  <si>
    <t>Commercial lines property endorsement is an optional addition to a commercial property insurance policy that provides mid-term changes to supplemental coverages and modifications to the standard policy. We also handles inspection, loss runs and quotes.</t>
  </si>
  <si>
    <t>10 - 12 min</t>
  </si>
  <si>
    <t>CL Auto</t>
  </si>
  <si>
    <t>Commercial lines auto endorsement is an optional addition to a commercial auto insurance policy that provides mid-term changes to supplemental coverages and modifications to the standard policy</t>
  </si>
  <si>
    <t>Bookroll</t>
  </si>
  <si>
    <t>Team is handling the quote to the agent as per the dec pages of the prior carrier of the insured</t>
  </si>
  <si>
    <t>20 - 40 min</t>
  </si>
  <si>
    <t>Tronweb</t>
  </si>
  <si>
    <t>Team is handling the endorsement through tronweb application</t>
  </si>
  <si>
    <t>13 - 14 min</t>
  </si>
  <si>
    <t>V12</t>
  </si>
  <si>
    <t>Team manages Insurance Premiums, Endorsement, Cancellation, Waive Fees, Reinstatement and policy related adjustments on legacy</t>
  </si>
  <si>
    <t>9 - 10 min</t>
  </si>
  <si>
    <t>Premium Accounting</t>
  </si>
  <si>
    <t>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t>
  </si>
  <si>
    <t>7 - 8 min</t>
  </si>
  <si>
    <t>SWM, Other automation tool, etc.</t>
  </si>
  <si>
    <t>EMS/Email Management System, Time and Billing, Claims Connect, Medwise, SWM/Smart Work Management Dashboard, MS Outlook, MS Teams, Concentra Portal</t>
  </si>
  <si>
    <t>24.24 minutes</t>
  </si>
  <si>
    <t xml:space="preserve">EMS/Email Management System, Claims Connect,  SWM/Smart Work Management Dashboard, MS Outlook, MS Teams, Share Point, Serrela, </t>
  </si>
  <si>
    <t>Intake: 18.75 min
Closure NY: 5.06 min.
Closure Non - NY: 6.68 min.</t>
  </si>
  <si>
    <t>1. SWM 
2. AIM Implemented Ideas</t>
  </si>
  <si>
    <t xml:space="preserve">30% PDF &amp; 70% MS Office Document Imaging
</t>
  </si>
  <si>
    <t>Review Stat,  Claims Connect, MS Teams, AWS, Share point, MS Outook, SWM</t>
  </si>
  <si>
    <t>32.4  minutes</t>
  </si>
  <si>
    <t>100% cases from Review Stat</t>
  </si>
  <si>
    <t>100% inbound from AWS</t>
  </si>
  <si>
    <t>7.67 minutes</t>
  </si>
  <si>
    <t>AIG</t>
  </si>
  <si>
    <t>Fortune 100 Multi-Finance and Insurance</t>
  </si>
  <si>
    <t>Aashish Khanna</t>
  </si>
  <si>
    <t>We act as the application service provider</t>
  </si>
  <si>
    <t>Hosting
Development
Production Support</t>
  </si>
  <si>
    <t xml:space="preserve">Auto, Travel , Property, WC, Salvage, Deductible </t>
  </si>
  <si>
    <t>3.65 per new file
1.77 per pending file</t>
  </si>
  <si>
    <t>2800 new files
30000 pending files</t>
  </si>
  <si>
    <t>Manual workflow
No recovery platform
No invetory tracking/ reporting</t>
  </si>
  <si>
    <t>Recovery</t>
  </si>
  <si>
    <t xml:space="preserve">Exl Subrosource platform  integrated with client claim system 
Workflow driven by the platform along with inventory tracking &amp; reporting &amp; built in analytical models 
</t>
  </si>
  <si>
    <t>Speed to Recovery
Recovery uplift</t>
  </si>
  <si>
    <t>Client  Recovery unit</t>
  </si>
  <si>
    <t>Claim system - One Claim</t>
  </si>
  <si>
    <t>US Onshore</t>
  </si>
  <si>
    <t>Identification
Traige&amp; Demand Issuance
Negitiation &amp; Settlement
Vendor Management</t>
  </si>
  <si>
    <t>3 days for identification and 2 days for first contact</t>
  </si>
  <si>
    <t>Claim system - NextGen</t>
  </si>
  <si>
    <t>Amerisure</t>
  </si>
  <si>
    <t>Mid size P&amp;C insurance carrier</t>
  </si>
  <si>
    <t xml:space="preserve">Mark H II Bernacki </t>
  </si>
  <si>
    <t xml:space="preserve">
Identification
Traige&amp; Demand Issuance
Negitiation &amp; Settlement
Vendor Management</t>
  </si>
  <si>
    <t xml:space="preserve">Case received to demnad issuace - 45 days
Demand issuace to closure - 105 days </t>
  </si>
  <si>
    <t xml:space="preserve">Claim system - </t>
  </si>
  <si>
    <t>IAT Insurance Group, Inc</t>
  </si>
  <si>
    <t xml:space="preserve">
Negitiation &amp; Settlement
Arbitration
Litigation</t>
  </si>
  <si>
    <t>QBE Holding</t>
  </si>
  <si>
    <t>Large Global P&amp;C Carrier</t>
  </si>
  <si>
    <t>Identification
Traige&amp; Demand Issuance
Negitiation &amp; Settlement
Arbitration Prep
Refer to Litigation
Refer to Vendor Management</t>
  </si>
  <si>
    <t xml:space="preserve">13.5% of total recovery for WC  
8.5% of total recovery for Auto  </t>
  </si>
  <si>
    <t>WC 1100
Auto 20</t>
  </si>
  <si>
    <t>Negitiation &amp; Settlement
Arbitration
Litigation</t>
  </si>
  <si>
    <t xml:space="preserve">Exl Subrosource platform  integrated with client claim system 
Workflow driven by the platform along with inventory tracking &amp; reporting &amp; built in analytical models </t>
  </si>
  <si>
    <t>USAA</t>
  </si>
  <si>
    <t>End-to-end subrogation for non-large loss property claims</t>
  </si>
  <si>
    <t>$3,500,000</t>
  </si>
  <si>
    <t>Member Contact - 5 Days</t>
  </si>
  <si>
    <t>Claim system</t>
  </si>
  <si>
    <t>Demand Launch 
Admin Support</t>
  </si>
  <si>
    <t>Demand Generation
Various other subro support</t>
  </si>
  <si>
    <t>Depends on FTE level
$21,510.00
$24,750.00</t>
  </si>
  <si>
    <t>7.17</t>
  </si>
  <si>
    <t xml:space="preserve">24 hours to 120 hours, depending upon the task </t>
  </si>
  <si>
    <t>Absorbing existing Cognizant-built RPA</t>
  </si>
  <si>
    <t>End-to-end subrogation for auto claims</t>
  </si>
  <si>
    <t>$2,000,000</t>
  </si>
  <si>
    <t>Farmers</t>
  </si>
  <si>
    <t>Large P&amp;C Carrier</t>
  </si>
  <si>
    <t>ASP - Demand Platform</t>
  </si>
  <si>
    <t>Farmers uses Subrosource platform for end to end recoveries for Auto, Property and WC</t>
  </si>
  <si>
    <t>Auto, Property, WC</t>
  </si>
  <si>
    <t>0.464% contingency fee</t>
  </si>
  <si>
    <t>~25K claims</t>
  </si>
  <si>
    <t>Manual workflow
No response recovery platform
No inventory tracking/ reporting</t>
  </si>
  <si>
    <t>Arbitration</t>
  </si>
  <si>
    <t>EXL files Arbitration on behalf of Farmers</t>
  </si>
  <si>
    <t>$80 per ARB</t>
  </si>
  <si>
    <t>300-400 ARBs per month</t>
  </si>
  <si>
    <t>Higher than expected volume
High cost of resources</t>
  </si>
  <si>
    <t>$85 per ARB</t>
  </si>
  <si>
    <t>200-300 ARBs per month</t>
  </si>
  <si>
    <t xml:space="preserve">Property Appliance Recoveries </t>
  </si>
  <si>
    <t>Property Appliance Recoveries (end to end) through EXL vendor</t>
  </si>
  <si>
    <t xml:space="preserve">15% contingency fee </t>
  </si>
  <si>
    <t>50 claims a month</t>
  </si>
  <si>
    <t xml:space="preserve">Vendor consolidation </t>
  </si>
  <si>
    <t>Lesser vendors to work 
Single platform for all recoveries for Farmers</t>
  </si>
  <si>
    <t>Response Platform</t>
  </si>
  <si>
    <t>Farmers uses Subrosource Response platform for incoming recovery demands for Auto</t>
  </si>
  <si>
    <t>$12.5K monthly fixed fee</t>
  </si>
  <si>
    <t>Speed to Recovery
Lower cost</t>
  </si>
  <si>
    <t>Response Recoveries Support</t>
  </si>
  <si>
    <t>BO support for response recoveries</t>
  </si>
  <si>
    <t>$2567 per month per FTE</t>
  </si>
  <si>
    <t>~1000</t>
  </si>
  <si>
    <t>High cost of resources</t>
  </si>
  <si>
    <t xml:space="preserve">Tracking of approved Vendor D&amp;O’s , Vendor Performance SLA Review, Invoice Initial Review, Credits and Earn backs Review, Tracking Action Item Updates provided by Customer in the Governance Library
</t>
  </si>
  <si>
    <t>Tracking of approved Vendor D&amp;O’s  - 4-8 hours 
Vendor Performance SLA Review - 4-12 hours
Invoice Initial Review - 4-8 hours
Credits and Earn backs Review- 1-2 hours
Tracking Action Item Updates provided by Customer in the Governance Library - 6-10 hours</t>
  </si>
  <si>
    <t>Tracking of approved Vendor D&amp;O’s  - 5 days (Expected - 90%, Minimum - 90%)
Vendor Performance SLA Review - 5 days (Expected - 90%, Minimum - 90%)
Invoice Initial Review - 5 days (Expected - 90%, Minimum - 90%)
Credits and Earn backs Review- 2 days (Expected - 90%, Minimum - 90%)
Tracking Action Item Updates provided by Customer in the Governance Library - 2 days (Expected - 90%, Minimum - 90%)</t>
  </si>
  <si>
    <t>Accuracy - No human intervention
Time reduction in creating a complicated file for a vendor from ~16 hours/ month to ~12  hours/ month</t>
  </si>
  <si>
    <t>Ramesh Kumar, Sumit Aggarwal</t>
  </si>
  <si>
    <t>Staff Counsel
Panel Counsel
Claim Counsel</t>
  </si>
  <si>
    <t xml:space="preserve">Staff Counsel - Case Open, Order Records, Email Upload, Mail Processing
Panel Counsel - Legal Bill Review, Appeal
Claim Counsel - Obtain Claim File </t>
  </si>
  <si>
    <t>Auto, WC, General, Specialty</t>
  </si>
  <si>
    <t>Staff Counsel - $34,860.00
Panel Counsel - $43,380.00, $34,860.00, $49,887.00
Claim Counsel - $34,860.00</t>
  </si>
  <si>
    <t>Staff Counsel - 13,650
Panel Counsel - 4,800
Claim Counsel - 50</t>
  </si>
  <si>
    <t>September, October, November, December</t>
  </si>
  <si>
    <t>Staff Counsel - Case Open - 88, 
Order Records - 23, 
Email Upload - 4, 
Mail Processing - 11
Panel Counsel - Legal Bill Review - 19, Appeal - 15
Claim Counsel - Obtain Claim File - 180</t>
  </si>
  <si>
    <t>Staff Counsel - Case Open - 24 Hours, 95%, 
Order Records - 48 Hours, 95% 
Email Upload - 48 Hours
Mail Processing - 24 Hours
Panel Counsel - Legal Bill Review - As per Diary Date, 95%, Appeal - As per Diary Date
Claim Counsel - Obtain Claim File - As per Deadline</t>
  </si>
  <si>
    <t>Law Firms, Litigation Support Department</t>
  </si>
  <si>
    <t>Email - 60%
SharePoint - 20%
Legal Bill Review Tool - 20%</t>
  </si>
  <si>
    <t>Litigation Support Team</t>
  </si>
  <si>
    <t>CMX Guidewire, Legal Files, Legal-X, Document Navigator, SharePoint, MS Office Suite</t>
  </si>
  <si>
    <t>Legal Bill Review</t>
  </si>
  <si>
    <t>WC, General</t>
  </si>
  <si>
    <t>99%, 5 Business Days</t>
  </si>
  <si>
    <t>Email - 0%
Legal Bill Review Tool - 100%</t>
  </si>
  <si>
    <t>T360, SharePoint, MS Office Suite</t>
  </si>
  <si>
    <t>Ramesh Kumar, Amit Sharma</t>
  </si>
  <si>
    <t>Case Creation, DocGeneration, Case Closing, Discovery Shells, LegalMation, CME/PAL Letters</t>
  </si>
  <si>
    <t>Process involves opening &amp; closing cases, completing discovery shells, LegalMation (uploading complaint documents) &amp; sending letters</t>
  </si>
  <si>
    <t>Auto, GL, WC, PIP, Subro, CD, PAL</t>
  </si>
  <si>
    <t>Analysts - $22562.77  
Supervisor - $28905.78</t>
  </si>
  <si>
    <t>March/April</t>
  </si>
  <si>
    <t>Case Opening/Subro - 43
CD - 86
Letters-CME/PAL/Trial - 11
Legal Mation - 3.7
Case Closing - 7.2
Discovery Shells - 23
Initial Doc Generation - 15</t>
  </si>
  <si>
    <t>97%, 24 or 48 hours</t>
  </si>
  <si>
    <t>Legal Offices</t>
  </si>
  <si>
    <t>Legal Offices, Litigation Support Department</t>
  </si>
  <si>
    <t>MVP Tool - 75% (UnStructured)
Legal Files - 25% (Structured)</t>
  </si>
  <si>
    <t>Litigation Support Team, Legal Offices</t>
  </si>
  <si>
    <t>MVP, Legal Files, share point, Claim systems, Watson, LegalMation</t>
  </si>
  <si>
    <t>Invoice Review, Claim Payment, LegalMation, Claim File Request, Coverage Referral</t>
  </si>
  <si>
    <t>Process includes invoice reviews, claim payments, document extraction, coverage referrals etc.</t>
  </si>
  <si>
    <t xml:space="preserve">Auto, GL, PIP, Home </t>
  </si>
  <si>
    <t>Analysts - $21838.35
Supervisor - $27987.02</t>
  </si>
  <si>
    <t>July/August</t>
  </si>
  <si>
    <t>Project D- 2.0
CICC Note Review - 4.0
Navigator Bill Payments - 10.4
Safeco Bill Payments - 8.0
P21D Payments - 24.0
NAS Bill Payments - 12.0
ACES/BOCOMP POTDUP - 9.36
Invoice Review - SRW/LRW - 1.36
Invoice Review - CERC - 0.48
Invoice Review - CRV - 3.42
Invoice Review - PRW - 0.44 
Advisory Work - 12.48
ACES- P001 Payments - 24.0
Scheduled Payments - 32.0
State Auto - 8.44
Claim file request  - 2 hrs 30 min
Coverage Referrals - 18.28
LegalMation - 12.58</t>
  </si>
  <si>
    <t>LABS - 99%
LS- 98%</t>
  </si>
  <si>
    <t>Brokers/Vendor/Service Provider, Outside Counsel</t>
  </si>
  <si>
    <t>Claim File system, Passport, BILLS, MS Office, CounselLink</t>
  </si>
  <si>
    <t>6 Months</t>
  </si>
  <si>
    <t>Invoice Review - FEE (Asbestos &amp; Worker's Compensation)</t>
  </si>
  <si>
    <t>Process includes revewing fee invoices.</t>
  </si>
  <si>
    <t>Asbestos &amp; WC</t>
  </si>
  <si>
    <t>Analysts - $37000</t>
  </si>
  <si>
    <t>40000 Line Entries</t>
  </si>
  <si>
    <t>29 sec</t>
  </si>
  <si>
    <t>Legal Home offices</t>
  </si>
  <si>
    <t>Legal Home Offices</t>
  </si>
  <si>
    <t>Single</t>
  </si>
  <si>
    <t>Structured - 20%
Unstructured - 80%</t>
  </si>
  <si>
    <t>CounselLink, MS office</t>
  </si>
  <si>
    <t>NDA Review</t>
  </si>
  <si>
    <t>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t>
  </si>
  <si>
    <t>82</t>
  </si>
  <si>
    <t>Legal Offices, Underwriters</t>
  </si>
  <si>
    <t>Legal Offices, UW</t>
  </si>
  <si>
    <t>Unstructured - 100%</t>
  </si>
  <si>
    <t>Mailboxes, MS office</t>
  </si>
  <si>
    <t>Ramesh Kumar, Devashish Dhingra, Prachi Gopal Gandotra</t>
  </si>
  <si>
    <t>4 months</t>
  </si>
  <si>
    <t>Case creation
Claim Handling</t>
  </si>
  <si>
    <t>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t>
  </si>
  <si>
    <t>1-8 Hours</t>
  </si>
  <si>
    <t>24-48 Hours</t>
  </si>
  <si>
    <t>Litigation Support Department</t>
  </si>
  <si>
    <t>Email - 100%</t>
  </si>
  <si>
    <t>SharePoint, MS Office Suite, Claim Center</t>
  </si>
  <si>
    <t>Katherine Guerrera</t>
  </si>
  <si>
    <t>1 year</t>
  </si>
  <si>
    <t>574</t>
  </si>
  <si>
    <t>CSM 95% Handling 85%
CSM 90%</t>
  </si>
  <si>
    <t>1 Year</t>
  </si>
  <si>
    <t>Raymond Perez</t>
  </si>
  <si>
    <t>Business inquiry calls</t>
  </si>
  <si>
    <t>Receive calls from policyholders on FNOL inquiries and existing claims</t>
  </si>
  <si>
    <t>380</t>
  </si>
  <si>
    <t>PL FNOL Auto</t>
  </si>
  <si>
    <t>Receive first notice of loss calls for auto collisions, accidents and any type of loss related to automobile/vehicle
Receive calls from policyholders on FNOL inquiries and existing claims
Receive calls for large loss greater than 10,000 USD</t>
  </si>
  <si>
    <t>PL FNOL Property</t>
  </si>
  <si>
    <t>Receive first notice of loss calls for businessproperty loss - weather related, wind hail, hurricane, tornadoes etc.
Receive calls from policyholders on FNOL incuiries and existing claims</t>
  </si>
  <si>
    <t>Sum of Average Monthly Volume</t>
  </si>
  <si>
    <t>Client Name</t>
  </si>
  <si>
    <t>Pseudo Name</t>
  </si>
  <si>
    <t>Relationship Since</t>
  </si>
  <si>
    <t>Claim FTEs</t>
  </si>
  <si>
    <t>AMIG</t>
  </si>
  <si>
    <t>Assurant</t>
  </si>
  <si>
    <t>Guard</t>
  </si>
  <si>
    <t>Everest</t>
  </si>
  <si>
    <t>IAG</t>
  </si>
  <si>
    <t>Liberty Mutual</t>
  </si>
  <si>
    <t>QBE</t>
  </si>
  <si>
    <t>Total FTEs</t>
  </si>
  <si>
    <t>Initiate</t>
  </si>
  <si>
    <t>Investigate</t>
  </si>
  <si>
    <t>Litigation &amp; Resolution</t>
  </si>
  <si>
    <t xml:space="preserve">Total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</si>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</sst>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quot;$&quot;#,##0_);[Red]\(&quot;$&quot;#,##0\)"/>
    <numFmt numFmtId="165" formatCode="_(* #,##0.00_);_(* \(#,##0.00\);_(* &quot;-&quot;??_);_(@_)"/>
    <numFmt numFmtId="166" formatCode="0.0"/>
    <numFmt numFmtId="167" formatCode="&quot;$&quot;#,##0.00"/>
    <numFmt numFmtId="168" formatCode="0.00_);\(0.00\)"/>
  </numFmts>
  <fonts count="28" x14ac:knownFonts="1">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9"/>
      <color theme="0"/>
      <name val="Calibri"/>
      <family val="2"/>
      <scheme val="minor"/>
    </font>
    <font>
      <i/>
      <sz val="9"/>
      <color theme="1"/>
      <name val="Calibri"/>
      <family val="2"/>
      <scheme val="minor"/>
    </font>
    <font>
      <sz val="9"/>
      <color theme="1"/>
      <name val="Calibri"/>
      <family val="2"/>
      <scheme val="minor"/>
    </font>
    <font>
      <i/>
      <sz val="9"/>
      <name val="Calibri"/>
      <family val="2"/>
      <scheme val="minor"/>
    </font>
    <font>
      <sz val="9"/>
      <name val="Calibri"/>
      <family val="2"/>
      <scheme val="minor"/>
    </font>
    <font>
      <b/>
      <sz val="12"/>
      <color theme="0"/>
      <name val="Calibri"/>
      <family val="2"/>
      <scheme val="minor"/>
    </font>
    <font>
      <sz val="10"/>
      <color theme="1"/>
      <name val="Calibri"/>
      <family val="2"/>
      <scheme val="minor"/>
    </font>
    <font>
      <b/>
      <sz val="9"/>
      <color theme="5"/>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8"/>
      <color theme="1"/>
      <name val="Calibri"/>
      <family val="2"/>
      <scheme val="minor"/>
    </font>
    <font>
      <sz val="8"/>
      <color rgb="FFFF0000"/>
      <name val="Calibri"/>
      <family val="2"/>
      <scheme val="minor"/>
    </font>
    <font>
      <b/>
      <sz val="8"/>
      <name val="Calibri"/>
      <family val="2"/>
      <scheme val="minor"/>
    </font>
    <font>
      <b/>
      <sz val="9"/>
      <name val="Calibri"/>
      <family val="2"/>
      <scheme val="minor"/>
    </font>
    <font>
      <b/>
      <sz val="12"/>
      <color rgb="FF000000"/>
      <name val="Calibri"/>
      <family val="2"/>
      <scheme val="minor"/>
    </font>
    <font>
      <b/>
      <sz val="12"/>
      <color rgb="FFFFFFFF"/>
      <name val="Calibri"/>
      <family val="2"/>
      <scheme val="minor"/>
    </font>
    <font>
      <sz val="12"/>
      <name val="Calibri"/>
      <family val="2"/>
      <scheme val="minor"/>
    </font>
    <font>
      <sz val="12"/>
      <color rgb="FF000000"/>
      <name val="Calibri"/>
      <family val="2"/>
      <scheme val="minor"/>
    </font>
    <font>
      <b/>
      <sz val="12"/>
      <color rgb="FF000000"/>
      <name val="Calibri"/>
      <family val="2"/>
    </font>
    <font>
      <b/>
      <sz val="12"/>
      <color rgb="FFFFFFFF"/>
      <name val="Calibri"/>
      <family val="2"/>
    </font>
    <font>
      <sz val="12"/>
      <color rgb="FF000000"/>
      <name val="Calibri"/>
      <family val="2"/>
    </font>
    <font>
      <sz val="12"/>
      <name val="Arial"/>
      <family val="2"/>
    </font>
    <font>
      <b/>
      <sz val="12"/>
      <color theme="0"/>
      <name val="Arial"/>
      <family val="2"/>
    </font>
  </fonts>
  <fills count="19">
    <fill>
      <patternFill patternType="none"/>
    </fill>
    <fill>
      <patternFill patternType="gray125"/>
    </fill>
    <fill>
      <patternFill patternType="solid">
        <fgColor theme="7"/>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6"/>
        <bgColor indexed="64"/>
      </patternFill>
    </fill>
    <fill>
      <patternFill patternType="solid">
        <fgColor theme="9"/>
        <bgColor indexed="64"/>
      </patternFill>
    </fill>
    <fill>
      <patternFill patternType="solid">
        <fgColor theme="0"/>
        <bgColor indexed="64"/>
      </patternFill>
    </fill>
    <fill>
      <patternFill patternType="solid">
        <fgColor theme="5" tint="-0.499984740745262"/>
        <bgColor indexed="64"/>
      </patternFill>
    </fill>
    <fill>
      <patternFill patternType="solid">
        <fgColor theme="9" tint="-9.9978637043366805E-2"/>
        <bgColor indexed="64"/>
      </patternFill>
    </fill>
    <fill>
      <patternFill patternType="solid">
        <fgColor rgb="FFFFC000"/>
        <bgColor indexed="64"/>
      </patternFill>
    </fill>
    <fill>
      <patternFill patternType="solid">
        <fgColor rgb="FF4D849B"/>
        <bgColor indexed="64"/>
      </patternFill>
    </fill>
    <fill>
      <patternFill patternType="solid">
        <fgColor rgb="FFD0D9DE"/>
        <bgColor indexed="64"/>
      </patternFill>
    </fill>
    <fill>
      <patternFill patternType="solid">
        <fgColor rgb="FFE9EDEF"/>
        <bgColor indexed="64"/>
      </patternFill>
    </fill>
    <fill>
      <patternFill patternType="solid">
        <fgColor theme="3"/>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thick">
        <color rgb="FFFFFFFF"/>
      </bottom>
      <diagonal/>
    </border>
    <border>
      <left style="medium">
        <color rgb="FFFFFFFF"/>
      </left>
      <right/>
      <top style="thick">
        <color rgb="FFFFFFFF"/>
      </top>
      <bottom style="medium">
        <color rgb="FFFFFFFF"/>
      </bottom>
      <diagonal/>
    </border>
    <border>
      <left style="medium">
        <color rgb="FFFFFFFF"/>
      </left>
      <right/>
      <top style="medium">
        <color rgb="FFFFFFFF"/>
      </top>
      <bottom style="medium">
        <color rgb="FFFFFFFF"/>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 fillId="0" borderId="0"/>
  </cellStyleXfs>
  <cellXfs count="15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8" fillId="0" borderId="6" xfId="0" applyFont="1" applyBorder="1" applyAlignment="1" applyProtection="1">
      <alignment horizontal="left" vertical="center" wrapText="1"/>
      <protection locked="0"/>
    </xf>
    <xf numFmtId="0" fontId="6" fillId="0" borderId="6" xfId="0" applyFont="1" applyBorder="1" applyAlignment="1">
      <alignment horizontal="center" vertical="center" wrapText="1"/>
    </xf>
    <xf numFmtId="166" fontId="6" fillId="0" borderId="6" xfId="0" applyNumberFormat="1" applyFont="1" applyBorder="1" applyAlignment="1">
      <alignment horizontal="center" vertical="center" wrapText="1"/>
    </xf>
    <xf numFmtId="0" fontId="6" fillId="0" borderId="6" xfId="0" applyFont="1" applyBorder="1" applyAlignment="1" applyProtection="1">
      <alignment horizontal="center" vertical="center" wrapText="1"/>
      <protection locked="0"/>
    </xf>
    <xf numFmtId="0" fontId="6" fillId="0" borderId="6" xfId="0" applyFont="1" applyBorder="1" applyAlignment="1" applyProtection="1">
      <alignment horizontal="left" vertical="center" wrapText="1"/>
      <protection locked="0"/>
    </xf>
    <xf numFmtId="167" fontId="8" fillId="0" borderId="6" xfId="0" applyNumberFormat="1" applyFont="1" applyBorder="1" applyAlignment="1" applyProtection="1">
      <alignment horizontal="center" vertical="center" wrapText="1"/>
      <protection locked="0"/>
    </xf>
    <xf numFmtId="164" fontId="8" fillId="0" borderId="6" xfId="0" applyNumberFormat="1" applyFont="1" applyBorder="1" applyAlignment="1" applyProtection="1">
      <alignment horizontal="left" vertical="center" wrapText="1"/>
      <protection locked="0"/>
    </xf>
    <xf numFmtId="168" fontId="8" fillId="0" borderId="6" xfId="0" applyNumberFormat="1" applyFont="1" applyBorder="1" applyAlignment="1" applyProtection="1">
      <alignment horizontal="center" vertical="center" wrapText="1"/>
      <protection locked="0"/>
    </xf>
    <xf numFmtId="168" fontId="8" fillId="0" borderId="6" xfId="1" applyNumberFormat="1" applyFont="1" applyFill="1" applyBorder="1" applyAlignment="1" applyProtection="1">
      <alignment horizontal="center" vertical="center" wrapText="1"/>
      <protection locked="0"/>
    </xf>
    <xf numFmtId="168" fontId="8" fillId="0" borderId="6" xfId="2" applyNumberFormat="1" applyFont="1" applyFill="1" applyBorder="1" applyAlignment="1" applyProtection="1">
      <alignment horizontal="center" vertical="center" wrapText="1"/>
      <protection locked="0"/>
    </xf>
    <xf numFmtId="10" fontId="8" fillId="0" borderId="6" xfId="2" applyNumberFormat="1" applyFont="1" applyFill="1" applyBorder="1" applyAlignment="1" applyProtection="1">
      <alignment horizontal="center" vertical="center" wrapText="1"/>
      <protection locked="0"/>
    </xf>
    <xf numFmtId="1" fontId="8" fillId="0" borderId="6" xfId="0" applyNumberFormat="1" applyFont="1" applyBorder="1" applyAlignment="1" applyProtection="1">
      <alignment horizontal="left" vertical="center" wrapText="1"/>
      <protection locked="0"/>
    </xf>
    <xf numFmtId="0" fontId="8" fillId="0" borderId="6" xfId="0" applyFont="1" applyBorder="1" applyAlignment="1" applyProtection="1">
      <alignment horizontal="center" vertical="center" wrapText="1"/>
      <protection locked="0"/>
    </xf>
    <xf numFmtId="49" fontId="8" fillId="0" borderId="6" xfId="0" applyNumberFormat="1" applyFont="1" applyBorder="1" applyAlignment="1" applyProtection="1">
      <alignment horizontal="left" vertical="center" wrapText="1"/>
      <protection locked="0"/>
    </xf>
    <xf numFmtId="9" fontId="8" fillId="0" borderId="6" xfId="0" applyNumberFormat="1" applyFont="1" applyBorder="1" applyAlignment="1" applyProtection="1">
      <alignment horizontal="left" vertical="center" wrapText="1"/>
      <protection locked="0"/>
    </xf>
    <xf numFmtId="10" fontId="8" fillId="0" borderId="6" xfId="0" applyNumberFormat="1" applyFont="1" applyBorder="1" applyAlignment="1" applyProtection="1">
      <alignment horizontal="left" vertical="center" wrapText="1"/>
      <protection locked="0"/>
    </xf>
    <xf numFmtId="0" fontId="10"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3" fillId="4" borderId="18" xfId="0" applyFont="1" applyFill="1" applyBorder="1" applyAlignment="1">
      <alignment horizontal="center" vertical="center"/>
    </xf>
    <xf numFmtId="0" fontId="3" fillId="4" borderId="19" xfId="0" applyFont="1" applyFill="1" applyBorder="1" applyAlignment="1">
      <alignment vertical="center"/>
    </xf>
    <xf numFmtId="0" fontId="3" fillId="4" borderId="19" xfId="0" applyFont="1" applyFill="1" applyBorder="1" applyAlignment="1">
      <alignment vertical="center" wrapText="1"/>
    </xf>
    <xf numFmtId="0" fontId="12" fillId="0" borderId="0" xfId="0" applyFont="1" applyAlignment="1">
      <alignment vertical="center"/>
    </xf>
    <xf numFmtId="0" fontId="13" fillId="5" borderId="20" xfId="0" applyFont="1" applyFill="1" applyBorder="1" applyAlignment="1">
      <alignment vertical="center"/>
    </xf>
    <xf numFmtId="0" fontId="6" fillId="5" borderId="21" xfId="0" applyFont="1" applyFill="1" applyBorder="1" applyAlignment="1">
      <alignment vertical="center"/>
    </xf>
    <xf numFmtId="0" fontId="6" fillId="5" borderId="22" xfId="0" applyFont="1" applyFill="1" applyBorder="1" applyAlignment="1">
      <alignment vertical="center" wrapText="1"/>
    </xf>
    <xf numFmtId="0" fontId="6" fillId="0" borderId="19" xfId="0" applyFont="1" applyBorder="1" applyAlignment="1">
      <alignment horizontal="center" vertical="center"/>
    </xf>
    <xf numFmtId="0" fontId="6" fillId="0" borderId="19" xfId="0" applyFont="1" applyBorder="1" applyAlignment="1">
      <alignment vertical="center"/>
    </xf>
    <xf numFmtId="0" fontId="6" fillId="0" borderId="19" xfId="0" applyFont="1" applyBorder="1" applyAlignment="1">
      <alignment vertical="center" wrapText="1"/>
    </xf>
    <xf numFmtId="0" fontId="8" fillId="6" borderId="1" xfId="0" applyFont="1" applyFill="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5" fillId="0" borderId="0" xfId="0" applyFont="1" applyAlignment="1">
      <alignment horizontal="center" vertical="center" wrapText="1"/>
    </xf>
    <xf numFmtId="0" fontId="5" fillId="0" borderId="0" xfId="0" applyFont="1" applyAlignment="1" applyProtection="1">
      <alignment horizontal="center" vertical="center" wrapText="1"/>
      <protection locked="0"/>
    </xf>
    <xf numFmtId="0" fontId="6" fillId="0" borderId="0" xfId="0" applyFont="1" applyAlignment="1">
      <alignment horizontal="center" vertical="center" wrapText="1"/>
    </xf>
    <xf numFmtId="0" fontId="8" fillId="0" borderId="1" xfId="0" applyFont="1" applyBorder="1" applyAlignment="1" applyProtection="1">
      <alignment horizontal="left" vertical="center" wrapText="1"/>
      <protection locked="0"/>
    </xf>
    <xf numFmtId="164" fontId="8" fillId="0" borderId="0" xfId="0" applyNumberFormat="1" applyFont="1" applyAlignment="1" applyProtection="1">
      <alignment horizontal="left" vertical="center" wrapText="1"/>
      <protection locked="0"/>
    </xf>
    <xf numFmtId="2" fontId="8" fillId="0" borderId="0" xfId="0" applyNumberFormat="1" applyFont="1" applyAlignment="1" applyProtection="1">
      <alignment horizontal="left" vertical="center" wrapText="1"/>
      <protection locked="0"/>
    </xf>
    <xf numFmtId="2" fontId="8" fillId="0" borderId="2" xfId="0" applyNumberFormat="1" applyFont="1" applyBorder="1" applyAlignment="1" applyProtection="1">
      <alignment horizontal="left" vertical="center" wrapText="1"/>
      <protection locked="0"/>
    </xf>
    <xf numFmtId="1" fontId="8" fillId="0" borderId="0" xfId="0" applyNumberFormat="1" applyFont="1" applyAlignment="1" applyProtection="1">
      <alignment horizontal="left" vertical="center" wrapText="1"/>
      <protection locked="0"/>
    </xf>
    <xf numFmtId="9" fontId="8" fillId="0" borderId="0" xfId="0" applyNumberFormat="1" applyFont="1" applyAlignment="1" applyProtection="1">
      <alignment horizontal="left" vertical="center" wrapText="1"/>
      <protection locked="0"/>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left" vertical="center"/>
      <protection locked="0"/>
    </xf>
    <xf numFmtId="0" fontId="15" fillId="0" borderId="0" xfId="0" applyFont="1"/>
    <xf numFmtId="0" fontId="15" fillId="0" borderId="6" xfId="0" applyFont="1" applyBorder="1"/>
    <xf numFmtId="0" fontId="15" fillId="0" borderId="6" xfId="0" applyFont="1" applyBorder="1" applyAlignment="1">
      <alignment vertical="center" wrapText="1"/>
    </xf>
    <xf numFmtId="0" fontId="15" fillId="0" borderId="6" xfId="0" applyFont="1" applyBorder="1" applyAlignment="1">
      <alignment vertical="center"/>
    </xf>
    <xf numFmtId="0" fontId="16" fillId="0" borderId="6" xfId="0" applyFont="1" applyBorder="1" applyAlignment="1">
      <alignment vertical="center" wrapText="1"/>
    </xf>
    <xf numFmtId="0" fontId="15" fillId="0" borderId="6" xfId="0" applyFont="1" applyBorder="1" applyAlignment="1">
      <alignment horizontal="left" vertical="center" wrapText="1"/>
    </xf>
    <xf numFmtId="0" fontId="14" fillId="3" borderId="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5" fillId="0" borderId="10" xfId="0" applyFont="1" applyBorder="1" applyAlignment="1">
      <alignment vertical="center" wrapText="1"/>
    </xf>
    <xf numFmtId="0" fontId="15" fillId="0" borderId="7" xfId="0" applyFont="1" applyBorder="1" applyAlignment="1">
      <alignment vertical="center" wrapText="1"/>
    </xf>
    <xf numFmtId="0" fontId="15" fillId="0" borderId="12" xfId="0" applyFont="1" applyBorder="1" applyAlignment="1">
      <alignment vertical="center" wrapText="1"/>
    </xf>
    <xf numFmtId="0" fontId="15" fillId="0" borderId="13" xfId="0" applyFont="1" applyBorder="1"/>
    <xf numFmtId="0" fontId="15" fillId="0" borderId="12" xfId="0" applyFont="1" applyBorder="1"/>
    <xf numFmtId="0" fontId="15" fillId="0" borderId="14" xfId="0" applyFont="1" applyBorder="1"/>
    <xf numFmtId="0" fontId="15" fillId="0" borderId="16" xfId="0" applyFont="1" applyBorder="1"/>
    <xf numFmtId="0" fontId="15" fillId="0" borderId="15" xfId="0" applyFont="1" applyBorder="1"/>
    <xf numFmtId="0" fontId="14" fillId="3" borderId="17" xfId="0" applyFont="1" applyFill="1" applyBorder="1" applyAlignment="1">
      <alignment horizontal="left" vertical="center" wrapText="1"/>
    </xf>
    <xf numFmtId="0" fontId="14" fillId="3" borderId="9" xfId="0" applyFont="1" applyFill="1" applyBorder="1" applyAlignment="1">
      <alignment horizontal="left" vertical="center" wrapText="1"/>
    </xf>
    <xf numFmtId="0" fontId="15" fillId="0" borderId="7" xfId="0" applyFont="1" applyBorder="1" applyAlignment="1">
      <alignment horizontal="left" vertical="center" wrapText="1"/>
    </xf>
    <xf numFmtId="0" fontId="15" fillId="0" borderId="11" xfId="0" applyFont="1" applyBorder="1" applyAlignment="1">
      <alignment horizontal="left" vertical="center" wrapText="1"/>
    </xf>
    <xf numFmtId="0" fontId="15" fillId="0" borderId="13" xfId="0" applyFont="1" applyBorder="1" applyAlignment="1">
      <alignment horizontal="left" vertical="center" wrapText="1"/>
    </xf>
    <xf numFmtId="0" fontId="15" fillId="0" borderId="12" xfId="0" applyFont="1" applyBorder="1" applyAlignment="1">
      <alignment horizontal="left" vertical="center" wrapText="1"/>
    </xf>
    <xf numFmtId="0" fontId="15" fillId="0" borderId="14" xfId="0" applyFont="1" applyBorder="1" applyAlignment="1">
      <alignment horizontal="left" vertical="center" wrapText="1"/>
    </xf>
    <xf numFmtId="0" fontId="15" fillId="0" borderId="16" xfId="0" applyFont="1" applyBorder="1" applyAlignment="1">
      <alignment horizontal="left" vertical="center" wrapText="1"/>
    </xf>
    <xf numFmtId="0" fontId="15" fillId="0" borderId="15" xfId="0" applyFont="1" applyBorder="1" applyAlignment="1">
      <alignment horizontal="left" vertical="center" wrapText="1"/>
    </xf>
    <xf numFmtId="0" fontId="15" fillId="0" borderId="0" xfId="0" applyFont="1" applyAlignment="1">
      <alignment horizontal="left" vertical="center" wrapText="1"/>
    </xf>
    <xf numFmtId="0" fontId="17" fillId="10" borderId="6" xfId="0" applyFont="1" applyFill="1" applyBorder="1" applyAlignment="1">
      <alignment horizontal="center" vertical="center" wrapText="1"/>
    </xf>
    <xf numFmtId="0" fontId="8" fillId="11" borderId="6" xfId="0" applyFont="1" applyFill="1" applyBorder="1" applyAlignment="1" applyProtection="1">
      <alignment horizontal="left" vertical="center" wrapText="1"/>
      <protection locked="0"/>
    </xf>
    <xf numFmtId="0" fontId="3" fillId="6" borderId="0" xfId="0" applyFont="1" applyFill="1"/>
    <xf numFmtId="0" fontId="8" fillId="10" borderId="6" xfId="0" applyFont="1" applyFill="1" applyBorder="1" applyAlignment="1" applyProtection="1">
      <alignment horizontal="left" vertical="center" wrapText="1"/>
      <protection locked="0"/>
    </xf>
    <xf numFmtId="0" fontId="0" fillId="0" borderId="6" xfId="0" applyBorder="1"/>
    <xf numFmtId="0" fontId="14" fillId="10" borderId="23"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4" fillId="10" borderId="25" xfId="0" applyFont="1" applyFill="1" applyBorder="1" applyAlignment="1">
      <alignment horizontal="center" vertical="center" wrapText="1"/>
    </xf>
    <xf numFmtId="0" fontId="3" fillId="0" borderId="13" xfId="0" applyFont="1" applyBorder="1"/>
    <xf numFmtId="0" fontId="4" fillId="2" borderId="1"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165" fontId="4" fillId="2" borderId="2" xfId="1" applyFont="1" applyFill="1" applyBorder="1" applyAlignment="1" applyProtection="1">
      <alignment horizontal="center" vertical="center" wrapText="1"/>
      <protection locked="0"/>
    </xf>
    <xf numFmtId="165" fontId="4" fillId="2" borderId="0" xfId="1"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4" fillId="2" borderId="5" xfId="0" applyFont="1" applyFill="1" applyBorder="1" applyAlignment="1" applyProtection="1">
      <alignment horizontal="center" vertical="center" wrapText="1"/>
      <protection locked="0"/>
    </xf>
    <xf numFmtId="0" fontId="5" fillId="7" borderId="6" xfId="0" applyFont="1" applyFill="1" applyBorder="1" applyAlignment="1" applyProtection="1">
      <alignment horizontal="center" vertical="center" wrapText="1"/>
      <protection locked="0"/>
    </xf>
    <xf numFmtId="0" fontId="5" fillId="8" borderId="6" xfId="0" applyFont="1" applyFill="1" applyBorder="1" applyAlignment="1" applyProtection="1">
      <alignment horizontal="center" vertical="center" wrapText="1"/>
      <protection locked="0"/>
    </xf>
    <xf numFmtId="0" fontId="6" fillId="7" borderId="6"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166" fontId="6" fillId="0" borderId="6" xfId="0" applyNumberFormat="1" applyFont="1" applyBorder="1" applyAlignment="1" applyProtection="1">
      <alignment horizontal="center" vertical="center" wrapText="1"/>
      <protection locked="0"/>
    </xf>
    <xf numFmtId="0" fontId="4" fillId="2" borderId="0" xfId="0" applyFont="1" applyFill="1" applyAlignment="1">
      <alignment horizontal="center" vertical="center" wrapText="1"/>
    </xf>
    <xf numFmtId="0" fontId="4" fillId="12" borderId="6" xfId="0" applyFont="1" applyFill="1" applyBorder="1" applyAlignment="1">
      <alignment horizontal="center" vertical="center" wrapText="1"/>
    </xf>
    <xf numFmtId="0" fontId="18" fillId="13" borderId="6" xfId="0" applyFont="1" applyFill="1" applyBorder="1" applyAlignment="1">
      <alignment horizontal="left" vertical="center" wrapText="1"/>
    </xf>
    <xf numFmtId="0" fontId="6" fillId="6" borderId="6" xfId="0" applyFont="1" applyFill="1" applyBorder="1" applyAlignment="1" applyProtection="1">
      <alignment horizontal="center" vertical="center" wrapText="1"/>
      <protection locked="0"/>
    </xf>
    <xf numFmtId="164" fontId="8" fillId="6" borderId="6" xfId="0" applyNumberFormat="1" applyFont="1" applyFill="1" applyBorder="1" applyAlignment="1" applyProtection="1">
      <alignment horizontal="left" vertical="center" wrapText="1"/>
      <protection locked="0"/>
    </xf>
    <xf numFmtId="1" fontId="8" fillId="6" borderId="6" xfId="0" applyNumberFormat="1" applyFont="1" applyFill="1" applyBorder="1" applyAlignment="1" applyProtection="1">
      <alignment horizontal="left" vertical="center" wrapText="1"/>
      <protection locked="0"/>
    </xf>
    <xf numFmtId="0" fontId="8" fillId="6" borderId="6" xfId="0" applyFont="1" applyFill="1" applyBorder="1" applyAlignment="1" applyProtection="1">
      <alignment horizontal="center" vertical="center" wrapText="1"/>
      <protection locked="0"/>
    </xf>
    <xf numFmtId="49" fontId="8" fillId="6" borderId="6" xfId="0" applyNumberFormat="1" applyFont="1" applyFill="1" applyBorder="1" applyAlignment="1" applyProtection="1">
      <alignment horizontal="left" vertical="center" wrapText="1"/>
      <protection locked="0"/>
    </xf>
    <xf numFmtId="9" fontId="8" fillId="6" borderId="6" xfId="0" applyNumberFormat="1" applyFont="1" applyFill="1" applyBorder="1" applyAlignment="1" applyProtection="1">
      <alignment horizontal="left" vertical="center" wrapText="1"/>
      <protection locked="0"/>
    </xf>
    <xf numFmtId="0" fontId="6" fillId="6" borderId="6" xfId="0" applyFont="1" applyFill="1" applyBorder="1" applyAlignment="1">
      <alignment horizontal="center" vertical="center" wrapText="1"/>
    </xf>
    <xf numFmtId="0" fontId="6" fillId="14" borderId="6" xfId="0" applyFont="1" applyFill="1" applyBorder="1" applyAlignment="1" applyProtection="1">
      <alignment horizontal="center" vertical="center" wrapText="1"/>
      <protection locked="0"/>
    </xf>
    <xf numFmtId="0" fontId="0" fillId="0" borderId="0" xfId="0" applyAlignment="1">
      <alignment horizontal="left" indent="2"/>
    </xf>
    <xf numFmtId="0" fontId="0" fillId="0" borderId="0" xfId="0" applyAlignment="1">
      <alignment horizontal="center" vertical="center"/>
    </xf>
    <xf numFmtId="0" fontId="19" fillId="16" borderId="27" xfId="0" applyFont="1" applyFill="1" applyBorder="1" applyAlignment="1">
      <alignment horizontal="center" vertical="center" wrapText="1" readingOrder="1"/>
    </xf>
    <xf numFmtId="0" fontId="19" fillId="17" borderId="28" xfId="0" applyFont="1" applyFill="1" applyBorder="1" applyAlignment="1">
      <alignment horizontal="center" vertical="center" wrapText="1" readingOrder="1"/>
    </xf>
    <xf numFmtId="0" fontId="19" fillId="16" borderId="28" xfId="0" applyFont="1" applyFill="1" applyBorder="1" applyAlignment="1">
      <alignment horizontal="center" vertical="center" wrapText="1" readingOrder="1"/>
    </xf>
    <xf numFmtId="0" fontId="20" fillId="15" borderId="27" xfId="0" applyFont="1" applyFill="1" applyBorder="1" applyAlignment="1">
      <alignment horizontal="center" vertical="center" wrapText="1" readingOrder="1"/>
    </xf>
    <xf numFmtId="0" fontId="20" fillId="15" borderId="26" xfId="0" applyFont="1" applyFill="1" applyBorder="1" applyAlignment="1">
      <alignment horizontal="center" vertical="center" wrapText="1" readingOrder="1"/>
    </xf>
    <xf numFmtId="0" fontId="21" fillId="16" borderId="27" xfId="0" applyFont="1" applyFill="1" applyBorder="1" applyAlignment="1">
      <alignment horizontal="center" vertical="center" wrapText="1"/>
    </xf>
    <xf numFmtId="0" fontId="22" fillId="16" borderId="27" xfId="0" applyFont="1" applyFill="1" applyBorder="1" applyAlignment="1">
      <alignment horizontal="center" vertical="center" wrapText="1" readingOrder="1"/>
    </xf>
    <xf numFmtId="0" fontId="21" fillId="17" borderId="28" xfId="0" applyFont="1" applyFill="1" applyBorder="1" applyAlignment="1">
      <alignment horizontal="center" vertical="center" wrapText="1"/>
    </xf>
    <xf numFmtId="0" fontId="22" fillId="17" borderId="28" xfId="0" applyFont="1" applyFill="1" applyBorder="1" applyAlignment="1">
      <alignment horizontal="center" vertical="center" wrapText="1" readingOrder="1"/>
    </xf>
    <xf numFmtId="0" fontId="21" fillId="16" borderId="28" xfId="0" applyFont="1" applyFill="1" applyBorder="1" applyAlignment="1">
      <alignment horizontal="center" vertical="center" wrapText="1"/>
    </xf>
    <xf numFmtId="0" fontId="22" fillId="16" borderId="28" xfId="0" applyFont="1" applyFill="1" applyBorder="1" applyAlignment="1">
      <alignment horizontal="center" vertical="center" wrapText="1" readingOrder="1"/>
    </xf>
    <xf numFmtId="0" fontId="21" fillId="15" borderId="27" xfId="0" applyFont="1" applyFill="1" applyBorder="1" applyAlignment="1">
      <alignment horizontal="center" vertical="center" wrapText="1"/>
    </xf>
    <xf numFmtId="0" fontId="9" fillId="15" borderId="27" xfId="0" applyFont="1" applyFill="1" applyBorder="1" applyAlignment="1">
      <alignment horizontal="center" vertical="center" wrapText="1"/>
    </xf>
    <xf numFmtId="0" fontId="23" fillId="16" borderId="27" xfId="0" applyFont="1" applyFill="1" applyBorder="1" applyAlignment="1">
      <alignment horizontal="center" vertical="center" wrapText="1" readingOrder="1"/>
    </xf>
    <xf numFmtId="0" fontId="23" fillId="17" borderId="28" xfId="0" applyFont="1" applyFill="1" applyBorder="1" applyAlignment="1">
      <alignment horizontal="center" vertical="center" wrapText="1" readingOrder="1"/>
    </xf>
    <xf numFmtId="0" fontId="23" fillId="16" borderId="28" xfId="0" applyFont="1" applyFill="1" applyBorder="1" applyAlignment="1">
      <alignment horizontal="center" vertical="center" wrapText="1" readingOrder="1"/>
    </xf>
    <xf numFmtId="0" fontId="24" fillId="15" borderId="26" xfId="0" applyFont="1" applyFill="1" applyBorder="1" applyAlignment="1">
      <alignment horizontal="center" vertical="center" wrapText="1" readingOrder="1"/>
    </xf>
    <xf numFmtId="0" fontId="25" fillId="16" borderId="27" xfId="0" applyFont="1" applyFill="1" applyBorder="1" applyAlignment="1">
      <alignment horizontal="center" vertical="center" wrapText="1" readingOrder="1"/>
    </xf>
    <xf numFmtId="0" fontId="26" fillId="16" borderId="27" xfId="0" applyFont="1" applyFill="1" applyBorder="1" applyAlignment="1">
      <alignment horizontal="center" vertical="center" wrapText="1"/>
    </xf>
    <xf numFmtId="0" fontId="26" fillId="16" borderId="27" xfId="0" applyFont="1" applyFill="1" applyBorder="1" applyAlignment="1">
      <alignment horizontal="left" vertical="center" wrapText="1" indent="1"/>
    </xf>
    <xf numFmtId="0" fontId="25" fillId="17" borderId="28" xfId="0" applyFont="1" applyFill="1" applyBorder="1" applyAlignment="1">
      <alignment horizontal="center" vertical="center" wrapText="1" readingOrder="1"/>
    </xf>
    <xf numFmtId="0" fontId="26" fillId="17" borderId="28" xfId="0" applyFont="1" applyFill="1" applyBorder="1" applyAlignment="1">
      <alignment horizontal="center" vertical="center" wrapText="1"/>
    </xf>
    <xf numFmtId="0" fontId="26" fillId="17" borderId="28" xfId="0" applyFont="1" applyFill="1" applyBorder="1" applyAlignment="1">
      <alignment horizontal="left" vertical="center" wrapText="1" indent="1"/>
    </xf>
    <xf numFmtId="0" fontId="25" fillId="16" borderId="28" xfId="0" applyFont="1" applyFill="1" applyBorder="1" applyAlignment="1">
      <alignment horizontal="center" vertical="center" wrapText="1" readingOrder="1"/>
    </xf>
    <xf numFmtId="0" fontId="26" fillId="16" borderId="28" xfId="0" applyFont="1" applyFill="1" applyBorder="1" applyAlignment="1">
      <alignment horizontal="center" vertical="center" wrapText="1"/>
    </xf>
    <xf numFmtId="0" fontId="26" fillId="16" borderId="28" xfId="0" applyFont="1" applyFill="1" applyBorder="1" applyAlignment="1">
      <alignment horizontal="left" vertical="center" wrapText="1" indent="1"/>
    </xf>
    <xf numFmtId="0" fontId="25" fillId="16" borderId="28" xfId="0" applyFont="1" applyFill="1" applyBorder="1" applyAlignment="1">
      <alignment horizontal="left" vertical="center" wrapText="1" indent="1" readingOrder="1"/>
    </xf>
    <xf numFmtId="0" fontId="25" fillId="17" borderId="28" xfId="0" applyFont="1" applyFill="1" applyBorder="1" applyAlignment="1">
      <alignment horizontal="left" vertical="center" wrapText="1" indent="1" readingOrder="1"/>
    </xf>
    <xf numFmtId="0" fontId="20" fillId="15" borderId="29" xfId="0" applyFont="1" applyFill="1" applyBorder="1" applyAlignment="1">
      <alignment horizontal="center" vertical="center" wrapText="1" readingOrder="1"/>
    </xf>
    <xf numFmtId="0" fontId="21" fillId="16" borderId="30" xfId="0" applyFont="1" applyFill="1" applyBorder="1" applyAlignment="1">
      <alignment horizontal="center" vertical="center" wrapText="1"/>
    </xf>
    <xf numFmtId="0" fontId="21" fillId="17" borderId="31" xfId="0" applyFont="1" applyFill="1" applyBorder="1" applyAlignment="1">
      <alignment horizontal="center" vertical="center" wrapText="1"/>
    </xf>
    <xf numFmtId="0" fontId="21" fillId="16" borderId="31" xfId="0" applyFont="1" applyFill="1" applyBorder="1" applyAlignment="1">
      <alignment horizontal="center" vertical="center" wrapText="1"/>
    </xf>
    <xf numFmtId="0" fontId="22" fillId="17" borderId="31" xfId="0" applyFont="1" applyFill="1" applyBorder="1" applyAlignment="1">
      <alignment horizontal="center" vertical="center" wrapText="1" readingOrder="1"/>
    </xf>
    <xf numFmtId="0" fontId="22" fillId="16" borderId="31" xfId="0" applyFont="1" applyFill="1" applyBorder="1" applyAlignment="1">
      <alignment horizontal="center" vertical="center" wrapText="1" readingOrder="1"/>
    </xf>
    <xf numFmtId="0" fontId="9" fillId="15" borderId="30" xfId="0" applyFont="1" applyFill="1" applyBorder="1" applyAlignment="1">
      <alignment horizontal="center" vertical="center" wrapText="1"/>
    </xf>
    <xf numFmtId="0" fontId="20" fillId="15" borderId="6" xfId="0" applyFont="1" applyFill="1" applyBorder="1" applyAlignment="1">
      <alignment horizontal="center" vertical="center" wrapText="1" readingOrder="1"/>
    </xf>
    <xf numFmtId="0" fontId="9" fillId="18" borderId="27" xfId="0" applyFont="1" applyFill="1" applyBorder="1" applyAlignment="1">
      <alignment horizontal="center" vertical="center" wrapText="1"/>
    </xf>
    <xf numFmtId="0" fontId="27" fillId="15" borderId="27" xfId="0" applyFont="1" applyFill="1" applyBorder="1" applyAlignment="1">
      <alignment horizontal="center" vertical="center" wrapText="1"/>
    </xf>
    <xf numFmtId="0" fontId="27" fillId="18" borderId="27" xfId="0" applyFont="1" applyFill="1" applyBorder="1" applyAlignment="1">
      <alignment horizontal="center" vertical="center" wrapText="1"/>
    </xf>
    <xf numFmtId="0" fontId="6" fillId="0" borderId="0" xfId="0" applyFont="1" applyAlignment="1">
      <alignment horizontal="left" vertical="center"/>
    </xf>
    <xf numFmtId="0" fontId="9" fillId="9" borderId="0" xfId="4" applyFont="1" applyFill="1" applyAlignment="1">
      <alignment horizontal="left" vertical="center"/>
    </xf>
  </cellXfs>
  <cellStyles count="5">
    <cellStyle name="0,0_x000d__x000a_NA_x000d__x000a_" xfId="4" xr:uid="{5B85F538-91C5-40B8-A92F-EF5B27A3C615}"/>
    <cellStyle name="Comma" xfId="1" builtinId="3"/>
    <cellStyle name="Comma 2" xfId="3" xr:uid="{52771043-2963-43A1-9995-07B9CEE99778}"/>
    <cellStyle name="Normal" xfId="0" builtinId="0"/>
    <cellStyle name="Percent" xfId="2" builtinId="5"/>
  </cellStyles>
  <dxfs count="6">
    <dxf>
      <fill>
        <patternFill>
          <bgColor rgb="FFFF0000"/>
        </patternFill>
      </fill>
    </dxf>
    <dxf>
      <fill>
        <patternFill>
          <bgColor rgb="FFFF0000"/>
        </patternFill>
      </fill>
    </dxf>
    <dxf>
      <numFmt numFmtId="1" formatCode="0"/>
    </dxf>
    <dxf>
      <numFmt numFmtId="1" formatCode="0"/>
    </dxf>
    <dxf>
      <numFmt numFmtId="1" formatCode="0"/>
    </dxf>
    <dxf>
      <font>
        <color theme="3"/>
      </font>
    </dxf>
  </dxfs>
  <tableStyles count="1" defaultTableStyle="TableStyleMedium2" defaultPivotStyle="PivotStyleLight16">
    <tableStyle name="Slicer Style 1" pivot="0" table="0" count="1" xr9:uid="{03909B88-FA3E-413C-9445-9B8C64EDE9AC}">
      <tableStyleElement type="wholeTable" dxfId="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6</xdr:col>
      <xdr:colOff>751988</xdr:colOff>
      <xdr:row>0</xdr:row>
      <xdr:rowOff>22861</xdr:rowOff>
    </xdr:from>
    <xdr:to>
      <xdr:col>10</xdr:col>
      <xdr:colOff>1156795</xdr:colOff>
      <xdr:row>7</xdr:row>
      <xdr:rowOff>152401</xdr:rowOff>
    </xdr:to>
    <mc:AlternateContent xmlns:mc="http://schemas.openxmlformats.org/markup-compatibility/2006" xmlns:a14="http://schemas.microsoft.com/office/drawing/2010/main">
      <mc:Choice Requires="a14">
        <xdr:graphicFrame macro="">
          <xdr:nvGraphicFramePr>
            <xdr:cNvPr id="22" name="EXL Delivery Location">
              <a:extLst>
                <a:ext uri="{FF2B5EF4-FFF2-40B4-BE49-F238E27FC236}">
                  <a16:creationId xmlns:a16="http://schemas.microsoft.com/office/drawing/2014/main" id="{339B4829-C0B8-6E8D-86FC-BD0B6D283D9D}"/>
                </a:ext>
              </a:extLst>
            </xdr:cNvPr>
            <xdr:cNvGraphicFramePr/>
          </xdr:nvGraphicFramePr>
          <xdr:xfrm>
            <a:off x="0" y="0"/>
            <a:ext cx="0" cy="0"/>
          </xdr:xfrm>
          <a:graphic>
            <a:graphicData uri="http://schemas.microsoft.com/office/drawing/2010/slicer">
              <sle:slicer xmlns:sle="http://schemas.microsoft.com/office/drawing/2010/slicer" name="EXL Delivery Location"/>
            </a:graphicData>
          </a:graphic>
        </xdr:graphicFrame>
      </mc:Choice>
      <mc:Fallback xmlns="">
        <xdr:sp macro="" textlink="">
          <xdr:nvSpPr>
            <xdr:cNvPr id="0" name=""/>
            <xdr:cNvSpPr>
              <a:spLocks noTextEdit="1"/>
            </xdr:cNvSpPr>
          </xdr:nvSpPr>
          <xdr:spPr>
            <a:xfrm>
              <a:off x="9419738" y="22861"/>
              <a:ext cx="4464271"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701388</xdr:colOff>
      <xdr:row>20</xdr:row>
      <xdr:rowOff>119703</xdr:rowOff>
    </xdr:from>
    <xdr:to>
      <xdr:col>10</xdr:col>
      <xdr:colOff>1592037</xdr:colOff>
      <xdr:row>29</xdr:row>
      <xdr:rowOff>179366</xdr:rowOff>
    </xdr:to>
    <mc:AlternateContent xmlns:mc="http://schemas.openxmlformats.org/markup-compatibility/2006" xmlns:a14="http://schemas.microsoft.com/office/drawing/2010/main">
      <mc:Choice Requires="a14">
        <xdr:graphicFrame macro="">
          <xdr:nvGraphicFramePr>
            <xdr:cNvPr id="15" name="Business Lines">
              <a:extLst>
                <a:ext uri="{FF2B5EF4-FFF2-40B4-BE49-F238E27FC236}">
                  <a16:creationId xmlns:a16="http://schemas.microsoft.com/office/drawing/2014/main" id="{08359526-5C6C-34B1-7A07-DFF43A9375D8}"/>
                </a:ext>
              </a:extLst>
            </xdr:cNvPr>
            <xdr:cNvGraphicFramePr/>
          </xdr:nvGraphicFramePr>
          <xdr:xfrm>
            <a:off x="0" y="0"/>
            <a:ext cx="0" cy="0"/>
          </xdr:xfrm>
          <a:graphic>
            <a:graphicData uri="http://schemas.microsoft.com/office/drawing/2010/slicer">
              <sle:slicer xmlns:sle="http://schemas.microsoft.com/office/drawing/2010/slicer" name="Business Lines"/>
            </a:graphicData>
          </a:graphic>
        </xdr:graphicFrame>
      </mc:Choice>
      <mc:Fallback xmlns="">
        <xdr:sp macro="" textlink="">
          <xdr:nvSpPr>
            <xdr:cNvPr id="0" name=""/>
            <xdr:cNvSpPr>
              <a:spLocks noTextEdit="1"/>
            </xdr:cNvSpPr>
          </xdr:nvSpPr>
          <xdr:spPr>
            <a:xfrm>
              <a:off x="12349103" y="3929703"/>
              <a:ext cx="1924790" cy="1774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6527</xdr:colOff>
      <xdr:row>7</xdr:row>
      <xdr:rowOff>167285</xdr:rowOff>
    </xdr:from>
    <xdr:to>
      <xdr:col>12</xdr:col>
      <xdr:colOff>1744849</xdr:colOff>
      <xdr:row>22</xdr:row>
      <xdr:rowOff>27214</xdr:rowOff>
    </xdr:to>
    <mc:AlternateContent xmlns:mc="http://schemas.openxmlformats.org/markup-compatibility/2006" xmlns:a14="http://schemas.microsoft.com/office/drawing/2010/main">
      <mc:Choice Requires="a14">
        <xdr:graphicFrame macro="">
          <xdr:nvGraphicFramePr>
            <xdr:cNvPr id="16" name="LOB / Product Type">
              <a:extLst>
                <a:ext uri="{FF2B5EF4-FFF2-40B4-BE49-F238E27FC236}">
                  <a16:creationId xmlns:a16="http://schemas.microsoft.com/office/drawing/2014/main" id="{168FEBB3-30C6-6ADF-E327-B6B959BC5429}"/>
                </a:ext>
              </a:extLst>
            </xdr:cNvPr>
            <xdr:cNvGraphicFramePr/>
          </xdr:nvGraphicFramePr>
          <xdr:xfrm>
            <a:off x="0" y="0"/>
            <a:ext cx="0" cy="0"/>
          </xdr:xfrm>
          <a:graphic>
            <a:graphicData uri="http://schemas.microsoft.com/office/drawing/2010/slicer">
              <sle:slicer xmlns:sle="http://schemas.microsoft.com/office/drawing/2010/slicer" name="LOB / Product Type"/>
            </a:graphicData>
          </a:graphic>
        </xdr:graphicFrame>
      </mc:Choice>
      <mc:Fallback xmlns="">
        <xdr:sp macro="" textlink="">
          <xdr:nvSpPr>
            <xdr:cNvPr id="0" name=""/>
            <xdr:cNvSpPr>
              <a:spLocks noTextEdit="1"/>
            </xdr:cNvSpPr>
          </xdr:nvSpPr>
          <xdr:spPr>
            <a:xfrm>
              <a:off x="14307633" y="1500785"/>
              <a:ext cx="2523002" cy="2717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1900854</xdr:colOff>
      <xdr:row>0</xdr:row>
      <xdr:rowOff>22861</xdr:rowOff>
    </xdr:from>
    <xdr:to>
      <xdr:col>6</xdr:col>
      <xdr:colOff>663909</xdr:colOff>
      <xdr:row>7</xdr:row>
      <xdr:rowOff>152401</xdr:rowOff>
    </xdr:to>
    <mc:AlternateContent xmlns:mc="http://schemas.openxmlformats.org/markup-compatibility/2006" xmlns:a14="http://schemas.microsoft.com/office/drawing/2010/main">
      <mc:Choice Requires="a14">
        <xdr:graphicFrame macro="">
          <xdr:nvGraphicFramePr>
            <xdr:cNvPr id="23" name="Client">
              <a:extLst>
                <a:ext uri="{FF2B5EF4-FFF2-40B4-BE49-F238E27FC236}">
                  <a16:creationId xmlns:a16="http://schemas.microsoft.com/office/drawing/2014/main" id="{A0EF3EFD-15C1-5FF2-9093-BD00ED6E9349}"/>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1900854" y="22861"/>
              <a:ext cx="7431405"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7620</xdr:colOff>
      <xdr:row>0</xdr:row>
      <xdr:rowOff>22861</xdr:rowOff>
    </xdr:from>
    <xdr:to>
      <xdr:col>0</xdr:col>
      <xdr:colOff>1783976</xdr:colOff>
      <xdr:row>7</xdr:row>
      <xdr:rowOff>152401</xdr:rowOff>
    </xdr:to>
    <mc:AlternateContent xmlns:mc="http://schemas.openxmlformats.org/markup-compatibility/2006" xmlns:a14="http://schemas.microsoft.com/office/drawing/2010/main">
      <mc:Choice Requires="a14">
        <xdr:graphicFrame macro="">
          <xdr:nvGraphicFramePr>
            <xdr:cNvPr id="24" name="Client Geography">
              <a:extLst>
                <a:ext uri="{FF2B5EF4-FFF2-40B4-BE49-F238E27FC236}">
                  <a16:creationId xmlns:a16="http://schemas.microsoft.com/office/drawing/2014/main" id="{169BF9F7-8FBC-87F9-5EB4-92E265AF653B}"/>
                </a:ext>
              </a:extLst>
            </xdr:cNvPr>
            <xdr:cNvGraphicFramePr/>
          </xdr:nvGraphicFramePr>
          <xdr:xfrm>
            <a:off x="0" y="0"/>
            <a:ext cx="0" cy="0"/>
          </xdr:xfrm>
          <a:graphic>
            <a:graphicData uri="http://schemas.microsoft.com/office/drawing/2010/slicer">
              <sle:slicer xmlns:sle="http://schemas.microsoft.com/office/drawing/2010/slicer" name="Client Geography"/>
            </a:graphicData>
          </a:graphic>
        </xdr:graphicFrame>
      </mc:Choice>
      <mc:Fallback xmlns="">
        <xdr:sp macro="" textlink="">
          <xdr:nvSpPr>
            <xdr:cNvPr id="0" name=""/>
            <xdr:cNvSpPr>
              <a:spLocks noTextEdit="1"/>
            </xdr:cNvSpPr>
          </xdr:nvSpPr>
          <xdr:spPr>
            <a:xfrm>
              <a:off x="7620" y="22861"/>
              <a:ext cx="1776356"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1178725</xdr:colOff>
      <xdr:row>0</xdr:row>
      <xdr:rowOff>36469</xdr:rowOff>
    </xdr:from>
    <xdr:to>
      <xdr:col>12</xdr:col>
      <xdr:colOff>207820</xdr:colOff>
      <xdr:row>7</xdr:row>
      <xdr:rowOff>166009</xdr:rowOff>
    </xdr:to>
    <mc:AlternateContent xmlns:mc="http://schemas.openxmlformats.org/markup-compatibility/2006" xmlns:a14="http://schemas.microsoft.com/office/drawing/2010/main">
      <mc:Choice Requires="a14">
        <xdr:graphicFrame macro="">
          <xdr:nvGraphicFramePr>
            <xdr:cNvPr id="21" name="Country">
              <a:extLst>
                <a:ext uri="{FF2B5EF4-FFF2-40B4-BE49-F238E27FC236}">
                  <a16:creationId xmlns:a16="http://schemas.microsoft.com/office/drawing/2014/main" id="{672F8EB7-298A-844F-1066-364F0DD79C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905939" y="36469"/>
              <a:ext cx="1337773"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671092</xdr:colOff>
      <xdr:row>7</xdr:row>
      <xdr:rowOff>172691</xdr:rowOff>
    </xdr:from>
    <xdr:to>
      <xdr:col>10</xdr:col>
      <xdr:colOff>1592037</xdr:colOff>
      <xdr:row>15</xdr:row>
      <xdr:rowOff>9477</xdr:rowOff>
    </xdr:to>
    <mc:AlternateContent xmlns:mc="http://schemas.openxmlformats.org/markup-compatibility/2006" xmlns:a14="http://schemas.microsoft.com/office/drawing/2010/main">
      <mc:Choice Requires="a14">
        <xdr:graphicFrame macro="">
          <xdr:nvGraphicFramePr>
            <xdr:cNvPr id="13" name="Function (L1)">
              <a:extLst>
                <a:ext uri="{FF2B5EF4-FFF2-40B4-BE49-F238E27FC236}">
                  <a16:creationId xmlns:a16="http://schemas.microsoft.com/office/drawing/2014/main" id="{33570179-3270-52B6-C7A4-36C2BC7A2B65}"/>
                </a:ext>
              </a:extLst>
            </xdr:cNvPr>
            <xdr:cNvGraphicFramePr/>
          </xdr:nvGraphicFramePr>
          <xdr:xfrm>
            <a:off x="0" y="0"/>
            <a:ext cx="0" cy="0"/>
          </xdr:xfrm>
          <a:graphic>
            <a:graphicData uri="http://schemas.microsoft.com/office/drawing/2010/slicer">
              <sle:slicer xmlns:sle="http://schemas.microsoft.com/office/drawing/2010/slicer" name="Function (L1)"/>
            </a:graphicData>
          </a:graphic>
        </xdr:graphicFrame>
      </mc:Choice>
      <mc:Fallback xmlns="">
        <xdr:sp macro="" textlink="">
          <xdr:nvSpPr>
            <xdr:cNvPr id="0" name=""/>
            <xdr:cNvSpPr>
              <a:spLocks noTextEdit="1"/>
            </xdr:cNvSpPr>
          </xdr:nvSpPr>
          <xdr:spPr>
            <a:xfrm>
              <a:off x="12318807" y="1506191"/>
              <a:ext cx="1955086" cy="1360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680977</xdr:colOff>
      <xdr:row>15</xdr:row>
      <xdr:rowOff>24100</xdr:rowOff>
    </xdr:from>
    <xdr:to>
      <xdr:col>10</xdr:col>
      <xdr:colOff>1592038</xdr:colOff>
      <xdr:row>20</xdr:row>
      <xdr:rowOff>118689</xdr:rowOff>
    </xdr:to>
    <mc:AlternateContent xmlns:mc="http://schemas.openxmlformats.org/markup-compatibility/2006" xmlns:a14="http://schemas.microsoft.com/office/drawing/2010/main">
      <mc:Choice Requires="a14">
        <xdr:graphicFrame macro="">
          <xdr:nvGraphicFramePr>
            <xdr:cNvPr id="14" name="Work Type">
              <a:extLst>
                <a:ext uri="{FF2B5EF4-FFF2-40B4-BE49-F238E27FC236}">
                  <a16:creationId xmlns:a16="http://schemas.microsoft.com/office/drawing/2014/main" id="{C33079D4-62F1-DCD6-5375-769A57A07BF5}"/>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12328692" y="2881600"/>
              <a:ext cx="1945202" cy="1047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harma" refreshedDate="45873.77286041667" createdVersion="8" refreshedVersion="8" minRefreshableVersion="3" recordCount="611" xr:uid="{24A4B29C-C6D6-4A5B-A48D-DA263BA324F5}">
  <cacheSource type="worksheet">
    <worksheetSource ref="A1:BD409" sheet="2. Data Collection"/>
  </cacheSource>
  <cacheFields count="56">
    <cacheField name="Client" numFmtId="0">
      <sharedItems/>
    </cacheField>
    <cacheField name="Client Description" numFmtId="0">
      <sharedItems/>
    </cacheField>
    <cacheField name="Client Geography" numFmtId="0">
      <sharedItems/>
    </cacheField>
    <cacheField name="EXL Delivery Location" numFmtId="0">
      <sharedItems/>
    </cacheField>
    <cacheField name="Country" numFmtId="0">
      <sharedItems count="5">
        <s v="Drop Down"/>
        <s v="Philippines"/>
        <s v="India"/>
        <s v="South Africa"/>
        <s v="Colombia"/>
      </sharedItems>
    </cacheField>
    <cacheField name="EXL Process Manager" numFmtId="0">
      <sharedItems/>
    </cacheField>
    <cacheField name="Relationship Tenure (years)" numFmtId="0">
      <sharedItems containsMixedTypes="1" containsNumber="1" minValue="0" maxValue="18"/>
    </cacheField>
    <cacheField name="Current Status" numFmtId="0">
      <sharedItems count="3">
        <s v="Drop Down"/>
        <s v="Active"/>
        <s v="Inactive"/>
      </sharedItems>
    </cacheField>
    <cacheField name="Function (L1)" numFmtId="0">
      <sharedItems count="5">
        <s v="Drop Down"/>
        <s v="Claims"/>
        <s v="Underwriting and UW Support"/>
        <s v="Legal Support Services"/>
        <s v="Sales and Service"/>
      </sharedItems>
    </cacheField>
    <cacheField name="Function (L2) " numFmtId="0">
      <sharedItems count="17">
        <s v="Drop Down"/>
        <s v="Initiation"/>
        <s v="Broker and Agent Management"/>
        <s v="Policy Servicing"/>
        <s v="Information Gathering and Risk Selection"/>
        <s v="Issuance"/>
        <s v="Evaluation"/>
        <s v="Subrogation and Compliance"/>
        <s v="Litigation and Resolution"/>
        <s v="Investigation"/>
        <s v="Risk Assessment and Rating"/>
        <s v="Procurement"/>
        <s v="Premium Audit"/>
        <s v="Risk Control"/>
        <s v="Sales and Customer Support"/>
        <s v="Service and Upsell"/>
        <s v="Legal Support"/>
      </sharedItems>
    </cacheField>
    <cacheField name="Process Name (L3) " numFmtId="0">
      <sharedItems/>
    </cacheField>
    <cacheField name="Task Name" numFmtId="0">
      <sharedItems containsBlank="1" longText="1"/>
    </cacheField>
    <cacheField name="Process Description/ High-level steps" numFmtId="0">
      <sharedItems containsMixedTypes="1" containsNumber="1" minValue="0" maxValue="117" longText="1"/>
    </cacheField>
    <cacheField name="Business Lines" numFmtId="0">
      <sharedItems containsMixedTypes="1" containsNumber="1" minValue="0" maxValue="18"/>
    </cacheField>
    <cacheField name="LOB / Product Type" numFmtId="0">
      <sharedItems containsMixedTypes="1" containsNumber="1" containsInteger="1" minValue="0" maxValue="14"/>
    </cacheField>
    <cacheField name="LOB Breakup" numFmtId="0">
      <sharedItems containsMixedTypes="1" containsNumber="1" minValue="0" maxValue="25"/>
    </cacheField>
    <cacheField name="Market Type" numFmtId="0">
      <sharedItems containsMixedTypes="1" containsNumber="1" containsInteger="1" minValue="0" maxValue="159"/>
    </cacheField>
    <cacheField name="Work Type" numFmtId="0">
      <sharedItems containsMixedTypes="1" containsNumber="1" minValue="0" maxValue="1.2"/>
    </cacheField>
    <cacheField name="Complexity Level" numFmtId="0">
      <sharedItems containsMixedTypes="1" containsNumber="1" containsInteger="1" minValue="0" maxValue="420000"/>
    </cacheField>
    <cacheField name="Pre-Process Training Duration (weeks)" numFmtId="0">
      <sharedItems containsBlank="1" containsMixedTypes="1" containsNumber="1" minValue="0" maxValue="420000"/>
    </cacheField>
    <cacheField name="Process Training Duration (weeks)" numFmtId="0">
      <sharedItems containsMixedTypes="1" containsNumber="1" minValue="0" maxValue="20"/>
    </cacheField>
    <cacheField name="Ramp Duration (weeks)" numFmtId="0">
      <sharedItems containsMixedTypes="1" containsNumber="1" minValue="0.5" maxValue="42.38"/>
    </cacheField>
    <cacheField name="Pricing Model" numFmtId="0">
      <sharedItems containsMixedTypes="1" containsNumber="1" minValue="0.95" maxValue="0.95"/>
    </cacheField>
    <cacheField name="Pricing Currency" numFmtId="0">
      <sharedItems containsMixedTypes="1" containsNumber="1" minValue="0.76" maxValue="0.98"/>
    </cacheField>
    <cacheField name="Annual Rate" numFmtId="0">
      <sharedItems containsBlank="1" containsMixedTypes="1" containsNumber="1" minValue="0" maxValue="385560"/>
    </cacheField>
    <cacheField name="Billable FTEs" numFmtId="0">
      <sharedItems containsMixedTypes="1" containsNumber="1" minValue="0" maxValue="1300"/>
    </cacheField>
    <cacheField name="SME + QA + Trainer" numFmtId="0">
      <sharedItems containsBlank="1" containsMixedTypes="1" containsNumber="1" minValue="0" maxValue="88"/>
    </cacheField>
    <cacheField name="Supervisor" numFmtId="0">
      <sharedItems containsBlank="1" containsMixedTypes="1" containsNumber="1" minValue="0" maxValue="53"/>
    </cacheField>
    <cacheField name="Roster HC (Only Buffer Resources)" numFmtId="0">
      <sharedItems containsBlank="1" containsMixedTypes="1" containsNumber="1" minValue="0" maxValue="273"/>
    </cacheField>
    <cacheField name="Total Staff" numFmtId="0">
      <sharedItems containsMixedTypes="1" containsNumber="1" minValue="0" maxValue="1714" count="267">
        <s v="Free Text"/>
        <n v="129"/>
        <n v="15"/>
        <n v="21"/>
        <n v="25"/>
        <n v="46"/>
        <n v="24"/>
        <n v="28"/>
        <n v="13"/>
        <n v="14"/>
        <n v="11"/>
        <n v="22"/>
        <n v="33"/>
        <n v="8.5"/>
        <n v="5.5"/>
        <n v="2"/>
        <n v="61"/>
        <n v="10"/>
        <n v="31"/>
        <n v="4"/>
        <n v="3.1"/>
        <n v="7.1"/>
        <n v="4.0999999999999996"/>
        <n v="2.1"/>
        <n v="9.5"/>
        <n v="9.6"/>
        <n v="6.1"/>
        <n v="2.59"/>
        <n v="3.09"/>
        <n v="6.09"/>
        <n v="2.09"/>
        <n v="1.59"/>
        <n v="7.84"/>
        <n v="1.34"/>
        <n v="3.59"/>
        <n v="38"/>
        <n v="2.4"/>
        <n v="12.360000000000001"/>
        <n v="6.8"/>
        <n v="3.6"/>
        <n v="142"/>
        <n v="40.200000000000003"/>
        <n v="60"/>
        <n v="691.2"/>
        <n v="1714"/>
        <n v="45"/>
        <n v="68"/>
        <n v="8"/>
        <n v="17"/>
        <n v="7.5733333333333341"/>
        <n v="1.3433333333333333"/>
        <n v="2.2333333333333334"/>
        <n v="0.78333333333333333"/>
        <n v="0.82333333333333325"/>
        <n v="0.65333333333333332"/>
        <n v="0.18333333333333335"/>
        <n v="1.1133333333333333"/>
        <n v="0.6333333333333333"/>
        <n v="14.193333333333332"/>
        <n v="2.2820512820512819"/>
        <n v="1.2820512820512822"/>
        <n v="1.7820512820512822"/>
        <n v="3.2820512820512824"/>
        <n v="8.2820512820512828"/>
        <n v="5.2820512820512828"/>
        <n v="6.2820512820512828"/>
        <n v="4.2820512820512828"/>
        <n v="8.7820512820512828"/>
        <n v="2.7820512820512819"/>
        <n v="1.5320512820512822"/>
        <n v="9.9433333333333334"/>
        <n v="4.0533333333333328"/>
        <n v="10.083333333333332"/>
        <n v="10.41"/>
        <n v="2.41"/>
        <n v="4.41"/>
        <n v="8.41"/>
        <n v="1"/>
        <n v="1.5"/>
        <n v="0.5"/>
        <n v="5.3"/>
        <n v="8.34"/>
        <n v="2.93"/>
        <n v="2.6"/>
        <n v="5.0999999999999996"/>
        <n v="11.51"/>
        <n v="5.05"/>
        <n v="9.52"/>
        <n v="2.0499999999999998"/>
        <n v="2.13"/>
        <n v="29.380000000000003"/>
        <n v="1.9500000000000002"/>
        <n v="5.25"/>
        <n v="6.0500000000000007"/>
        <n v="3.3400000000000003"/>
        <n v="3.9000000000000004"/>
        <n v="7.4"/>
        <n v="2.2999999999999998"/>
        <n v="3.8"/>
        <n v="23.1"/>
        <n v="3.5"/>
        <n v="3"/>
        <n v="27"/>
        <n v="5"/>
        <n v="16"/>
        <n v="18"/>
        <n v="12"/>
        <n v="6"/>
        <n v="98"/>
        <n v="92"/>
        <n v="35"/>
        <n v="77"/>
        <n v="220"/>
        <n v="32"/>
        <n v="7"/>
        <n v="9"/>
        <n v="50"/>
        <n v="53"/>
        <n v="120"/>
        <n v="382"/>
        <n v="57"/>
        <n v="19"/>
        <n v="87"/>
        <n v="72"/>
        <n v="20"/>
        <n v="5.45"/>
        <n v="1.3"/>
        <n v="44"/>
        <n v="23"/>
        <s v="NA"/>
        <n v="0"/>
        <n v="34"/>
        <n v="6.1348271291966201"/>
        <n v="1.9774516693259199E-2"/>
        <n v="0.57919026321773526"/>
        <n v="6.6730349955064938E-2"/>
        <n v="1.7821179731270276E-2"/>
        <n v="0.08"/>
        <n v="2.0082667538361243E-2"/>
        <n v="6.9792502792690003"/>
        <n v="3.15"/>
        <n v="0.71062248965866204"/>
        <n v="1.1906725816118562E-2"/>
        <n v="0.57517928724651313"/>
        <n v="1.1130485116308726"/>
        <n v="5.8278159714811801"/>
        <n v="6.0907440774690702"/>
        <n v="1.2347975603487498"/>
        <n v="0.23"/>
        <n v="3.0500000000000003"/>
        <n v="0.11230819183115545"/>
        <n v="1.4107050682132754E-2"/>
        <n v="2.8938790335945146E-2"/>
        <n v="0.21"/>
        <n v="6.0754255736070392E-2"/>
        <n v="0.39593338103815673"/>
        <n v="0.34510214652633314"/>
        <n v="1.110764284033573"/>
        <n v="0.24843919647873494"/>
        <n v="0.20916349167827228"/>
        <n v="0.8233810222066853"/>
        <n v="0.65617328283784515"/>
        <n v="0.13899929830655089"/>
        <n v="0.43989846447565661"/>
        <n v="4.1552170181736798"/>
        <n v="0.56999999999999995"/>
        <n v="218"/>
        <n v="3.33"/>
        <n v="6.58"/>
        <n v="3.1700000000000004"/>
        <n v="2.15"/>
        <n v="3.69"/>
        <n v="2.27"/>
        <n v="2.4900000000000002"/>
        <n v="3.04"/>
        <n v="2.2000000000000002"/>
        <n v="2.83"/>
        <n v="4.93"/>
        <n v="2.65"/>
        <n v="3.5603268228572365"/>
        <n v="3.3423924975628139"/>
        <n v="4.8899999999999997"/>
        <n v="4.5199999999999996"/>
        <n v="5.08"/>
        <n v="3.85"/>
        <n v="3.68"/>
        <n v="3.5143371863110304"/>
        <n v="3.1599999999999997"/>
        <n v="3.57"/>
        <n v="3.5300000000000002"/>
        <n v="3.48"/>
        <n v="4.58"/>
        <n v="3.29"/>
        <n v="3.17"/>
        <n v="20.477229836600277"/>
        <n v="4.5999999999999996"/>
        <n v="2.6193110063091818"/>
        <n v="3.1064364535167455"/>
        <n v="2.4280089008495334"/>
        <n v="2.2504955124176536"/>
        <n v="2.1599999999999997"/>
        <n v="2.7127571992079291"/>
        <n v="7.2"/>
        <n v="2.2399443689589673"/>
        <n v="2.5169431541694318"/>
        <n v="2.2059868760598689"/>
        <n v="62.16"/>
        <n v="10.370000000000001"/>
        <n v="51.79"/>
        <n v="41.32"/>
        <n v="10.17"/>
        <n v="0.06"/>
        <n v="2.34"/>
        <n v="0.1"/>
        <n v="0.01"/>
        <n v="0.3"/>
        <n v="3.4"/>
        <n v="3.83"/>
        <n v="1.217014419095191"/>
        <n v="1.64"/>
        <n v="2.9079448988042862"/>
        <n v="2.3221718256638542"/>
        <n v="5.7362570526424761E-3"/>
        <n v="5.0000000000000001E-3"/>
        <n v="1.2"/>
        <n v="11.5"/>
        <n v="2.5"/>
        <n v="1.9"/>
        <n v="1.99"/>
        <n v="6.34"/>
        <n v="2.25"/>
        <n v="0.25"/>
        <n v="0.26"/>
        <n v="0.2"/>
        <n v="241"/>
        <n v="104"/>
        <n v="75"/>
        <n v="209"/>
        <n v="106"/>
        <n v="51"/>
        <n v="6.5"/>
        <n v="11.379999999999999"/>
        <n v="6.2"/>
        <n v="4.1500000000000004"/>
        <n v="1.6"/>
        <n v="1.56"/>
        <n v="3.16"/>
        <n v="2.0299999999999998"/>
        <n v="0.19"/>
        <n v="3.61"/>
        <n v="1.77"/>
        <n v="2.58"/>
        <n v="0.54"/>
        <n v="5.85"/>
        <n v="0.13"/>
        <n v="0.09"/>
        <n v="0.02"/>
        <n v="0.72"/>
        <n v="1.43"/>
        <n v="2.19"/>
        <n v="1.19"/>
        <n v="0.03"/>
        <n v="2.21"/>
        <n v="4.42"/>
        <n v="0.28000000000000003"/>
        <n v="0.88"/>
        <n v="0.4"/>
      </sharedItems>
    </cacheField>
    <cacheField name="Roster %" numFmtId="0">
      <sharedItems containsMixedTypes="1" containsNumber="1" minValue="0" maxValue="10"/>
    </cacheField>
    <cacheField name="Average Monthly Volume" numFmtId="0">
      <sharedItems containsBlank="1" containsMixedTypes="1" containsNumber="1" minValue="0" maxValue="218000"/>
    </cacheField>
    <cacheField name="Avergae Monthly Volume by LOB" numFmtId="0">
      <sharedItems containsBlank="1" containsMixedTypes="1" containsNumber="1" minValue="0" maxValue="153142"/>
    </cacheField>
    <cacheField name="Peak Volume Months" numFmtId="0">
      <sharedItems containsBlank="1"/>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acheField>
    <cacheField name="Additional Metrics - 1" numFmtId="0">
      <sharedItems containsBlank="1" containsMixedTypes="1" containsNumber="1" minValue="0.97" maxValue="0.97" longText="1"/>
    </cacheField>
    <cacheField name="Additional Metrics - 2" numFmtId="0">
      <sharedItems containsBlank="1"/>
    </cacheField>
    <cacheField name="Pain Points" numFmtId="0">
      <sharedItems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harma" refreshedDate="45939.881246527781" createdVersion="8" refreshedVersion="8" minRefreshableVersion="3" recordCount="812" xr:uid="{097F81B3-869D-43D0-8077-DCE47CFA7B4D}">
  <cacheSource type="worksheet">
    <worksheetSource ref="A1:BD1048576" sheet="2. Data Collection"/>
  </cacheSource>
  <cacheFields count="56">
    <cacheField name="Client" numFmtId="0">
      <sharedItems containsBlank="1" count="34">
        <s v="Free Text"/>
        <s v="Nationwide"/>
        <s v="American Modern Insurance Group"/>
        <s v="RSA Insurance"/>
        <s v="Kemper"/>
        <s v="Assurant Solutions"/>
        <s v="CNA"/>
        <s v="ZAUS"/>
        <s v="Hanover"/>
        <s v="Fidelis"/>
        <s v="Hollard"/>
        <s v="Convex"/>
        <s v="MAPFRE"/>
        <s v="Allstate"/>
        <s v="DLG"/>
        <s v="Everest Global Services"/>
        <s v="Insurance Australia Group"/>
        <s v="ZNA"/>
        <s v="Suncorp"/>
        <s v="Esure"/>
        <s v="Liberty Mutual Insurance Company"/>
        <s v="Berkshire Hathaway Guard"/>
        <s v="Hartford"/>
        <s v="AIG"/>
        <s v="Amerisure"/>
        <s v="IAT Insurance Group, Inc"/>
        <s v="QBE Holding"/>
        <s v="USAA"/>
        <s v="Farmers"/>
        <s v="CAN"/>
        <s v="Liberty Mutual Insurance"/>
        <m/>
        <s v="Nationwide LSS" u="1"/>
        <s v="AON" u="1"/>
      </sharedItems>
    </cacheField>
    <cacheField name="Client Description" numFmtId="0">
      <sharedItems containsBlank="1"/>
    </cacheField>
    <cacheField name="Client Geography" numFmtId="0">
      <sharedItems containsBlank="1" count="8">
        <s v="Drop Down"/>
        <s v="North America"/>
        <s v="US"/>
        <s v="UK"/>
        <s v="Canada"/>
        <s v="Australia"/>
        <m/>
        <s v="Global" u="1"/>
      </sharedItems>
    </cacheField>
    <cacheField name="EXL Delivery Location" numFmtId="0">
      <sharedItems containsBlank="1" count="25">
        <s v="Drop Down"/>
        <s v="Manila, PHP"/>
        <s v="Cebu, PHP"/>
        <s v="Noida, India"/>
        <s v="Pune, India"/>
        <s v="Cape Town, South Africa"/>
        <s v="Alabang, PHP"/>
        <s v="Pasay, PHP"/>
        <s v="Bogota, COL"/>
        <s v="George, South Africa"/>
        <s v="Noida &amp; Pune, India"/>
        <s v="Hyderabad, India"/>
        <s v="Chennai, India"/>
        <s v="US Onshore"/>
        <m/>
        <s v="Cebu, Manila, PHP" u="1"/>
        <s v="Cape Town and George, South Africa" u="1"/>
        <s v="Manila and Cebu, PHP_x000a_" u="1"/>
        <s v="Free Text" u="1"/>
        <s v="Manila. Philippines" u="1"/>
        <s v="Manila and Cebu, PHP_x000a_Cape Town and George, SA" u="1"/>
        <s v="Manila &amp; Cebu, PHP" u="1"/>
        <s v="Cape Town and George, SA" u="1"/>
        <s v="Manila &amp; Cebu - PHP, Cape Town - SA" u="1"/>
        <s v="Noida " u="1"/>
      </sharedItems>
    </cacheField>
    <cacheField name="Country" numFmtId="0">
      <sharedItems containsBlank="1" count="9">
        <s v="Autopopulated Field"/>
        <s v="Philippines"/>
        <s v="India"/>
        <s v="South Africa"/>
        <s v="Colombia"/>
        <e v="#N/A"/>
        <m/>
        <s v="US" u="1"/>
        <s v="Drop Down" u="1"/>
      </sharedItems>
    </cacheField>
    <cacheField name="EXL Process Manager" numFmtId="0">
      <sharedItems containsBlank="1"/>
    </cacheField>
    <cacheField name="Relationship Tenure (years)" numFmtId="0">
      <sharedItems containsBlank="1" containsMixedTypes="1" containsNumber="1" minValue="0" maxValue="20"/>
    </cacheField>
    <cacheField name="Current Status" numFmtId="0">
      <sharedItems containsBlank="1" count="4">
        <s v="Drop Down"/>
        <s v="Active"/>
        <s v="Inactive"/>
        <m/>
      </sharedItems>
    </cacheField>
    <cacheField name="Function (L1)" numFmtId="0">
      <sharedItems containsBlank="1" count="6">
        <s v="Drop Down"/>
        <s v="Claims"/>
        <s v="Underwriting and UW Support"/>
        <s v="Sales and Service"/>
        <s v="Legal Support Services"/>
        <m/>
      </sharedItems>
    </cacheField>
    <cacheField name="Function (L2) " numFmtId="0">
      <sharedItems containsBlank="1" count="19">
        <s v="Drop Down"/>
        <s v="Initiation"/>
        <s v="Broker and Agent Management"/>
        <s v="Policy Servicing"/>
        <s v="Investigation"/>
        <s v="Information Gathering and Risk Selection"/>
        <s v="Issuance"/>
        <s v="Evaluation"/>
        <s v="Subrogation and Compliance"/>
        <s v="Litigation and Resolution"/>
        <s v="Premium Audit"/>
        <s v="Risk Assessment and Rating"/>
        <s v="Risk Control"/>
        <s v="Sales and Customer Support"/>
        <s v="Pricing and Negotiation"/>
        <s v="Procurement"/>
        <s v="Service and Upsell"/>
        <s v="Legal Support"/>
        <m/>
      </sharedItems>
    </cacheField>
    <cacheField name="Process Name (L3) " numFmtId="0">
      <sharedItems containsBlank="1"/>
    </cacheField>
    <cacheField name="Task Name" numFmtId="0">
      <sharedItems containsBlank="1" longText="1"/>
    </cacheField>
    <cacheField name="Process Description/ High-level steps" numFmtId="0">
      <sharedItems containsBlank="1" longText="1"/>
    </cacheField>
    <cacheField name="Business Lines" numFmtId="0">
      <sharedItems containsBlank="1" count="11">
        <s v="Drop Down"/>
        <s v="Personal"/>
        <s v="Specialty"/>
        <s v="Commercial"/>
        <s v="Commercial &amp; Specialty"/>
        <s v="London Market"/>
        <s v="Personal &amp; Commercial"/>
        <m/>
        <s v="Personal " u="1"/>
        <s v="Commercial " u="1"/>
        <s v="Personal &amp; Specialty" u="1"/>
      </sharedItems>
    </cacheField>
    <cacheField name="LOB / Product Type" numFmtId="0">
      <sharedItems containsBlank="1" count="22">
        <s v="Drop Down"/>
        <s v="Auto"/>
        <s v="Property"/>
        <s v="Multi/ Combination"/>
        <s v="Auto &amp; Property"/>
        <s v="WC"/>
        <s v="Auto, WC &amp; Property"/>
        <s v="Specialty"/>
        <s v="Small Business"/>
        <s v="Package"/>
        <s v="Motor"/>
        <s v="Motor, Property &amp; Liability"/>
        <s v="Insurance"/>
        <s v="Property &amp; Casualty"/>
        <s v="GL"/>
        <s v="General Liability"/>
        <s v="ALL LOB"/>
        <s v="UMB"/>
        <s v="Auto, Domestic Casualty"/>
        <s v="Accident &amp; Health"/>
        <m/>
        <s v="Claims" u="1"/>
      </sharedItems>
    </cacheField>
    <cacheField name="LOB Breakup" numFmtId="0">
      <sharedItems containsBlank="1"/>
    </cacheField>
    <cacheField name="Market Type" numFmtId="0">
      <sharedItems containsBlank="1"/>
    </cacheField>
    <cacheField name="Work Type" numFmtId="0">
      <sharedItems containsBlank="1" count="6">
        <s v="Drop Down"/>
        <s v="Voice"/>
        <s v="Blended"/>
        <s v="Back Office"/>
        <s v="Voice and Webchat"/>
        <m/>
      </sharedItems>
    </cacheField>
    <cacheField name="Complexity Level" numFmtId="0">
      <sharedItems containsBlank="1"/>
    </cacheField>
    <cacheField name="Pre-Process Training Duration (weeks)" numFmtId="0">
      <sharedItems containsBlank="1" containsMixedTypes="1" containsNumber="1" minValue="0" maxValue="4"/>
    </cacheField>
    <cacheField name="Process Training Duration (weeks)" numFmtId="0">
      <sharedItems containsBlank="1" containsMixedTypes="1" containsNumber="1" minValue="0" maxValue="16"/>
    </cacheField>
    <cacheField name="Ramp Duration (weeks)" numFmtId="0">
      <sharedItems containsBlank="1" containsMixedTypes="1" containsNumber="1" minValue="0.5" maxValue="20"/>
    </cacheField>
    <cacheField name="Pricing Model" numFmtId="0">
      <sharedItems containsBlank="1"/>
    </cacheField>
    <cacheField name="Pricing Currency" numFmtId="0">
      <sharedItems containsBlank="1"/>
    </cacheField>
    <cacheField name="Annual Rate" numFmtId="0">
      <sharedItems containsBlank="1" containsMixedTypes="1" containsNumber="1" minValue="0" maxValue="1244988"/>
    </cacheField>
    <cacheField name="Billable FTEs" numFmtId="0">
      <sharedItems containsBlank="1" containsMixedTypes="1" containsNumber="1" minValue="0" maxValue="250"/>
    </cacheField>
    <cacheField name="SME + QA + Trainer" numFmtId="0">
      <sharedItems containsBlank="1" containsMixedTypes="1" containsNumber="1" minValue="0" maxValue="30"/>
    </cacheField>
    <cacheField name="Supervisor" numFmtId="0">
      <sharedItems containsBlank="1" containsMixedTypes="1" containsNumber="1" minValue="0" maxValue="30"/>
    </cacheField>
    <cacheField name="Roster HC (Only Buffer Resources)" numFmtId="0">
      <sharedItems containsBlank="1" containsMixedTypes="1" containsNumber="1" minValue="0" maxValue="50"/>
    </cacheField>
    <cacheField name="Total Staff" numFmtId="0">
      <sharedItems containsBlank="1" containsMixedTypes="1" containsNumber="1" minValue="0" maxValue="332"/>
    </cacheField>
    <cacheField name="Roster %" numFmtId="0">
      <sharedItems containsBlank="1" containsMixedTypes="1" containsNumber="1" minValue="0" maxValue="1"/>
    </cacheField>
    <cacheField name="Average Monthly Volume" numFmtId="0">
      <sharedItems containsBlank="1" containsMixedTypes="1" containsNumber="1" minValue="0" maxValue="420000"/>
    </cacheField>
    <cacheField name="Avergae Monthly Volume by LOB" numFmtId="0">
      <sharedItems containsBlank="1" containsMixedTypes="1" containsNumber="1" minValue="0" maxValue="420000"/>
    </cacheField>
    <cacheField name="Peak Volume Months" numFmtId="0">
      <sharedItems containsBlank="1" containsMixedTypes="1" containsNumber="1" containsInteger="1" minValue="0" maxValue="0"/>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ontainsBlank="1"/>
    </cacheField>
    <cacheField name="Additional Metrics - 1" numFmtId="0">
      <sharedItems containsBlank="1" containsMixedTypes="1" containsNumber="1" minValue="0.97" maxValue="0.97"/>
    </cacheField>
    <cacheField name="Additional Metrics - 2" numFmtId="0">
      <sharedItems containsBlank="1"/>
    </cacheField>
    <cacheField name="Pain Points" numFmtId="0">
      <sharedItems containsBlank="1"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ontainsBlank="1"/>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containsBlank="1" longText="1"/>
    </cacheField>
  </cacheFields>
  <extLst>
    <ext xmlns:x14="http://schemas.microsoft.com/office/spreadsheetml/2009/9/main" uri="{725AE2AE-9491-48be-B2B4-4EB974FC3084}">
      <x14:pivotCacheDefinition pivotCacheId="12594644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L" refreshedDate="46012.584876736109" createdVersion="8" refreshedVersion="8" minRefreshableVersion="3" recordCount="811" xr:uid="{868A83CA-98F7-40A8-B942-44F87957E811}">
  <cacheSource type="worksheet">
    <worksheetSource ref="A1:BD812" sheet="2. Data Collection"/>
  </cacheSource>
  <cacheFields count="56">
    <cacheField name="Client" numFmtId="0">
      <sharedItems containsBlank="1" count="31">
        <s v="Free Text"/>
        <s v="Nationwide"/>
        <s v="American Modern Insurance Group"/>
        <s v="RSA Insurance"/>
        <s v="Kemper"/>
        <s v="Assurant Solutions"/>
        <s v="CNA"/>
        <s v="ZAUS"/>
        <s v="Hanover"/>
        <s v="Fidelis"/>
        <s v="Hollard"/>
        <s v="Convex"/>
        <s v="MAPFRE"/>
        <s v="Allstate"/>
        <s v="DLG"/>
        <s v="Everest Global Services"/>
        <s v="Insurance Australia Group"/>
        <s v="ZNA"/>
        <s v="Suncorp"/>
        <s v="Esure"/>
        <s v="Liberty Mutual Insurance Company"/>
        <s v="Berkshire Hathaway Guard"/>
        <s v="Hartford"/>
        <s v="AIG"/>
        <s v="Amerisure"/>
        <s v="IAT Insurance Group, Inc"/>
        <s v="QBE Holding"/>
        <s v="USAA"/>
        <s v="Farmers"/>
        <s v="Liberty Mutual Insurance"/>
        <m/>
      </sharedItems>
    </cacheField>
    <cacheField name="Client Description" numFmtId="0">
      <sharedItems containsBlank="1"/>
    </cacheField>
    <cacheField name="Client Geography" numFmtId="0">
      <sharedItems containsBlank="1"/>
    </cacheField>
    <cacheField name="EXL Delivery Location" numFmtId="0">
      <sharedItems containsBlank="1"/>
    </cacheField>
    <cacheField name="Country" numFmtId="0">
      <sharedItems/>
    </cacheField>
    <cacheField name="EXL Process Manager" numFmtId="0">
      <sharedItems containsBlank="1"/>
    </cacheField>
    <cacheField name="Relationship Tenure (years)" numFmtId="0">
      <sharedItems containsBlank="1" containsMixedTypes="1" containsNumber="1" minValue="0" maxValue="20"/>
    </cacheField>
    <cacheField name="Current Status" numFmtId="0">
      <sharedItems containsBlank="1" count="4">
        <s v="Drop Down"/>
        <s v="Active"/>
        <s v="Inactive"/>
        <m/>
      </sharedItems>
    </cacheField>
    <cacheField name="Function (L1)" numFmtId="0">
      <sharedItems containsBlank="1" count="6">
        <s v="Drop Down"/>
        <s v="Claims"/>
        <s v="Underwriting and UW Support"/>
        <s v="Sales and Service"/>
        <s v="Legal Support Services"/>
        <m/>
      </sharedItems>
    </cacheField>
    <cacheField name="Function (L2) " numFmtId="0">
      <sharedItems containsBlank="1" count="19">
        <s v="Drop Down"/>
        <s v="Initiation"/>
        <s v="Broker and Agent Management"/>
        <s v="Policy Servicing"/>
        <s v="Investigation"/>
        <s v="Information Gathering and Risk Selection"/>
        <s v="Issuance"/>
        <s v="Evaluation"/>
        <s v="Subrogation and Compliance"/>
        <s v="Litigation and Resolution"/>
        <s v="Premium Audit"/>
        <s v="Risk Assessment and Rating"/>
        <s v="Risk Control"/>
        <s v="Sales and Customer Support"/>
        <s v="Pricing and Negotiation"/>
        <s v="Procurement"/>
        <s v="Service and Upsell"/>
        <s v="Legal Support"/>
        <m/>
      </sharedItems>
    </cacheField>
    <cacheField name="Process Name (L3) " numFmtId="0">
      <sharedItems containsBlank="1"/>
    </cacheField>
    <cacheField name="Task Name" numFmtId="0">
      <sharedItems containsBlank="1" longText="1"/>
    </cacheField>
    <cacheField name="Process Description/ High-level steps" numFmtId="0">
      <sharedItems containsBlank="1" longText="1"/>
    </cacheField>
    <cacheField name="Business Lines" numFmtId="0">
      <sharedItems containsBlank="1"/>
    </cacheField>
    <cacheField name="LOB / Product Type" numFmtId="0">
      <sharedItems containsBlank="1" count="21">
        <s v="Drop Down"/>
        <s v="Auto"/>
        <s v="Property"/>
        <s v="Multi/ Combination"/>
        <s v="Auto &amp; Property"/>
        <s v="WC"/>
        <s v="Auto, WC &amp; Property"/>
        <s v="Specialty"/>
        <s v="Small Business"/>
        <s v="Package"/>
        <s v="Motor"/>
        <s v="Motor, Property &amp; Liability"/>
        <s v="Insurance"/>
        <s v="Property &amp; Casualty"/>
        <s v="GL"/>
        <s v="General Liability"/>
        <s v="ALL LOB"/>
        <s v="UMB"/>
        <s v="Auto, Domestic Casualty"/>
        <s v="Accident &amp; Health"/>
        <m/>
      </sharedItems>
    </cacheField>
    <cacheField name="LOB Breakup" numFmtId="0">
      <sharedItems containsBlank="1"/>
    </cacheField>
    <cacheField name="Market Type" numFmtId="0">
      <sharedItems containsBlank="1"/>
    </cacheField>
    <cacheField name="Work Type" numFmtId="0">
      <sharedItems containsBlank="1"/>
    </cacheField>
    <cacheField name="Complexity Level" numFmtId="0">
      <sharedItems containsBlank="1"/>
    </cacheField>
    <cacheField name="Pre-Process Training Duration (weeks)" numFmtId="0">
      <sharedItems containsBlank="1" containsMixedTypes="1" containsNumber="1" minValue="0" maxValue="4"/>
    </cacheField>
    <cacheField name="Process Training Duration (weeks)" numFmtId="0">
      <sharedItems containsBlank="1" containsMixedTypes="1" containsNumber="1" minValue="0" maxValue="16"/>
    </cacheField>
    <cacheField name="Ramp Duration (weeks)" numFmtId="0">
      <sharedItems containsBlank="1" containsMixedTypes="1" containsNumber="1" minValue="0.5" maxValue="20"/>
    </cacheField>
    <cacheField name="Pricing Model" numFmtId="0">
      <sharedItems containsBlank="1"/>
    </cacheField>
    <cacheField name="Pricing Currency" numFmtId="0">
      <sharedItems containsBlank="1"/>
    </cacheField>
    <cacheField name="Annual Rate" numFmtId="0">
      <sharedItems containsBlank="1" containsMixedTypes="1" containsNumber="1" minValue="0" maxValue="1244988"/>
    </cacheField>
    <cacheField name="Billable FTEs" numFmtId="0">
      <sharedItems containsBlank="1" containsMixedTypes="1" containsNumber="1" minValue="0" maxValue="250"/>
    </cacheField>
    <cacheField name="SME + QA + Trainer" numFmtId="0">
      <sharedItems containsBlank="1" containsMixedTypes="1" containsNumber="1" minValue="0" maxValue="30"/>
    </cacheField>
    <cacheField name="Supervisor" numFmtId="0">
      <sharedItems containsBlank="1" containsMixedTypes="1" containsNumber="1" minValue="0" maxValue="30"/>
    </cacheField>
    <cacheField name="Roster HC (Only Buffer Resources)" numFmtId="0">
      <sharedItems containsBlank="1" containsMixedTypes="1" containsNumber="1" minValue="0" maxValue="50"/>
    </cacheField>
    <cacheField name="Total Staff" numFmtId="0">
      <sharedItems containsBlank="1" containsMixedTypes="1" containsNumber="1" minValue="0" maxValue="332"/>
    </cacheField>
    <cacheField name="Roster %" numFmtId="0">
      <sharedItems containsBlank="1" containsMixedTypes="1" containsNumber="1" minValue="0" maxValue="1"/>
    </cacheField>
    <cacheField name="Average Monthly Volume" numFmtId="0">
      <sharedItems containsBlank="1" containsMixedTypes="1" containsNumber="1" minValue="0" maxValue="420000"/>
    </cacheField>
    <cacheField name="Avergae Monthly Volume by LOB" numFmtId="0">
      <sharedItems containsBlank="1" containsMixedTypes="1" containsNumber="1" minValue="0" maxValue="420000"/>
    </cacheField>
    <cacheField name="Peak Volume Months" numFmtId="0">
      <sharedItems containsBlank="1" containsMixedTypes="1" containsNumber="1" containsInteger="1" minValue="0" maxValue="0"/>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ontainsBlank="1"/>
    </cacheField>
    <cacheField name="Additional Metrics - 1" numFmtId="0">
      <sharedItems containsBlank="1" containsMixedTypes="1" containsNumber="1" minValue="0.97" maxValue="0.97"/>
    </cacheField>
    <cacheField name="Additional Metrics - 2" numFmtId="0">
      <sharedItems containsBlank="1"/>
    </cacheField>
    <cacheField name="Pain Points" numFmtId="0">
      <sharedItems containsBlank="1"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ontainsBlank="1"/>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s v="Free Text"/>
    <s v="Free Text"/>
    <s v="Drop Down"/>
    <s v="Free Text"/>
    <x v="0"/>
    <s v="Free Text"/>
    <s v="Free Text"/>
    <x v="0"/>
    <x v="0"/>
    <x v="0"/>
    <s v="Drop Down"/>
    <s v="Free Text"/>
    <s v="Free Text"/>
    <s v="Drop Down"/>
    <s v="Drop Down"/>
    <s v="Free Text"/>
    <s v="Drop Down"/>
    <s v="Drop Down"/>
    <s v="Drop Down"/>
    <s v="Free Text"/>
    <s v="Free Text"/>
    <s v="Free Text"/>
    <s v="Drop Down"/>
    <s v="Drop Down"/>
    <s v="Free Text"/>
    <s v="Free Text"/>
    <s v="Free Text"/>
    <s v="Free Text"/>
    <s v="Free Text"/>
    <x v="0"/>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s v="Nationwide"/>
    <s v="Fortune 500 &amp; Large US Insurance carrier"/>
    <s v="North America"/>
    <s v="Cebu, Manila,Philippines"/>
    <x v="1"/>
    <s v="Chona Mae Catimbang"/>
    <s v="3 months"/>
    <x v="1"/>
    <x v="1"/>
    <x v="1"/>
    <s v="First Notice of Loss Calls"/>
    <s v="Auto FNOL |Property FNOL | Inquiry calls | ACM, Large loss| Auto FNOL | Property FNOL_x000a_Inquiry calls | ACM, Large loss | Auto FNOL - Spanish lines | Property FNOL - Spanish lines"/>
    <s v="Receive first notice of loss calls for auto collisions, accidents and any type of loss related to automobile/vehicle_x000a_Receive first notice of loss calls for property loss - weather related, wind hail, hurricane, tornadoes etc._x000a_Receive calls from policyholders on FNOL inquiries and existing claims_x000a_Receive calls for large loss greater than 10,000 USD"/>
    <s v="Personal "/>
    <s v="Multi/ Combination"/>
    <s v="Auto, Property"/>
    <s v="All"/>
    <s v="Voice"/>
    <s v="L3"/>
    <n v="4"/>
    <n v="6"/>
    <n v="16"/>
    <s v="Transaction Based "/>
    <s v="USD"/>
    <m/>
    <n v="90"/>
    <n v="2"/>
    <n v="7"/>
    <n v="30"/>
    <x v="1"/>
    <n v="0.67"/>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Chona Mae Catimbang"/>
    <s v="3 months"/>
    <x v="1"/>
    <x v="1"/>
    <x v="1"/>
    <s v="First Notice of Loss Calls"/>
    <s v="Auto FNOL - Spanish lines"/>
    <s v="Receive first notice of loss calls for auto collissions, accidents and any type of loss related to automobile/vehicle"/>
    <s v="Personal "/>
    <s v="Multi/ Combination"/>
    <s v="Auto, Property"/>
    <s v="All"/>
    <s v="Voice"/>
    <s v="L3"/>
    <n v="4"/>
    <n v="6"/>
    <n v="16"/>
    <s v="Transaction Based "/>
    <s v="USD"/>
    <m/>
    <n v="12"/>
    <n v="2"/>
    <n v="1"/>
    <n v="2"/>
    <x v="2"/>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Chona Mae Catimbang"/>
    <s v="3 months"/>
    <x v="1"/>
    <x v="1"/>
    <x v="1"/>
    <s v="First Notice of Loss Calls"/>
    <s v="Property FNOL - Spanish lines"/>
    <s v="Receive first notice of loss calls for property loss - weather related, wind hail, hurricane, tornadoes etc."/>
    <s v="Personal "/>
    <s v="Multi/ Combination"/>
    <s v="Auto, Property"/>
    <s v="All"/>
    <s v="Voice"/>
    <s v="L3"/>
    <n v="4"/>
    <n v="6"/>
    <n v="16"/>
    <s v="Transaction Based "/>
    <s v="USD"/>
    <m/>
    <n v="12"/>
    <n v="2"/>
    <n v="1"/>
    <n v="2"/>
    <x v="2"/>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Manila,Philippines"/>
    <x v="1"/>
    <s v="David De Vera"/>
    <s v="3 months"/>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
    <s v="Multi/ Combination"/>
    <s v="Auto, Property"/>
    <s v="All"/>
    <s v="Voice"/>
    <s v="L3"/>
    <n v="4"/>
    <n v="6"/>
    <n v="11"/>
    <s v="Transaction Based "/>
    <s v="USD"/>
    <m/>
    <n v="15"/>
    <n v="2"/>
    <n v="1"/>
    <n v="3"/>
    <x v="3"/>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David De Vera"/>
    <s v="3 months"/>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
    <s v="Multi/ Combination"/>
    <s v="Auto, Property"/>
    <s v="All"/>
    <s v="Voice"/>
    <s v="L3"/>
    <n v="4"/>
    <n v="6"/>
    <n v="11"/>
    <s v="Transaction Based "/>
    <s v="USD"/>
    <m/>
    <n v="15"/>
    <n v="2"/>
    <n v="1"/>
    <n v="3"/>
    <x v="3"/>
    <n v="0.83"/>
    <m/>
    <m/>
    <m/>
    <m/>
    <m/>
    <n v="0.95"/>
    <s v="Weighted DPO – Weighted Defect Per Opportunity"/>
    <m/>
    <m/>
    <s v="Quality methodology"/>
    <m/>
    <m/>
    <m/>
    <m/>
    <m/>
    <m/>
    <m/>
    <m/>
    <s v="Onshore clients"/>
    <s v="FNOL, Inquiry"/>
    <s v="Unstructured"/>
    <m/>
    <s v="Multiple"/>
    <s v="Policyholders, agent, 3rd party"/>
    <s v="Claims Center"/>
  </r>
  <r>
    <s v="Nationwide"/>
    <s v="Fortune 500 &amp; Large US Insurance carrier"/>
    <s v="North America"/>
    <s v="Cebu, Manila,Philippines"/>
    <x v="1"/>
    <s v="David De Vera"/>
    <s v="3 months"/>
    <x v="1"/>
    <x v="1"/>
    <x v="1"/>
    <s v="First Notice of Loss Calls"/>
    <s v="FNOL, Inquiry calls"/>
    <s v="Receive first notice of loss calls for business auto and property loss - weather related, wind hail, hurricane, tornadoes etc._x000a_Receive calls from policyholders on FNOL incuiries and existing claims"/>
    <s v="Personal &amp; Specialty"/>
    <s v="Multi/ Combination"/>
    <s v="Auto, Property"/>
    <s v="All"/>
    <s v="Voice"/>
    <s v="L3"/>
    <n v="4"/>
    <n v="6"/>
    <n v="20"/>
    <s v="Transaction Based "/>
    <s v="USD"/>
    <m/>
    <n v="19"/>
    <n v="2"/>
    <n v="2"/>
    <n v="2"/>
    <x v="4"/>
    <n v="0.9"/>
    <m/>
    <m/>
    <m/>
    <m/>
    <m/>
    <n v="0.95"/>
    <s v="Weighted DPO – Weighted Defect Per Opportunity"/>
    <m/>
    <m/>
    <s v="Quality methodology"/>
    <m/>
    <m/>
    <m/>
    <m/>
    <m/>
    <m/>
    <m/>
    <m/>
    <s v="Onshore clients"/>
    <s v="FNOL, Inquiry"/>
    <s v="Unstructured"/>
    <m/>
    <s v="Multiple"/>
    <s v="Policyholders, agent, 3rd party"/>
    <s v="Claims Center"/>
  </r>
  <r>
    <s v="Nationwide"/>
    <s v="Fortune 500 &amp; Large US Insurance carrier"/>
    <s v="North America"/>
    <s v="Manila,Philippines"/>
    <x v="1"/>
    <s v="John Pin Onrade"/>
    <s v="3 months"/>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s v="Personal "/>
    <s v="Multi/ Combination"/>
    <s v="Auto"/>
    <s v="All"/>
    <s v="Blended"/>
    <s v="L2"/>
    <n v="2"/>
    <n v="5"/>
    <n v="6"/>
    <s v="FTE Based"/>
    <s v="USD"/>
    <m/>
    <n v="28"/>
    <n v="3"/>
    <n v="2"/>
    <n v="13"/>
    <x v="5"/>
    <n v="0.68"/>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John Pin Onrade"/>
    <s v="3 months"/>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s v="Personal "/>
    <s v="Multi/ Combination"/>
    <s v="Auto"/>
    <s v="All"/>
    <s v="Back Office"/>
    <s v="L2"/>
    <n v="2"/>
    <n v="5"/>
    <n v="6"/>
    <s v="FTE Based"/>
    <s v="USD"/>
    <m/>
    <n v="16"/>
    <n v="3"/>
    <n v="2"/>
    <n v="3"/>
    <x v="6"/>
    <n v="0.84"/>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s v="Nationwide"/>
    <s v="Fortune 500 &amp; Large US Insurance carrier"/>
    <s v="North America"/>
    <s v="Manila,Philippines"/>
    <x v="1"/>
    <s v="John Pin Onrade"/>
    <s v="3 months"/>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s v="Personal "/>
    <s v="Multi/ Combination"/>
    <s v="Auto"/>
    <s v="All"/>
    <s v="Blended"/>
    <s v="L2"/>
    <n v="2"/>
    <n v="5"/>
    <n v="6"/>
    <s v="FTE Based"/>
    <s v="USD"/>
    <m/>
    <n v="9"/>
    <n v="4"/>
    <n v="2"/>
    <n v="13"/>
    <x v="7"/>
    <n v="0.69"/>
    <m/>
    <m/>
    <m/>
    <m/>
    <m/>
    <n v="0.9"/>
    <s v="DPU – Defect Per Unit"/>
    <m/>
    <m/>
    <s v="Quality methodology"/>
    <m/>
    <m/>
    <m/>
    <m/>
    <m/>
    <m/>
    <m/>
    <m/>
    <s v="Onshore clients"/>
    <s v="FNOL Processing"/>
    <s v="Unstructured"/>
    <m/>
    <s v="Multiple"/>
    <s v="Policyholders, agent, 3rd party"/>
    <s v="Claim center, Gateway, ISO, AWD"/>
  </r>
  <r>
    <s v="Nationwide"/>
    <s v="Fortune 500 &amp; Large US Insurance carrier"/>
    <s v="North America"/>
    <s v="Manila,Philippines"/>
    <x v="1"/>
    <s v="Cherree Anne Leones"/>
    <s v="3 months"/>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s v="Commercial "/>
    <s v="Multi/ Combination"/>
    <s v="Commercial"/>
    <s v="All"/>
    <s v="Blended"/>
    <s v="L2"/>
    <n v="2"/>
    <n v="7"/>
    <n v="4"/>
    <s v="FTE Based"/>
    <s v="USD"/>
    <m/>
    <n v="7"/>
    <n v="2"/>
    <n v="1"/>
    <n v="3"/>
    <x v="8"/>
    <n v="0.7"/>
    <m/>
    <m/>
    <m/>
    <m/>
    <m/>
    <n v="0.9"/>
    <s v="DPU – Defect Per Unit"/>
    <m/>
    <m/>
    <s v="Quality methodology"/>
    <m/>
    <m/>
    <m/>
    <m/>
    <m/>
    <m/>
    <m/>
    <m/>
    <s v="Onshore clients"/>
    <s v="Workers Compensation"/>
    <s v="Unstructured"/>
    <m/>
    <s v="Multiple"/>
    <s v="Business, agents, providers"/>
    <s v="Claim Center, Genesys, Outlook Mailbox, Fax Link, ISO, Private Client"/>
  </r>
  <r>
    <s v="Nationwide"/>
    <s v="Fortune 500 &amp; Large US Insurance carrier"/>
    <s v="North America"/>
    <s v="Manila,Philippines"/>
    <x v="1"/>
    <s v="Narissa Dela Rosa"/>
    <s v="3 months"/>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s v="Commercial "/>
    <s v="Multi/ Combination"/>
    <s v="Commercial"/>
    <s v="All"/>
    <s v="Blended"/>
    <s v="L2"/>
    <n v="2"/>
    <n v="5"/>
    <n v="6"/>
    <s v="FTE Based"/>
    <s v="USD"/>
    <m/>
    <n v="8"/>
    <n v="2"/>
    <n v="1"/>
    <n v="3"/>
    <x v="9"/>
    <n v="0.73"/>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Narissa Dela Rosa"/>
    <s v="3 months"/>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s v="Commercial "/>
    <s v="Multi/ Combination"/>
    <s v="Commercial"/>
    <s v="All"/>
    <s v="Blended"/>
    <s v="L2"/>
    <n v="2"/>
    <n v="7"/>
    <n v="7"/>
    <s v="FTE Based"/>
    <s v="USD"/>
    <m/>
    <n v="24"/>
    <n v="2"/>
    <n v="2"/>
    <n v="7"/>
    <x v="9"/>
    <n v="0.77"/>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Narissa Dela Rosa"/>
    <s v="3 months"/>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s v="Commercial "/>
    <s v="Multi/ Combination"/>
    <s v="Commercial"/>
    <s v="All"/>
    <s v="Blended"/>
    <s v="L2"/>
    <n v="2"/>
    <n v="5"/>
    <n v="3"/>
    <s v="FTE Based"/>
    <s v="USD"/>
    <m/>
    <n v="6"/>
    <n v="2"/>
    <n v="1"/>
    <n v="2"/>
    <x v="10"/>
    <n v="0.75"/>
    <m/>
    <m/>
    <m/>
    <m/>
    <m/>
    <n v="0.98499999999999999"/>
    <s v="Weighted DPO – Weighted Defect Per Opportunity"/>
    <m/>
    <m/>
    <s v="Quality methodology"/>
    <m/>
    <m/>
    <m/>
    <m/>
    <m/>
    <m/>
    <m/>
    <m/>
    <s v="Onshore clients"/>
    <s v="Claims Processing"/>
    <s v="Unstructured"/>
    <m/>
    <s v="Multiple"/>
    <s v="Policyholders, agent, 3rd party"/>
    <s v="Claim center, Gateway, ISO, AWD"/>
  </r>
  <r>
    <s v="Nationwide"/>
    <s v="Fortune 500 &amp; Large US Insurance carrier"/>
    <s v="North America"/>
    <s v="Manila,Philippines"/>
    <x v="1"/>
    <s v="Narissa Dela Rosa"/>
    <s v="3 months"/>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s v="Commercial "/>
    <s v="Multi/ Combination"/>
    <s v="Commercial"/>
    <s v="All"/>
    <s v="Blended"/>
    <s v="L2"/>
    <n v="2"/>
    <n v="14"/>
    <n v="8"/>
    <s v="FTE Based"/>
    <s v="USD"/>
    <m/>
    <n v="9"/>
    <n v="2"/>
    <n v="1"/>
    <n v="3"/>
    <x v="2"/>
    <n v="0.82"/>
    <m/>
    <m/>
    <m/>
    <m/>
    <m/>
    <n v="0.95"/>
    <s v="Weighted DPO – Weighted Defect Per Opportunity"/>
    <m/>
    <m/>
    <s v="Quality methodology"/>
    <m/>
    <m/>
    <m/>
    <m/>
    <m/>
    <m/>
    <m/>
    <m/>
    <s v="Onshore clients"/>
    <s v="Claims Support: ESS New Loss Back Office"/>
    <s v="Unstructured"/>
    <m/>
    <s v="Multiple"/>
    <s v="Policyholders, agent, 3rd party"/>
    <s v="Claim center, Gateway, ISO, AWD"/>
  </r>
  <r>
    <s v="American Modern Insurance Group"/>
    <s v="US National Specialty Carrier"/>
    <s v="North America"/>
    <s v="Noida, India"/>
    <x v="2"/>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s v="Personal &amp; Commercial"/>
    <s v="Multi/ Combination"/>
    <s v="Auto, Home, Motor Cycle, Collector Vehicle, Watercraft, Manufactured/Mobile home"/>
    <s v="Small &amp; Mid Size"/>
    <s v="Back Office"/>
    <s v="L3"/>
    <n v="1"/>
    <n v="8"/>
    <n v="8"/>
    <s v="FTE Based"/>
    <s v="USD"/>
    <n v="29825.983464999998"/>
    <n v="17"/>
    <n v="2"/>
    <n v="1"/>
    <n v="2"/>
    <x v="11"/>
    <n v="0.11764705882352941"/>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s v="American Modern Insurance Group"/>
    <s v="US National Specialty Carrier"/>
    <s v="North America"/>
    <s v="Noida, India"/>
    <x v="2"/>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s v="Personal &amp; Specialty"/>
    <s v="Multi/ Combination"/>
    <s v="Auto, Home, Motor Cycle, Collector Vehicle, Watercraft, Manufactured/Mobile home"/>
    <s v="Small &amp; Mid Size"/>
    <s v="Back Office"/>
    <s v="L3"/>
    <n v="1"/>
    <n v="4"/>
    <n v="6"/>
    <s v="FTE Based"/>
    <s v="USD"/>
    <n v="29825.983465000001"/>
    <n v="27"/>
    <n v="2"/>
    <n v="1"/>
    <n v="3"/>
    <x v="12"/>
    <n v="7.407407407407407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s v="American Modern Insurance Group"/>
    <s v="US National Specialty Carrier"/>
    <s v="North America"/>
    <s v="Noida, India"/>
    <x v="2"/>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s v="Personal &amp; Specialty"/>
    <s v="Multi/ Combination"/>
    <s v="Auto, Home, Motor Cycle, Collector Vehicle, Watercraft, Manufactured/Mobile home"/>
    <s v="Small &amp; Mid Size"/>
    <s v="Back Office"/>
    <s v="L3"/>
    <n v="1"/>
    <n v="2"/>
    <n v="2"/>
    <s v="FTE Based"/>
    <s v="USD"/>
    <n v="29825.983464999998"/>
    <n v="7"/>
    <n v="0"/>
    <n v="0.5"/>
    <n v="1"/>
    <x v="13"/>
    <n v="0.16666666666666666"/>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s v="American Modern Insurance Group"/>
    <s v="US National Specialty Carrier"/>
    <s v="North America"/>
    <s v="Noida, India"/>
    <x v="2"/>
    <s v="Souvick Paul"/>
    <n v="2.9"/>
    <x v="1"/>
    <x v="1"/>
    <x v="1"/>
    <s v="Indexing"/>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s v="Personal &amp; Specialty"/>
    <s v="Multi/ Combination"/>
    <s v="Auto, Home, Motor Cycle, Collector Vehicle, Watercraft, Manufactured/Mobile home"/>
    <s v="Small &amp; Mid Size"/>
    <s v="Back Office"/>
    <s v="L3"/>
    <n v="1"/>
    <n v="3"/>
    <n v="3"/>
    <s v="FTE Based"/>
    <s v="USD"/>
    <n v="28113.85"/>
    <n v="4"/>
    <n v="0"/>
    <n v="0.5"/>
    <n v="1"/>
    <x v="14"/>
    <n v="0.25"/>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s v="RSA Insurance"/>
    <s v="UK P&amp;C client"/>
    <s v="UK"/>
    <s v="Pune"/>
    <x v="2"/>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s v="Commercial "/>
    <s v="Multi/ Combination"/>
    <s v="Auto,Property,Package"/>
    <s v="All"/>
    <s v="Back Office"/>
    <s v="L5"/>
    <s v="1 weeks"/>
    <s v="4 weeks"/>
    <s v="2 weeks"/>
    <s v="FTE Based"/>
    <s v="GBP"/>
    <n v="25059"/>
    <n v="2"/>
    <s v="NA"/>
    <n v="1"/>
    <s v="NA"/>
    <x v="15"/>
    <n v="1"/>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s v="RSA Insurance"/>
    <s v="UK P&amp;C client"/>
    <s v="UK"/>
    <s v="Noida &amp; Pune"/>
    <x v="2"/>
    <s v="Kanishka Singh"/>
    <n v="1"/>
    <x v="1"/>
    <x v="2"/>
    <x v="4"/>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
    <s v="Multi/ Combination"/>
    <s v="Auto,Property,Package"/>
    <s v="All"/>
    <s v="Back Office"/>
    <s v="L3"/>
    <s v="1 weeks"/>
    <n v="0"/>
    <s v="4 weeks"/>
    <s v="FTE Based"/>
    <s v="GBP"/>
    <n v="20183.240000000002"/>
    <n v="56"/>
    <n v="4"/>
    <n v="2"/>
    <n v="5"/>
    <x v="16"/>
    <n v="1"/>
    <n v="58606"/>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Noida &amp; Pune"/>
    <x v="2"/>
    <s v="Kanishka Singh"/>
    <n v="1"/>
    <x v="1"/>
    <x v="2"/>
    <x v="5"/>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
    <s v="Multi/ Combination"/>
    <s v="Auto,Property,Package"/>
    <s v="All"/>
    <s v="Back Office"/>
    <s v="L3"/>
    <s v="1 weeks"/>
    <s v="6 weeks"/>
    <s v="3 weeks"/>
    <s v="FTE Based"/>
    <s v="GBP"/>
    <n v="20183.240000000002"/>
    <n v="9"/>
    <n v="1"/>
    <n v="2"/>
    <n v="1"/>
    <x v="17"/>
    <n v="1"/>
    <n v="3127"/>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Pune"/>
    <x v="2"/>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s v="Commercial "/>
    <s v="Multi/ Combination"/>
    <s v="Auto,Property,Package"/>
    <s v="All"/>
    <s v="Back Office"/>
    <s v="L3"/>
    <s v="1 weeks"/>
    <s v="4 weeks"/>
    <s v="4 weeks"/>
    <s v="FTE Based"/>
    <s v="GBP"/>
    <n v="20183.240000000002"/>
    <n v="28"/>
    <n v="2"/>
    <n v="2"/>
    <n v="3"/>
    <x v="18"/>
    <n v="1"/>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Pune"/>
    <x v="2"/>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s v="Commercial "/>
    <s v="Multi/ Combination"/>
    <s v="Auto,Property,Package"/>
    <s v="All"/>
    <s v="Back Office"/>
    <s v="L4 - L7"/>
    <s v="1 weeks"/>
    <s v="12 weeks"/>
    <s v="8 weeks"/>
    <s v="FTE Based"/>
    <s v="GBP"/>
    <s v="L4 - £22803_x000a_L5 - £25059_x000a_L6 - £27994_x000a_L7 - £30043"/>
    <n v="104"/>
    <n v="0"/>
    <n v="5"/>
    <n v="25"/>
    <x v="1"/>
    <n v="1"/>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s v="RSA Insurance"/>
    <s v="UK P&amp;C client"/>
    <s v="UK"/>
    <s v="Noida"/>
    <x v="2"/>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s v="Commercial "/>
    <s v="Multi/ Combination"/>
    <s v="Auto,Property,Package"/>
    <s v="All"/>
    <s v="Blended"/>
    <s v="L2"/>
    <s v="1 weeks"/>
    <s v="4 weeks"/>
    <s v="4 weeks"/>
    <s v="FTE Based"/>
    <s v="GBP"/>
    <s v="Assistant Accountant - £28019.6_x000a_Broker Rec Manager - £41475.1"/>
    <n v="3"/>
    <n v="0"/>
    <n v="1"/>
    <n v="1"/>
    <x v="19"/>
    <n v="1"/>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Kemper"/>
    <s v="Regional US P&amp;C Carrier"/>
    <s v="North America"/>
    <s v="Noida, India"/>
    <x v="2"/>
    <s v="Gaurav Agarwal"/>
    <n v="10"/>
    <x v="1"/>
    <x v="1"/>
    <x v="1"/>
    <s v="After Hours Support"/>
    <s v="Claim File Copies"/>
    <s v="Claim file copy requests. "/>
    <s v="Personal "/>
    <s v="Multi/ Combination"/>
    <s v="Auto/Property"/>
    <s v="Mid Size"/>
    <s v="Back Office"/>
    <s v="L2"/>
    <n v="1"/>
    <n v="2"/>
    <n v="3"/>
    <s v="FTE Based"/>
    <s v="USD"/>
    <n v="24417.299117249997"/>
    <n v="2"/>
    <n v="0.1"/>
    <n v="0.04"/>
    <n v="1.1000000000000001"/>
    <x v="20"/>
    <n v="0.55000000000000004"/>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s v="Kemper"/>
    <s v="Regional US P&amp;C Carrier"/>
    <s v="North America"/>
    <s v="Noida, India"/>
    <x v="2"/>
    <s v="Gaurav Agarwal"/>
    <n v="10"/>
    <x v="1"/>
    <x v="1"/>
    <x v="1"/>
    <s v="After Hours Support"/>
    <s v="IA Supplement Messages"/>
    <s v="Send emails/voice mail messages received from repair facilities to regional dispatch mailboxes."/>
    <s v="Personal "/>
    <s v="Multi/ Combination"/>
    <s v="Auto/Property"/>
    <s v="Mid Size"/>
    <s v="Back Office"/>
    <s v="L1"/>
    <n v="1"/>
    <n v="1"/>
    <n v="2"/>
    <s v="FTE Based"/>
    <s v="USD"/>
    <n v="20576.695042124997"/>
    <n v="6"/>
    <n v="0.1"/>
    <n v="0.04"/>
    <n v="1.1000000000000001"/>
    <x v="21"/>
    <n v="0.18333333333333335"/>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s v="Kemper"/>
    <s v="Regional US P&amp;C Carrier"/>
    <s v="North America"/>
    <s v="Noida, India"/>
    <x v="2"/>
    <s v="Gaurav Agarwal"/>
    <n v="10"/>
    <x v="1"/>
    <x v="1"/>
    <x v="1"/>
    <s v="After Hours Support"/>
    <s v="Matter Setups &amp; Closures"/>
    <s v="Setup Matter on claim files for legal expenses to be paid and close Matters post payments"/>
    <s v="Personal "/>
    <s v="Multi/ Combination"/>
    <s v="Auto/Property"/>
    <s v="Mid Size"/>
    <s v="Back Office"/>
    <s v="L2"/>
    <n v="1"/>
    <n v="2"/>
    <n v="3"/>
    <s v="FTE Based"/>
    <s v="USD"/>
    <n v="24417.299117249997"/>
    <n v="2"/>
    <n v="0.1"/>
    <n v="0.04"/>
    <n v="1.1000000000000001"/>
    <x v="20"/>
    <n v="0.55000000000000004"/>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s v="Kemper"/>
    <s v="Regional US P&amp;C Carrier"/>
    <s v="North America"/>
    <s v="Noida, India"/>
    <x v="2"/>
    <s v="Gaurav Agarwal"/>
    <n v="10"/>
    <x v="1"/>
    <x v="1"/>
    <x v="6"/>
    <s v="Quality Management"/>
    <s v="QA Support"/>
    <s v="QA Support"/>
    <s v="Personal "/>
    <s v="Multi/ Combination"/>
    <s v="Auto/Property"/>
    <s v="Mid Size"/>
    <s v="Back Office"/>
    <s v="L4"/>
    <s v="NA"/>
    <s v="NA"/>
    <s v="NA"/>
    <s v="FTE Based"/>
    <s v="USD"/>
    <n v="33328.05932249999"/>
    <n v="3"/>
    <n v="0.1"/>
    <n v="0.04"/>
    <n v="1.1000000000000001"/>
    <x v="22"/>
    <n v="0.3666666666666667"/>
    <s v="NA"/>
    <s v="NA"/>
    <s v="NA"/>
    <s v="NA"/>
    <n v="0.95"/>
    <n v="0.95"/>
    <s v="DPO – Defect Per Opportunity"/>
    <s v="NA"/>
    <s v="NA"/>
    <s v="NA"/>
    <s v="NA"/>
    <s v="NA"/>
    <s v="NA"/>
    <s v="NA"/>
    <s v="NA"/>
    <s v="NA"/>
    <s v="NA"/>
    <s v="NA"/>
    <s v="NA"/>
    <s v="Multiple"/>
    <s v="Semi-Structured"/>
    <s v="NA"/>
    <s v="NA"/>
    <s v="NA"/>
    <s v="All Client Applications / Admin Systems"/>
  </r>
  <r>
    <s v="Kemper"/>
    <s v="Regional US P&amp;C Carrier"/>
    <s v="North America"/>
    <s v="Noida, India"/>
    <x v="2"/>
    <s v="Gaurav Agarwal"/>
    <n v="10"/>
    <x v="1"/>
    <x v="1"/>
    <x v="7"/>
    <s v="Salvage Settlement"/>
    <s v="Salvage Deficit Payments"/>
    <s v="Salvage deficit payments processed for invoices received via email from vendor. "/>
    <s v="Personal "/>
    <s v="Multi/ Combination"/>
    <s v="Auto/Property"/>
    <s v="Mid Size"/>
    <s v="Back Office"/>
    <s v="L2"/>
    <n v="1"/>
    <n v="2"/>
    <n v="3"/>
    <s v="FTE Based"/>
    <s v="USD"/>
    <n v="24417.299117249997"/>
    <n v="2"/>
    <n v="0.1"/>
    <n v="0.04"/>
    <n v="1.1000000000000001"/>
    <x v="20"/>
    <n v="0.55000000000000004"/>
    <n v="1088"/>
    <s v="NA"/>
    <s v="NA"/>
    <n v="5.86"/>
    <n v="0.95"/>
    <n v="0.95"/>
    <s v="DPO – Defect Per Opportunity"/>
    <s v="NA"/>
    <s v="NA"/>
    <s v="NA"/>
    <s v="NA"/>
    <s v="NA"/>
    <s v="NA"/>
    <s v="NA"/>
    <s v="NA"/>
    <s v="NA"/>
    <s v="NA"/>
    <s v="NA"/>
    <s v="Kemper"/>
    <s v="Emails"/>
    <s v="Unstructured"/>
    <n v="1"/>
    <s v="Payment/EFT issued to salvage vendor"/>
    <s v="Vendor"/>
    <s v="Claim Center"/>
  </r>
  <r>
    <s v="Kemper"/>
    <s v="Regional US P&amp;C Carrier"/>
    <s v="North America"/>
    <s v="Noida, India"/>
    <x v="2"/>
    <s v="Gaurav Agarwal"/>
    <n v="10"/>
    <x v="1"/>
    <x v="1"/>
    <x v="1"/>
    <s v="After Hours Support"/>
    <s v="Eschest Checks"/>
    <s v="Processing of returned escheat letters from customers. Confirm if money owed and reissue check as needed"/>
    <s v="Personal "/>
    <s v="Multi/ Combination"/>
    <s v="Auto/Property"/>
    <s v="Mid Size"/>
    <s v="Back Office"/>
    <s v="L2"/>
    <n v="1"/>
    <n v="2"/>
    <n v="3"/>
    <s v="FTE Based"/>
    <s v="USD"/>
    <n v="24417.299117249997"/>
    <n v="1"/>
    <n v="0.1"/>
    <n v="0.04"/>
    <n v="1.1000000000000001"/>
    <x v="23"/>
    <n v="1.1000000000000001"/>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s v="Kemper"/>
    <s v="Regional US P&amp;C Carrier"/>
    <s v="North America"/>
    <s v="Noida, India"/>
    <x v="2"/>
    <s v="Gaurav Agarwal"/>
    <n v="10"/>
    <x v="1"/>
    <x v="1"/>
    <x v="1"/>
    <s v="Adjuster Onboarding/Off-boarding"/>
    <s v="KSG Claims System Access Request"/>
    <s v="Submitting system access request for new hires and/or existing employees."/>
    <s v="Personal "/>
    <s v="Multi/ Combination"/>
    <s v="Auto/Property"/>
    <s v="Mid Size"/>
    <s v="Back Office"/>
    <s v="L2"/>
    <n v="1"/>
    <n v="2"/>
    <n v="3"/>
    <s v="FTE Based"/>
    <s v="USD"/>
    <n v="24417.299117249997"/>
    <n v="1"/>
    <n v="0.1"/>
    <n v="0.04"/>
    <n v="1.1000000000000001"/>
    <x v="23"/>
    <n v="1.1000000000000001"/>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s v="Kemper"/>
    <s v="Regional US P&amp;C Carrier"/>
    <s v="North America"/>
    <s v="Noida, India"/>
    <x v="2"/>
    <s v="Gaurav Agarwal"/>
    <n v="10"/>
    <x v="1"/>
    <x v="1"/>
    <x v="1"/>
    <s v="Indexing"/>
    <s v="Unidentified Mail Queues"/>
    <s v="Research unidentified documents received in Indexing systems so as to match them to the correct claim files.  "/>
    <s v="Personal "/>
    <s v="Multi/ Combination"/>
    <s v="Auto/Property"/>
    <s v="Mid Size"/>
    <s v="Back Office"/>
    <s v="L3"/>
    <n v="1"/>
    <n v="4"/>
    <n v="4"/>
    <s v="FTE Based"/>
    <s v="USD"/>
    <n v="29414.285223749994"/>
    <n v="8.4"/>
    <n v="0.1"/>
    <n v="0.04"/>
    <n v="1.1000000000000001"/>
    <x v="24"/>
    <n v="0.13095238095238096"/>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s v="Kemper"/>
    <s v="Regional US P&amp;C Carrier"/>
    <s v="North America"/>
    <s v="Noida, India"/>
    <x v="2"/>
    <s v="Gaurav Agarwal"/>
    <n v="10"/>
    <x v="1"/>
    <x v="1"/>
    <x v="8"/>
    <s v="Bill Payment (Medical Legal, Non Medical, Vendor)"/>
    <s v="Vendor Payments and Legal Bill Invoice Payments"/>
    <s v="Issue payments to various vendors in claims systems.  Invoices are emailed. "/>
    <s v="Personal "/>
    <s v="Multi/ Combination"/>
    <s v="Auto/Property"/>
    <s v="Mid Size"/>
    <s v="Back Office"/>
    <s v="L2"/>
    <n v="1"/>
    <n v="2"/>
    <n v="3"/>
    <s v="FTE Based"/>
    <s v="USD"/>
    <n v="24417.299117249997"/>
    <n v="8.5"/>
    <n v="0.1"/>
    <n v="0.04"/>
    <n v="1.1000000000000001"/>
    <x v="25"/>
    <n v="0.12941176470588237"/>
    <n v="6360"/>
    <s v="NA"/>
    <s v="NA"/>
    <n v="6"/>
    <n v="0.95"/>
    <n v="0.95"/>
    <s v="DPO – Defect Per Opportunity"/>
    <s v="NA"/>
    <s v="NA"/>
    <s v="NA"/>
    <s v="NA"/>
    <s v="NA"/>
    <s v="NA"/>
    <s v="NA"/>
    <s v="NA"/>
    <s v="NA"/>
    <s v="NA"/>
    <s v="NA"/>
    <s v="Vendor"/>
    <s v="Emails"/>
    <s v="Semi-Structured"/>
    <n v="1"/>
    <s v="Payment issued to vendor"/>
    <s v="Vendor"/>
    <s v="Claim Center, Bottemline Legal Exchange"/>
  </r>
  <r>
    <s v="Kemper"/>
    <s v="Regional US P&amp;C Carrier"/>
    <s v="North America"/>
    <s v="Noida, India"/>
    <x v="2"/>
    <s v="Gaurav Agarwal"/>
    <n v="10"/>
    <x v="1"/>
    <x v="1"/>
    <x v="7"/>
    <s v="Initiate Recovery Collection &amp; processing"/>
    <s v="Subro Recovery payments"/>
    <s v="Payments issuance in Kemper Claims Center (KCC) of demands with completed PD reviews"/>
    <s v="Personal "/>
    <s v="Multi/ Combination"/>
    <s v="Auto/Property"/>
    <s v="Mid Size"/>
    <s v="Back Office"/>
    <s v="L2"/>
    <n v="1"/>
    <n v="2"/>
    <n v="3"/>
    <s v="FTE Based"/>
    <s v="USD"/>
    <n v="24417.299117249997"/>
    <n v="5"/>
    <n v="0.1"/>
    <n v="0.04"/>
    <n v="1.1000000000000001"/>
    <x v="26"/>
    <n v="0.22000000000000003"/>
    <n v="2914"/>
    <s v="NA"/>
    <s v="NA"/>
    <n v="10.43"/>
    <n v="0.95"/>
    <n v="0.95"/>
    <s v="DPO – Defect Per Opportunity"/>
    <s v="NA"/>
    <s v="NA"/>
    <s v="NA"/>
    <s v="NA"/>
    <s v="NA"/>
    <s v="NA"/>
    <s v="NA"/>
    <s v="NA"/>
    <s v="NA"/>
    <s v="NA"/>
    <s v="NA"/>
    <s v="Kemper"/>
    <s v="Emails"/>
    <s v="Unstructured"/>
    <n v="1"/>
    <s v="Recovered amount posted in claims system"/>
    <s v="Claim Adjuster"/>
    <s v="Claim Center"/>
  </r>
  <r>
    <s v="Kemper"/>
    <s v="Regional US P&amp;C Carrier"/>
    <s v="North America"/>
    <s v="Noida, India"/>
    <x v="2"/>
    <s v="Gaurav Agarwal"/>
    <n v="10"/>
    <x v="1"/>
    <x v="1"/>
    <x v="7"/>
    <s v="Initiate Recovery Collection &amp; processing"/>
    <s v="Recovery Compliance Letters"/>
    <s v="Completion of NY/TX compliance letters"/>
    <s v="Personal "/>
    <s v="Multi/ Combination"/>
    <s v="Auto/Property"/>
    <s v="Mid Size"/>
    <s v="Back Office"/>
    <s v="L2"/>
    <n v="1"/>
    <n v="2"/>
    <n v="3"/>
    <s v="FTE Based"/>
    <s v="USD"/>
    <n v="24417.299117249997"/>
    <n v="1"/>
    <n v="0.1"/>
    <n v="0.04"/>
    <n v="1.1000000000000001"/>
    <x v="23"/>
    <n v="1.1000000000000001"/>
    <n v="766"/>
    <s v="NA"/>
    <s v="NA"/>
    <n v="4.84"/>
    <n v="0.95"/>
    <n v="0.95"/>
    <s v="DPO – Defect Per Opportunity"/>
    <s v="NA"/>
    <s v="NA"/>
    <s v="NA"/>
    <s v="NA"/>
    <s v="NA"/>
    <s v="NA"/>
    <s v="NA"/>
    <s v="NA"/>
    <s v="NA"/>
    <s v="NA"/>
    <s v="NA"/>
    <s v="Kemper"/>
    <s v="Emails"/>
    <s v="Unstructured"/>
    <n v="1"/>
    <s v="Acknowledgement letter sent to insured"/>
    <s v="Insured"/>
    <s v="Claim Center"/>
  </r>
  <r>
    <s v="Kemper"/>
    <s v="Regional US P&amp;C Carrier"/>
    <s v="North America"/>
    <s v="Noida, India"/>
    <x v="2"/>
    <s v="Gaurav Agarwal"/>
    <n v="10"/>
    <x v="1"/>
    <x v="1"/>
    <x v="8"/>
    <s v="Bill Payment (Medical Legal, Non Medical, Vendor)"/>
    <s v="AACC Vendor Payments"/>
    <s v="Issue payments to various vendors in claims systems.  Invoices are emailed. "/>
    <s v="Personal "/>
    <s v="Multi/ Combination"/>
    <s v="Auto/Property"/>
    <s v="Mid Size"/>
    <s v="Back Office"/>
    <s v="L2"/>
    <n v="1"/>
    <n v="2"/>
    <n v="3"/>
    <s v="FTE Based"/>
    <s v="USD"/>
    <n v="24417.299117249997"/>
    <n v="1"/>
    <n v="0.1"/>
    <n v="0.04"/>
    <n v="1.1000000000000001"/>
    <x v="23"/>
    <n v="1.1000000000000001"/>
    <n v="106"/>
    <s v="NA"/>
    <s v="NA"/>
    <n v="8"/>
    <n v="0.95"/>
    <n v="0.95"/>
    <s v="DPO – Defect Per Opportunity"/>
    <s v="NA"/>
    <s v="NA"/>
    <s v="NA"/>
    <s v="NA"/>
    <s v="NA"/>
    <s v="NA"/>
    <s v="NA"/>
    <s v="NA"/>
    <s v="NA"/>
    <s v="NA"/>
    <s v="NA"/>
    <s v="Vendor"/>
    <s v="Emails"/>
    <s v="Unstructured"/>
    <n v="1"/>
    <s v="Payment issued to vendor"/>
    <s v="Vendor"/>
    <s v="American Access Claims Center, CCC Portal"/>
  </r>
  <r>
    <s v="Kemper"/>
    <s v="Regional US P&amp;C Carrier"/>
    <s v="North America"/>
    <s v="Noida, India"/>
    <x v="2"/>
    <s v="Gaurav Agarwal"/>
    <n v="10"/>
    <x v="1"/>
    <x v="1"/>
    <x v="1"/>
    <s v="Claim Setup and assignment"/>
    <s v="FNOL Claim Setup"/>
    <s v="Reviews the FNOL document, set up a claim with available information and assign it to the claims adjuster"/>
    <s v="Personal "/>
    <s v="Multi/ Combination"/>
    <s v="Auto/Property"/>
    <s v="Mid Size"/>
    <s v="Back Office"/>
    <s v="L3"/>
    <n v="1"/>
    <n v="4"/>
    <n v="3"/>
    <s v="FTE Based"/>
    <s v="USD"/>
    <n v="29414.285223749994"/>
    <n v="5"/>
    <n v="0.1"/>
    <n v="0.04"/>
    <n v="1.1000000000000001"/>
    <x v="26"/>
    <n v="0.22000000000000003"/>
    <n v="779"/>
    <s v="NA"/>
    <s v="NA"/>
    <n v="15"/>
    <n v="0.95"/>
    <n v="0.95"/>
    <s v="DPO – Defect Per Opportunity"/>
    <s v="NA"/>
    <s v="NA"/>
    <s v="NA"/>
    <s v="NA"/>
    <s v="NA"/>
    <s v="NA"/>
    <s v="NA"/>
    <s v="NA"/>
    <s v="NA"/>
    <s v="NA"/>
    <s v="NA"/>
    <s v="Kemper"/>
    <s v="Images"/>
    <s v="Semi-Structured"/>
    <n v="1"/>
    <s v="Claim generated for a loss"/>
    <s v="Claim Adjuster"/>
    <s v="Claim Center"/>
  </r>
  <r>
    <s v="Kemper"/>
    <s v="Regional US P&amp;C Carrier"/>
    <s v="North America"/>
    <s v="Noida, India"/>
    <x v="2"/>
    <s v="Gaurav Agarwal"/>
    <n v="10"/>
    <x v="1"/>
    <x v="1"/>
    <x v="1"/>
    <s v="Indexing"/>
    <s v="AACC Mail Processing"/>
    <s v="Reviews the misrouted documents and index those to the correct claim file "/>
    <s v="Personal "/>
    <s v="Multi/ Combination"/>
    <s v="Auto/Property"/>
    <s v="Mid Size"/>
    <s v="Back Office"/>
    <s v="L3"/>
    <n v="1"/>
    <n v="4"/>
    <n v="3"/>
    <s v="FTE Based"/>
    <s v="USD"/>
    <n v="29414.285223749994"/>
    <n v="3"/>
    <n v="0.1"/>
    <n v="0.04"/>
    <n v="1.1000000000000001"/>
    <x v="22"/>
    <n v="0.3666666666666667"/>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s v="Kemper"/>
    <s v="Regional US P&amp;C Carrier"/>
    <s v="North America"/>
    <s v="Noida, India"/>
    <x v="2"/>
    <s v="Gaurav Agarwal"/>
    <n v="10"/>
    <x v="1"/>
    <x v="1"/>
    <x v="9"/>
    <s v="Requesting Police report"/>
    <s v="AACC Ordering Police Report"/>
    <s v="Draft requests to oder police report from an application basis adjuster's request"/>
    <s v="Personal "/>
    <s v="Multi/ Combination"/>
    <s v="Auto/Property"/>
    <s v="Mid Size"/>
    <s v="Back Office"/>
    <s v="L3"/>
    <n v="1"/>
    <n v="2"/>
    <n v="3"/>
    <s v="FTE Based"/>
    <s v="USD"/>
    <n v="29414.285223749994"/>
    <n v="1"/>
    <n v="0.1"/>
    <n v="0.04"/>
    <n v="1.1000000000000001"/>
    <x v="23"/>
    <n v="1.1000000000000001"/>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s v="Kemper"/>
    <s v="Regional US P&amp;C Carrier"/>
    <s v="North America"/>
    <s v="Cape Town, South Africa"/>
    <x v="3"/>
    <s v="Faeekah Cornelius"/>
    <n v="4"/>
    <x v="1"/>
    <x v="1"/>
    <x v="1"/>
    <s v="After Hours Support"/>
    <s v="TL Assignments"/>
    <s v="Assignment of claims and exposures to the total loss adjuster per the daily log sheet"/>
    <s v="Personal "/>
    <s v="Multi/ Combination"/>
    <s v="Auto/Property"/>
    <s v="Mid Size"/>
    <s v="Back Office"/>
    <s v="L1"/>
    <n v="1"/>
    <n v="2"/>
    <n v="2"/>
    <s v="FTE Based"/>
    <s v="USD"/>
    <n v="28463.005286999993"/>
    <n v="1.5"/>
    <n v="0.09"/>
    <n v="0.06"/>
    <n v="1.0900000000000001"/>
    <x v="27"/>
    <n v="0.72666666666666668"/>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s v="Kemper"/>
    <s v="Regional US P&amp;C Carrier"/>
    <s v="North America"/>
    <s v="Cape Town, South Africa"/>
    <x v="3"/>
    <s v="Faeekah Cornelius"/>
    <n v="4"/>
    <x v="1"/>
    <x v="1"/>
    <x v="8"/>
    <s v="Bill Payment (Medical Legal, Non Medical, Vendor)"/>
    <s v="Vendor Payments / Legal Bill Invoice Payment"/>
    <s v="Issue payments to various vendors in claims systems.  Invoices are emailed. "/>
    <s v="Personal "/>
    <s v="Multi/ Combination"/>
    <s v="Auto/Property"/>
    <s v="Mid Size"/>
    <s v="Back Office"/>
    <s v="L2"/>
    <n v="1"/>
    <n v="2"/>
    <n v="2"/>
    <s v="FTE Based"/>
    <s v="USD"/>
    <n v="30143.821585499994"/>
    <n v="2"/>
    <n v="0.09"/>
    <n v="0.06"/>
    <n v="1.0900000000000001"/>
    <x v="28"/>
    <n v="0.54500000000000004"/>
    <n v="252"/>
    <s v="NA"/>
    <s v="NA"/>
    <n v="2.88"/>
    <n v="0.95"/>
    <n v="0.95"/>
    <s v="DPO – Defect Per Opportunity"/>
    <s v="NA"/>
    <s v="NA"/>
    <s v="NA"/>
    <s v="NA"/>
    <s v="NA"/>
    <s v="NA"/>
    <s v="NA"/>
    <s v="NA"/>
    <s v="NA"/>
    <s v="NA"/>
    <s v="NA"/>
    <s v="Claim Adjuster"/>
    <s v="Structured"/>
    <s v="Structured"/>
    <n v="1"/>
    <s v="Payment issued to vendor"/>
    <s v="Claim Adjuster"/>
    <s v="Claim Center"/>
  </r>
  <r>
    <s v="Kemper"/>
    <s v="Regional US P&amp;C Carrier"/>
    <s v="North America"/>
    <s v="Cape Town, South Africa"/>
    <x v="3"/>
    <s v="Faeekah Cornelius"/>
    <n v="4"/>
    <x v="1"/>
    <x v="1"/>
    <x v="1"/>
    <s v="After Hours Support"/>
    <s v="IA Supplement Messages"/>
    <s v="Send emails/voice mail messages received from repair facilities to regional dispatch mailboxes."/>
    <s v="Personal "/>
    <s v="Multi/ Combination"/>
    <s v="Auto/Property"/>
    <s v="Mid Size"/>
    <s v="Back Office"/>
    <s v="L1"/>
    <n v="1"/>
    <n v="3"/>
    <n v="3"/>
    <s v="FTE Based"/>
    <s v="USD"/>
    <n v="28463.005286999993"/>
    <n v="5"/>
    <n v="0.09"/>
    <n v="0.06"/>
    <n v="1.0900000000000001"/>
    <x v="29"/>
    <n v="0.2180000000000000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s v="Kemper"/>
    <s v="Regional US P&amp;C Carrier"/>
    <s v="North America"/>
    <s v="Cape Town, South Africa"/>
    <x v="3"/>
    <s v="Faeekah Cornelius"/>
    <n v="4"/>
    <x v="1"/>
    <x v="1"/>
    <x v="7"/>
    <s v="Salvage Settlement"/>
    <s v="Subro - Post Salvage Proceeds"/>
    <s v="Salvage deficit payments processed for invoices received via email from vendor. "/>
    <s v="Personal "/>
    <s v="Multi/ Combination"/>
    <s v="Auto/Property"/>
    <s v="Mid Size"/>
    <s v="Back Office"/>
    <s v="L2"/>
    <n v="1"/>
    <n v="2"/>
    <n v="2"/>
    <s v="FTE Based"/>
    <s v="USD"/>
    <n v="30143.821585499994"/>
    <n v="1"/>
    <n v="0.09"/>
    <n v="0.06"/>
    <n v="1.0900000000000001"/>
    <x v="30"/>
    <n v="1.0900000000000001"/>
    <n v="2450"/>
    <s v="NA"/>
    <s v="NA"/>
    <n v="3"/>
    <n v="0.95"/>
    <n v="0.95"/>
    <s v="DPO – Defect Per Opportunity"/>
    <s v="NA"/>
    <s v="NA"/>
    <s v="NA"/>
    <s v="NA"/>
    <s v="NA"/>
    <s v="NA"/>
    <s v="NA"/>
    <s v="NA"/>
    <s v="NA"/>
    <s v="NA"/>
    <s v="NA"/>
    <s v="Claim Adjuster"/>
    <s v="Emails"/>
    <s v="Semi-Structured"/>
    <n v="1"/>
    <s v="Recovered amount posted in claims system"/>
    <s v="Claim Adjuster"/>
    <s v="Claim Center"/>
  </r>
  <r>
    <s v="Kemper"/>
    <s v="Regional US P&amp;C Carrier"/>
    <s v="North America"/>
    <s v="Cape Town, South Africa"/>
    <x v="3"/>
    <s v="Faeekah Cornelius"/>
    <n v="4"/>
    <x v="1"/>
    <x v="1"/>
    <x v="1"/>
    <s v="After Hours Support"/>
    <s v="Return Check"/>
    <s v="Review of outstanding checks to verify funds owed, and void &amp; reissue checks as needed."/>
    <s v="Personal "/>
    <s v="Multi/ Combination"/>
    <s v="Auto/Property"/>
    <s v="Mid Size"/>
    <s v="Back Office"/>
    <s v="L1"/>
    <n v="1"/>
    <n v="2"/>
    <n v="2"/>
    <s v="FTE Based"/>
    <s v="USD"/>
    <n v="28463.005286999993"/>
    <n v="1"/>
    <n v="0.09"/>
    <n v="0.06"/>
    <n v="1.0900000000000001"/>
    <x v="30"/>
    <n v="1.0900000000000001"/>
    <n v="1010"/>
    <s v="NA"/>
    <s v="NA"/>
    <n v="4.59"/>
    <n v="0.95"/>
    <n v="0.95"/>
    <s v="DPO – Defect Per Opportunity"/>
    <s v="NA"/>
    <s v="NA"/>
    <s v="NA"/>
    <s v="NA"/>
    <s v="NA"/>
    <s v="NA"/>
    <s v="NA"/>
    <s v="NA"/>
    <s v="NA"/>
    <s v="NA"/>
    <s v="NA"/>
    <s v="Claim Adjuster"/>
    <s v="Emails"/>
    <s v="Semi-Structured"/>
    <n v="1"/>
    <s v="Checks voided "/>
    <s v="Claim Adjuster"/>
    <s v="Claim Center"/>
  </r>
  <r>
    <s v="Kemper"/>
    <s v="Regional US P&amp;C Carrier"/>
    <s v="North America"/>
    <s v="Cape Town, South Africa"/>
    <x v="3"/>
    <s v="Faeekah Cornelius"/>
    <n v="4"/>
    <x v="1"/>
    <x v="1"/>
    <x v="1"/>
    <s v="After Hours Support"/>
    <s v="Transcription Request - Send"/>
    <s v="Locating recorded statements, identify wether recordings match, sending them to sysman folder to be transcribed. "/>
    <s v="Personal "/>
    <s v="Multi/ Combination"/>
    <s v="Auto/Property"/>
    <s v="Mid Size"/>
    <s v="Voice"/>
    <s v="L2"/>
    <n v="1"/>
    <n v="2"/>
    <n v="2"/>
    <s v="FTE Based"/>
    <s v="USD"/>
    <n v="30143.821585499994"/>
    <n v="1.5"/>
    <n v="0.09"/>
    <n v="0.06"/>
    <n v="1.0900000000000001"/>
    <x v="27"/>
    <n v="0.72666666666666668"/>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s v="Kemper"/>
    <s v="Regional US P&amp;C Carrier"/>
    <s v="North America"/>
    <s v="Cape Town, South Africa"/>
    <x v="3"/>
    <s v="Faeekah Cornelius"/>
    <n v="4"/>
    <x v="1"/>
    <x v="1"/>
    <x v="1"/>
    <s v="After Hours Support"/>
    <s v="Transcription Request - Receive"/>
    <s v="Locating transcribed statements in the sysman folder and uploading document to correct claim. "/>
    <s v="Personal "/>
    <s v="Multi/ Combination"/>
    <s v="Auto/Property"/>
    <s v="Mid Size"/>
    <s v="Voice"/>
    <s v="L1"/>
    <n v="1"/>
    <n v="3"/>
    <n v="3"/>
    <s v="FTE Based"/>
    <s v="USD"/>
    <n v="28463.005286999993"/>
    <n v="0.5"/>
    <n v="0.09"/>
    <n v="0.06"/>
    <n v="1.0900000000000001"/>
    <x v="31"/>
    <n v="2.1800000000000002"/>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s v="Kemper"/>
    <s v="Regional US P&amp;C Carrier"/>
    <s v="North America"/>
    <s v="Cape Town, South Africa"/>
    <x v="3"/>
    <s v="Faeekah Cornelius"/>
    <n v="4"/>
    <x v="1"/>
    <x v="1"/>
    <x v="1"/>
    <s v="After Hours Support"/>
    <s v="Claim File Copies - KCC/ICS"/>
    <s v="Claim file copy requests. "/>
    <s v="Personal "/>
    <s v="Multi/ Combination"/>
    <s v="Auto/Property"/>
    <s v="Mid Size"/>
    <s v="Back Office"/>
    <s v="L2"/>
    <n v="1"/>
    <n v="2"/>
    <n v="2"/>
    <s v="FTE Based"/>
    <s v="USD"/>
    <n v="30143.821585499994"/>
    <n v="6.75"/>
    <n v="0.09"/>
    <n v="0.06"/>
    <n v="1.0900000000000001"/>
    <x v="32"/>
    <n v="0.1614814814814815"/>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s v="Kemper"/>
    <s v="Regional US P&amp;C Carrier"/>
    <s v="North America"/>
    <s v="Cape Town, South Africa"/>
    <x v="3"/>
    <s v="Faeekah Cornelius"/>
    <n v="4"/>
    <x v="1"/>
    <x v="1"/>
    <x v="1"/>
    <s v="After Hours Support"/>
    <s v="Letter Print File"/>
    <s v="Assignment of requested letters and check."/>
    <s v="Personal "/>
    <s v="Multi/ Combination"/>
    <s v="Auto/Property"/>
    <s v="Mid Size"/>
    <s v="Back Office"/>
    <s v="L1"/>
    <n v="1"/>
    <n v="2"/>
    <n v="2"/>
    <s v="FTE Based"/>
    <s v="USD"/>
    <n v="28463.005286999993"/>
    <n v="0.25"/>
    <n v="0.09"/>
    <n v="0.06"/>
    <n v="1.0900000000000001"/>
    <x v="33"/>
    <n v="4.3600000000000003"/>
    <n v="105"/>
    <s v="NA"/>
    <s v="NA"/>
    <n v="4.1500000000000004"/>
    <n v="0.95"/>
    <n v="0.95"/>
    <s v="DPO – Defect Per Opportunity"/>
    <s v="NA"/>
    <s v="NA"/>
    <s v="NA"/>
    <s v="NA"/>
    <s v="NA"/>
    <s v="NA"/>
    <s v="NA"/>
    <s v="NA"/>
    <s v="NA"/>
    <s v="NA"/>
    <s v="NA"/>
    <s v="Claim Adjuster"/>
    <s v="Emails"/>
    <s v="Semi-Structured"/>
    <n v="1"/>
    <s v="Letters and Checks reissued "/>
    <s v="Claim Adjuster"/>
    <s v="Claim Center"/>
  </r>
  <r>
    <s v="Kemper"/>
    <s v="Regional US P&amp;C Carrier"/>
    <s v="North America"/>
    <s v="Cape Town, South Africa"/>
    <x v="3"/>
    <s v="Faeekah Cornelius"/>
    <n v="4"/>
    <x v="1"/>
    <x v="1"/>
    <x v="1"/>
    <s v="Claim Setup and assignment"/>
    <s v="Arbitration Assignments"/>
    <s v="Assigning Claims to adjusters in order to litigate arbitration process"/>
    <s v="Personal "/>
    <s v="Multi/ Combination"/>
    <s v="Auto/Property"/>
    <s v="Mid Size"/>
    <s v="Back Office"/>
    <s v="L1"/>
    <n v="1"/>
    <n v="2"/>
    <n v="2"/>
    <s v="FTE Based"/>
    <s v="USD"/>
    <n v="28463.005286999993"/>
    <n v="1"/>
    <n v="0.09"/>
    <n v="0.06"/>
    <n v="1.0900000000000001"/>
    <x v="30"/>
    <n v="1.0900000000000001"/>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s v="Kemper"/>
    <s v="Regional US P&amp;C Carrier"/>
    <s v="North America"/>
    <s v="Cape Town, South Africa"/>
    <x v="3"/>
    <s v="Faeekah Cornelius"/>
    <n v="4"/>
    <x v="1"/>
    <x v="1"/>
    <x v="1"/>
    <s v="Claim Setup and assignment"/>
    <s v="Salvage Assignments"/>
    <s v="Assignment of requests added to Salvage Assignment Queue."/>
    <s v="Personal "/>
    <s v="Multi/ Combination"/>
    <s v="Auto/Property"/>
    <s v="Mid Size"/>
    <s v="Back Office"/>
    <s v="L1"/>
    <n v="1"/>
    <n v="2"/>
    <n v="2"/>
    <s v="FTE Based"/>
    <s v="USD"/>
    <n v="28463.005286999993"/>
    <n v="2"/>
    <n v="0.09"/>
    <n v="0.06"/>
    <n v="1.0900000000000001"/>
    <x v="28"/>
    <n v="0.54500000000000004"/>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s v="Kemper"/>
    <s v="Regional US P&amp;C Carrier"/>
    <s v="North America"/>
    <s v="Cape Town, South Africa"/>
    <x v="3"/>
    <s v="Faeekah Cornelius"/>
    <n v="4"/>
    <x v="1"/>
    <x v="1"/>
    <x v="1"/>
    <s v="Claim Setup and assignment"/>
    <s v="PIP Assignments"/>
    <s v="Assignment and reassignment of claims and exposures to suitable adjusters according to live spreadsheet. "/>
    <s v="Personal "/>
    <s v="Multi/ Combination"/>
    <s v="Auto/Property"/>
    <s v="Mid Size"/>
    <s v="Back Office"/>
    <s v="L1"/>
    <n v="1"/>
    <n v="2"/>
    <n v="2"/>
    <s v="FTE Based"/>
    <s v="USD"/>
    <n v="28463.005286999993"/>
    <n v="1.5"/>
    <n v="0.09"/>
    <n v="0.06"/>
    <n v="1.0900000000000001"/>
    <x v="27"/>
    <n v="0.72666666666666668"/>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s v="Kemper"/>
    <s v="Regional US P&amp;C Carrier"/>
    <s v="North America"/>
    <s v="Cape Town, South Africa"/>
    <x v="3"/>
    <s v="Faeekah Cornelius"/>
    <n v="4"/>
    <x v="1"/>
    <x v="1"/>
    <x v="1"/>
    <s v="After Hours Support"/>
    <s v="Property Document Import Mailbox"/>
    <s v="Uploads of Property documents."/>
    <s v="Personal "/>
    <s v="Multi/ Combination"/>
    <s v="Auto/Property"/>
    <s v="Mid Size"/>
    <s v="Back Office"/>
    <s v="L2"/>
    <n v="1"/>
    <n v="2"/>
    <n v="2"/>
    <s v="FTE Based"/>
    <s v="USD"/>
    <n v="30143.821585499994"/>
    <n v="1"/>
    <n v="0.09"/>
    <n v="0.06"/>
    <n v="1.0900000000000001"/>
    <x v="30"/>
    <n v="1.0900000000000001"/>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s v="Kemper"/>
    <s v="Regional US P&amp;C Carrier"/>
    <s v="North America"/>
    <s v="Cape Town, South Africa"/>
    <x v="3"/>
    <s v="Faeekah Cornelius"/>
    <n v="4"/>
    <x v="1"/>
    <x v="1"/>
    <x v="1"/>
    <s v="Indexing"/>
    <s v="Misrouted Documents Queue  "/>
    <s v="Routing/sending documents from incorrect claim file to the approriate claim file. "/>
    <s v="Personal "/>
    <s v="Multi/ Combination"/>
    <s v="Auto/Property"/>
    <s v="Mid Size"/>
    <s v="Back Office"/>
    <s v="L2"/>
    <n v="1"/>
    <n v="2"/>
    <n v="2"/>
    <s v="FTE Based"/>
    <s v="USD"/>
    <n v="30143.821585499994"/>
    <n v="0.5"/>
    <n v="0.09"/>
    <n v="0.06"/>
    <n v="1.0900000000000001"/>
    <x v="31"/>
    <n v="2.1800000000000002"/>
    <n v="354"/>
    <s v="NA"/>
    <s v="NA"/>
    <n v="5.04"/>
    <n v="0.95"/>
    <n v="0.95"/>
    <s v="DPO – Defect Per Opportunity"/>
    <s v="NA"/>
    <s v="NA"/>
    <s v="NA"/>
    <s v="NA"/>
    <s v="NA"/>
    <s v="NA"/>
    <s v="NA"/>
    <s v="NA"/>
    <s v="NA"/>
    <s v="NA"/>
    <s v="NA"/>
    <s v="Claim Adjuster"/>
    <s v="Images"/>
    <s v="Structured"/>
    <n v="1"/>
    <s v="documents routed to the correct claim "/>
    <s v="Claim Adjuster"/>
    <s v="Claim Center,D360"/>
  </r>
  <r>
    <s v="Kemper"/>
    <s v="Regional US P&amp;C Carrier"/>
    <s v="North America"/>
    <s v="Cape Town, South Africa"/>
    <x v="3"/>
    <s v="Faeekah Cornelius"/>
    <n v="4"/>
    <x v="1"/>
    <x v="1"/>
    <x v="1"/>
    <s v="Indexing"/>
    <s v="New Document Queue "/>
    <s v="Reasigning an activity to a new adjuster due to to the the previous adjusters absence. "/>
    <s v="Personal "/>
    <s v="Multi/ Combination"/>
    <s v="Auto/Property"/>
    <s v="Mid Size"/>
    <s v="Back Office"/>
    <s v="L2"/>
    <n v="1"/>
    <n v="2"/>
    <n v="2"/>
    <s v="FTE Based"/>
    <s v="USD"/>
    <n v="30143.821585499994"/>
    <n v="0.5"/>
    <n v="0.09"/>
    <n v="0.06"/>
    <n v="1.0900000000000001"/>
    <x v="31"/>
    <n v="2.1800000000000002"/>
    <n v="731"/>
    <s v="NA"/>
    <s v="NA"/>
    <n v="5.04"/>
    <n v="0.95"/>
    <n v="0.95"/>
    <s v="DPO – Defect Per Opportunity"/>
    <s v="NA"/>
    <s v="NA"/>
    <s v="NA"/>
    <s v="NA"/>
    <s v="NA"/>
    <s v="NA"/>
    <s v="NA"/>
    <s v="NA"/>
    <s v="NA"/>
    <s v="NA"/>
    <s v="NA"/>
    <s v="Claim Adjuster"/>
    <s v="Images"/>
    <s v="Structured"/>
    <n v="1"/>
    <s v="claim assigned to alternate adjuster "/>
    <s v="Claim Adjuster"/>
    <s v="Claim Center"/>
  </r>
  <r>
    <s v="Kemper"/>
    <s v="Regional US P&amp;C Carrier"/>
    <s v="North America"/>
    <s v="Cape Town, South Africa"/>
    <x v="3"/>
    <s v="Faeekah Cornelius"/>
    <n v="4"/>
    <x v="1"/>
    <x v="1"/>
    <x v="1"/>
    <s v="Claim Setup and assignment"/>
    <s v="CCO Requests"/>
    <s v="Policy update requests."/>
    <s v="Personal "/>
    <s v="Multi/ Combination"/>
    <s v="Auto/Property"/>
    <s v="Mid Size"/>
    <s v="Back Office"/>
    <s v="L2"/>
    <n v="1"/>
    <n v="2"/>
    <n v="2"/>
    <s v="FTE Based"/>
    <s v="USD"/>
    <n v="30143.821585499994"/>
    <n v="1"/>
    <n v="0.09"/>
    <n v="0.06"/>
    <n v="1.0900000000000001"/>
    <x v="30"/>
    <n v="1.0900000000000001"/>
    <n v="246"/>
    <s v="NA"/>
    <s v="NA"/>
    <n v="5.18"/>
    <n v="0.95"/>
    <n v="0.95"/>
    <s v="DPO – Defect Per Opportunity"/>
    <s v="NA"/>
    <s v="NA"/>
    <s v="NA"/>
    <s v="NA"/>
    <s v="NA"/>
    <s v="NA"/>
    <s v="NA"/>
    <s v="NA"/>
    <s v="NA"/>
    <s v="NA"/>
    <s v="NA"/>
    <s v="Claim Adjuster"/>
    <s v="Instructions in Application"/>
    <s v="Structured"/>
    <n v="1"/>
    <s v="claim updates "/>
    <s v="Claim Adjuster"/>
    <s v="Claim Center"/>
  </r>
  <r>
    <s v="Kemper"/>
    <s v="Regional US P&amp;C Carrier"/>
    <s v="North America"/>
    <s v="Cape Town, South Africa"/>
    <x v="3"/>
    <s v="Faeekah Cornelius"/>
    <n v="4"/>
    <x v="1"/>
    <x v="1"/>
    <x v="6"/>
    <s v="Quality Management"/>
    <s v="QA Support"/>
    <s v="QA Support"/>
    <s v="Personal "/>
    <s v="Multi/ Combination"/>
    <s v="Auto/Property"/>
    <s v="Mid Size"/>
    <s v="Back Office"/>
    <s v="L4"/>
    <s v="NA"/>
    <s v="NA"/>
    <s v="NA"/>
    <s v="FTE Based"/>
    <s v="USD"/>
    <n v="32906.960774999992"/>
    <n v="1"/>
    <n v="0.09"/>
    <n v="0.06"/>
    <n v="1.0900000000000001"/>
    <x v="30"/>
    <n v="1.0900000000000001"/>
    <s v="N/A"/>
    <s v="NA"/>
    <s v="NA"/>
    <s v="NA"/>
    <n v="0.95"/>
    <n v="0.95"/>
    <s v="DPO – Defect Per Opportunity"/>
    <s v="NA"/>
    <s v="NA"/>
    <s v="NA"/>
    <s v="NA"/>
    <s v="NA"/>
    <s v="NA"/>
    <s v="NA"/>
    <s v="NA"/>
    <s v="NA"/>
    <s v="NA"/>
    <s v="NA"/>
    <s v="Claim Adjuster"/>
    <s v="Multiple"/>
    <s v="Semi-Structured"/>
    <n v="1"/>
    <s v="NA"/>
    <s v="NA"/>
    <s v="Claim Center, P8, NICE, MSTEAMS, INFINITY"/>
  </r>
  <r>
    <s v="Kemper"/>
    <s v="Regional US P&amp;C Carrier"/>
    <s v="North America"/>
    <s v="Cape Town, South Africa"/>
    <x v="3"/>
    <s v="Faeekah Cornelius"/>
    <n v="4"/>
    <x v="1"/>
    <x v="1"/>
    <x v="1"/>
    <s v="After Hours Support"/>
    <s v="KPC Claims DD E-mail Return Mailbox"/>
    <s v="Downloading emails and audio/video files from KPC mailbox and upload them in D360"/>
    <s v="Personal "/>
    <s v="Multi/ Combination"/>
    <s v="Auto/Property"/>
    <s v="Mid Size"/>
    <s v="Back Office"/>
    <s v="L2"/>
    <n v="1"/>
    <n v="2"/>
    <n v="2"/>
    <s v="FTE Based"/>
    <s v="USD"/>
    <n v="30143.821585499994"/>
    <n v="0.5"/>
    <n v="0.09"/>
    <n v="0.06"/>
    <n v="1.0900000000000001"/>
    <x v="31"/>
    <n v="2.1800000000000002"/>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s v="Kemper"/>
    <s v="Regional US P&amp;C Carrier"/>
    <s v="North America"/>
    <s v="Cape Town, South Africa"/>
    <x v="3"/>
    <s v="Faeekah Cornelius"/>
    <n v="4"/>
    <x v="1"/>
    <x v="1"/>
    <x v="7"/>
    <s v="Info Gathering &amp; Analysis"/>
    <s v="Subro Arb Act Tracker"/>
    <s v="Collating a spreadsheet for all the activites assigned to adjusters/groups on previous day and upload on OneDrive for the  managers to access and retrieve data for their respective teams"/>
    <s v="Personal "/>
    <s v="Multi/ Combination"/>
    <s v="Auto/Property"/>
    <s v="Mid Size"/>
    <s v="Back Office"/>
    <s v="L2"/>
    <n v="1"/>
    <n v="2"/>
    <n v="2"/>
    <s v="FTE Based"/>
    <s v="USD"/>
    <n v="30143.821585499994"/>
    <n v="0.5"/>
    <n v="0.09"/>
    <n v="0.06"/>
    <n v="1.0900000000000001"/>
    <x v="31"/>
    <n v="2.1800000000000002"/>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s v="Kemper"/>
    <s v="Regional US P&amp;C Carrier"/>
    <s v="North America"/>
    <s v="Cape Town, South Africa"/>
    <x v="3"/>
    <s v="Faeekah Cornelius"/>
    <n v="4"/>
    <x v="1"/>
    <x v="1"/>
    <x v="8"/>
    <s v="Bill Payment (Medical Legal, Non Medical, Vendor)"/>
    <s v="AACC Vendor Payments"/>
    <s v="Issue payments to various vendors in claims systems.  Invoices are emailed. "/>
    <s v="Personal "/>
    <s v="Multi/ Combination"/>
    <s v="Auto/Property"/>
    <s v="Mid Size"/>
    <s v="Back Office"/>
    <s v="L2"/>
    <n v="1"/>
    <n v="3"/>
    <n v="3"/>
    <s v="FTE Based"/>
    <s v="USD"/>
    <n v="30143.821585499994"/>
    <n v="2"/>
    <n v="0.09"/>
    <n v="0.06"/>
    <n v="1.0900000000000001"/>
    <x v="28"/>
    <n v="0.54500000000000004"/>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s v="Kemper"/>
    <s v="Regional US P&amp;C Carrier"/>
    <s v="North America"/>
    <s v="Cape Town, South Africa"/>
    <x v="3"/>
    <s v="Faeekah Cornelius"/>
    <n v="4"/>
    <x v="1"/>
    <x v="1"/>
    <x v="9"/>
    <s v="Requesting Police report"/>
    <s v="AACC Ordering Police Report"/>
    <s v="Draft requests to oder police report from an application basis adjuster's request"/>
    <s v="Personal "/>
    <s v="Multi/ Combination"/>
    <s v="Auto/Property"/>
    <s v="Mid Size"/>
    <s v="Back Office"/>
    <s v="L2"/>
    <n v="1"/>
    <n v="2"/>
    <n v="2"/>
    <s v="FTE Based"/>
    <s v="USD"/>
    <n v="30143.821585499994"/>
    <n v="0.5"/>
    <n v="0.09"/>
    <n v="0.06"/>
    <n v="1.0900000000000001"/>
    <x v="31"/>
    <n v="2.1800000000000002"/>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s v="Kemper"/>
    <s v="Regional US P&amp;C Carrier"/>
    <s v="North America"/>
    <s v="Cape Town, South Africa"/>
    <x v="3"/>
    <s v="Faeekah Cornelius"/>
    <n v="4"/>
    <x v="1"/>
    <x v="1"/>
    <x v="1"/>
    <s v="Indexing"/>
    <s v="AACC Mail Processing"/>
    <s v="Reviews the misrouted documents and index those to the correct claim file "/>
    <s v="Personal "/>
    <s v="Multi/ Combination"/>
    <s v="Auto/Property"/>
    <s v="Mid Size"/>
    <s v="Back Office"/>
    <s v="L2"/>
    <n v="1"/>
    <n v="3"/>
    <n v="3"/>
    <s v="FTE Based"/>
    <s v="USD"/>
    <n v="30143.821585499994"/>
    <n v="2.5"/>
    <n v="0.09"/>
    <n v="0.06"/>
    <n v="1.0900000000000001"/>
    <x v="34"/>
    <n v="0.43600000000000005"/>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s v="Allstate"/>
    <s v="Fortune 100 US P&amp;C Carrier"/>
    <s v="North America"/>
    <s v="Noida &amp; Pune, India"/>
    <x v="2"/>
    <s v="Meeta Sarkar, Varunjesh Bhambri"/>
    <n v="1.2"/>
    <x v="2"/>
    <x v="1"/>
    <x v="7"/>
    <s v="Initiate Recovery Collection &amp; processing"/>
    <s v="Subro  -ERT"/>
    <s v="ERT- perform authorized subrogation services to reach agreement for settlement with Third Party Carriers (TPCs) who are US Arbitration Forum Members (the “Arb Members”)"/>
    <s v="Personal "/>
    <s v="Auto"/>
    <s v="Auto"/>
    <s v="All"/>
    <s v="Blended"/>
    <s v="L2"/>
    <n v="1"/>
    <n v="2"/>
    <n v="4"/>
    <s v="FTE Based"/>
    <s v="USD"/>
    <n v="27648"/>
    <n v="30"/>
    <n v="0"/>
    <n v="2"/>
    <n v="6"/>
    <x v="35"/>
    <n v="0.2"/>
    <n v="21139"/>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Meeta Sarkar, Varunjesh Bhambri"/>
    <n v="1.2"/>
    <x v="2"/>
    <x v="1"/>
    <x v="7"/>
    <s v="Initiate Recovery Collection &amp; processing"/>
    <s v="Subro - ART"/>
    <s v="ART- perform authorized subrogation services to reach agreement for settlement with Third Party Carriers (TPCs) who are not members of E-Subro Hub"/>
    <s v="Personal "/>
    <s v="Auto"/>
    <s v="Auto"/>
    <s v="All"/>
    <s v="Blended"/>
    <s v="L2"/>
    <n v="1"/>
    <n v="2"/>
    <n v="4"/>
    <s v="FTE Based"/>
    <s v="USD"/>
    <n v="27648"/>
    <n v="30"/>
    <n v="0"/>
    <n v="2"/>
    <n v="6"/>
    <x v="35"/>
    <n v="0.2"/>
    <n v="21139"/>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Meeta Sarkar, Varunjesh Bhambri"/>
    <n v="1.2"/>
    <x v="2"/>
    <x v="1"/>
    <x v="7"/>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s v="Personal "/>
    <s v="Auto"/>
    <s v="Auto"/>
    <s v="All"/>
    <s v="Blended"/>
    <s v="L3"/>
    <n v="1"/>
    <n v="3"/>
    <n v="4"/>
    <s v="FTE Based"/>
    <s v="USD"/>
    <n v="30658.560000000001"/>
    <n v="20"/>
    <n v="0"/>
    <n v="1"/>
    <n v="4"/>
    <x v="4"/>
    <n v="0.2"/>
    <n v="4572.75"/>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Varunjesh Bhambri, Meeta Sarkar"/>
    <n v="11"/>
    <x v="2"/>
    <x v="2"/>
    <x v="5"/>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s v="Commercial "/>
    <s v="Package"/>
    <s v="Auto and Property Business"/>
    <s v="All"/>
    <s v="Back Office"/>
    <s v="L2"/>
    <n v="0.4"/>
    <n v="2"/>
    <n v="4"/>
    <s v="FTE Based"/>
    <s v="USD"/>
    <n v="21548.799999999999"/>
    <n v="2"/>
    <n v="0"/>
    <n v="0"/>
    <n v="0.4"/>
    <x v="36"/>
    <n v="0.2"/>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1"/>
    <x v="2"/>
    <x v="3"/>
    <s v="Endorsements intake and setup"/>
    <s v="Allstate Business Insurance -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Within UW Support, the team also provides administrative assitance through work allocation (identifying the correct request type and routing to the correct department. This 1 FTE work is the only active Commercial Lines process other than ABI QV which provides QA support. "/>
    <s v="Commercial "/>
    <s v="Multi/ Combination"/>
    <s v="Auto and Property Business"/>
    <s v="All"/>
    <s v="Back Office"/>
    <s v="L2"/>
    <n v="0.4"/>
    <n v="2"/>
    <s v="2 week"/>
    <s v="FTE Based"/>
    <s v="USD"/>
    <n v="20508.8"/>
    <n v="1"/>
    <n v="0"/>
    <n v="0"/>
    <n v="1"/>
    <x v="37"/>
    <n v="1"/>
    <n v="5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2"/>
    <x v="2"/>
    <x v="10"/>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s v="Commercial "/>
    <s v="Multi/ Combination"/>
    <s v="Auto and Property Business"/>
    <s v="All"/>
    <s v="Back Office"/>
    <s v="L2"/>
    <n v="0.4"/>
    <n v="2"/>
    <n v="4"/>
    <s v="FTE Based"/>
    <s v="USD"/>
    <n v="21548.799999999999"/>
    <n v="4"/>
    <n v="1"/>
    <n v="1"/>
    <n v="0.8"/>
    <x v="38"/>
    <n v="0.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1"/>
    <x v="2"/>
    <x v="3"/>
    <s v="Endorsements intake and setup"/>
    <s v="Allstate Business Insurance - QV"/>
    <s v="Allstate Business Insurance Quality Assurance (ABI QA) - review and evaluate selected audit files representative of the different types of audits performed and sharing regular report with clients"/>
    <s v="Commercial "/>
    <s v="Multi/ Combination"/>
    <s v="Auto and Property Business"/>
    <s v="All"/>
    <s v="Back Office"/>
    <s v="L4"/>
    <n v="0.4"/>
    <n v="4"/>
    <s v="4 Week"/>
    <s v="FTE Based"/>
    <s v="USD"/>
    <n v="28641.599999999999"/>
    <n v="1"/>
    <n v="0"/>
    <n v="0"/>
    <n v="1"/>
    <x v="15"/>
    <n v="1"/>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s v="Allstate"/>
    <s v="Fortune 100 US P&amp;C Carrier"/>
    <s v="North America"/>
    <s v="Noida &amp; Pune, India"/>
    <x v="2"/>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s v="Commercial "/>
    <s v="Multi/ Combination"/>
    <s v="Auto and Property Business"/>
    <s v="All"/>
    <s v="Back Office"/>
    <s v="L3"/>
    <n v="0.4"/>
    <n v="2"/>
    <n v="6"/>
    <s v="FTE Based"/>
    <s v="USD"/>
    <n v="31723.52"/>
    <n v="3"/>
    <n v="0"/>
    <n v="0"/>
    <n v="0.60000000000000009"/>
    <x v="39"/>
    <n v="0.20000000000000004"/>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s v="Allstate"/>
    <s v="Fortune 100 US P&amp;C Carrier"/>
    <s v="North America"/>
    <s v="Noida &amp; Pune, India"/>
    <x v="2"/>
    <s v="Varunjesh Bhambri, Meeta Sarkar"/>
    <n v="18"/>
    <x v="1"/>
    <x v="2"/>
    <x v="3"/>
    <s v="Customer service"/>
    <s v="Emergency Roadside Assistance"/>
    <s v="Providing emergency roadside assistance to the members /non members like tow, jumpsart , tire change,winch, lockout, fuel delivery etc, upselling client preferred repair facilities, processing payments for unpaid membership before dispatching the service and sending ID cards."/>
    <s v="Personal "/>
    <s v="Auto"/>
    <s v="Auto"/>
    <s v="All"/>
    <s v="Voice"/>
    <s v="L3"/>
    <n v="3"/>
    <n v="5"/>
    <s v="8 Week"/>
    <s v="Transaction Based "/>
    <s v="USD"/>
    <n v="1.87"/>
    <n v="12"/>
    <n v="2"/>
    <n v="2"/>
    <n v="0"/>
    <x v="40"/>
    <n v="0"/>
    <n v="6000"/>
    <s v="NA"/>
    <s v="Jan / Jun / Jul"/>
    <n v="7.4208333333333298"/>
    <s v="NA"/>
    <n v="0.94"/>
    <s v="DPO – Defect Per Opportunity"/>
    <s v="Call Answer Rate (CAR) - 80%"/>
    <s v="Abandonment Rate - 4%"/>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This takes "/>
    <s v="1) Reduce/ optimize the cost incurred by Allstate per transaction for OON_x000a_2) Improve efficiency,_x000a_bandwidth and customer satisfaction"/>
    <s v="Analytics"/>
    <s v="NA"/>
    <s v="NA"/>
    <s v="NA"/>
    <s v="Customer/IVR"/>
    <s v="Others"/>
    <s v="Structured"/>
    <n v="1"/>
    <s v="Others"/>
    <s v="Customers"/>
    <s v="BAM, OMNI, RESQ"/>
  </r>
  <r>
    <s v="Allstate"/>
    <s v="Fortune 100 US P&amp;C Carrier"/>
    <s v="North America"/>
    <s v="Noida &amp; Pune, India"/>
    <x v="2"/>
    <s v="Varunjesh Bhambri, Meeta Sarkar"/>
    <n v="18"/>
    <x v="1"/>
    <x v="2"/>
    <x v="3"/>
    <s v="Customer service"/>
    <s v="Member Service"/>
    <s v="Handling membership queries related to the motorclub plans and billing, processing payment, retaining and cancelling the membership, sending ID cards, making endorsements, catering to customer complaints etc"/>
    <s v="Personal "/>
    <s v="Auto"/>
    <s v="Auto"/>
    <s v="All"/>
    <s v="Voice"/>
    <s v="L2"/>
    <n v="3"/>
    <n v="5"/>
    <s v="8 Week"/>
    <s v="Transaction Based "/>
    <s v="USD"/>
    <n v="3.75"/>
    <n v="90"/>
    <n v="2"/>
    <n v="10"/>
    <n v="2"/>
    <x v="41"/>
    <n v="2.2222222222222223E-2"/>
    <n v="18000"/>
    <s v="NA"/>
    <s v="Jan / Jun / Jul"/>
    <n v="10.83"/>
    <s v="NA"/>
    <n v="0.94"/>
    <s v="DPO – Defect Per Opportunity"/>
    <s v="Call Answer Rate (CAR) - 80%"/>
    <s v="Abandonment Rate - 4%"/>
    <s v="NA"/>
    <s v="NA"/>
    <s v="Process Excellence"/>
    <s v="NA"/>
    <s v="NA"/>
    <s v="NA"/>
    <s v="NA"/>
    <s v="NA"/>
    <s v="NA"/>
    <s v="Customer"/>
    <s v="Others"/>
    <s v="Structured"/>
    <n v="1"/>
    <s v="Others"/>
    <s v="Customers"/>
    <s v="AMC Prod, BAM, EDMS2, OMNI"/>
  </r>
  <r>
    <s v="Allstate"/>
    <s v="Fortune 100 US P&amp;C Carrier"/>
    <s v="North America"/>
    <s v="Manila &amp; Cebu - PHP, Cape Town - SA"/>
    <x v="1"/>
    <s v="PHP - Mark Pabon_x000a_SA - Zafar Mujeeb, Wayne Francis"/>
    <n v="0.5"/>
    <x v="1"/>
    <x v="1"/>
    <x v="1"/>
    <s v="Claim Setup and assignment"/>
    <s v="Auto &amp; Property FNOL"/>
    <s v="Handle FNOL calls from insured / claimant / attorney / other third parties and setup the claim on the system"/>
    <s v="Personal &amp; Commercial"/>
    <s v="Multi/ Combination"/>
    <s v="Auto and Property Claims"/>
    <s v="All"/>
    <s v="Voice"/>
    <s v="L3"/>
    <n v="3"/>
    <n v="4"/>
    <n v="12"/>
    <s v="Transaction Based "/>
    <s v="USD"/>
    <s v="To be confimed "/>
    <s v="In ramp currently _x000a_Full scale - FNOL - 450 FTE"/>
    <n v="40"/>
    <n v="20"/>
    <s v="NA - currently in ramp"/>
    <x v="42"/>
    <s v="NA"/>
    <n v="218000"/>
    <s v="Auto - 172,000_x000a_Property - 46,000"/>
    <s v="Jun - Sep"/>
    <s v="~15 min"/>
    <s v="80% within 20 sec"/>
    <n v="0.9"/>
    <s v="DPO – Defect Per Opportunity"/>
    <s v="Closed Loop Feedback (CSAT)_x000a__x000a_Regulatory Compliance"/>
    <s v="Mehod of Inspection (MOI) at FNOL_x000a__x000a_Initia and Final Strategic MOI"/>
    <s v="NA - Process currently in OJP"/>
    <s v="NA - Process currently in OJP"/>
    <s v="NA - Process currently in OJP"/>
    <s v="NA - Process currently in OJP"/>
    <s v="NA - Process currently in OJP"/>
    <s v="NA - Process currently in OJP"/>
    <s v="NA - Process currently in OJP"/>
    <s v="NA - Process currently in OJP"/>
    <s v="NA - Process currently in OJP"/>
    <s v="Insured / Claimant / Attorney / Other Third Party"/>
    <s v="Instructions in Application"/>
    <s v="Semi-Structured"/>
    <n v="1"/>
    <m/>
    <s v="Claim setup"/>
    <s v="NextGen_x000a_Avaya_x000a_RightAnswers"/>
  </r>
  <r>
    <s v="Allstate"/>
    <s v="Fortune 100 US P&amp;C Carrier"/>
    <s v="North America"/>
    <s v="Manila and Cebu, PHP_x000a_Cape Town and George, SA"/>
    <x v="1"/>
    <s v="PHP - Mark Pabon_x000a_SA - Zafar Mujeeb, Wayne Francis"/>
    <s v="19 months"/>
    <x v="1"/>
    <x v="1"/>
    <x v="1"/>
    <s v="First Notice of Loss Calls"/>
    <s v="NA"/>
    <s v="Handle FNOL calls for Auto and Property losses and setup claims on the system "/>
    <s v="Personal "/>
    <s v="Auto &amp; Property"/>
    <s v="Auto - 80-90%_x000a_Property - 10-20%"/>
    <s v="Large"/>
    <s v="Voice"/>
    <s v="L3"/>
    <n v="3"/>
    <n v="4"/>
    <n v="11"/>
    <s v="Others"/>
    <s v="USD"/>
    <n v="34133.848999999995"/>
    <n v="432"/>
    <n v="53"/>
    <n v="35"/>
    <n v="171.20000000000005"/>
    <x v="43"/>
    <n v="0.39629629629629642"/>
    <n v="200000"/>
    <s v="NA"/>
    <s v="June - September"/>
    <s v="16 -17 min"/>
    <s v="80% calls answered within 20 seconds"/>
    <n v="0.9"/>
    <s v="DPO – Defect Per Opportunity"/>
    <s v="Closed Loop Feedback "/>
    <s v="Method of Inspection at FNOl"/>
    <s v="NA - process still in ramp"/>
    <s v="NA - process still in ramp"/>
    <s v="NA - process still in ramp"/>
    <s v="NA - process still in ramp"/>
    <s v="NA - process still in ramp"/>
    <s v="NA - process still in ramp"/>
    <s v="NA - process still in ramp"/>
    <s v="NA - process still in ramp"/>
    <s v="NA - process still in ramp"/>
    <s v="Insured / Claimant / TPC / Attorney / Agent / Others"/>
    <s v="FNOL form"/>
    <s v="Semi-Structured"/>
    <s v="NA"/>
    <s v="Completed FNOL"/>
    <s v="Insured / Claimant / TPC / Attorney / Others / Cleint's claim adjusters"/>
    <s v="Claim system - NextGen"/>
  </r>
  <r>
    <s v="Allstate"/>
    <s v="Fortune 100 US P&amp;C Carrier"/>
    <s v="North America"/>
    <s v="Manila and Cebu, PHP_x000a_Cape Town and George, SA"/>
    <x v="1"/>
    <s v="PHP - Mark Pabon_x000a_SA - Zafar Mujeeb, Wayne Francis"/>
    <s v="19 months"/>
    <x v="2"/>
    <x v="1"/>
    <x v="1"/>
    <s v="Customer Service Call Centre - Repair/ Replacement/ SOS help/ General Inquiry"/>
    <s v="Multiple tasks _x000a_(Make Initial Contact - Insured / Claimant, Setup Inspection - primary for outbound)_x000a_(Claim status inquiry, payment query, inspection follow up, etc. - for inbound calls)"/>
    <s v="Handle or appropriately route any inquiry calls _x000a_received and document each interaction on the system._x000a_Callers can include, but not limited to, Insureds, _x000a_Claimants, Medical Providers, Third Party Carriers, _x000a_Agents, Attorneys, Body Shops, Rental Car Companies_x000a_• Examples of types of inquiry calls can include, but not _x000a_limited to:_x000a_• Payment questions/status_x000a_• Next steps, post-FNOL_x000a_• Obtain/Update on claim details_x000a_• Send/Sent documentation or Email_x000a_• Liability status/update"/>
    <s v="Personal "/>
    <s v="Auto &amp; Property"/>
    <s v="Auto - 80-90%_x000a_Property - 10-20%"/>
    <s v="Large"/>
    <s v="Voice"/>
    <s v="L3"/>
    <n v="3"/>
    <n v="8"/>
    <n v="12"/>
    <s v="FTE Based"/>
    <s v="USD"/>
    <n v="30796.799999999999"/>
    <n v="1300"/>
    <n v="88"/>
    <n v="53"/>
    <n v="273"/>
    <x v="44"/>
    <n v="0.21"/>
    <s v="4-5 M"/>
    <s v="Not available currently"/>
    <s v="June - September"/>
    <s v="10 - 12 min"/>
    <s v="80% calls answered within 20 seconds"/>
    <n v="0.9"/>
    <s v="DPO – Defect Per Opportunity"/>
    <s v="Closed Loop Feedback "/>
    <s v="Final Strategic Method of Inspection"/>
    <s v="NA - process still in ramp"/>
    <s v="NA - process still in ramp"/>
    <s v="NA - process still in ramp"/>
    <s v="NA - process still in ramp"/>
    <s v="NA - process still in ramp"/>
    <s v="NA - process still in ramp"/>
    <s v="NA - process still in ramp"/>
    <s v="NA - process still in ramp"/>
    <s v="NA - process still in ramp"/>
    <s v="Insured / Claimant / TPC / Attorney / Agent / Others"/>
    <s v="Inbound calls / outbound taks"/>
    <s v="Unstructured"/>
    <s v="NA"/>
    <s v="Outbound task completed / cleared / rescheduled _x000a_or_x000a_Inbound call query handled"/>
    <s v="Insured / Claimant / TPC / Attorney / Others / Cleint's claim adjusters"/>
    <s v="Claim system - NextGen"/>
  </r>
  <r>
    <s v="Assurant Solutions"/>
    <s v="Large US Multi-line Specialty Carrier"/>
    <s v="North America"/>
    <s v="Alabang, PHP"/>
    <x v="1"/>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s v="Personal "/>
    <s v="Multi/ Combination"/>
    <s v="Property, Auto"/>
    <s v="All"/>
    <s v="Voice"/>
    <s v="L3"/>
    <n v="2"/>
    <n v="5"/>
    <n v="6"/>
    <s v="FTE Based"/>
    <s v="USD"/>
    <n v="30000"/>
    <n v="35"/>
    <n v="3"/>
    <n v="2"/>
    <n v="5"/>
    <x v="45"/>
    <n v="0.32"/>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s v="Assurant Solutions"/>
    <s v="Large US Multi-line Specialty Carrier"/>
    <s v="North America"/>
    <s v="Alabang, PHP"/>
    <x v="1"/>
    <s v="Mark Redondo"/>
    <n v="4"/>
    <x v="1"/>
    <x v="1"/>
    <x v="1"/>
    <s v="First Notice of Loss Calls"/>
    <s v="FNOL"/>
    <s v="Files FNOL for property and auto claims_x000a_Receives calls checking status of claim/payment"/>
    <s v="Personal &amp; Commercial"/>
    <s v="Multi/ Combination"/>
    <s v="Property, Auto"/>
    <s v="All"/>
    <s v="Voice"/>
    <s v="L3"/>
    <n v="2"/>
    <n v="2"/>
    <n v="12"/>
    <s v="FTE Based"/>
    <s v="USD"/>
    <n v="29786.16"/>
    <n v="52"/>
    <n v="4"/>
    <n v="4"/>
    <n v="8"/>
    <x v="46"/>
    <n v="0.16363636363636364"/>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s v="Assurant Solutions"/>
    <s v="Large US Multi-line Specialty Carrier"/>
    <s v="North America"/>
    <s v="Noida, India"/>
    <x v="2"/>
    <s v="Ramesh Kumar, Devashish Dhingra"/>
    <n v="4.5"/>
    <x v="1"/>
    <x v="3"/>
    <x v="11"/>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Personal &amp; Commercial"/>
    <s v="Multi/ Combination"/>
    <s v="Auto, WC, CUP, Package Lines"/>
    <s v="Large"/>
    <s v="Back Office"/>
    <s v="L4"/>
    <n v="2"/>
    <n v="4"/>
    <n v="4"/>
    <s v="FTE Based"/>
    <s v="USD"/>
    <s v="Analysts - $40,934/ annum  Supervisor - $46,818/ annum"/>
    <n v="6"/>
    <s v="NA"/>
    <n v="1"/>
    <n v="1"/>
    <x v="47"/>
    <n v="0.16666666666666666"/>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s v="Assurant Solutions"/>
    <s v="Large US Multi-line Specialty Carrier"/>
    <s v="North America"/>
    <s v="Noida, India"/>
    <x v="2"/>
    <s v="Ramesh Kumar, Devashish Dhingra"/>
    <n v="4.5"/>
    <x v="1"/>
    <x v="3"/>
    <x v="11"/>
    <s v="E2E Contracting Services"/>
    <s v="Archive Contracts in System _x000a__x000a_E-sign &amp; Archive "/>
    <s v="Contract Administration_x000a_Managing contract repository hierarchy and structure_x000a_Route contracts for approvals_x000a_E-Signature – Secure signatures on final/fully approved contacts via e-signature tool_x000a_Provide project status and contract update to business stakeholders"/>
    <s v="Personal &amp; Commercial"/>
    <s v="Multi/ Combination"/>
    <s v="Auto, WC, CUP, Package Lines"/>
    <s v="Large"/>
    <s v="Back Office"/>
    <s v="L4"/>
    <n v="2"/>
    <n v="4"/>
    <n v="4"/>
    <s v="FTE Based"/>
    <s v="USD"/>
    <s v="Analysts - $31,641.72/ annum  Supervisor - $44,741.28/ annum"/>
    <n v="3"/>
    <s v="NA"/>
    <n v="1"/>
    <n v="1"/>
    <x v="19"/>
    <n v="0.33333333333333331"/>
    <n v="140"/>
    <n v="140"/>
    <s v="March/ April / November/ December"/>
    <s v="TAT - Archive Contracts in System -_x000a__x000a_1-2 hour _x000a__x000a_TAT - E-sign &amp; Archive - _x000a__x000a_1 hour_x000a_"/>
    <s v="TAT - Archive Contracts in System - 2 days_x000a__x000a_TAT - E-sign &amp; Archive - 10 days_x000a_ "/>
    <s v="Accuracy ESign - Contracts in System_x000a_Expected - 98%_x000a_Minimum - 95%"/>
    <s v="DPO – Defect Per Opportunity"/>
    <s v="NA"/>
    <s v="NA"/>
    <s v="NA"/>
    <s v="Procurement Department"/>
    <s v="Process Excellence"/>
    <s v="Process Excellence - Traditionally each expired contract id was_x000a_reviewed by IT contract owner to validate_x000a_the closure/renewal of the expired item. The team suggested and created a_x000a_separate sheet providing all contract ids_x000a_(excluding strategic vendors) which are_x000a_sent for review to IT contra_x000a_ct owners in one_x000a_go _x000a__x000a_Process Excellence - _x000a_Implementation of contract intake form_x000a_"/>
    <s v="Reduced report closure time by ~20%. Tool changed from SMART to Apptus_x000a__x000a__x000a__x000a__x000a__x000a__x000a__x000a__x000a__x000a__x000a__x000a__x000a__x000a_Processor receives all the information pertinent to contract processing in one go. Reduced closure time from 3 hours/ contract to 2 hours/ contract"/>
    <s v="Analytics"/>
    <s v="Macro enabled sheet for Expiry Report creation under progress"/>
    <s v="This will help in reduction of manual effort thus significantly reducing probability_x000a_of errors._x000a__x000a_Time reduction in creating the expiry report from 5 hours/ month to 2 hours/ month_x000a_"/>
    <s v="NA"/>
    <s v="Contract Admin Team_x000a__x000a_Sourcing/ Spotbuy and Legal teams"/>
    <s v="Multiple"/>
    <s v="Unstructured"/>
    <s v="Email - 10%_x000a_Contract Management Tool - 90%_x000a_"/>
    <s v="Others"/>
    <s v="Assurant Contract Admin Team"/>
    <s v="Apptus, Outlook, MS Teams, SharePoint, Bio PDF , ONeSpan, Freshdesk"/>
  </r>
  <r>
    <s v="Assurant Solutions"/>
    <s v="Large US Multi-line Specialty Carrier"/>
    <s v="North America"/>
    <s v="Pune, India"/>
    <x v="2"/>
    <s v="Ruchika,, Yusuf Bhavnagarwala"/>
    <n v="6"/>
    <x v="2"/>
    <x v="1"/>
    <x v="9"/>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s v="Personal "/>
    <s v="Property"/>
    <s v="NA"/>
    <s v="All"/>
    <s v="Back Office"/>
    <s v="L2"/>
    <n v="2"/>
    <n v="6"/>
    <n v="6"/>
    <s v="FTE Based"/>
    <s v="USD"/>
    <n v="21057.798279999995"/>
    <n v="14"/>
    <n v="0"/>
    <n v="1"/>
    <n v="2"/>
    <x v="48"/>
    <n v="0.14285714285714285"/>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s v="CNA"/>
    <s v="Top-10 US Commercial &amp; Specialty Carrier"/>
    <s v="North America"/>
    <s v="Noida, India"/>
    <x v="2"/>
    <s v="Arpan Pandey, Varunjesh"/>
    <n v="6"/>
    <x v="1"/>
    <x v="1"/>
    <x v="8"/>
    <s v="Send Closing Documents"/>
    <s v="File Closure"/>
    <s v="Closing the file and sending closure letter"/>
    <s v="Commercial "/>
    <s v="Multi/ Combination"/>
    <s v="Auto, Property, GL, Specialty lines, WC"/>
    <s v="Mid Size"/>
    <s v="Back Office"/>
    <s v="L1"/>
    <n v="1"/>
    <n v="2"/>
    <n v="3"/>
    <s v="Transaction Based "/>
    <s v="USD"/>
    <n v="0.65854268132330507"/>
    <n v="3.49"/>
    <n v="0"/>
    <n v="8.3333333333333329E-2"/>
    <n v="4"/>
    <x v="49"/>
    <n v="1.1461318051575931"/>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s v="CNA"/>
    <s v="Top-10 US Commercial &amp; Specialty Carrier"/>
    <s v="North America"/>
    <s v="Noida, India"/>
    <x v="2"/>
    <s v="Arpan Pandey, Varunjesh"/>
    <n v="6"/>
    <x v="1"/>
    <x v="1"/>
    <x v="6"/>
    <s v="Case Management of File "/>
    <s v="File Reloads"/>
    <s v="Team works on the Claims for which the payment history is closed in ACT. Once the claim gets reload then the payment history opens/active in ACT."/>
    <s v="Commercial "/>
    <s v="Multi/ Combination"/>
    <s v="Auto, Property, GL, Specialty lines, WC"/>
    <s v="Mid Size"/>
    <s v="Back Office"/>
    <s v="L1"/>
    <n v="1"/>
    <n v="2"/>
    <n v="2"/>
    <s v="Transaction Based "/>
    <s v="USD"/>
    <n v="1.0867599598259121"/>
    <n v="0.26"/>
    <n v="0"/>
    <n v="8.3333333333333329E-2"/>
    <n v="1"/>
    <x v="50"/>
    <n v="3.8461538461538458"/>
    <n v="527"/>
    <s v="NA"/>
    <s v="NA"/>
    <n v="5.2"/>
    <n v="0.98"/>
    <n v="0.97"/>
    <s v="DPU – Defect Per Unit"/>
    <s v="NA"/>
    <s v="NA"/>
    <s v="NA"/>
    <s v="NA"/>
    <s v="NA"/>
    <s v="NA"/>
    <s v="NA"/>
    <s v="NA"/>
    <s v="NA"/>
    <s v="NA"/>
    <s v="NA"/>
    <s v="Claim Adjuster"/>
    <s v="Email"/>
    <s v="Semi-Structured"/>
    <n v="100"/>
    <s v="Email"/>
    <s v="Claim Adjuster"/>
    <s v="ClaimCenter/ACT/MS Outlook"/>
  </r>
  <r>
    <s v="CNA"/>
    <s v="Top-10 US Commercial &amp; Specialty Carrier"/>
    <s v="North America"/>
    <s v="Noida, India"/>
    <x v="2"/>
    <s v="Arpan Pandey, Varunjesh"/>
    <n v="6"/>
    <x v="1"/>
    <x v="1"/>
    <x v="9"/>
    <s v="Claim Coding"/>
    <s v="ICD 9/10 Coding"/>
    <s v="This is the process of updating and entering the ICD Event Code and the ICD Diagnosis Code in ClaimCenter for Specialty, Auto General Liability and General Liability claims."/>
    <s v="Commercial "/>
    <s v="Multi/ Combination"/>
    <s v="Auto, Property, GL, Specialty lines, WC"/>
    <s v="Mid Size"/>
    <s v="Back Office"/>
    <s v="L2"/>
    <n v="1"/>
    <n v="2"/>
    <n v="3"/>
    <s v="Transaction Based "/>
    <s v="USD"/>
    <n v="3.4890596026490064"/>
    <n v="1.1499999999999999"/>
    <n v="0"/>
    <n v="8.3333333333333329E-2"/>
    <n v="1"/>
    <x v="51"/>
    <n v="0.86956521739130443"/>
    <n v="276"/>
    <s v="NA"/>
    <s v="NA"/>
    <n v="20"/>
    <n v="1"/>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s v="Commercial "/>
    <s v="Multi/ Combination"/>
    <s v="Single LOB - WC"/>
    <s v="Mid Size"/>
    <s v="Back Office"/>
    <s v="L2"/>
    <n v="1"/>
    <n v="2"/>
    <n v="3"/>
    <s v="Transaction Based "/>
    <s v="USD"/>
    <n v="0.99774389604841573"/>
    <n v="0.2"/>
    <n v="0"/>
    <n v="8.3333333333333329E-2"/>
    <n v="0.5"/>
    <x v="52"/>
    <n v="2.5"/>
    <n v="617.00000000000011"/>
    <s v="NA"/>
    <s v="NA"/>
    <n v="5.67"/>
    <n v="0.98"/>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9"/>
    <s v="Coverage Verification"/>
    <s v="CA Independent Medical Review"/>
    <s v="Team review the medical documents to ensure that documents belong to the policy holder (injured worker)."/>
    <s v="Commercial "/>
    <s v="Multi/ Combination"/>
    <s v="Single LOB - WC"/>
    <s v="Mid Size"/>
    <s v="Back Office"/>
    <s v="L3"/>
    <n v="1"/>
    <n v="2"/>
    <n v="3"/>
    <s v="Transaction Based "/>
    <s v="USD"/>
    <n v="2.2709173675218102"/>
    <n v="0.24"/>
    <n v="0"/>
    <n v="8.3333333333333329E-2"/>
    <n v="0.5"/>
    <x v="53"/>
    <n v="2.0833333333333335"/>
    <n v="40"/>
    <s v="NA"/>
    <s v="NA"/>
    <n v="20.6809150326797"/>
    <n v="0.97"/>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9"/>
    <s v="Coverage Verification"/>
    <s v="CA Independent Medical Reviews Download"/>
    <s v="Team review the medical documents to ensure that documents belong to the policy holder (injured worker)."/>
    <s v="Commercial "/>
    <s v="Multi/ Combination"/>
    <s v="Single LOB - WC"/>
    <s v="Mid Size"/>
    <s v="Back Office"/>
    <s v="L3"/>
    <n v="1"/>
    <n v="2"/>
    <n v="3"/>
    <s v="Transaction Based "/>
    <s v="USD"/>
    <n v="2.2709173675218102"/>
    <n v="7.0000000000000007E-2"/>
    <n v="0"/>
    <n v="8.3333333333333329E-2"/>
    <n v="0.5"/>
    <x v="54"/>
    <n v="7.1428571428571423"/>
    <n v="38"/>
    <s v="NA"/>
    <s v="NA"/>
    <n v="20.6809150326797"/>
    <n v="0.97"/>
    <n v="0.97"/>
    <s v="DPU – Defect Per Unit"/>
    <s v="NA"/>
    <s v="NA"/>
    <s v="NA"/>
    <s v="NA"/>
    <s v="NA"/>
    <s v="NA"/>
    <s v="NA"/>
    <s v="NA"/>
    <s v="NA"/>
    <s v="NA"/>
    <s v="NA"/>
    <s v="Claim Adjuster"/>
    <s v="Maximus"/>
    <s v="Semi-Structured"/>
    <n v="100"/>
    <s v="Maximus"/>
    <s v="Claim Adjuster"/>
    <s v="Maximus/ClaimCenter"/>
  </r>
  <r>
    <s v="CNA"/>
    <s v="Top-10 US Commercial &amp; Specialty Carrier"/>
    <s v="North America"/>
    <s v="Noida, India"/>
    <x v="2"/>
    <s v="Arpan Pandey, Varunjesh"/>
    <n v="6"/>
    <x v="1"/>
    <x v="1"/>
    <x v="1"/>
    <s v="Data entry "/>
    <s v="CM Admin Fee Prep (Excel Log)"/>
    <s v="Transfer documents and notes from old claim to re-keyed claim. "/>
    <s v="Personal "/>
    <s v="Multi/ Combination"/>
    <s v="Auto/Property"/>
    <s v="Mid Size"/>
    <s v="Back Office"/>
    <s v="L1"/>
    <n v="1"/>
    <n v="2"/>
    <n v="2"/>
    <s v="Transaction Based "/>
    <s v="USD"/>
    <n v="0.43308703080413502"/>
    <n v="0"/>
    <n v="0"/>
    <n v="8.3333333333333329E-2"/>
    <n v="0.1"/>
    <x v="55"/>
    <s v="NA"/>
    <n v="4"/>
    <s v="NA"/>
    <s v="NA"/>
    <n v="3.9440607632456501"/>
    <n v="0.97"/>
    <n v="0.97"/>
    <s v="DPU – Defect Per Unit"/>
    <s v="NA"/>
    <s v="NA"/>
    <s v="NA"/>
    <s v="NA"/>
    <s v="NA"/>
    <s v="NA"/>
    <s v="NA"/>
    <s v="NA"/>
    <s v="NA"/>
    <s v="NA"/>
    <s v="NA"/>
    <s v="Claim Adjuster"/>
    <s v="Email"/>
    <s v="Semi-Structured"/>
    <n v="100"/>
    <s v="Email"/>
    <s v="Claim Adjuster"/>
    <s v="MS Outlook"/>
  </r>
  <r>
    <s v="CNA"/>
    <s v="Top-10 US Commercial &amp; Specialty Carrier"/>
    <s v="North America"/>
    <s v="Noida, India"/>
    <x v="2"/>
    <s v="Arpan Pandey, Varunjesh"/>
    <n v="6"/>
    <x v="1"/>
    <x v="1"/>
    <x v="7"/>
    <s v="Salvage Settlement"/>
    <s v="CM Admin Fee Entry (Pyramid Data Entry)"/>
    <s v="Salvage deficit payments processed for invoices received via email from vendor. "/>
    <s v="Personal "/>
    <s v="Multi/ Combination"/>
    <s v="Auto/Property"/>
    <s v="Mid Size"/>
    <s v="Back Office"/>
    <s v="L2"/>
    <n v="1"/>
    <n v="2"/>
    <n v="3"/>
    <s v="Transaction Based "/>
    <s v="USD"/>
    <n v="0.43308703080413502"/>
    <n v="0.13"/>
    <n v="0"/>
    <n v="8.3333333333333329E-2"/>
    <n v="0.9"/>
    <x v="56"/>
    <n v="6.9230769230769234"/>
    <n v="422"/>
    <s v="NA"/>
    <s v="NA"/>
    <n v="3.9440607632456501"/>
    <n v="0.97"/>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7"/>
    <s v="Initiate Recovery Collection &amp; processing"/>
    <s v="Impairment"/>
    <s v="Subro recovery payments to be posted and daily check deposits to be processed.  "/>
    <s v="Personal "/>
    <s v="Multi/ Combination"/>
    <s v="Auto/Property"/>
    <s v="Mid Size"/>
    <s v="Back Office"/>
    <s v="L2"/>
    <n v="1"/>
    <n v="1"/>
    <n v="2"/>
    <s v="Transaction Based "/>
    <s v="USD"/>
    <n v="0.91206818181818183"/>
    <n v="0.05"/>
    <n v="0"/>
    <n v="8.3333333333333329E-2"/>
    <n v="0.5"/>
    <x v="57"/>
    <n v="10"/>
    <n v="42.000000000000007"/>
    <s v="NA"/>
    <s v="NA"/>
    <n v="4"/>
    <n v="1"/>
    <s v="NA"/>
    <s v="DPU – Defect Per Unit"/>
    <s v="NA"/>
    <s v="NA"/>
    <s v="NA"/>
    <s v="NA"/>
    <s v="NA"/>
    <s v="NA"/>
    <s v="NA"/>
    <s v="NA"/>
    <s v="NA"/>
    <s v="NA"/>
    <s v="NA"/>
    <s v="Claim Adjuster"/>
    <s v="ECE"/>
    <s v="Semi-Structured"/>
    <n v="100"/>
    <s v="Email"/>
    <s v="Claim Adjuster"/>
    <s v="ECE/MS Outlook"/>
  </r>
  <r>
    <s v="CNA"/>
    <s v="Top-10 US Commercial &amp; Specialty Carrier"/>
    <s v="North America"/>
    <s v="Noida, India"/>
    <x v="2"/>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s v="Commercial "/>
    <s v="Multi/ Combination"/>
    <s v="Auto, Property, GL, Specialty lines, WC"/>
    <s v="Mid Size"/>
    <s v="Back Office"/>
    <s v="L1"/>
    <n v="1"/>
    <n v="2"/>
    <n v="3"/>
    <s v="Transaction Based "/>
    <s v="USD"/>
    <n v="1.9127252401860217"/>
    <n v="6.51"/>
    <n v="0.6"/>
    <n v="8.3333333333333329E-2"/>
    <n v="7"/>
    <x v="58"/>
    <n v="1.075268817204301"/>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s v="CNA"/>
    <s v="Top-10 US Commercial &amp; Specialty Carrier"/>
    <s v="North America"/>
    <s v="Noida &amp; Pune, India"/>
    <x v="2"/>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s v="Commercial "/>
    <s v="Multi/ Combination"/>
    <s v="Auto/Property/GL/WC"/>
    <s v="Mid Size &amp; Large"/>
    <s v="Back Office"/>
    <s v="L3"/>
    <n v="1"/>
    <n v="4"/>
    <n v="4"/>
    <s v="Transaction Based "/>
    <s v="USD"/>
    <n v="6.8456070171474668"/>
    <n v="1"/>
    <n v="2.9815146094215862E-2"/>
    <n v="2.9815146094215862E-2"/>
    <n v="1.2224209898628504"/>
    <x v="59"/>
    <n v="1.2224209898628504"/>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amp; Pune, India"/>
    <x v="2"/>
    <s v="Arpan Pandey, Varunjesh"/>
    <n v="6"/>
    <x v="1"/>
    <x v="1"/>
    <x v="1"/>
    <s v="Indexing"/>
    <s v="Commercial Work Distribution &amp; Sorting"/>
    <s v="Review loss information and claims document to assess LOB and transfer claim to respective queue"/>
    <s v="Commercial "/>
    <s v="Multi/ Combination"/>
    <s v="Auto/Property/GL/WC/Specialty HP"/>
    <s v="Mid Size &amp; Large"/>
    <s v="Back Office"/>
    <s v="L2"/>
    <n v="1"/>
    <n v="2"/>
    <n v="2"/>
    <s v="Transaction Based "/>
    <s v="USD"/>
    <n v="1.4447540771029352"/>
    <n v="1"/>
    <n v="2.9815146094215862E-2"/>
    <n v="2.9815146094215862E-2"/>
    <n v="1.2224209898628504"/>
    <x v="59"/>
    <n v="1.2224209898628504"/>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s v="CNA"/>
    <s v="Top-10 US Commercial &amp; Specialty Carrier"/>
    <s v="North America"/>
    <s v="Noida &amp; Pune, India"/>
    <x v="2"/>
    <s v="Arpan Pandey, Varunjesh"/>
    <n v="6"/>
    <x v="1"/>
    <x v="1"/>
    <x v="1"/>
    <s v="Claim Setup and assignment"/>
    <s v="Specialty - HealthPro"/>
    <s v="Based on the loss information and documents set up a claim and assigned to adjuster"/>
    <s v="Commercial "/>
    <s v="Multi/ Combination"/>
    <s v="Auto/Property/GL/WC/Specialty HP/DBA/TPA Oversight/Crawford/WC Tier 3"/>
    <s v="Mid Size &amp; Large"/>
    <s v="Back Office"/>
    <s v="L3"/>
    <n v="1"/>
    <n v="4"/>
    <n v="4"/>
    <s v="Transaction Based "/>
    <s v="USD"/>
    <n v="13.748152377553749"/>
    <n v="0"/>
    <n v="2.9815146094215862E-2"/>
    <n v="2.9815146094215862E-2"/>
    <n v="1.2224209898628504"/>
    <x v="60"/>
    <s v="NA"/>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amp; Pune, India"/>
    <x v="2"/>
    <s v="Arpan Pandey, Varunjesh"/>
    <n v="6"/>
    <x v="1"/>
    <x v="1"/>
    <x v="1"/>
    <s v="Indexing"/>
    <s v="Risktech and Specialty Policy Attachment"/>
    <s v="Request and attach policy document to the claim"/>
    <s v="Commercial "/>
    <s v="Multi/ Combination"/>
    <s v="Auto/Property/GL/WC/Specialty HP/DBA/TPA Oversight/Crawford/WC Tier 3"/>
    <s v="Mid Size &amp; Large"/>
    <s v="Back Office"/>
    <s v="L2"/>
    <n v="1"/>
    <n v="1"/>
    <n v="2"/>
    <s v="Transaction Based "/>
    <s v="USD"/>
    <n v="4.2259056755260804"/>
    <n v="0.5"/>
    <n v="2.9815146094215862E-2"/>
    <n v="2.9815146094215862E-2"/>
    <n v="1.2224209898628504"/>
    <x v="61"/>
    <n v="2.4448419797257008"/>
    <n v="970"/>
    <s v="NA"/>
    <s v="NA"/>
    <n v="11.7"/>
    <n v="1"/>
    <n v="0.97"/>
    <s v="DPU – Defect Per Unit"/>
    <s v="NA"/>
    <s v="NA"/>
    <s v="NA"/>
    <s v="NA"/>
    <s v="NA"/>
    <s v="NA"/>
    <s v="NA"/>
    <s v="NA"/>
    <s v="NA"/>
    <s v="NA"/>
    <s v="NA"/>
    <s v="Claim Adjuster"/>
    <s v="Emails"/>
    <s v="Semi-Structured"/>
    <n v="100"/>
    <s v="Instructions in Application"/>
    <s v="Claim Adjuster"/>
    <s v="Claim Center, ECE, MS Office"/>
  </r>
  <r>
    <s v="CNA"/>
    <s v="Top-10 US Commercial &amp; Specialty Carrier"/>
    <s v="North America"/>
    <s v="Noida &amp; Pune, India"/>
    <x v="2"/>
    <s v="Arpan Pandey, Varunjesh"/>
    <n v="6"/>
    <x v="1"/>
    <x v="1"/>
    <x v="6"/>
    <s v="Packet Prep, chronology summary"/>
    <s v="MOX Claim Set up"/>
    <s v="Audit all the fields and create medical summary for claim professionals"/>
    <s v="Commercial "/>
    <s v="Multi/ Combination"/>
    <s v="WC"/>
    <s v="Mid Size &amp; Large"/>
    <s v="Back Office"/>
    <s v="L3"/>
    <n v="1"/>
    <n v="4"/>
    <n v="4"/>
    <s v="Transaction Based "/>
    <s v="USD"/>
    <n v="3.1836896212121211"/>
    <n v="2"/>
    <n v="2.9815146094215862E-2"/>
    <n v="2.9815146094215862E-2"/>
    <n v="1.2224209898628504"/>
    <x v="62"/>
    <n v="0.61121049493142521"/>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s v="CNA"/>
    <s v="Top-10 US Commercial &amp; Specialty Carrier"/>
    <s v="North America"/>
    <s v="Noida, India"/>
    <x v="2"/>
    <s v="Arpan Pandey, Varunjesh"/>
    <n v="6"/>
    <x v="1"/>
    <x v="1"/>
    <x v="8"/>
    <s v="Bill Payment (Medical Legal, Non Medical, Vendor)"/>
    <s v="Payment Transfer"/>
    <s v="purpose of this task is to assist claim field operations with the processes of making a payment transfer through claim center"/>
    <s v="Commercial "/>
    <s v="Multi/ Combination"/>
    <s v="Auto, Property, GL, Specialty lines, WC"/>
    <s v="Mid Size"/>
    <s v="Back Office"/>
    <s v="L2"/>
    <n v="1"/>
    <n v="3"/>
    <n v="3"/>
    <s v="Transaction Based "/>
    <s v="USD"/>
    <n v="0.83822905982905949"/>
    <n v="1"/>
    <n v="2.9815146094215862E-2"/>
    <n v="2.9815146094215862E-2"/>
    <n v="1.2224209898628504"/>
    <x v="59"/>
    <n v="1.2224209898628504"/>
    <n v="800"/>
    <s v="NA"/>
    <s v="NA"/>
    <n v="5.55"/>
    <n v="0.98"/>
    <n v="0.98"/>
    <s v="DPO – Defect Per Opportunity"/>
    <s v="NA"/>
    <s v="NA"/>
    <s v="NA"/>
    <s v="NA"/>
    <s v="NA"/>
    <s v="NA"/>
    <s v="NA"/>
    <s v="NA"/>
    <s v="NA"/>
    <s v="NA"/>
    <s v="NA"/>
    <m/>
    <s v="Instructions in Application"/>
    <s v="Structured"/>
    <n v="100"/>
    <s v="Multiple"/>
    <m/>
    <s v="Claim Center &amp; ACT"/>
  </r>
  <r>
    <s v="CNA"/>
    <s v="Top-10 US Commercial &amp; Specialty Carrier"/>
    <s v="North America"/>
    <s v="Noida, India"/>
    <x v="2"/>
    <s v="Arpan Pandey, Varunjesh"/>
    <n v="6"/>
    <x v="1"/>
    <x v="1"/>
    <x v="8"/>
    <s v="Bill Payment (Medical Legal, Non Medical, Vendor)"/>
    <s v="Legal Bill Payment"/>
    <s v="In this task we make payments to Law firms, Vendors &amp; Insureds for any legal expense/cost involved"/>
    <s v="Commercial "/>
    <s v="Multi/ Combination"/>
    <s v="Auto, Property, GL, Specialty lines, WC"/>
    <s v="Mid Size"/>
    <s v="Back Office"/>
    <s v="L1"/>
    <n v="1"/>
    <n v="4"/>
    <n v="4"/>
    <s v="Transaction Based "/>
    <s v="USD"/>
    <n v="1.0332730108114101"/>
    <n v="7"/>
    <n v="2.9815146094215862E-2"/>
    <n v="2.9815146094215862E-2"/>
    <n v="1.2224209898628504"/>
    <x v="63"/>
    <n v="0.17463156998040721"/>
    <n v="9000"/>
    <s v="NA"/>
    <s v="NA"/>
    <n v="5.0207629291128004"/>
    <n v="0.98"/>
    <n v="0.98"/>
    <s v="DPO – Defect Per Opportunity"/>
    <s v="NA"/>
    <s v="NA"/>
    <s v="NA"/>
    <s v="NA"/>
    <s v="NA"/>
    <s v="NA"/>
    <s v="NA"/>
    <s v="NA"/>
    <s v="NA"/>
    <s v="NA"/>
    <s v="NA"/>
    <m/>
    <s v="Multiple"/>
    <s v="Structured"/>
    <n v="100"/>
    <s v="Multiple"/>
    <m/>
    <s v="Claim Center, Mobius, TeamConnect, T360 &amp; ACT"/>
  </r>
  <r>
    <s v="CNA"/>
    <s v="Top-10 US Commercial &amp; Specialty Carrier"/>
    <s v="North America"/>
    <s v="Noida, India"/>
    <x v="2"/>
    <s v="Arpan Pandey, Varunjesh"/>
    <n v="6"/>
    <x v="1"/>
    <x v="1"/>
    <x v="1"/>
    <s v="Claim Setup and assignment"/>
    <s v="Reassign File Handler"/>
    <s v="Purpose of this task is to assign the claims/matters to the correct claim professional"/>
    <s v="Commercial "/>
    <s v="Multi/ Combination"/>
    <s v="Auto, Property, GL, Specialty lines, WC"/>
    <s v="Mid Size"/>
    <s v="Back Office"/>
    <s v="L2"/>
    <n v="1"/>
    <n v="3"/>
    <n v="3"/>
    <s v="Transaction Based "/>
    <s v="USD"/>
    <n v="0.35"/>
    <n v="4"/>
    <n v="2.9815146094215862E-2"/>
    <n v="2.9815146094215862E-2"/>
    <n v="1.2224209898628504"/>
    <x v="64"/>
    <n v="0.3056052474657126"/>
    <n v="900"/>
    <s v="NA"/>
    <s v="NA"/>
    <n v="1.6"/>
    <n v="0.98"/>
    <n v="0.98"/>
    <s v="DPO – Defect Per Opportunity"/>
    <s v="NA"/>
    <s v="NA"/>
    <s v="NA"/>
    <s v="NA"/>
    <s v="NA"/>
    <s v="NA"/>
    <s v="NA"/>
    <s v="NA"/>
    <s v="NA"/>
    <s v="NA"/>
    <s v="NA"/>
    <m/>
    <s v="ClaimCenter"/>
    <s v="Structured"/>
    <n v="100"/>
    <s v="ClaimCenter"/>
    <m/>
    <s v="Claim Center, TeamConnect &amp; T360"/>
  </r>
  <r>
    <s v="CNA"/>
    <s v="Top-10 US Commercial &amp; Specialty Carrier"/>
    <s v="North America"/>
    <s v="Noida, India"/>
    <x v="2"/>
    <s v="Arpan Pandey, Varunjesh"/>
    <n v="6"/>
    <x v="1"/>
    <x v="1"/>
    <x v="8"/>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s v="Commercial "/>
    <s v="Multi/ Combination"/>
    <s v="Auto, Property, GL, Specialty lines, WC"/>
    <s v="Mid Size"/>
    <s v="Back Office"/>
    <s v="L2"/>
    <n v="1"/>
    <n v="4"/>
    <n v="4"/>
    <s v="Transaction Based "/>
    <s v="USD"/>
    <n v="1.4266062991272288"/>
    <n v="2"/>
    <n v="2.9815146094215862E-2"/>
    <n v="2.9815146094215862E-2"/>
    <n v="1.2224209898628504"/>
    <x v="62"/>
    <n v="0.61121049493142521"/>
    <n v="500"/>
    <s v="NA"/>
    <s v="NA"/>
    <n v="6.07"/>
    <n v="0.98"/>
    <n v="0.98"/>
    <s v="DPO – Defect Per Opportunity"/>
    <s v="NA"/>
    <s v="NA"/>
    <s v="NA"/>
    <s v="NA"/>
    <s v="NA"/>
    <s v="NA"/>
    <s v="NA"/>
    <s v="NA"/>
    <s v="NA"/>
    <s v="NA"/>
    <s v="NA"/>
    <m/>
    <s v="Emails"/>
    <s v="Structured"/>
    <n v="100"/>
    <s v="Folder"/>
    <m/>
    <s v="Claim Center, TeamConnect, T360 &amp; ACT"/>
  </r>
  <r>
    <s v="CNA"/>
    <s v="Top-10 US Commercial &amp; Specialty Carrier"/>
    <s v="North America"/>
    <s v="Noida, India"/>
    <x v="2"/>
    <s v="Arpan Pandey, Varunjesh"/>
    <n v="6"/>
    <x v="1"/>
    <x v="1"/>
    <x v="8"/>
    <s v="Bill Payment (Medical Legal, Non Medical, Vendor)"/>
    <s v="Medical Bills Pending List"/>
    <s v="In this task we receive request to pay all the bills related to Medical on claim center"/>
    <s v="Commercial "/>
    <s v="Multi/ Combination"/>
    <s v="Auto, Property, GL, Specialty lines, WC"/>
    <s v="Mid Size"/>
    <s v="Back Office"/>
    <s v="L2"/>
    <n v="1"/>
    <n v="4"/>
    <n v="4"/>
    <s v="Transaction Based "/>
    <s v="USD"/>
    <n v="1.9436601649132781"/>
    <n v="5"/>
    <n v="2.9815146094215862E-2"/>
    <n v="2.9815146094215862E-2"/>
    <n v="1.2224209898628504"/>
    <x v="65"/>
    <n v="0.24448419797257009"/>
    <n v="4000"/>
    <s v="NA"/>
    <s v="NA"/>
    <n v="12.4"/>
    <n v="0.98"/>
    <n v="0.98"/>
    <s v="DPO – Defect Per Opportunity"/>
    <s v="NA"/>
    <s v="NA"/>
    <s v="NA"/>
    <s v="NA"/>
    <s v="NA"/>
    <s v="NA"/>
    <s v="NA"/>
    <s v="NA"/>
    <s v="NA"/>
    <s v="NA"/>
    <s v="NA"/>
    <m/>
    <s v="ClaimCenter"/>
    <s v="Structured"/>
    <n v="100"/>
    <s v="ClaimCenter"/>
    <m/>
    <s v="Claim Center,Conduent &amp; ACT"/>
  </r>
  <r>
    <s v="CNA"/>
    <s v="Top-10 US Commercial &amp; Specialty Carrier"/>
    <s v="North America"/>
    <s v="Noida, India"/>
    <x v="2"/>
    <s v="Arpan Pandey, Varunjesh"/>
    <n v="6"/>
    <x v="1"/>
    <x v="1"/>
    <x v="8"/>
    <s v="Bill Payment (Medical Legal, Non Medical, Vendor)"/>
    <s v="Vehicle Registration Monthly Inquiry"/>
    <s v="This process describes the steps to review the vehicle registration monthly inquiry report and to identify the invoice and amounts for payment"/>
    <s v="Commercial "/>
    <s v="Multi/ Combination"/>
    <s v="Auto, Property, GL, Specialty lines, WC"/>
    <s v="Mid Size"/>
    <s v="Back Office"/>
    <s v="L4"/>
    <s v="NA"/>
    <s v="NA"/>
    <s v="NA"/>
    <s v="Transaction Based "/>
    <s v="USD"/>
    <n v="1.1076664432029792"/>
    <n v="1"/>
    <n v="2.9815146094215862E-2"/>
    <n v="2.9815146094215862E-2"/>
    <n v="1.2224209898628504"/>
    <x v="59"/>
    <n v="1.2224209898628504"/>
    <n v="21"/>
    <s v="NA"/>
    <s v="NA"/>
    <n v="4.09"/>
    <n v="0.98"/>
    <n v="0.98"/>
    <s v="DPO – Defect Per Opportunity"/>
    <s v="NA"/>
    <s v="NA"/>
    <s v="NA"/>
    <s v="NA"/>
    <s v="NA"/>
    <s v="NA"/>
    <s v="NA"/>
    <s v="NA"/>
    <s v="NA"/>
    <s v="NA"/>
    <s v="NA"/>
    <m/>
    <s v="Emails"/>
    <s v="Structured"/>
    <n v="100"/>
    <s v="Emails"/>
    <m/>
    <s v="Claim Center &amp; ACT"/>
  </r>
  <r>
    <s v="CNA"/>
    <s v="Top-10 US Commercial &amp; Specialty Carrier"/>
    <s v="North America"/>
    <s v="Noida, India"/>
    <x v="2"/>
    <s v="Arpan Pandey, Varunjesh"/>
    <n v="6"/>
    <x v="1"/>
    <x v="1"/>
    <x v="7"/>
    <s v="Salvage Settlement"/>
    <s v="Close Recovery Indicator"/>
    <s v="In this task we need to close recovery portion in claimcenter and in ACT post recovery"/>
    <s v="Commercial "/>
    <s v="Multi/ Combination"/>
    <s v="Auto, Property, GL, Specialty lines, WC"/>
    <s v="Mid Size"/>
    <s v="Back Office"/>
    <s v="L2"/>
    <n v="1"/>
    <n v="2"/>
    <n v="3"/>
    <s v="Transaction Based "/>
    <s v="USD"/>
    <n v="0.20710195674562304"/>
    <n v="2"/>
    <n v="2.9815146094215862E-2"/>
    <n v="2.9815146094215862E-2"/>
    <n v="1.2224209898628504"/>
    <x v="62"/>
    <n v="0.61121049493142521"/>
    <n v="1250"/>
    <s v="NA"/>
    <s v="NA"/>
    <n v="1.08"/>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8"/>
    <s v="Non Medical Bill Review &amp; Approval"/>
    <s v="Wage Calculation"/>
    <s v="In this task team uses the wage calculator is used to eliminate the manual steps involved in validation and sanity checks "/>
    <s v="Commercial "/>
    <s v="Multi/ Combination"/>
    <s v="Auto, Property, GL, Specialty lines, WC"/>
    <s v="Mid Size"/>
    <s v="Back Office"/>
    <s v="L3"/>
    <n v="1"/>
    <n v="4"/>
    <n v="4"/>
    <s v="Transaction Based "/>
    <s v="USD"/>
    <n v="6.488632362043794"/>
    <n v="1"/>
    <n v="2.9815146094215862E-2"/>
    <n v="2.9815146094215862E-2"/>
    <n v="1.2224209898628504"/>
    <x v="59"/>
    <n v="1.2224209898628504"/>
    <n v="430"/>
    <s v="NA"/>
    <s v="NA"/>
    <n v="30.02"/>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9"/>
    <s v="Coverage Verification"/>
    <s v="Deductible Tracking"/>
    <s v="In this task team reviews the DT every 30 days until it's exausted"/>
    <s v="Commercial "/>
    <s v="Multi/ Combination"/>
    <s v="Auto, Property, GL, Specialty lines, WC"/>
    <s v="Mid Size"/>
    <s v="Back Office"/>
    <s v="L2"/>
    <n v="1"/>
    <n v="2"/>
    <n v="3"/>
    <s v="Transaction Based "/>
    <s v="USD"/>
    <n v="2.54"/>
    <n v="3"/>
    <n v="2.9815146094215862E-2"/>
    <n v="2.9815146094215862E-2"/>
    <n v="1.2224209898628504"/>
    <x v="66"/>
    <n v="0.40747366328761681"/>
    <n v="2500"/>
    <s v="NA"/>
    <s v="NA"/>
    <n v="11.25"/>
    <n v="0.97"/>
    <n v="0.97"/>
    <s v="DPO – Defect Per Opportunity"/>
    <s v="NA"/>
    <s v="NA"/>
    <s v="NA"/>
    <s v="NA"/>
    <s v="NA"/>
    <s v="NA"/>
    <s v="NA"/>
    <s v="NA"/>
    <s v="NA"/>
    <s v="NA"/>
    <s v="NA"/>
    <m/>
    <s v="ClaimCenter"/>
    <s v="Unstructured"/>
    <n v="100"/>
    <s v="ClaimCenter"/>
    <m/>
    <s v="Claim Center, TeamConnect, T360 &amp; ACT"/>
  </r>
  <r>
    <s v="CNA"/>
    <s v="Top-10 US Commercial &amp; Specialty Carrier"/>
    <s v="North America"/>
    <s v="Noida, India"/>
    <x v="2"/>
    <s v="Arpan Pandey, Varunjesh"/>
    <n v="6"/>
    <x v="1"/>
    <x v="1"/>
    <x v="7"/>
    <s v="Initiate Recovery Collection &amp; processing"/>
    <s v="Second Injury Fund"/>
    <s v="Second Injury Fund is the dedicated fund for the purpose of reimbursing compensation payment made by th emmployers, insures or CP to their employees"/>
    <s v="Commercial "/>
    <s v="Multi/ Combination"/>
    <s v="Auto, Property, GL, Specialty lines, WC"/>
    <s v="Mid Size"/>
    <s v="Back Office"/>
    <s v="L2"/>
    <n v="1"/>
    <n v="4"/>
    <n v="4"/>
    <s v="Transaction Based "/>
    <s v="USD"/>
    <n v="15.834927008447201"/>
    <n v="2"/>
    <n v="2.9815146094215862E-2"/>
    <n v="2.9815146094215862E-2"/>
    <n v="1.2224209898628504"/>
    <x v="62"/>
    <n v="0.61121049493142521"/>
    <n v="250"/>
    <s v="NA"/>
    <s v="NA"/>
    <n v="72.27"/>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8"/>
    <s v="Duplicate Payment"/>
    <s v="Duplicate Payment"/>
    <s v="Identify Duplicate payments and initate recovery for the payments"/>
    <s v="Commercial "/>
    <s v="Multi/ Combination"/>
    <s v="Auto, Property, GL, Specialty lines, WC"/>
    <s v="Mid Size"/>
    <s v="Back Office"/>
    <s v="L1"/>
    <n v="1"/>
    <n v="3"/>
    <n v="3"/>
    <s v="FTE Based"/>
    <s v="USD"/>
    <n v="0.65228616666395833"/>
    <n v="1"/>
    <n v="2.9815146094215862E-2"/>
    <n v="2.9815146094215862E-2"/>
    <n v="1.2224209898628504"/>
    <x v="59"/>
    <n v="1.2224209898628504"/>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s v="CNA"/>
    <s v="Top-10 US Commercial &amp; Specialty Carrier"/>
    <s v="North America"/>
    <s v="Noida, India"/>
    <x v="2"/>
    <s v="Arpan Pandey, Varunjesh"/>
    <n v="6"/>
    <x v="1"/>
    <x v="1"/>
    <x v="8"/>
    <s v="Stop Payment"/>
    <s v="Stop Payment"/>
    <s v="Stop incorrect payments"/>
    <s v="Commercial "/>
    <s v="Multi/ Combination"/>
    <s v="Auto, Property, GL, Specialty lines, WC"/>
    <s v="Mid Size"/>
    <s v="Back Office"/>
    <s v="L2"/>
    <n v="1"/>
    <n v="3"/>
    <n v="3"/>
    <s v="FTE Based"/>
    <s v="USD"/>
    <n v="0.30012783471074367"/>
    <n v="1"/>
    <n v="2.9815146094215862E-2"/>
    <n v="2.9815146094215862E-2"/>
    <n v="1.2224209898628504"/>
    <x v="59"/>
    <n v="1.2224209898628504"/>
    <n v="421"/>
    <s v="NA"/>
    <s v="Nov-Dec"/>
    <n v="1.41"/>
    <n v="0.98"/>
    <n v="0.98"/>
    <s v="DPU – Defect Per Unit"/>
    <s v="NA"/>
    <s v="NA"/>
    <s v="NA"/>
    <s v="NA"/>
    <s v="NA"/>
    <s v="NA"/>
    <s v="NA"/>
    <s v="NA"/>
    <s v="NA"/>
    <s v="NA"/>
    <s v="NA"/>
    <s v="Claim Adjuster"/>
    <s v="Instructions in Application"/>
    <s v="Semi-Structured"/>
    <n v="100"/>
    <s v="Multiple"/>
    <s v="Claim Adjuster"/>
    <s v="Claim Center, ACT, MS outlook,"/>
  </r>
  <r>
    <s v="CNA"/>
    <s v="Top-10 US Commercial &amp; Specialty Carrier"/>
    <s v="North America"/>
    <s v="Noida, India"/>
    <x v="2"/>
    <s v="Arpan Pandey, Varunjesh"/>
    <n v="6"/>
    <x v="1"/>
    <x v="1"/>
    <x v="8"/>
    <s v="Bill Payment (Medical Legal, Non Medical, Vendor)"/>
    <s v="Manager Entry in ACT AZ and Check Release"/>
    <s v="Add AZ authority and release payment checks"/>
    <s v="Commercial "/>
    <s v="Multi/ Combination"/>
    <s v="Auto, Property, GL, Specialty lines, WC"/>
    <s v="Mid Size"/>
    <s v="Back Office"/>
    <s v="L2"/>
    <n v="1"/>
    <n v="3"/>
    <n v="3"/>
    <s v="FTE Based"/>
    <s v="USD"/>
    <n v="0.58512648617238017"/>
    <n v="2"/>
    <n v="2.9815146094215862E-2"/>
    <n v="2.9815146094215862E-2"/>
    <n v="1.2224209898628504"/>
    <x v="62"/>
    <n v="0.61121049493142521"/>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s v="CNA"/>
    <s v="Top-10 US Commercial &amp; Specialty Carrier"/>
    <s v="North America"/>
    <s v="Noida, India"/>
    <x v="2"/>
    <s v="Arpan Pandey, Varunjesh"/>
    <n v="6"/>
    <x v="1"/>
    <x v="1"/>
    <x v="8"/>
    <s v="Bill Payment (Medical Legal, Non Medical, Vendor)"/>
    <s v="Bill Payment - Non Workers Compensation, Bulk, Workers Compensation, Central Bill Pay Processing Unit"/>
    <s v="Paid Vendor invoices, Insured, Claimants, Injured workers"/>
    <s v="Commercial "/>
    <s v="Multi/ Combination"/>
    <s v="Auto, Property, GL, Specialty lines, WC"/>
    <s v="Mid Size"/>
    <s v="Back Office"/>
    <s v="L2"/>
    <n v="1"/>
    <n v="3"/>
    <n v="3"/>
    <s v="FTE Based"/>
    <s v="USD"/>
    <n v="1.3047727934174855"/>
    <n v="7.5"/>
    <n v="2.9815146094215862E-2"/>
    <n v="2.9815146094215862E-2"/>
    <n v="1.2224209898628504"/>
    <x v="67"/>
    <n v="0.16298946531504671"/>
    <n v="11295"/>
    <s v="NA"/>
    <s v="Nov-Dec"/>
    <n v="6.9499387811524942"/>
    <n v="0.98"/>
    <n v="0.98"/>
    <s v="DPU – Defect Per Unit"/>
    <s v="NA"/>
    <s v="NA"/>
    <s v="NA"/>
    <s v="NA"/>
    <s v="NA"/>
    <s v="NA"/>
    <s v="NA"/>
    <s v="NA"/>
    <s v="NA"/>
    <s v="NA"/>
    <s v="NA"/>
    <s v="Claim Adjuster"/>
    <s v="Multiple"/>
    <s v="Semi-Structured"/>
    <n v="100"/>
    <s v="Multiple"/>
    <s v="Claim Adjuster"/>
    <s v="Claim Center, ACT, MS outlook, "/>
  </r>
  <r>
    <s v="CNA"/>
    <s v="Top-10 US Commercial &amp; Specialty Carrier"/>
    <s v="North America"/>
    <s v="Noida, India"/>
    <x v="2"/>
    <s v="Arpan Pandey, Varunjesh"/>
    <n v="6"/>
    <x v="1"/>
    <x v="1"/>
    <x v="8"/>
    <s v="Bill Payment (Medical Legal, Non Medical, Vendor)"/>
    <s v="Bill Payment - Wilber Invoices, PIP Bills, Mitchell Bills, Glass (Geber) Invoices"/>
    <s v="Paid vendor invoices"/>
    <s v="Commercial "/>
    <s v="Multi/ Combination"/>
    <s v="Auto, Property, GL, Specialty lines, WC"/>
    <s v="Mid Size"/>
    <s v="Back Office"/>
    <s v="L4"/>
    <n v="1"/>
    <n v="3"/>
    <n v="3"/>
    <s v="FTE Based"/>
    <s v="USD"/>
    <n v="1.65"/>
    <n v="1.5"/>
    <n v="2.9815146094215862E-2"/>
    <n v="2.9815146094215862E-2"/>
    <n v="1.2224209898628504"/>
    <x v="68"/>
    <n v="0.81494732657523361"/>
    <n v="577"/>
    <s v="NA"/>
    <s v="Nov-Dec"/>
    <n v="8"/>
    <n v="0.98"/>
    <n v="0.98"/>
    <s v="DPU – Defect Per Unit"/>
    <s v="NA"/>
    <s v="NA"/>
    <s v="NA"/>
    <s v="NA"/>
    <s v="NA"/>
    <s v="NA"/>
    <s v="NA"/>
    <s v="NA"/>
    <s v="NA"/>
    <s v="NA"/>
    <s v="NA"/>
    <s v="Claim Adjuster"/>
    <s v="Multiple"/>
    <s v="Semi-Structured"/>
    <n v="100"/>
    <s v="Multiple"/>
    <s v="Claim Adjuster"/>
    <s v="Claim Center, ACT, MS outlook, Michell Decision Point"/>
  </r>
  <r>
    <s v="CNA"/>
    <s v="Top-10 US Commercial &amp; Specialty Carrier"/>
    <s v="North America"/>
    <s v="Noida, India"/>
    <x v="2"/>
    <s v="Arpan Pandey, Varunjesh"/>
    <n v="6"/>
    <x v="1"/>
    <x v="1"/>
    <x v="7"/>
    <s v="Initiate Recovery Collection &amp; processing"/>
    <s v="Recovery Vendor Bills Arbitration"/>
    <s v="Paid Recovery arbitration bills to vendor"/>
    <s v="Commercial "/>
    <s v="Multi/ Combination"/>
    <s v="Auto, Property, GL, Specialty lines, WC"/>
    <s v="Mid Size"/>
    <s v="Back Office"/>
    <s v="L2"/>
    <n v="1"/>
    <n v="3"/>
    <n v="3"/>
    <s v="FTE Based"/>
    <s v="USD"/>
    <n v="1.4393692162417371"/>
    <n v="0.25"/>
    <n v="2.9815146094215862E-2"/>
    <n v="2.9815146094215862E-2"/>
    <n v="1.2224209898628504"/>
    <x v="69"/>
    <n v="4.8896839594514017"/>
    <n v="138"/>
    <s v="NA"/>
    <s v="Nov-Dec"/>
    <n v="5.5"/>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7"/>
    <s v="Initiate Recovery Collection &amp; processing"/>
    <s v="SIU/Subrogation Bills Assign Pay"/>
    <s v="Paid SIU/Subrogation bills"/>
    <s v="Commercial "/>
    <s v="Multi/ Combination"/>
    <s v="Auto, Property, GL, Specialty lines, WC"/>
    <s v="Mid Size"/>
    <s v="Back Office"/>
    <s v="L2"/>
    <n v="1"/>
    <n v="3"/>
    <n v="3"/>
    <s v="FTE Based"/>
    <s v="USD"/>
    <n v="1.3043522102528782"/>
    <n v="0.25"/>
    <n v="2.9815146094215862E-2"/>
    <n v="2.9815146094215862E-2"/>
    <n v="1.2224209898628504"/>
    <x v="69"/>
    <n v="4.8896839594514017"/>
    <n v="79"/>
    <s v="NA"/>
    <s v="Nov-Dec"/>
    <n v="7.03"/>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Crawford Cunningham Bill Payment"/>
    <s v="Indexing - This is a process of indexing for vendor Crawford Cunnigham Bills "/>
    <s v="Commercial "/>
    <s v="Multi/ Combination"/>
    <s v="Auto, Property, GL, Specialty lines, WC"/>
    <s v="Mid Size"/>
    <s v="Back Office"/>
    <s v="L1"/>
    <n v="1"/>
    <n v="3"/>
    <n v="3"/>
    <s v="FTE Based"/>
    <s v="USD"/>
    <n v="1.3425167416291901"/>
    <n v="0.25"/>
    <n v="2.9815146094215862E-2"/>
    <n v="2.9815146094215862E-2"/>
    <n v="1.2224209898628504"/>
    <x v="69"/>
    <n v="4.8896839594514017"/>
    <n v="44"/>
    <s v="NA"/>
    <s v="Nov-Dec"/>
    <n v="5.5"/>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Scheduled Payments Nearing Completion Report and Activity"/>
    <s v="Create activity to claim professional for notify scheduled payment nearing complition"/>
    <s v="Commercial "/>
    <s v="Multi/ Combination"/>
    <s v="Auto, Property, GL, Specialty lines, WC"/>
    <s v="Mid Size"/>
    <s v="Back Office"/>
    <s v="L3"/>
    <n v="1"/>
    <n v="3"/>
    <n v="3"/>
    <s v="FTE Based"/>
    <s v="USD"/>
    <n v="0.16550357919702599"/>
    <n v="1"/>
    <n v="2.9815146094215862E-2"/>
    <n v="2.9815146094215862E-2"/>
    <n v="1.2224209898628504"/>
    <x v="59"/>
    <n v="1.2224209898628504"/>
    <n v="1200"/>
    <s v="NA"/>
    <s v="Nov-Dec"/>
    <n v="3.0141717706971298"/>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Oklahoma Settlement Tax Payments and Puerto Rico with Waivers "/>
    <s v="Indexing and Paid Oklahoma Settlement invoices, and paid Puerto Rico state invoices"/>
    <s v="Commercial "/>
    <s v="Multi/ Combination"/>
    <s v="Auto, Property, GL, Specialty lines, WC"/>
    <s v="Mid Size"/>
    <s v="Back Office"/>
    <s v="L2"/>
    <n v="1"/>
    <n v="3"/>
    <n v="3"/>
    <s v="FTE Based"/>
    <s v="USD"/>
    <n v="3.024318431372548"/>
    <n v="0.25"/>
    <n v="2.9815146094215862E-2"/>
    <n v="2.9815146094215862E-2"/>
    <n v="1.2224209898628504"/>
    <x v="69"/>
    <n v="4.8896839594514017"/>
    <n v="18"/>
    <s v="NA"/>
    <s v="Nov-Dec"/>
    <n v="16.059999999999999"/>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6"/>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s v="Commercial "/>
    <s v="Multi/ Combination"/>
    <s v="Auto, Property, GL, Specialty lines, WC"/>
    <s v="Mid Size"/>
    <s v="Back Office"/>
    <s v="L3"/>
    <n v="1"/>
    <n v="2"/>
    <n v="3"/>
    <s v="Transaction Based "/>
    <s v="USD"/>
    <n v="11.850603985045082"/>
    <n v="4.8600000000000003"/>
    <n v="0"/>
    <n v="8.3333333333333329E-2"/>
    <n v="5"/>
    <x v="70"/>
    <n v="1.0288065843621399"/>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s v="CNA"/>
    <s v="Top-10 US Commercial &amp; Specialty Carrier"/>
    <s v="North America"/>
    <s v="Noida, India"/>
    <x v="2"/>
    <s v="Arpan Pandey, Varunjesh"/>
    <n v="6"/>
    <x v="1"/>
    <x v="1"/>
    <x v="1"/>
    <s v="Claim Setup and assignment"/>
    <s v="Claim Activity Triage"/>
    <s v="This process is to assist with activity reassignments due to ALC changes. "/>
    <s v="Commercial "/>
    <s v="Multi/ Combination"/>
    <s v="Auto, Property, GL, Specialty lines, WC"/>
    <s v="Mid Size"/>
    <s v="Back Office"/>
    <s v="L1"/>
    <n v="1"/>
    <n v="1"/>
    <n v="1"/>
    <s v="Transaction Based "/>
    <s v="USD"/>
    <n v="0.75850995112883368"/>
    <n v="1.97"/>
    <n v="0"/>
    <n v="8.3333333333333329E-2"/>
    <n v="2"/>
    <x v="71"/>
    <n v="1.015228426395939"/>
    <n v="4251"/>
    <s v="NA"/>
    <s v="NA"/>
    <n v="3"/>
    <n v="0.98"/>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1"/>
    <s v="Data entry "/>
    <s v="Statistical Coding Tasks"/>
    <s v="Statistical coding is the process of capturing claim data to apply existing policy information to a new claim at the suffix level."/>
    <s v="Commercial "/>
    <s v="Multi/ Combination"/>
    <s v="Auto, Specialty lines, WC"/>
    <s v="Mid Size"/>
    <s v="Back Office"/>
    <s v="L2"/>
    <n v="1"/>
    <n v="2"/>
    <n v="3"/>
    <s v="Transaction Based "/>
    <s v="USD"/>
    <n v="1.3922597147073288"/>
    <n v="5"/>
    <n v="0"/>
    <n v="8.3333333333333329E-2"/>
    <n v="5"/>
    <x v="72"/>
    <n v="1"/>
    <n v="6796"/>
    <s v="NA"/>
    <s v="NA"/>
    <n v="7"/>
    <n v="0.97"/>
    <n v="0.97"/>
    <s v="DPU – Defect Per Unit"/>
    <s v="NA"/>
    <s v="NA"/>
    <s v="NA"/>
    <s v="NA"/>
    <s v="NA"/>
    <s v="NA"/>
    <s v="NA"/>
    <s v="NA"/>
    <s v="NA"/>
    <s v="NA"/>
    <s v="NA"/>
    <s v="Claim Adjuster"/>
    <s v="ClaimCenter"/>
    <s v="Semi-Structured"/>
    <n v="100"/>
    <s v="ClaimCenter"/>
    <s v="Claim Adjuster"/>
    <s v="ClaimCenter/Covers"/>
  </r>
  <r>
    <s v="CNA"/>
    <s v="Top-10 US Commercial &amp; Specialty Carrier"/>
    <s v="North America"/>
    <s v="Noida, India"/>
    <x v="2"/>
    <s v="Arpan Pandey, Varunjesh"/>
    <n v="6"/>
    <x v="1"/>
    <x v="1"/>
    <x v="8"/>
    <s v="Legal Document Review"/>
    <s v="Document Filing"/>
    <s v="Purpose of this task is to rename and upload legal documents in TeamConnect"/>
    <s v="Commercial "/>
    <s v="Multi/ Combination"/>
    <s v="N/A"/>
    <s v="Mid Size"/>
    <s v="Back Office"/>
    <s v="L2"/>
    <n v="1"/>
    <n v="3"/>
    <n v="3"/>
    <s v="Transaction Based "/>
    <s v="USD"/>
    <n v="1.0866731707317074"/>
    <n v="5"/>
    <n v="0.3"/>
    <n v="0.11"/>
    <n v="5"/>
    <x v="73"/>
    <n v="1"/>
    <n v="10000"/>
    <s v="NA"/>
    <s v="NA"/>
    <n v="5"/>
    <n v="0.97"/>
    <n v="0.97"/>
    <s v="DPU – Defect Per Unit"/>
    <s v="NA"/>
    <s v="NA"/>
    <s v="NA"/>
    <s v="NA"/>
    <s v="NA"/>
    <s v="NA"/>
    <s v="NA"/>
    <s v="NA"/>
    <s v="NA"/>
    <s v="NA"/>
    <s v="NA"/>
    <m/>
    <s v="Emails"/>
    <s v="Structured"/>
    <n v="100"/>
    <s v="TeamConnect"/>
    <m/>
    <s v="TeamConnect"/>
  </r>
  <r>
    <s v="CNA"/>
    <s v="Top-10 US Commercial &amp; Specialty Carrier"/>
    <s v="North America"/>
    <s v="Noida, India"/>
    <x v="2"/>
    <s v="Arpan Pandey, Varunjesh"/>
    <n v="6"/>
    <x v="1"/>
    <x v="1"/>
    <x v="8"/>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s v="Commercial "/>
    <s v="Multi/ Combination"/>
    <s v="Mutiple LOBs like - Auto, Property, GL, Specialty lines, WC. Etc."/>
    <s v="Mid Size"/>
    <s v="Back Office"/>
    <s v="L1"/>
    <n v="1"/>
    <n v="3"/>
    <n v="3"/>
    <s v="Transaction Based "/>
    <s v="USD"/>
    <n v="3.47"/>
    <n v="1"/>
    <n v="0.3"/>
    <n v="0.11"/>
    <n v="1"/>
    <x v="74"/>
    <n v="1"/>
    <n v="70"/>
    <s v="NA"/>
    <s v="NA"/>
    <n v="15"/>
    <n v="0.97"/>
    <n v="0.97"/>
    <s v="DPU – Defect Per Unit"/>
    <s v="NA"/>
    <s v="NA"/>
    <s v="NA"/>
    <s v="NA"/>
    <s v="NA"/>
    <s v="NA"/>
    <s v="NA"/>
    <s v="NA"/>
    <s v="NA"/>
    <s v="NA"/>
    <s v="NA"/>
    <m/>
    <s v="ClaimCenter"/>
    <s v="Structured"/>
    <n v="100"/>
    <s v="ClaimCenter"/>
    <m/>
    <s v="Claim Center, TeamConnect"/>
  </r>
  <r>
    <s v="CNA"/>
    <s v="Top-10 US Commercial &amp; Specialty Carrier"/>
    <s v="North America"/>
    <s v="Noida, India"/>
    <x v="2"/>
    <s v="Arpan Pandey, Varunjesh"/>
    <n v="6"/>
    <x v="1"/>
    <x v="1"/>
    <x v="8"/>
    <s v="Legal Document Review"/>
    <s v="CCG"/>
    <s v="Purpose of this task is to rename and file legal documents in TeamConnect. We also close, open and re-open the coverage matters in TeamConnect"/>
    <s v="Commercial "/>
    <s v="Multi/ Combination"/>
    <s v="N/A"/>
    <s v="Mid Size"/>
    <s v="Back Office"/>
    <s v="L2"/>
    <n v="1"/>
    <n v="3"/>
    <n v="3"/>
    <s v="Transaction Based "/>
    <s v="USD"/>
    <n v="1.47"/>
    <n v="2"/>
    <n v="0.3"/>
    <n v="0.11"/>
    <n v="2"/>
    <x v="75"/>
    <n v="1"/>
    <n v="1000"/>
    <s v="NA"/>
    <s v="NA"/>
    <n v="7.12"/>
    <n v="0.97"/>
    <n v="0.97"/>
    <s v="DPU – Defect Per Unit"/>
    <s v="NA"/>
    <s v="NA"/>
    <s v="NA"/>
    <s v="NA"/>
    <s v="NA"/>
    <s v="NA"/>
    <s v="NA"/>
    <s v="NA"/>
    <s v="NA"/>
    <s v="NA"/>
    <s v="NA"/>
    <m/>
    <s v="Emails"/>
    <s v="Structured"/>
    <n v="100"/>
    <s v="TeamConnect"/>
    <m/>
    <s v="Claim Center, TeamConnect"/>
  </r>
  <r>
    <s v="CNA"/>
    <s v="Top-10 US Commercial &amp; Specialty Carrier"/>
    <s v="North America"/>
    <s v="Noida, India"/>
    <x v="2"/>
    <s v="Arpan Pandey, Varunjesh"/>
    <n v="6"/>
    <x v="1"/>
    <x v="1"/>
    <x v="8"/>
    <s v="Legal Referral"/>
    <s v="Legal Referral"/>
    <s v="In this task we set up matter in TeamConnect/T360, create litigation screen and send engagement letter to parties"/>
    <s v="Commercial "/>
    <s v="Multi/ Combination"/>
    <s v="Mutiple LOBs like - Auto, Property, GL, Specialty lines, WC. Etc."/>
    <s v="Mid Size"/>
    <s v="Back Office"/>
    <s v="L3"/>
    <n v="1"/>
    <n v="3"/>
    <n v="3"/>
    <s v="Transaction Based "/>
    <s v="USD"/>
    <n v="7.2011102006897403"/>
    <n v="4"/>
    <n v="0.3"/>
    <n v="0.11"/>
    <n v="4"/>
    <x v="76"/>
    <n v="1"/>
    <n v="1600"/>
    <s v="NA"/>
    <s v="NA"/>
    <n v="30"/>
    <n v="0.97"/>
    <n v="0.97"/>
    <s v="DPO – Defect Per Opportunity"/>
    <s v="NA"/>
    <s v="NA"/>
    <s v="NA"/>
    <s v="NA"/>
    <s v="NA"/>
    <s v="NA"/>
    <s v="NA"/>
    <s v="NA"/>
    <s v="NA"/>
    <s v="NA"/>
    <s v="NA"/>
    <m/>
    <s v="ClaimCenter"/>
    <s v="Structured"/>
    <n v="100"/>
    <s v="ClaimCenter"/>
    <m/>
    <s v="Claim Center, TeamConnect, T360 &amp; ACT"/>
  </r>
  <r>
    <s v="CNA"/>
    <s v="Top-10 US Commercial &amp; Specialty Carrier"/>
    <s v="North America"/>
    <s v="Noida, India"/>
    <x v="2"/>
    <s v="Arpan Pandey, Varunjesh"/>
    <n v="6"/>
    <x v="1"/>
    <x v="1"/>
    <x v="8"/>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s v="Commercial "/>
    <s v="Multi/ Combination"/>
    <s v="Mutiple LOBs like - Auto, Property, GL, Specialty lines, WC. Etc."/>
    <s v="Mid Size"/>
    <s v="Back Office"/>
    <s v="L3"/>
    <n v="1"/>
    <n v="3"/>
    <n v="3"/>
    <s v="Transaction Based "/>
    <s v="USD"/>
    <n v="6.02"/>
    <n v="1"/>
    <n v="0.3"/>
    <n v="0.11"/>
    <n v="1"/>
    <x v="74"/>
    <n v="1"/>
    <n v="70"/>
    <s v="NA"/>
    <s v="NA"/>
    <n v="24"/>
    <n v="0.97"/>
    <n v="0.97"/>
    <s v="DPU – Defect Per Unit"/>
    <s v="NA"/>
    <s v="NA"/>
    <s v="NA"/>
    <s v="NA"/>
    <s v="NA"/>
    <s v="NA"/>
    <s v="NA"/>
    <s v="NA"/>
    <s v="NA"/>
    <s v="NA"/>
    <s v="NA"/>
    <m/>
    <s v="ClaimCenter/Email"/>
    <s v="Structured"/>
    <n v="100"/>
    <s v="ClaimCenter/Email"/>
    <m/>
    <s v="Claim Center, TeamConnect and T360"/>
  </r>
  <r>
    <s v="CNA"/>
    <s v="Top-10 US Commercial &amp; Specialty Carrier"/>
    <s v="North America"/>
    <s v="Noida, India"/>
    <x v="2"/>
    <s v="Arpan Pandey, Varunjesh"/>
    <n v="6"/>
    <x v="1"/>
    <x v="1"/>
    <x v="8"/>
    <s v="Send Closing Documents"/>
    <s v="Legal Matter Update (Closing Request)"/>
    <s v="In this task we receive request to close the matter in T360"/>
    <s v="Commercial "/>
    <s v="Multi/ Combination"/>
    <s v="Mutiple LOBs like - Auto, Property, GL, Specialty lines, WC. Etc."/>
    <s v="Mid Size"/>
    <s v="Back Office"/>
    <s v="L1"/>
    <n v="1"/>
    <n v="3"/>
    <n v="3"/>
    <s v="Transaction Based "/>
    <s v="USD"/>
    <n v="0.9"/>
    <n v="1"/>
    <n v="0.3"/>
    <n v="0.11"/>
    <n v="1"/>
    <x v="74"/>
    <n v="1"/>
    <n v="60"/>
    <s v="NA"/>
    <s v="NA"/>
    <n v="2.04"/>
    <n v="0.97"/>
    <n v="0.97"/>
    <s v="DPU – Defect Per Unit"/>
    <s v="NA"/>
    <s v="NA"/>
    <s v="NA"/>
    <s v="NA"/>
    <s v="NA"/>
    <s v="NA"/>
    <s v="NA"/>
    <s v="NA"/>
    <s v="NA"/>
    <s v="NA"/>
    <s v="NA"/>
    <m/>
    <s v="ClaimCenter"/>
    <s v="Structured"/>
    <n v="100"/>
    <s v="ClaimCenter"/>
    <m/>
    <s v="Claim Center and T360"/>
  </r>
  <r>
    <s v="CNA"/>
    <s v="Top-10 US Commercial &amp; Specialty Carrier"/>
    <s v="North America"/>
    <s v="Noida, India"/>
    <x v="2"/>
    <s v="Arpan Pandey, Varunjesh"/>
    <n v="0.2"/>
    <x v="1"/>
    <x v="1"/>
    <x v="8"/>
    <s v="Bill Payment (Medical Legal, Non Medical, Vendor)"/>
    <s v="Medical Bills Pending - First Script"/>
    <s v="EXL to receive monthly spreadsheet to process the First Script (Vendor) items, team to follow appropriate steps to issue payments and to update CNA comments on the spreadsheet."/>
    <s v="Commercial "/>
    <s v="WC"/>
    <s v="WC"/>
    <s v="Mid Size"/>
    <s v="Back Office"/>
    <s v="L3"/>
    <n v="0.15"/>
    <n v="1"/>
    <n v="4"/>
    <s v="Transaction Based "/>
    <s v="USD"/>
    <n v="1.9436601649132781"/>
    <n v="1"/>
    <m/>
    <m/>
    <m/>
    <x v="77"/>
    <n v="1"/>
    <m/>
    <s v="NA"/>
    <s v="NA"/>
    <n v="8"/>
    <n v="0.97"/>
    <n v="0.98"/>
    <s v="DPU – Defect Per Unit"/>
    <s v="NA"/>
    <s v="NA"/>
    <s v="NA"/>
    <s v="NA"/>
    <s v="NA"/>
    <s v="NA"/>
    <s v="NA"/>
    <s v="NA"/>
    <s v="NA"/>
    <s v="NA"/>
    <s v="NA"/>
    <s v="CP"/>
    <s v="Individual Mailbox"/>
    <s v="Semi-Structured"/>
    <n v="100"/>
    <s v="ACT"/>
    <s v="Vendors"/>
    <s v="ACT, ClaimCenter, Mailbox"/>
  </r>
  <r>
    <s v="CNA"/>
    <s v="Top-10 US Commercial &amp; Specialty Carrier"/>
    <s v="North America"/>
    <s v="Noida, India"/>
    <x v="2"/>
    <s v="Arpan Pandey, Varunjesh"/>
    <n v="0.2"/>
    <x v="1"/>
    <x v="1"/>
    <x v="8"/>
    <s v="Bill Payment (Medical Legal, Non Medical, Vendor)"/>
    <s v="Medical Bills Pending - EOR"/>
    <s v="EXL to issue payment on the bills as they appear on manual Database Payments application (PPT), EXL to receive bills on every Monday, Wednesday &amp; Friday."/>
    <s v="Commercial "/>
    <s v="WC"/>
    <s v="WC"/>
    <s v="Mid Size"/>
    <s v="Back Office"/>
    <s v="L3"/>
    <n v="0.15"/>
    <n v="1"/>
    <n v="4"/>
    <s v="Transaction Based "/>
    <s v="USD"/>
    <n v="1.9436601649132781"/>
    <n v="4"/>
    <m/>
    <m/>
    <m/>
    <x v="77"/>
    <n v="1"/>
    <m/>
    <s v="NA"/>
    <s v="NA"/>
    <n v="8"/>
    <n v="0.97"/>
    <n v="0.98"/>
    <s v="DPU – Defect Per Unit"/>
    <s v="NA"/>
    <s v="NA"/>
    <s v="NA"/>
    <s v="NA"/>
    <s v="NA"/>
    <s v="NA"/>
    <s v="NA"/>
    <s v="NA"/>
    <s v="NA"/>
    <s v="NA"/>
    <s v="NA"/>
    <s v="CP"/>
    <s v="Manual Database Payments Application"/>
    <s v="Semi-Structured"/>
    <n v="100"/>
    <s v="ACT"/>
    <s v="Vendors"/>
    <s v="ACT, ClaimCenter, Mailbox"/>
  </r>
  <r>
    <s v="CNA"/>
    <s v="Top-10 US Commercial &amp; Specialty Carrier"/>
    <s v="North America"/>
    <s v="Noida, India"/>
    <x v="2"/>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s v="Commercial "/>
    <s v="WC"/>
    <s v="WC"/>
    <s v="Mid Size"/>
    <s v="Back Office"/>
    <s v="L3"/>
    <n v="1"/>
    <n v="2"/>
    <n v="3"/>
    <s v="Transaction Based "/>
    <s v="USD"/>
    <n v="10.701599999999999"/>
    <n v="7"/>
    <n v="0"/>
    <n v="8.3333333333333329E-2"/>
    <m/>
    <x v="77"/>
    <n v="1"/>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India"/>
    <x v="2"/>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s v="Commercial "/>
    <s v="Multi/ Combination"/>
    <s v="Mutiple LOBs like - Auto, Property, GL, WC. Etc."/>
    <s v="All"/>
    <s v="Back Office"/>
    <s v="L3"/>
    <n v="1"/>
    <n v="2"/>
    <n v="3"/>
    <s v="Transaction Based "/>
    <s v="USD"/>
    <n v="2.75"/>
    <n v="1"/>
    <n v="0"/>
    <n v="8.3333333333333329E-2"/>
    <m/>
    <x v="77"/>
    <n v="1"/>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India"/>
    <x v="2"/>
    <s v="Arpan Pandey, Varunjesh"/>
    <n v="1"/>
    <x v="1"/>
    <x v="1"/>
    <x v="1"/>
    <s v="Claim Setup and assignment"/>
    <s v="Crawford FNOL Follow Up"/>
    <s v="Follow up request on a pre filed loss is received which needs to be attached to the existing claim "/>
    <s v="Commercial "/>
    <s v="Multi/ Combination"/>
    <s v="Mutiple LOBs like - Auto, Property, GL, WC. Etc."/>
    <s v="Small"/>
    <s v="Back Office"/>
    <s v="L3"/>
    <m/>
    <n v="1"/>
    <n v="1"/>
    <s v="Transaction Based "/>
    <s v="USD"/>
    <n v="3.44"/>
    <n v="3.9760638297872339E-2"/>
    <m/>
    <m/>
    <m/>
    <x v="77"/>
    <n v="1"/>
    <n v="25"/>
    <s v="NA"/>
    <s v="NA"/>
    <n v="14.95"/>
    <n v="1"/>
    <n v="0.97"/>
    <s v="DPU – Defect Per Unit"/>
    <s v="NA"/>
    <s v="NA"/>
    <s v="NA"/>
    <s v="NA"/>
    <s v="NA"/>
    <s v="NA"/>
    <s v="NA"/>
    <s v="NA"/>
    <s v="NA"/>
    <s v="NA"/>
    <s v="NA"/>
    <s v="C NA"/>
    <s v="Emails"/>
    <s v="Semi-Structured"/>
    <n v="100"/>
    <s v="ClaimCenter"/>
    <s v="Insureds / Agents"/>
    <s v="Claim center, ECE, MS Office, PDF, ECF, EPC"/>
  </r>
  <r>
    <s v="CNA"/>
    <s v="Top-10 US Commercial &amp; Specialty Carrier"/>
    <s v="North America"/>
    <s v="Noida, India"/>
    <x v="2"/>
    <s v="Arpan Pandey, Varunjesh"/>
    <n v="1.5"/>
    <x v="1"/>
    <x v="1"/>
    <x v="8"/>
    <s v="Legal File Opening"/>
    <s v="T360 New User Set Up"/>
    <s v="We set up new user in T360 as per the IIQ requests we receive from onshore"/>
    <s v="Commercial "/>
    <s v="Multi/ Combination"/>
    <s v="N/A"/>
    <s v="All"/>
    <s v="Back Office"/>
    <s v="L3"/>
    <n v="0"/>
    <n v="1"/>
    <n v="4"/>
    <s v="Transaction Based "/>
    <s v="USD"/>
    <n v="1.75"/>
    <n v="0.02"/>
    <m/>
    <m/>
    <m/>
    <x v="78"/>
    <n v="1"/>
    <n v="30"/>
    <s v="N/A"/>
    <s v="NA"/>
    <n v="7"/>
    <n v="0.97"/>
    <n v="0.97"/>
    <s v="DPU – Defect Per Unit"/>
    <s v="NA"/>
    <s v="NA"/>
    <s v="NA"/>
    <s v="NA"/>
    <s v="NA"/>
    <s v="NA"/>
    <s v="NA"/>
    <s v="NA"/>
    <s v="NA"/>
    <s v="NA"/>
    <s v="NA"/>
    <s v="NA"/>
    <s v="T360"/>
    <s v="Semi-Structured"/>
    <n v="100"/>
    <s v="T360"/>
    <s v="Claim Adjuster"/>
    <s v="T360"/>
  </r>
  <r>
    <s v="CNA"/>
    <s v="Top-10 US Commercial &amp; Specialty Carrier"/>
    <s v="North America"/>
    <s v="Noida, India"/>
    <x v="2"/>
    <s v="Arpan Pandey, Varunjesh"/>
    <n v="3"/>
    <x v="1"/>
    <x v="1"/>
    <x v="6"/>
    <s v="Quality Management"/>
    <s v="Onshore Legal Referral QA"/>
    <s v="1. Complete transaction quality monitoring for tasks completed across Legal Referral, in accordance with the SOP_x000a_2. Complete QA sheet and report QA scores to onshore monthly, per the SOP"/>
    <s v="Commercial &amp; Specialty"/>
    <s v="Multi/ Combination"/>
    <s v="WC, Auto, PMT, CNP, CUP, CUE, Speciality"/>
    <s v="All"/>
    <s v="Back Office"/>
    <s v="L3"/>
    <n v="1"/>
    <n v="5"/>
    <n v="5"/>
    <s v="Transaction Based "/>
    <s v="USD"/>
    <n v="7.529268292682926"/>
    <n v="5"/>
    <n v="0"/>
    <n v="0"/>
    <n v="1"/>
    <x v="77"/>
    <n v="1"/>
    <n v="85"/>
    <n v="85"/>
    <s v="TBD"/>
    <n v="30"/>
    <n v="1"/>
    <n v="0.97"/>
    <s v="DPU – Defect Per Unit"/>
    <s v="DPU – Defect Per Unit"/>
    <s v="NA"/>
    <s v="NA"/>
    <s v="NA"/>
    <s v="NA"/>
    <s v="NA"/>
    <s v="NA"/>
    <s v="NA"/>
    <s v="NA"/>
    <s v="NA"/>
    <s v="NA"/>
    <s v="NA"/>
    <s v="Outside Counsel"/>
    <s v="Semi-Structured"/>
    <s v="Semi-Structured"/>
    <n v="0.5"/>
    <s v="Instructions in Application"/>
    <s v="ClaimCenter, T360, Outlook"/>
  </r>
  <r>
    <s v="CNA"/>
    <s v="Top-10 US Commercial &amp; Specialty Carrier"/>
    <s v="North America"/>
    <s v="Noida, India"/>
    <x v="2"/>
    <s v="Arpan Pandey, Varunjesh"/>
    <n v="0.1"/>
    <x v="1"/>
    <x v="1"/>
    <x v="8"/>
    <s v="Indexing &amp; Scanning Non Medical bills"/>
    <s v="Court Docket and TeamConnect Uploads (LCGR)"/>
    <s v="We re-name and upload documents in TeamConnect as per the request receive from onshore team"/>
    <s v="Commercial "/>
    <s v="Multi/ Combination"/>
    <s v="N/A"/>
    <s v="All"/>
    <s v="Back Office"/>
    <s v="L3"/>
    <n v="0"/>
    <n v="1"/>
    <n v="4"/>
    <s v="Transaction Based "/>
    <s v="USD"/>
    <n v="1.66"/>
    <n v="0.33"/>
    <m/>
    <m/>
    <m/>
    <x v="77"/>
    <n v="1"/>
    <n v="425"/>
    <s v="N/A"/>
    <s v="NA"/>
    <n v="7.23"/>
    <n v="0.97"/>
    <n v="0.97"/>
    <s v="DPU – Defect Per Unit"/>
    <s v="NA"/>
    <s v="NA"/>
    <s v="NA"/>
    <s v="NA"/>
    <s v="NA"/>
    <s v="NA"/>
    <s v="NA"/>
    <s v="NA"/>
    <s v="NA"/>
    <s v="NA"/>
    <s v="NA"/>
    <s v="NA"/>
    <s v="Email"/>
    <s v="Semi-Structured"/>
    <n v="100"/>
    <s v="TeamConnect"/>
    <s v="Attorneys"/>
    <s v="TeamConnect"/>
  </r>
  <r>
    <s v="CNA"/>
    <s v="Top-10 US Commercial &amp; Specialty Carrier"/>
    <s v="North America"/>
    <s v="Noida, India"/>
    <x v="2"/>
    <s v="Arpan Pandey, Varunjesh"/>
    <n v="0.5"/>
    <x v="1"/>
    <x v="1"/>
    <x v="8"/>
    <s v="Indexing &amp; Scanning Non Medical bills"/>
    <s v="Legal Matter Update (Missing Information)"/>
    <s v="We update litigation screen as per the information provided in the activity"/>
    <s v="Commercial "/>
    <s v="Multi/ Combination"/>
    <s v="Mutiple LOBs like - Auto, Property, GL, Specialty lines, WC. Etc."/>
    <s v="All"/>
    <s v="Back Office"/>
    <s v="L3"/>
    <n v="0"/>
    <n v="1"/>
    <n v="4"/>
    <s v="Transaction Based "/>
    <s v="USD"/>
    <n v="2.82"/>
    <n v="0.11"/>
    <m/>
    <m/>
    <m/>
    <x v="79"/>
    <n v="1"/>
    <n v="180"/>
    <s v="N/A"/>
    <s v="NA"/>
    <n v="6"/>
    <n v="0.97"/>
    <n v="0.97"/>
    <s v="DPU – Defect Per Unit"/>
    <s v="NA"/>
    <s v="NA"/>
    <s v="NA"/>
    <s v="NA"/>
    <s v="NA"/>
    <s v="NA"/>
    <s v="NA"/>
    <s v="NA"/>
    <s v="NA"/>
    <s v="NA"/>
    <s v="NA"/>
    <s v="NA"/>
    <s v="ClaimCenter"/>
    <s v="Semi-Structured"/>
    <n v="100"/>
    <s v="ClaimCenter"/>
    <s v="Claim Adjuster"/>
    <s v="ClaimCenter"/>
  </r>
  <r>
    <s v="CNA"/>
    <s v="Top-10 US Commercial &amp; Specialty Carrier"/>
    <s v="North America"/>
    <s v="Noida, India"/>
    <x v="2"/>
    <s v="Arpan Pandey, Varunjesh"/>
    <n v="1.9"/>
    <x v="1"/>
    <x v="1"/>
    <x v="7"/>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s v="Commercial "/>
    <s v="Auto"/>
    <s v="Auto"/>
    <s v="Mid Size"/>
    <s v="Back Office"/>
    <s v="L3"/>
    <n v="0.3"/>
    <n v="2"/>
    <n v="2"/>
    <s v="Transaction Based "/>
    <s v="USD"/>
    <n v="7"/>
    <n v="0.5"/>
    <m/>
    <m/>
    <m/>
    <x v="79"/>
    <n v="1"/>
    <n v="257"/>
    <s v="N/A"/>
    <s v="NA"/>
    <n v="31.04"/>
    <n v="1"/>
    <n v="0.97"/>
    <s v="DPU – Defect Per Unit"/>
    <s v="NA"/>
    <s v="NA"/>
    <s v="NA"/>
    <s v="NA"/>
    <s v="NA"/>
    <s v="NA"/>
    <s v="NA"/>
    <s v="NA"/>
    <s v="NA"/>
    <s v="NA"/>
    <s v="NA"/>
    <s v="NA"/>
    <s v="Email"/>
    <s v="Semi-Structured"/>
    <s v="Semi-Structured"/>
    <s v="ClaimCenter"/>
    <s v="Claim Adjuster"/>
    <s v="ACT, ClaimCenter, Alacrity Solutions"/>
  </r>
  <r>
    <s v="CNA"/>
    <s v="Top-10 US Commercial &amp; Specialty Carrier"/>
    <s v="North America"/>
    <s v="Noida, India"/>
    <x v="2"/>
    <s v="Arpan Pandey, Varunjesh"/>
    <n v="1.3"/>
    <x v="1"/>
    <x v="1"/>
    <x v="7"/>
    <s v="Initiate Recovery Collection &amp; processing"/>
    <s v="Spartan Referral"/>
    <s v="Objective is to prepare and send the Spartan referral sheet on Auto, Property &amp; WC claims - Where recovery is referred to Spartan (Recovery Vendor)"/>
    <s v="Commercial "/>
    <s v="Auto, WC &amp; Property"/>
    <s v="Auto, WC &amp; Property"/>
    <s v="Mid Size"/>
    <s v="Back Office"/>
    <s v="L3"/>
    <n v="0.15"/>
    <n v="0.15"/>
    <n v="0.5"/>
    <s v="Transaction Based "/>
    <s v="USD"/>
    <n v="20.3"/>
    <n v="0.5"/>
    <m/>
    <m/>
    <m/>
    <x v="79"/>
    <n v="1"/>
    <n v="21"/>
    <s v="N/A"/>
    <s v="NA"/>
    <n v="90"/>
    <n v="1"/>
    <n v="0.97"/>
    <s v="DPU – Defect Per Unit"/>
    <s v="NA"/>
    <s v="NA"/>
    <s v="NA"/>
    <s v="NA"/>
    <s v="NA"/>
    <s v="NA"/>
    <s v="NA"/>
    <s v="NA"/>
    <s v="NA"/>
    <s v="NA"/>
    <s v="NA"/>
    <s v="NA"/>
    <s v="ClaimCenter"/>
    <s v="Semi-Structured"/>
    <n v="100"/>
    <s v="ClaimCenter"/>
    <s v="Spartan"/>
    <s v="ClaimCenter"/>
  </r>
  <r>
    <s v="CNA"/>
    <s v="Top-10 US Commercial &amp; Specialty Carrier"/>
    <s v="North America"/>
    <s v="Noida, India"/>
    <x v="2"/>
    <s v="Arpan Pandey, Varunjesh"/>
    <n v="1.6"/>
    <x v="1"/>
    <x v="1"/>
    <x v="7"/>
    <s v="Initiate Recovery Collection &amp; processing"/>
    <s v="Cisco Referral"/>
    <s v="In this task team assigns to claims from spartan (Recovery Vendor) to Cisco (Collection Vendor) for further pursuit"/>
    <s v="Commercial "/>
    <s v="Auto, WC &amp; Property"/>
    <s v="Auto, WC &amp; Property"/>
    <s v="Mid Size"/>
    <s v="Back Office"/>
    <s v="L3"/>
    <n v="0.15"/>
    <n v="0.15"/>
    <n v="1"/>
    <s v="Transaction Based "/>
    <s v="USD"/>
    <n v="1.1299999999999999"/>
    <n v="0.5"/>
    <m/>
    <m/>
    <m/>
    <x v="79"/>
    <n v="1"/>
    <n v="61"/>
    <s v="N/A"/>
    <s v="NA"/>
    <n v="5"/>
    <n v="1"/>
    <n v="0.97"/>
    <s v="DPU – Defect Per Unit"/>
    <s v="NA"/>
    <s v="NA"/>
    <s v="NA"/>
    <s v="NA"/>
    <s v="NA"/>
    <s v="NA"/>
    <s v="NA"/>
    <s v="NA"/>
    <s v="NA"/>
    <s v="NA"/>
    <s v="NA"/>
    <s v="NA"/>
    <s v="Email"/>
    <s v="Semi-Structured"/>
    <n v="100"/>
    <s v="ClaimCenter"/>
    <s v="Cisco"/>
    <s v="ClaimCenter"/>
  </r>
  <r>
    <s v="CNA"/>
    <s v="Top-10 US Commercial &amp; Specialty Carrier"/>
    <s v="North America"/>
    <s v="Noida, India"/>
    <x v="2"/>
    <s v="Arpan Pandey, Varunjesh"/>
    <n v="8"/>
    <x v="1"/>
    <x v="2"/>
    <x v="5"/>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s v="Commercial "/>
    <s v="Multi/ Combination"/>
    <s v="WC, Auto, PMT, CNP, CUP, CUE"/>
    <s v="All"/>
    <s v="Back Office"/>
    <s v="L3"/>
    <n v="2"/>
    <s v="2 to 4"/>
    <s v="6 to 8"/>
    <s v="Transaction Based "/>
    <s v="USD"/>
    <n v="22014.800000000003"/>
    <n v="4"/>
    <n v="0.1"/>
    <n v="0.2"/>
    <n v="1"/>
    <x v="80"/>
    <n v="0.25"/>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s v="CNA"/>
    <s v="Top-10 US Commercial &amp; Specialty Carrier"/>
    <s v="North America"/>
    <s v="Noida, India"/>
    <x v="2"/>
    <s v="Arpan Pandey, Varunjesh"/>
    <n v="8"/>
    <x v="1"/>
    <x v="2"/>
    <x v="5"/>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s v="Commercial "/>
    <s v="Multi/ Combination"/>
    <s v="WC, Auto, PMT, CNP, CUP, CUE"/>
    <s v="All"/>
    <s v="Back Office"/>
    <s v="L3"/>
    <n v="2"/>
    <s v="2 to 4"/>
    <s v="6 to 8"/>
    <s v="Transaction Based "/>
    <s v="USD"/>
    <n v="22014.800000000003"/>
    <n v="6.42"/>
    <n v="0.4"/>
    <n v="0.3"/>
    <n v="1.22"/>
    <x v="81"/>
    <n v="0.19003115264797507"/>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s v="CNA"/>
    <s v="Top-10 US Commercial &amp; Specialty Carrier"/>
    <s v="North America"/>
    <s v="Noida, India"/>
    <x v="2"/>
    <s v="Arpan Pandey, Varunjesh"/>
    <n v="8"/>
    <x v="1"/>
    <x v="2"/>
    <x v="12"/>
    <s v="Audit Scheduling"/>
    <s v="Audit Scheduling"/>
    <s v="Prepare Premium Audit schedule and communicate"/>
    <s v="Commercial "/>
    <s v="Multi/ Combination"/>
    <s v="Package lines, Auto, Specialty lines, WC "/>
    <s v="All"/>
    <s v="Back Office"/>
    <s v="L3"/>
    <n v="1"/>
    <s v="2 to 4"/>
    <s v="2 to 4"/>
    <s v="Transaction Based "/>
    <s v="USD"/>
    <n v="23594"/>
    <n v="1"/>
    <n v="0"/>
    <n v="0.1"/>
    <n v="1"/>
    <x v="23"/>
    <n v="1"/>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s v="CNA"/>
    <s v="Top-10 US Commercial &amp; Specialty Carrier"/>
    <s v="North America"/>
    <s v="Noida, India"/>
    <x v="2"/>
    <s v="Arpan Pandey, Varunjesh"/>
    <n v="8"/>
    <x v="1"/>
    <x v="2"/>
    <x v="12"/>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s v="Commercial "/>
    <s v="Multi/ Combination"/>
    <s v="Package lines, Auto, Specialty lines, WC "/>
    <s v="All"/>
    <s v="Back Office"/>
    <s v="L3"/>
    <n v="1"/>
    <s v="2 to 4"/>
    <s v="2 to 4"/>
    <s v="Transaction Based "/>
    <s v="USD"/>
    <n v="22014.800000000003"/>
    <n v="1.5"/>
    <n v="0"/>
    <n v="0.1"/>
    <n v="1.33"/>
    <x v="82"/>
    <n v="0.88666666666666671"/>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s v="CNA"/>
    <s v="Top-10 US Commercial &amp; Specialty Carrier"/>
    <s v="North America"/>
    <s v="Noida, India"/>
    <x v="2"/>
    <s v="Arpan Pandey, Varunjesh"/>
    <n v="8"/>
    <x v="1"/>
    <x v="2"/>
    <x v="12"/>
    <s v="Field Audit"/>
    <s v="Physical Audit"/>
    <s v="The Premium Audit reviewers are responsible for reviewing policyholder records at the end of the policy period to determine the final, audited premium for coverage provided basis the Physical audit report"/>
    <s v="Commercial "/>
    <s v="Multi/ Combination"/>
    <s v="Package lines, Auto, Specialty lines, WC "/>
    <s v="All"/>
    <s v="Back Office"/>
    <s v="L3"/>
    <n v="2"/>
    <s v="4 to 6"/>
    <s v="2 to 4"/>
    <s v="Transaction Based "/>
    <s v="USD"/>
    <n v="23594"/>
    <n v="1"/>
    <n v="0"/>
    <n v="0.1"/>
    <n v="1"/>
    <x v="23"/>
    <n v="1"/>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Internet Audit"/>
    <s v="Internet Audit"/>
    <s v="The Premium Audit reviewers are responsible for reviewing policyholder records at the end of the policy period to determine the final, audited premium for coverage provided basis the Internet audit report"/>
    <s v="Commercial "/>
    <s v="Multi/ Combination"/>
    <s v="Package lines, Auto, Specialty lines, WC "/>
    <s v="All"/>
    <s v="Back Office"/>
    <s v="L3"/>
    <n v="1"/>
    <s v="2 to 4"/>
    <s v="2 to 4"/>
    <s v="Transaction Based "/>
    <s v="USD"/>
    <n v="23594"/>
    <n v="1"/>
    <n v="0"/>
    <n v="0.1"/>
    <n v="1"/>
    <x v="23"/>
    <n v="1"/>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Phone Audit"/>
    <s v="Telephone Audit"/>
    <s v="The Premium Audit reviewers are responsible for reviewing policyholder records at the end of the policy period to determine the final, audited premium for coverage provided basis the Telephone Audit report"/>
    <s v="Commercial "/>
    <s v="Multi/ Combination"/>
    <s v="Package lines, Auto, Specialty lines, WC "/>
    <s v="All"/>
    <s v="Back Office"/>
    <s v="L3"/>
    <n v="1"/>
    <s v="2 to 4"/>
    <s v="2 to 4"/>
    <s v="Transaction Based "/>
    <s v="USD"/>
    <n v="23594"/>
    <n v="0.5"/>
    <n v="0"/>
    <n v="0.1"/>
    <n v="2"/>
    <x v="83"/>
    <n v="4"/>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Premium Audit Endorsements"/>
    <s v="Premium Audit Endorsements"/>
    <s v="Adding States &amp; Codes into the policy basis Audit reports_x000a__x000a_Processing Endorsement if Automation Fails"/>
    <s v="Commercial "/>
    <s v="WC"/>
    <s v="WC"/>
    <s v="All"/>
    <s v="Back Office"/>
    <s v="L3"/>
    <n v="1"/>
    <s v="4 to 6"/>
    <s v="2 to 4"/>
    <s v="Transaction Based "/>
    <s v="USD"/>
    <n v="23594"/>
    <n v="4"/>
    <n v="0"/>
    <n v="0.1"/>
    <n v="1"/>
    <x v="84"/>
    <n v="0.25"/>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s v="CNA"/>
    <s v="Top-10 US Commercial &amp; Specialty Carrier"/>
    <s v="North America"/>
    <s v="Noida, India"/>
    <x v="2"/>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s v="Commercial "/>
    <s v="Multi/ Combination"/>
    <s v="Auto, WC, CUP, Package Lines"/>
    <s v="All"/>
    <s v="Back Office"/>
    <s v="L3"/>
    <n v="1"/>
    <s v="4 to 6"/>
    <s v="2 to 4"/>
    <s v="Transaction Based "/>
    <s v="USD"/>
    <n v="22221.600000000002"/>
    <n v="9"/>
    <n v="1"/>
    <n v="0.4"/>
    <n v="1.1100000000000001"/>
    <x v="85"/>
    <n v="0.12333333333333335"/>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s v="CNA"/>
    <s v="Top-10 US Commercial &amp; Specialty Carrier"/>
    <s v="North America"/>
    <s v="Noida, India"/>
    <x v="2"/>
    <s v="Arpan Pandey, Varunjesh"/>
    <n v="8"/>
    <x v="1"/>
    <x v="2"/>
    <x v="4"/>
    <s v="Broker Correspondence"/>
    <s v="Solicitation - 45 Days, 90 Days, Financial Institution, Life Science, Non Standard"/>
    <s v="Solicitation letter is sent to Broker and Agent 45/90 Days prior to renewal of a policy. "/>
    <s v="Commercial "/>
    <s v="Multi/ Combination"/>
    <s v="Auto, WC, CUP, Package Lines"/>
    <s v="All"/>
    <s v="Back Office"/>
    <s v="L3"/>
    <n v="1"/>
    <s v="4 to 6"/>
    <s v="4 to 6"/>
    <s v="Transaction Based "/>
    <s v="USD"/>
    <n v="22014.800000000003"/>
    <n v="3.5"/>
    <n v="0"/>
    <n v="0.5"/>
    <n v="1.05"/>
    <x v="86"/>
    <n v="0.3"/>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s v="CNA"/>
    <s v="Top-10 US Commercial &amp; Specialty Carrier"/>
    <s v="North America"/>
    <s v="Noida, India"/>
    <x v="2"/>
    <s v="Arpan Pandey, Varunjesh"/>
    <n v="8"/>
    <x v="1"/>
    <x v="2"/>
    <x v="5"/>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s v="Commercial "/>
    <s v="Multi/ Combination"/>
    <s v="Auto, WC, CUP, Package Lines"/>
    <s v="Small"/>
    <s v="Back Office"/>
    <s v="L3"/>
    <n v="1"/>
    <s v="4 to 6"/>
    <s v="4 to 6"/>
    <s v="Transaction Based "/>
    <s v="USD"/>
    <n v="22014.800000000003"/>
    <n v="8"/>
    <n v="0"/>
    <n v="0.25"/>
    <n v="1.27"/>
    <x v="87"/>
    <n v="0.15875"/>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s v="CNA"/>
    <s v="Top-10 US Commercial &amp; Specialty Carrier"/>
    <s v="North America"/>
    <s v="Noida, India"/>
    <x v="2"/>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s v="Commercial "/>
    <s v="Multi/ Combination"/>
    <s v="Auto, WC, CUP, Package Lines"/>
    <s v="All"/>
    <s v="Back Office"/>
    <s v="L2"/>
    <n v="1"/>
    <s v="2 to 4"/>
    <s v="2 to 4"/>
    <s v="Transaction Based "/>
    <s v="USD"/>
    <n v="0.84"/>
    <n v="1"/>
    <n v="0"/>
    <n v="0.05"/>
    <n v="1"/>
    <x v="88"/>
    <n v="1"/>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s v="CNA"/>
    <s v="Top-10 US Commercial &amp; Specialty Carrier"/>
    <s v="North America"/>
    <s v="Noida, India"/>
    <x v="2"/>
    <s v="Arpan Pandey, Varunjesh"/>
    <n v="8"/>
    <x v="1"/>
    <x v="2"/>
    <x v="3"/>
    <s v="Indexing"/>
    <s v="Indexing"/>
    <s v="Indexing - This is a process of creating tasks received in Endorsement Portal and routing them to appropriate teams based on request types."/>
    <s v="Commercial "/>
    <s v="Multi/ Combination"/>
    <s v="Auto, WC, CUP, Package Lines"/>
    <s v="All"/>
    <s v="Back Office"/>
    <s v="L2"/>
    <n v="1"/>
    <s v="2 to 4"/>
    <s v="2 to 4"/>
    <s v="Transaction Based "/>
    <s v="USD"/>
    <n v="22014.800000000003"/>
    <n v="3"/>
    <n v="0"/>
    <n v="0.1"/>
    <n v="1"/>
    <x v="22"/>
    <n v="0.33333333333333331"/>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s v="CNA"/>
    <s v="Top-10 US Commercial &amp; Specialty Carrier"/>
    <s v="North America"/>
    <s v="Noida, India"/>
    <x v="2"/>
    <s v="Arpan Pandey, Varunjesh"/>
    <n v="8"/>
    <x v="1"/>
    <x v="2"/>
    <x v="10"/>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s v="Commercial "/>
    <s v="Specialty"/>
    <s v="NA"/>
    <s v="All"/>
    <s v="Back Office"/>
    <s v="L3"/>
    <n v="2"/>
    <s v="4 to 6"/>
    <s v="4 to 6"/>
    <s v="Transaction Based "/>
    <s v="USD"/>
    <n v="22014.800000000003"/>
    <n v="0.75"/>
    <n v="0"/>
    <n v="0.05"/>
    <n v="1.33"/>
    <x v="89"/>
    <n v="1.7733333333333334"/>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s v="CNA"/>
    <s v="Top-10 US Commercial &amp; Specialty Carrier"/>
    <s v="North America"/>
    <s v="Noida, India"/>
    <x v="2"/>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s v="Commercial "/>
    <s v="Multi/ Combination"/>
    <s v="NA"/>
    <s v="All"/>
    <s v="Back Office"/>
    <s v="L3"/>
    <n v="2"/>
    <s v="4 to 6"/>
    <s v="6 to 8"/>
    <s v="Transaction Based "/>
    <s v="USD"/>
    <n v="385560"/>
    <n v="28"/>
    <n v="0"/>
    <n v="0.05"/>
    <n v="1.33"/>
    <x v="90"/>
    <n v="4.7500000000000001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s v="CNA"/>
    <s v="Top-10 US Commercial &amp; Specialty Carrier"/>
    <s v="North America"/>
    <s v="Noida, India"/>
    <x v="2"/>
    <s v="Arpan Pandey, Varunjesh"/>
    <n v="8"/>
    <x v="1"/>
    <x v="2"/>
    <x v="4"/>
    <s v="D&amp;B Scores"/>
    <s v="D&amp;B / Flood Map"/>
    <s v="D&amp;B / Flood Map - This is a process to find the D&amp;B financial credit score and Flood Map risk category of locations. The information gathered is updated in EPC and UWS for further handling by Underwriter. "/>
    <s v="Commercial "/>
    <s v="Specialty"/>
    <s v="NA"/>
    <s v="All"/>
    <s v="Back Office"/>
    <s v="L3"/>
    <n v="2"/>
    <s v="4 to 6"/>
    <s v="4 to 6"/>
    <s v="Transaction Based "/>
    <s v="USD"/>
    <n v="22014.800000000003"/>
    <n v="0.9"/>
    <n v="0"/>
    <n v="0.05"/>
    <n v="1"/>
    <x v="91"/>
    <n v="1.1111111111111112"/>
    <n v="1281"/>
    <s v="NA"/>
    <s v="NA"/>
    <n v="5"/>
    <s v="95% (3 Business Days)"/>
    <n v="0.98"/>
    <s v="DPU – Defect Per Unit"/>
    <s v="NA"/>
    <s v="NA"/>
    <s v="NA"/>
    <s v="NA"/>
    <s v="NA"/>
    <s v="NA"/>
    <s v="NA"/>
    <s v="NA"/>
    <s v="NA"/>
    <s v="NA"/>
    <s v="NA"/>
    <s v="Underwriter"/>
    <s v="Multiple"/>
    <s v="Structured"/>
    <s v="Client Application - 100% "/>
    <s v="Others"/>
    <s v="Others"/>
    <s v="Aspire, UWS, EPC, Swiss Re"/>
  </r>
  <r>
    <s v="CNA"/>
    <s v="Top-10 US Commercial &amp; Specialty Carrier"/>
    <s v="North America"/>
    <s v="Noida, India"/>
    <x v="2"/>
    <s v="Arpan Pandey, Varunjesh"/>
    <n v="8"/>
    <x v="1"/>
    <x v="2"/>
    <x v="3"/>
    <s v="Customer service"/>
    <s v="SBSC Egain COI, Policy update,  Audit Queue,SBSC Endt"/>
    <s v="Address customer issues related to Audit submitted via message in applicable call center portal. "/>
    <s v="Commercial "/>
    <s v="Specialty"/>
    <s v="NA"/>
    <s v="All"/>
    <s v="Back Office"/>
    <s v="L3"/>
    <n v="2"/>
    <s v="4 to 6"/>
    <s v="4 to 6"/>
    <s v="Transaction Based "/>
    <s v="USD"/>
    <n v="126359.99999999999"/>
    <n v="6.79"/>
    <n v="0"/>
    <n v="0.05"/>
    <n v="1"/>
    <x v="32"/>
    <n v="0.14727540500736377"/>
    <n v="3000"/>
    <s v="NA"/>
    <s v="NA"/>
    <n v="15"/>
    <s v="98% (2 Business days (48 hours))"/>
    <n v="0.98"/>
    <s v="DPU – Defect Per Unit"/>
    <s v="NA"/>
    <s v="NA"/>
    <s v="NA"/>
    <s v="NA"/>
    <s v="NA"/>
    <s v="NA"/>
    <s v="NA"/>
    <s v="NA"/>
    <s v="NA"/>
    <s v="NA"/>
    <s v="NA"/>
    <s v="Underwriter"/>
    <s v="Multiple"/>
    <s v="Structured"/>
    <s v="Client Application - 100% "/>
    <s v="Others"/>
    <s v="Others"/>
    <s v="Aspire, UWS, EPC, ECE"/>
  </r>
  <r>
    <s v="CNA"/>
    <s v="Top-10 US Commercial &amp; Specialty Carrier"/>
    <s v="North America"/>
    <s v="Noida, India"/>
    <x v="2"/>
    <s v="Arpan Pandey, Varunjesh"/>
    <n v="8"/>
    <x v="1"/>
    <x v="2"/>
    <x v="4"/>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s v="Commercial "/>
    <s v="Specialty"/>
    <s v="NA"/>
    <s v="All"/>
    <s v="Back Office"/>
    <s v="L3"/>
    <n v="2"/>
    <s v="4 to 6"/>
    <s v="4 to 6"/>
    <s v="Transaction Based "/>
    <s v="USD"/>
    <n v="302400"/>
    <n v="4.2"/>
    <n v="0"/>
    <n v="0.05"/>
    <n v="1"/>
    <x v="92"/>
    <n v="0.23809523809523808"/>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s v="CNA"/>
    <s v="Top-10 US Commercial &amp; Specialty Carrier"/>
    <s v="North America"/>
    <s v="Noida, India"/>
    <x v="2"/>
    <s v="Arpan Pandey, Varunjesh"/>
    <n v="8"/>
    <x v="1"/>
    <x v="2"/>
    <x v="4"/>
    <s v="Loss Runs"/>
    <s v="CPC and PSS Loss Run"/>
    <s v="Team process Loss Runs post validating all required details."/>
    <s v="Commercial "/>
    <s v="Multi/ Combination"/>
    <s v="Auto, Property, GL, Specialty lines, WC"/>
    <s v="All"/>
    <s v="Back Office"/>
    <s v="L3"/>
    <n v="2"/>
    <s v="6 to 8"/>
    <s v="4 to 6"/>
    <s v="Transaction Based "/>
    <s v="USD"/>
    <n v="22014.800000000003"/>
    <n v="4.4000000000000004"/>
    <n v="0.2"/>
    <n v="0.2"/>
    <n v="1.25"/>
    <x v="93"/>
    <n v="0.2840909090909090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s v="CNA"/>
    <s v="Top-10 US Commercial &amp; Specialty Carrier"/>
    <s v="North America"/>
    <s v="Noida, India"/>
    <x v="2"/>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s v="Commercial "/>
    <s v="Auto"/>
    <s v="Auto"/>
    <s v="All"/>
    <s v="Back Office"/>
    <s v="L3"/>
    <n v="2"/>
    <s v="6 to 8"/>
    <s v="6 to 8"/>
    <s v="Transaction Based "/>
    <s v="USD"/>
    <n v="22014.800000000003"/>
    <n v="1.86"/>
    <n v="0.2"/>
    <n v="0.2"/>
    <n v="1.08"/>
    <x v="94"/>
    <n v="0.58064516129032262"/>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s v="CNA"/>
    <s v="Top-10 US Commercial &amp; Specialty Carrier"/>
    <s v="North America"/>
    <s v="Noida, India"/>
    <x v="2"/>
    <s v="Arpan Pandey, Varunjesh"/>
    <n v="8"/>
    <x v="1"/>
    <x v="2"/>
    <x v="3"/>
    <s v="DMV and MVR"/>
    <s v="MVR"/>
    <s v="MVR team validate all required details and add/delete order drivers in MVR web or handle it as an exception case"/>
    <s v="Commercial "/>
    <s v="Auto"/>
    <s v="Auto"/>
    <s v="All"/>
    <s v="Back Office"/>
    <s v="L3"/>
    <n v="2"/>
    <s v="6 to 8"/>
    <s v="4 to 6"/>
    <s v="Transaction Based "/>
    <s v="USD"/>
    <n v="22014.800000000003"/>
    <n v="2"/>
    <n v="0.2"/>
    <n v="0.2"/>
    <n v="1.5"/>
    <x v="95"/>
    <n v="0.75"/>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s v="CNA"/>
    <s v="Top-10 US Commercial &amp; Specialty Carrier"/>
    <s v="North America"/>
    <s v="Noida, India"/>
    <x v="2"/>
    <s v="Arpan Pandey, Varunjesh"/>
    <n v="8"/>
    <x v="1"/>
    <x v="2"/>
    <x v="3"/>
    <s v="Cancellation &amp; Reinstatement"/>
    <s v="Reinstatement"/>
    <s v="Team process reinstatement/cancellation in TAP, EPC or PC as per policy source and sends notification and notice to requester and multimedia"/>
    <s v="Commercial "/>
    <s v="Multi/ Combination"/>
    <s v="Auto, Property, GL, Specialty lines, WC"/>
    <s v="All"/>
    <s v="Back Office"/>
    <s v="L3"/>
    <n v="2"/>
    <s v="6 to 8"/>
    <s v="4 to 6"/>
    <s v="Transaction Based "/>
    <s v="USD"/>
    <n v="22014.800000000003"/>
    <n v="5"/>
    <n v="0.2"/>
    <n v="0.2"/>
    <n v="2"/>
    <x v="96"/>
    <n v="0.4"/>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s v="CNA"/>
    <s v="Top-10 US Commercial &amp; Specialty Carrier"/>
    <s v="North America"/>
    <s v="Noida, India"/>
    <x v="2"/>
    <s v="Arpan Pandey, Varunjesh"/>
    <n v="8"/>
    <x v="1"/>
    <x v="2"/>
    <x v="4"/>
    <s v="WC Filings/ CRITS"/>
    <s v="WC Crits"/>
    <s v="Process requires the team to access state websites to extract Bureau CRIT reports and post triaging assign to appropriate queues for further handling by onshore"/>
    <s v="Commercial "/>
    <s v="WC"/>
    <s v="WC"/>
    <s v="All"/>
    <s v="Back Office"/>
    <s v="L3"/>
    <n v="2"/>
    <s v="6 to 8"/>
    <s v="4 to 6"/>
    <s v="Transaction Based "/>
    <s v="USD"/>
    <n v="22014.800000000003"/>
    <n v="1"/>
    <n v="0.2"/>
    <n v="0.1"/>
    <n v="1"/>
    <x v="97"/>
    <n v="1"/>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s v="CNA"/>
    <s v="Top-10 US Commercial &amp; Specialty Carrier"/>
    <s v="North America"/>
    <s v="Noida, India"/>
    <x v="2"/>
    <s v="Arpan Pandey, Varunjesh"/>
    <n v="8"/>
    <x v="1"/>
    <x v="2"/>
    <x v="3"/>
    <s v="Cancellation &amp; Reinstatement"/>
    <s v="General Blend &amp; Cancellations"/>
    <s v="Team process reinstatement/cancellation in TAP, EPC or PC as per policy source and sends notification and notice to requester and multimedia"/>
    <s v="Commercial "/>
    <s v="Multi/ Combination"/>
    <s v="Auto, Property, GL, Specialty lines, WC"/>
    <s v="All"/>
    <s v="Back Office"/>
    <s v="L3"/>
    <n v="2"/>
    <s v="6 to 8"/>
    <s v="4 to 6"/>
    <s v="Transaction Based "/>
    <s v="USD"/>
    <n v="22014.800000000003"/>
    <n v="2.5"/>
    <n v="0"/>
    <n v="0.1"/>
    <n v="1.2"/>
    <x v="98"/>
    <n v="0.48"/>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s v="CNA"/>
    <s v="Top-10 US Commercial &amp; Specialty Carrier"/>
    <s v="North America"/>
    <s v="Noida, India"/>
    <x v="2"/>
    <s v="Arpan Pandey, Varunjesh"/>
    <n v="8"/>
    <x v="1"/>
    <x v="2"/>
    <x v="4"/>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s v="Commercial "/>
    <s v="Multi/ Combination"/>
    <s v="Auto, WC, CUP, Package Lines"/>
    <s v="All"/>
    <s v="Back Office"/>
    <s v="L3"/>
    <n v="2"/>
    <s v="4 to 6"/>
    <s v="2 to 4"/>
    <s v="Transaction Based "/>
    <s v="USD"/>
    <n v="22014.800000000003"/>
    <n v="20"/>
    <n v="1"/>
    <n v="1"/>
    <n v="1.1000000000000001"/>
    <x v="99"/>
    <n v="5.5000000000000007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s v="CNA"/>
    <s v="Top-10 US Commercial &amp; Specialty Carrier"/>
    <s v="North America"/>
    <s v="Noida, India"/>
    <x v="2"/>
    <s v="Arpan Pandey, Varunjesh"/>
    <n v="8"/>
    <x v="1"/>
    <x v="2"/>
    <x v="5"/>
    <s v="Renewal Issuance"/>
    <s v="Small Business Renewal - Non-legacy &amp; Mailbox"/>
    <s v="Making requested changes in the policy, including agency code change and issue the renewal"/>
    <s v="Commercial "/>
    <s v="Small Business"/>
    <s v="Auto, WC, CUP, Package Lines"/>
    <s v="Small"/>
    <s v="Back Office"/>
    <s v="L3"/>
    <n v="1"/>
    <s v="4 to 6"/>
    <s v="4 to 6"/>
    <s v="Transaction Based "/>
    <s v="USD"/>
    <n v="2.61"/>
    <n v="4.5"/>
    <n v="0.5"/>
    <n v="0.1"/>
    <n v="1"/>
    <x v="26"/>
    <n v="0.222222222222222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s v="CNA"/>
    <s v="Top-10 US Commercial &amp; Specialty Carrier"/>
    <s v="North America"/>
    <s v="Noida, India"/>
    <x v="2"/>
    <s v="Arpan Pandey, Varunjesh"/>
    <n v="2"/>
    <x v="1"/>
    <x v="2"/>
    <x v="5"/>
    <s v="Renewal Issuance"/>
    <s v="Small Business Renewal - Legacy lines"/>
    <s v="Making requested changes in the policy, including agency code change and issue the renewal"/>
    <s v="Commercial "/>
    <s v="Small Business"/>
    <s v="Auto, WC, CUP, Package Lines"/>
    <s v="Small"/>
    <s v="Back Office"/>
    <s v="L3"/>
    <n v="1"/>
    <s v="4 to 6"/>
    <s v="4 to 6"/>
    <s v="Transaction Based "/>
    <s v="USD"/>
    <n v="3.11"/>
    <n v="2"/>
    <n v="0.5"/>
    <n v="0.1"/>
    <n v="1"/>
    <x v="39"/>
    <n v="0.5"/>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s v="CNA"/>
    <s v="Top-10 US Commercial &amp; Specialty Carrier"/>
    <s v="North America"/>
    <s v="Noida, India"/>
    <x v="2"/>
    <s v="Arpan Pandey, Varunjesh"/>
    <n v="2"/>
    <x v="1"/>
    <x v="2"/>
    <x v="3"/>
    <s v="Indexing"/>
    <s v="UT_ Doc attachment"/>
    <s v="We receive mails with in mail box from UT to update policies document to efile application"/>
    <s v="Commercial "/>
    <s v="Multi/ Combination"/>
    <s v="D&amp;O , EPL , FDLS , CRIME ,IMS, FI BOND ,ICPL,DOAS , PEFS,ERISA"/>
    <s v="All"/>
    <s v="Back Office"/>
    <s v="L3"/>
    <n v="2"/>
    <s v="2 to 4"/>
    <s v="6 to 8"/>
    <s v="Transaction Based "/>
    <s v="USD"/>
    <n v="7.7"/>
    <n v="2.5"/>
    <n v="1"/>
    <n v="0.5"/>
    <n v="1"/>
    <x v="100"/>
    <n v="0"/>
    <n v="600"/>
    <n v="600"/>
    <s v="NA"/>
    <n v="30"/>
    <s v="100% (0+2)"/>
    <n v="0.99"/>
    <s v="DPU – Defect Per Unit"/>
    <s v="NA"/>
    <s v="NA"/>
    <s v="NA"/>
    <s v="NA"/>
    <s v="NA"/>
    <s v="NA"/>
    <s v="NA"/>
    <s v="NA"/>
    <s v="NA"/>
    <s v="NA"/>
    <s v="NA"/>
    <s v="UT/UW"/>
    <s v="Multiple"/>
    <s v="Unstructured"/>
    <s v="Shared mailbox:100%"/>
    <s v="Multiple"/>
    <s v="UT/UW"/>
    <s v="Efile application ,shared mail box, Share drive access"/>
  </r>
  <r>
    <s v="CNA"/>
    <s v="Top-10 US Commercial &amp; Specialty Carrier"/>
    <s v="North America"/>
    <s v="Noida, India"/>
    <x v="2"/>
    <s v="Arpan Pandey, Varunjesh"/>
    <n v="2"/>
    <x v="1"/>
    <x v="2"/>
    <x v="4"/>
    <s v="Renewal Prep"/>
    <s v="Renewal Prep UWC"/>
    <s v="Renewal Prep is the task we do on account level and this processed once rollover has been completed. In this task we upddate UW checklist in RST based on our workflow"/>
    <s v="Commercial "/>
    <s v="Multi/ Combination"/>
    <s v="WC, Auto, PMT, CNP, CUP, CUE"/>
    <s v="All"/>
    <s v="Back Office"/>
    <s v="L3"/>
    <n v="2"/>
    <s v="2 to 4"/>
    <s v="6 to 8"/>
    <s v="Transaction Based "/>
    <s v="USD"/>
    <n v="7.83"/>
    <n v="2"/>
    <n v="1"/>
    <n v="0.5"/>
    <n v="1"/>
    <x v="101"/>
    <n v="0"/>
    <n v="400"/>
    <n v="400"/>
    <s v="NA"/>
    <n v="30"/>
    <s v="90 days"/>
    <n v="0.98"/>
    <s v="DPU – Defect Per Unit"/>
    <s v="NA"/>
    <s v="NA"/>
    <s v="NA"/>
    <s v="NA"/>
    <s v="NA"/>
    <s v="NA"/>
    <s v="NA"/>
    <s v="NA"/>
    <s v="NA"/>
    <s v="NA"/>
    <s v="NA"/>
    <s v="NA"/>
    <s v="Multiple"/>
    <s v="Structured"/>
    <s v="Aspire : 100%"/>
    <s v="Multiple"/>
    <s v="UT/UW"/>
    <s v="Aspire, UWS, EPC, TAP, Dashboard, DMF, RST and Mobius"/>
  </r>
  <r>
    <s v="CNA"/>
    <s v="Top-10 US Commercial &amp; Specialty Carrier"/>
    <s v="North America"/>
    <s v="Noida, India"/>
    <x v="2"/>
    <s v="Arpan Pandey, Varunjesh"/>
    <n v="2"/>
    <x v="1"/>
    <x v="2"/>
    <x v="3"/>
    <s v="Endorsements intake and setup"/>
    <s v="Submission, Policy Support, Bill Payment, Booking, Premium Accounting"/>
    <s v="Submission, Policy Support, Bill Payment, Booking, Premium Accounting"/>
    <s v="Commercial "/>
    <s v="Multi/ Combination"/>
    <s v="WC, Auto, Property, GL, Specialty"/>
    <s v="All"/>
    <s v="Back Office"/>
    <s v="L3"/>
    <n v="2"/>
    <s v="2 to 4"/>
    <s v="6 to 8"/>
    <s v="FTE Based"/>
    <s v="USD"/>
    <n v="28000"/>
    <n v="22.45"/>
    <n v="2"/>
    <n v="0"/>
    <n v="2.5499999999999998"/>
    <x v="102"/>
    <n v="0.11358574610244988"/>
    <n v="4600"/>
    <n v="4600"/>
    <s v="NA"/>
    <s v="30"/>
    <s v="1 Day"/>
    <n v="0.97"/>
    <s v="Weighted DPU – Weighted Defect Per Unit"/>
    <s v="NA"/>
    <s v="NA"/>
    <s v="NA"/>
    <s v="NA"/>
    <s v="NA"/>
    <s v="NA"/>
    <s v="NA"/>
    <s v="NA"/>
    <s v="NA"/>
    <s v="NA"/>
    <s v="NA"/>
    <s v="CNA"/>
    <s v="Claim adjusters/ Claim case owner"/>
    <s v="Unstructured"/>
    <s v="NA"/>
    <s v="Multiple"/>
    <s v="UT/UW"/>
    <s v="CCIS, Efile, Senator, CCIS"/>
  </r>
  <r>
    <s v="CNA"/>
    <s v="Top-10 US Commercial &amp; Specialty Carrier"/>
    <s v="North America"/>
    <s v="Noida, India"/>
    <x v="2"/>
    <s v="Arpan Pandey, Varunjesh"/>
    <n v="2"/>
    <x v="1"/>
    <x v="1"/>
    <x v="1"/>
    <s v="Claim Setup and assignment"/>
    <s v="FNOL"/>
    <s v="Renewal Prep is the task we do on account level and this processed once rollover has been completed. In this task we upddate UW checklist in RST based on our workflow"/>
    <s v="Commercial "/>
    <s v="Multi/ Combination"/>
    <s v="WC, Auto, Property, GL, Specialty"/>
    <s v="All"/>
    <s v="Back Office"/>
    <s v="L3"/>
    <n v="2"/>
    <s v="2 to 4"/>
    <s v="6 to 8"/>
    <s v="FTE Based"/>
    <s v="USD"/>
    <n v="28000"/>
    <n v="2"/>
    <n v="1"/>
    <n v="0"/>
    <n v="1"/>
    <x v="19"/>
    <n v="0.25"/>
    <n v="300"/>
    <n v="300"/>
    <s v="NA"/>
    <s v="15"/>
    <s v="Same Day"/>
    <n v="0.97"/>
    <s v="Weighted DPU – Weighted Defect Per Unit"/>
    <s v="NA"/>
    <s v="NA"/>
    <s v="NA"/>
    <s v="NA"/>
    <s v="NA"/>
    <s v="NA"/>
    <s v="NA"/>
    <s v="NA"/>
    <s v="NA"/>
    <s v="NA"/>
    <s v="NA"/>
    <s v="CNA"/>
    <s v="Multiple"/>
    <s v="Unstructured"/>
    <s v="NA"/>
    <s v="Multiple"/>
    <s v="Claim Handlers, Adjusters"/>
    <s v="CCIS, Efile, Senator, CCIS"/>
  </r>
  <r>
    <s v="CNA"/>
    <s v="Top-10 US Commercial &amp; Specialty Carrier"/>
    <s v="UK"/>
    <s v="Noida, India"/>
    <x v="2"/>
    <s v="Arpan Pandey, Varunjesh"/>
    <n v="1"/>
    <x v="1"/>
    <x v="2"/>
    <x v="3"/>
    <s v="Endorsements intake and setup"/>
    <s v="Hardy, Multinational, CSC"/>
    <s v="Allocation, Booking, Submission, Renewal, Filing"/>
    <s v="Specialty"/>
    <s v="Multi/ Combination"/>
    <s v="Marine, Aviation, FS,, PS"/>
    <s v="All"/>
    <s v="Back Office"/>
    <s v="L3"/>
    <n v="2"/>
    <s v="2 to 4"/>
    <s v="6 to 8"/>
    <s v="FTE Based"/>
    <s v="GBP"/>
    <n v="21526"/>
    <n v="20"/>
    <n v="3"/>
    <n v="2"/>
    <n v="8"/>
    <x v="12"/>
    <n v="0.4"/>
    <n v="2800"/>
    <n v="2800"/>
    <s v="NA"/>
    <s v="45"/>
    <s v="5 Day"/>
    <n v="0.98"/>
    <s v="Weighted DPU – Weighted Defect Per Unit"/>
    <s v="NA"/>
    <s v="NA"/>
    <s v="NA"/>
    <s v="NA"/>
    <s v="NA"/>
    <s v="NA"/>
    <s v="NA"/>
    <s v="NA"/>
    <s v="NA"/>
    <s v="NA"/>
    <s v="NA"/>
    <s v="CNA"/>
    <s v="Multiple"/>
    <s v="Unstructured"/>
    <s v="NA"/>
    <s v="Multiple"/>
    <s v="UT/UW"/>
    <s v="Jitbit, Senator Efile, Sharefile"/>
  </r>
  <r>
    <s v="CNA"/>
    <s v="Top-10 US Commercial &amp; Specialty Carrier"/>
    <s v="UK"/>
    <s v="Noida, India"/>
    <x v="2"/>
    <s v="Arpan Pandey, Varunjesh"/>
    <n v="1"/>
    <x v="1"/>
    <x v="1"/>
    <x v="1"/>
    <s v="Claim Setup and assignment"/>
    <s v="FNOL, Payment"/>
    <s v="Claims Set Up and Payments"/>
    <s v="Specialty"/>
    <s v="Multi/ Combination"/>
    <s v="Marine, Aviation, FS,, PS"/>
    <s v="All"/>
    <s v="Back Office"/>
    <s v="L3"/>
    <n v="2"/>
    <s v="2 to 4"/>
    <s v="6 to 8"/>
    <s v="FTE Based"/>
    <s v="GBP"/>
    <n v="21526"/>
    <n v="5"/>
    <n v="1"/>
    <n v="1"/>
    <n v="1"/>
    <x v="47"/>
    <n v="0.2"/>
    <n v="300"/>
    <n v="300"/>
    <s v="NA"/>
    <s v="30"/>
    <s v="1 Day"/>
    <n v="0.98"/>
    <s v="Weighted DPU – Weighted Defect Per Unit"/>
    <s v="NA"/>
    <s v="NA"/>
    <s v="NA"/>
    <s v="NA"/>
    <s v="NA"/>
    <s v="NA"/>
    <s v="NA"/>
    <s v="NA"/>
    <s v="NA"/>
    <s v="NA"/>
    <s v="NA"/>
    <s v="CNA"/>
    <s v="Multiple"/>
    <s v="Unstructured"/>
    <s v="NA"/>
    <s v="Multiple"/>
    <s v="Claim Handlers, Adjusters"/>
    <s v="Jitbit, Senator Efile, Sharefile"/>
  </r>
  <r>
    <s v="CNA"/>
    <s v="Top-10 US Commercial &amp; Specialty Carrier"/>
    <s v="North America"/>
    <s v="Manila, PHP"/>
    <x v="1"/>
    <s v="Mark Redondo"/>
    <n v="10"/>
    <x v="1"/>
    <x v="1"/>
    <x v="6"/>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s v="Commercial "/>
    <s v="WC"/>
    <s v="WC"/>
    <s v="All"/>
    <s v="Blended"/>
    <s v="L1"/>
    <n v="2"/>
    <n v="3"/>
    <n v="3"/>
    <s v="Transaction Based "/>
    <s v="USD"/>
    <n v="27497.519999999997"/>
    <n v="1"/>
    <n v="0"/>
    <n v="0"/>
    <n v="0"/>
    <x v="77"/>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s v="CNA"/>
    <s v="Top-10 US Commercial &amp; Specialty Carrier"/>
    <s v="North America"/>
    <s v="Manila, PHP"/>
    <x v="1"/>
    <s v="Mark Redondo"/>
    <n v="10"/>
    <x v="1"/>
    <x v="1"/>
    <x v="6"/>
    <s v="Packet Prep, chronology summary"/>
    <s v="VP Regular, Extended, RX Summary, VP Tasks"/>
    <s v="Support Medical Case Managers (MCM) - Prepare the case before MCM handles them. Create clinical summaries and various adhoc tasks prior assigning to MCM. "/>
    <s v="Commercial "/>
    <s v="WC"/>
    <s v="WC"/>
    <s v="All"/>
    <s v="Back Office"/>
    <s v="L3"/>
    <n v="2"/>
    <n v="3"/>
    <n v="5"/>
    <s v="Transaction Based "/>
    <s v="USD"/>
    <n v="31363.039999999997"/>
    <n v="3"/>
    <n v="1"/>
    <n v="1"/>
    <n v="0"/>
    <x v="103"/>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s v="CNA"/>
    <s v="Top-10 US Commercial &amp; Specialty Carrier"/>
    <s v="North America"/>
    <s v="Manila, PHP"/>
    <x v="1"/>
    <s v="Mark Redondo"/>
    <n v="10"/>
    <x v="1"/>
    <x v="1"/>
    <x v="6"/>
    <s v="Determine assignment"/>
    <s v="NCM Screener"/>
    <s v="Review the treatment/ referral request based on injury guidelines, state specific rules and assign them to onshore Nurse case manager. Determine if assignment is going to internal or external case manager."/>
    <s v="Commercial "/>
    <s v="WC"/>
    <s v="WC"/>
    <s v="All"/>
    <s v="Back Office"/>
    <s v="L3"/>
    <n v="2"/>
    <n v="3"/>
    <n v="3"/>
    <s v="Transaction Based "/>
    <s v="USD"/>
    <n v="31363.039999999997"/>
    <n v="2"/>
    <n v="1"/>
    <n v="0"/>
    <n v="0"/>
    <x v="101"/>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s v="CNA"/>
    <s v="Top-10 US Commercial &amp; Specialty Carrier"/>
    <s v="North America"/>
    <s v="Manila, PHP"/>
    <x v="1"/>
    <s v="Mark Redondo"/>
    <n v="10"/>
    <x v="1"/>
    <x v="1"/>
    <x v="8"/>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s v="Commercial "/>
    <s v="WC"/>
    <s v="WC"/>
    <s v="All"/>
    <s v="Back Office"/>
    <s v="L3"/>
    <n v="2"/>
    <n v="2"/>
    <n v="2"/>
    <s v="Transaction Based "/>
    <s v="USD"/>
    <n v="27497.519999999997"/>
    <n v="1"/>
    <n v="0"/>
    <n v="0"/>
    <n v="0"/>
    <x v="77"/>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s v="CNA"/>
    <s v="Top-10 US Commercial &amp; Specialty Carrier"/>
    <s v="North America"/>
    <s v="Manila, PHP"/>
    <x v="1"/>
    <s v="Mark Redondo"/>
    <n v="8"/>
    <x v="1"/>
    <x v="1"/>
    <x v="8"/>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s v="Commercial "/>
    <s v="WC"/>
    <s v="WC"/>
    <s v="All"/>
    <s v="Back Office"/>
    <s v="L3"/>
    <n v="2"/>
    <n v="4"/>
    <n v="4"/>
    <s v="Transaction Based "/>
    <s v="USD"/>
    <n v="29016.720000000001"/>
    <n v="14"/>
    <n v="1"/>
    <n v="1"/>
    <n v="0"/>
    <x v="104"/>
    <n v="0.88"/>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s v="CNA"/>
    <s v="Top-10 US Commercial &amp; Specialty Carrier"/>
    <s v="North America"/>
    <s v="Manila, PHP"/>
    <x v="1"/>
    <s v="Mark Redondo"/>
    <n v="8"/>
    <x v="1"/>
    <x v="1"/>
    <x v="6"/>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s v="Commercial "/>
    <s v="WC"/>
    <s v="WC"/>
    <s v="All"/>
    <s v="Blended"/>
    <s v="L3"/>
    <n v="2"/>
    <n v="4"/>
    <n v="2"/>
    <s v="Transaction Based "/>
    <s v="USD"/>
    <n v="37338.560000000005"/>
    <n v="2"/>
    <n v="0"/>
    <n v="0"/>
    <n v="0"/>
    <x v="15"/>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s v="CNA"/>
    <s v="Top-10 US Commercial &amp; Specialty Carrier"/>
    <s v="North America"/>
    <s v="Manila, PHP"/>
    <x v="1"/>
    <s v="Mark Redondo"/>
    <n v="8"/>
    <x v="1"/>
    <x v="2"/>
    <x v="13"/>
    <s v="Account Service and Coordination"/>
    <s v="Risk Control Review"/>
    <s v="Reviewing Closed Claims to identify the necessary data for Claim Studies."/>
    <s v="Personal &amp; Commercial"/>
    <s v="WC"/>
    <s v="WC"/>
    <s v="All"/>
    <s v="Back Office"/>
    <s v="L4"/>
    <n v="2"/>
    <n v="3"/>
    <n v="3"/>
    <s v="Transaction Based "/>
    <s v="USD"/>
    <n v="27497.519999999997"/>
    <n v="1"/>
    <n v="0"/>
    <n v="0"/>
    <n v="0"/>
    <x v="77"/>
    <n v="0"/>
    <n v="50"/>
    <n v="50"/>
    <s v="TBD"/>
    <s v="NA"/>
    <s v="N/A"/>
    <s v="N/A"/>
    <s v="Others"/>
    <s v="NA"/>
    <s v="NA"/>
    <s v="NA"/>
    <s v="NA"/>
    <s v="NA"/>
    <s v="NA"/>
    <s v="NA"/>
    <s v="NA"/>
    <s v="NA"/>
    <s v="NA"/>
    <s v="NA"/>
    <s v="NA"/>
    <s v="CNA "/>
    <s v="Semi-Structured"/>
    <s v="Semi-Structured"/>
    <s v="Instructions in Application"/>
    <s v="Risk Control Nurse, Injured workers, CN_A"/>
    <s v="Claim center, MS Access"/>
  </r>
  <r>
    <s v="CNA"/>
    <s v="Top-10 US Commercial &amp; Specialty Carrier"/>
    <s v="North America"/>
    <s v="Manila, PHP"/>
    <x v="1"/>
    <s v="Mark Redondo"/>
    <n v="7"/>
    <x v="1"/>
    <x v="2"/>
    <x v="3"/>
    <s v="Mailroom Ops and Scanning"/>
    <s v="Return Mail"/>
    <s v="Obtain correct mailing addresses for returned mails"/>
    <s v="Personal &amp; Commercial"/>
    <s v="Multi/ Combination"/>
    <s v="WC, Auto, PMT, CNP, CUP, CUE"/>
    <s v="All"/>
    <s v="Voice"/>
    <s v="L1"/>
    <n v="2"/>
    <n v="5"/>
    <n v="6"/>
    <s v="Transaction Based "/>
    <s v="USD"/>
    <n v="27497.519999999997"/>
    <n v="4"/>
    <n v="1"/>
    <n v="0"/>
    <n v="1"/>
    <x v="103"/>
    <n v="0.8"/>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s v="CNA"/>
    <s v="Top-10 US Commercial &amp; Specialty Carrier"/>
    <s v="North America"/>
    <s v="Manila, PHP"/>
    <x v="1"/>
    <s v="Mark Redondo"/>
    <n v="6"/>
    <x v="1"/>
    <x v="1"/>
    <x v="8"/>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s v="Commercial "/>
    <s v="Multi/ Combination"/>
    <s v="WC, Auto, PMT, CNP, CUP, CUE"/>
    <s v="All"/>
    <s v="Back Office"/>
    <s v="L3"/>
    <n v="2"/>
    <n v="2"/>
    <n v="2"/>
    <s v="Transaction Based "/>
    <s v="USD"/>
    <n v="1.06"/>
    <n v="3"/>
    <n v="0"/>
    <n v="1"/>
    <n v="1"/>
    <x v="19"/>
    <n v="0.75"/>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s v="CNA"/>
    <s v="Top-10 US Commercial &amp; Specialty Carrier"/>
    <s v="North America"/>
    <s v="Manila, PHP"/>
    <x v="1"/>
    <s v="Mark Redondo"/>
    <n v="8"/>
    <x v="1"/>
    <x v="1"/>
    <x v="6"/>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s v="Commercial "/>
    <s v="Multi/ Combination"/>
    <s v="WC, Auto, PMT, CNP, CUP, CUE"/>
    <s v="All"/>
    <s v="Back Office"/>
    <s v="L3"/>
    <n v="2"/>
    <n v="1"/>
    <n v="4"/>
    <s v="Transaction Based "/>
    <s v="USD"/>
    <n v="1.06"/>
    <n v="1"/>
    <n v="0"/>
    <n v="0"/>
    <n v="0"/>
    <x v="77"/>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s v="ZAUS"/>
    <s v="Fortune 500 Global P&amp;C Carrier"/>
    <s v="Australia"/>
    <s v="Pune, India"/>
    <x v="2"/>
    <s v="Teresa Aldea"/>
    <n v="8"/>
    <x v="1"/>
    <x v="1"/>
    <x v="1"/>
    <s v="Indexing"/>
    <s v="Indexing"/>
    <s v="Documents received are indexed: either get attached to existing claim or moved to New Claims Queue to create a new claim"/>
    <s v="Commercial "/>
    <s v="Auto"/>
    <s v="Auto/Motor"/>
    <s v="Mid Size"/>
    <s v="Back Office"/>
    <s v="L2"/>
    <n v="1"/>
    <n v="2"/>
    <n v="4"/>
    <s v="FTE Based"/>
    <s v="AUD"/>
    <s v="AUD 31478"/>
    <n v="3"/>
    <n v="1"/>
    <n v="1"/>
    <n v="0"/>
    <x v="103"/>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s v="ZAUS"/>
    <s v="Fortune 500 Global P&amp;C Carrier"/>
    <s v="Australia"/>
    <s v="Pune, India"/>
    <x v="2"/>
    <s v="Teresa Aldea"/>
    <n v="8"/>
    <x v="1"/>
    <x v="1"/>
    <x v="1"/>
    <s v="Claim Setup and assignment"/>
    <s v="Motor Claims"/>
    <s v="New or existing claims are settled basis claims form, assessment report and repairer invoices submitted by the broker"/>
    <s v="Commercial "/>
    <s v="Auto"/>
    <s v="Auto/Motor"/>
    <s v="Mid Size"/>
    <s v="Back Office"/>
    <s v="L3"/>
    <n v="1"/>
    <n v="4"/>
    <n v="6"/>
    <s v="FTE Based"/>
    <s v="AUD"/>
    <s v="AUD 42534"/>
    <n v="11"/>
    <n v="1"/>
    <n v="1"/>
    <n v="5"/>
    <x v="105"/>
    <n v="0.18181818181818182"/>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s v="ZAUS"/>
    <s v="Fortune 500 Global P&amp;C Carrier"/>
    <s v="Australia"/>
    <s v="Pune, India"/>
    <x v="2"/>
    <s v="Teresa Aldea"/>
    <n v="8"/>
    <x v="1"/>
    <x v="2"/>
    <x v="5"/>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Motor and Marine"/>
    <s v="Mid Size &amp; Large"/>
    <s v="Back Office"/>
    <s v="L3"/>
    <n v="1"/>
    <n v="4"/>
    <n v="8"/>
    <s v="FTE Based"/>
    <s v="AUD"/>
    <s v="AUD 42534"/>
    <n v="12"/>
    <n v="1"/>
    <n v="1"/>
    <n v="2"/>
    <x v="104"/>
    <n v="0.2"/>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5"/>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Property, Construction and Engineering"/>
    <s v="Mid Size &amp; Large"/>
    <s v="Back Office"/>
    <s v="L3"/>
    <n v="1"/>
    <n v="4"/>
    <n v="8"/>
    <s v="FTE Based"/>
    <s v="AUD"/>
    <s v="AUD 42534"/>
    <n v="8"/>
    <n v="2"/>
    <n v="1"/>
    <n v="1"/>
    <x v="106"/>
    <n v="0.125"/>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5"/>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Accident &amp; Health, Financial Lines and Liability"/>
    <s v="Mid Size &amp; Large"/>
    <s v="Back Office"/>
    <s v="L3"/>
    <n v="1"/>
    <n v="4"/>
    <n v="8"/>
    <s v="FTE Based"/>
    <s v="AUD"/>
    <s v="AUD 42534"/>
    <n v="8"/>
    <n v="2"/>
    <n v="0"/>
    <n v="1"/>
    <x v="10"/>
    <n v="0"/>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s v="Commercial "/>
    <s v="Multi/ Combination"/>
    <s v="IPZ"/>
    <s v="Mid Size &amp; Large"/>
    <s v="Back Office"/>
    <s v="L3"/>
    <n v="1"/>
    <n v="4"/>
    <n v="8"/>
    <s v="FTE Based"/>
    <s v="AUD"/>
    <s v="AUD 42534"/>
    <n v="4"/>
    <n v="1"/>
    <n v="0"/>
    <n v="1"/>
    <x v="107"/>
    <n v="0.25"/>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s v="ZAUS"/>
    <s v="Fortune 500 Global P&amp;C Carrier"/>
    <s v="Australia"/>
    <s v="Pune, India"/>
    <x v="2"/>
    <s v="Teresa Aldea"/>
    <n v="8"/>
    <x v="1"/>
    <x v="2"/>
    <x v="4"/>
    <s v="New Business setup"/>
    <s v="Policy Servicing"/>
    <s v="Assisting Underwriters for processing of sendoing qutes , Bimnding of the policy ,  Endorsement, Renewal , CH, COC , LOA "/>
    <s v="Commercial "/>
    <s v="Package"/>
    <s v="SME Packages"/>
    <s v="Small &amp; Mid Size"/>
    <s v="Back Office"/>
    <s v="L3"/>
    <n v="1"/>
    <n v="4"/>
    <n v="8"/>
    <s v="FTE Based"/>
    <s v="AUD"/>
    <s v="AUD 42534"/>
    <n v="10"/>
    <n v="1"/>
    <n v="1"/>
    <n v="2"/>
    <x v="9"/>
    <n v="0.2"/>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s v="ZAUS"/>
    <s v="Fortune 500 Global P&amp;C Carrier"/>
    <s v="Australia"/>
    <s v="Pune, India"/>
    <x v="2"/>
    <s v="Teresa Aldea"/>
    <n v="8"/>
    <x v="1"/>
    <x v="2"/>
    <x v="2"/>
    <s v="Account Reconciliation"/>
    <s v="Packages Unmatched Cash"/>
    <s v="Reconcilation of unmatched Cash and tagging the cash received from broker onto the policies"/>
    <s v="Commercial "/>
    <s v="Package"/>
    <s v="SME Packages"/>
    <s v="Small &amp; Mid Size"/>
    <s v="Back Office"/>
    <s v="L3"/>
    <n v="1"/>
    <n v="4"/>
    <n v="8"/>
    <s v="FTE Based"/>
    <s v="AUD"/>
    <s v="AUD 42534"/>
    <n v="4"/>
    <n v="1"/>
    <n v="0"/>
    <n v="1"/>
    <x v="107"/>
    <n v="0.25"/>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s v="ZAUS"/>
    <s v="Fortune 500 Global P&amp;C Carrier"/>
    <s v="Australia"/>
    <s v="Alabang, PH"/>
    <x v="1"/>
    <s v="Teresa Aldea"/>
    <n v="1"/>
    <x v="1"/>
    <x v="1"/>
    <x v="7"/>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s v="Commercial "/>
    <s v="Auto"/>
    <s v="Auto/Motor"/>
    <s v="Small &amp; Mid Size"/>
    <s v="Back Office"/>
    <s v="L4"/>
    <n v="1"/>
    <n v="4"/>
    <n v="4"/>
    <s v="FTE Based"/>
    <s v="AUD"/>
    <n v="47983"/>
    <n v="7"/>
    <n v="2"/>
    <n v="1"/>
    <n v="2"/>
    <x v="106"/>
    <n v="0.2857142857142857"/>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s v="ZAUS"/>
    <s v="Fortune 500 Global P&amp;C Carrier"/>
    <s v="Australia"/>
    <s v="Pasay, PH"/>
    <x v="1"/>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s v="Commercial "/>
    <s v="Auto"/>
    <s v="Auto/Motor"/>
    <s v="Mid Size &amp; Large"/>
    <s v="Voice"/>
    <s v="L3"/>
    <n v="1"/>
    <n v="1"/>
    <n v="2"/>
    <s v="FTE Based"/>
    <s v="AUD"/>
    <n v="46500"/>
    <n v="15"/>
    <n v="1"/>
    <n v="2"/>
    <n v="4"/>
    <x v="11"/>
    <n v="0.26666666666666666"/>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s v="DLG"/>
    <s v="Top-3 UK P&amp;C Carrier"/>
    <s v="UK"/>
    <s v="Noida &amp; Pune, India"/>
    <x v="2"/>
    <s v="Gauri Jain Sharma"/>
    <n v="9"/>
    <x v="1"/>
    <x v="4"/>
    <x v="14"/>
    <s v="Webchat - Query resolution, General Inquiry"/>
    <s v="Webchat"/>
    <s v="Motor Policy new business support, servicing, cancellation, renewal  and upselling of breakdown cover"/>
    <s v="Personal "/>
    <s v="Motor"/>
    <s v="Motor"/>
    <s v="Large"/>
    <s v="Voice"/>
    <s v="L3"/>
    <n v="2"/>
    <n v="5"/>
    <n v="8"/>
    <s v="FTE Based"/>
    <s v="GBP"/>
    <s v="£25,440"/>
    <n v="85"/>
    <n v="5"/>
    <n v="7"/>
    <n v="17"/>
    <x v="108"/>
    <n v="0.2"/>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
    <s v="Onshore"/>
    <s v="Multiple"/>
    <s v="Structured"/>
    <n v="100"/>
    <s v="Excel"/>
    <s v="Operations and Assurance Teams"/>
    <s v="AVD Based applications_x000a_MS Office_x000a_Chrome_x000a_AVAYA_x000a_"/>
  </r>
  <r>
    <s v="DLG"/>
    <s v="Top-3 UK P&amp;C Carrier"/>
    <s v="UK"/>
    <s v="Noida &amp; Pune, India"/>
    <x v="2"/>
    <s v="Gauri Jain Sharma"/>
    <n v="14"/>
    <x v="1"/>
    <x v="2"/>
    <x v="5"/>
    <s v="New Business Issuance"/>
    <s v="Business Support"/>
    <s v="Indexing, Midterm amendments,issuing COC,Chase of documents and outstanding premium, Renewal,Cancellation and Correspondance "/>
    <s v="Personal "/>
    <s v="Multi/ Combination"/>
    <s v="Motor, Home, Pet, Travel and Premium Collections"/>
    <s v="Large"/>
    <s v="Back Office"/>
    <s v="L3"/>
    <n v="1"/>
    <n v="4"/>
    <n v="8"/>
    <s v="FTE Based"/>
    <s v="GBP"/>
    <s v="£19,061.52"/>
    <n v="73"/>
    <n v="0"/>
    <n v="6"/>
    <n v="7"/>
    <x v="109"/>
    <n v="9.5890410958904104E-2"/>
    <n v="100000"/>
    <s v="Home, Pet and Travel - 25000_x000a_Motor - 50000_x000a_Collection - 25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s v="DLG"/>
    <s v="Top-3 UK P&amp;C Carrier"/>
    <s v="UK"/>
    <s v="Noida, India"/>
    <x v="2"/>
    <s v="Gauri Jain Sharma"/>
    <n v="12"/>
    <x v="1"/>
    <x v="4"/>
    <x v="14"/>
    <s v="Webchat - Query resolution, General Inquiry"/>
    <s v="Customer Assurance"/>
    <s v="Conducting risk assessments for Business Support, Webchat &amp; Telephony"/>
    <s v="Personal "/>
    <s v="Multi/ Combination"/>
    <s v="Motor, Home, Pet, Travel ,Premium Collections &amp; Webchat"/>
    <s v="Large"/>
    <s v="Blended"/>
    <s v="L3"/>
    <n v="1"/>
    <n v="5"/>
    <n v="8"/>
    <s v="FTE Based"/>
    <s v="GBP"/>
    <s v="£25,440.58"/>
    <n v="9"/>
    <n v="0"/>
    <n v="1"/>
    <n v="2"/>
    <x v="106"/>
    <n v="0.22222222222222221"/>
    <n v="6000"/>
    <s v="Customer Assurance - 7500"/>
    <s v="NA"/>
    <s v="AHT ranging from 2 minutes to 30 minutes"/>
    <s v="Weekly and Monthly"/>
    <n v="0.95"/>
    <s v="Others"/>
    <s v="Challenges"/>
    <s v="TAT"/>
    <s v="NA"/>
    <s v="NA"/>
    <s v="NA"/>
    <s v="N/A"/>
    <s v="N/A"/>
    <s v="NA"/>
    <s v="NA"/>
    <s v="NA"/>
    <s v="Now 100% of the calls are being audited by machines Vs a sample that was done by human"/>
    <s v="Onshore"/>
    <s v="Multiple"/>
    <s v="Structured"/>
    <s v="Salesforce -48%                                 Sheet-52%"/>
    <s v="Multiple"/>
    <s v="Operations Team"/>
    <s v="AVD Based Applications_x000a_MS Office_x000a_Chrome_x000a_AVAYA_x000a_Khronos"/>
  </r>
  <r>
    <s v="DLG"/>
    <s v="Top-3 UK P&amp;C Carrier"/>
    <s v="UK"/>
    <s v="Pune, India"/>
    <x v="2"/>
    <s v="Gauri Jain Sharma"/>
    <n v="8"/>
    <x v="1"/>
    <x v="1"/>
    <x v="8"/>
    <s v="Bill Payment (Medical Legal, Non Medical, Vendor)"/>
    <s v="Commercial Claims"/>
    <s v="Claim progression towards closure, Payments to PH/TP/Sols, update to PH via brokers, Recovery from TPI"/>
    <s v="Personal &amp; Commercial"/>
    <s v="Motor, Property &amp; Liability"/>
    <s v="Motor, Property &amp; Liability"/>
    <s v="Large"/>
    <s v="Blended"/>
    <s v="L2 &amp; L3"/>
    <n v="3"/>
    <n v="4"/>
    <n v="12"/>
    <s v="FTE Based"/>
    <s v="GBP"/>
    <s v="£25,440.48/ £20,468.37"/>
    <n v="32"/>
    <n v="5"/>
    <n v="3"/>
    <n v="2"/>
    <x v="110"/>
    <n v="6.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s v="DLG"/>
    <s v="Top-3 UK P&amp;C Carrier"/>
    <s v="UK"/>
    <s v="Noida &amp; Pune, India"/>
    <x v="2"/>
    <s v="Gauri Jain Sharma"/>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
    <s v="Auto"/>
    <s v="Motor"/>
    <s v="Large"/>
    <s v="Blended"/>
    <s v="L2"/>
    <n v="1"/>
    <n v="4"/>
    <n v="8"/>
    <s v="FTE Based"/>
    <s v="GBP"/>
    <n v="20193"/>
    <n v="61"/>
    <n v="5"/>
    <n v="4"/>
    <n v="7"/>
    <x v="111"/>
    <n v="0.11475409836065574"/>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ARMS_x000a_Ns-Genius_x000a_UIS_x000a_NIG Mainframe_x000a_360_x000a_Paragon_x000a_IVI_x000a_Copart_x000a_Nitro_x000a_DVS_x000a_Quantex_x000a_Sharepoint_x000a_CMS"/>
  </r>
  <r>
    <s v="DLG"/>
    <s v="Top-3 UK P&amp;C Carrier"/>
    <s v="UK"/>
    <s v="Noida &amp; Pune, India"/>
    <x v="2"/>
    <s v="Gauri Jain Sharma"/>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
    <s v="Auto"/>
    <s v="Auto"/>
    <s v="Large"/>
    <s v="Voice"/>
    <s v="L3"/>
    <n v="2"/>
    <n v="4"/>
    <n v="8"/>
    <s v="FTE Based"/>
    <s v="GBP"/>
    <n v="24580"/>
    <n v="178"/>
    <n v="19"/>
    <n v="12"/>
    <n v="11"/>
    <x v="112"/>
    <n v="6.1797752808988762E-2"/>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s v="DLG"/>
    <s v="Top-3 UK P&amp;C Carrier"/>
    <s v="UK"/>
    <s v="Noida &amp; Pune, India"/>
    <x v="2"/>
    <s v="Gauri Jain Sharma"/>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amp; Commercial"/>
    <s v="Auto"/>
    <s v="Auto"/>
    <s v="Large"/>
    <s v="Back Office"/>
    <s v="L1 &amp; L2"/>
    <n v="2"/>
    <n v="1"/>
    <n v="4"/>
    <s v="FTE Based"/>
    <s v="GBP"/>
    <s v="£13,136.84/ £14,394.53"/>
    <n v="27"/>
    <n v="1"/>
    <n v="2"/>
    <n v="2"/>
    <x v="113"/>
    <n v="7.407407407407407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s v="DLG"/>
    <s v="Top-3 UK P&amp;C Carrier"/>
    <s v="UK"/>
    <s v="Noida, India"/>
    <x v="2"/>
    <s v="Gauri Jain Sharma"/>
    <n v="12.2"/>
    <x v="1"/>
    <x v="1"/>
    <x v="8"/>
    <s v="Bill Payment (Medical Legal, Non Medical, Vendor)"/>
    <s v="Pet Claims VO2, Pet Claims VO3"/>
    <s v="Key Activities include:                                          _x000a_- Settlement of claims based on the claim form sent by the customer/veterinary         _x000a_-  Key areas are Vet Fees, illness and injury._x000a_- Indexing of claim form received for onshore &amp; offshore _x000a_"/>
    <s v="Personal "/>
    <s v="Specialty"/>
    <s v="Pet Claims"/>
    <s v="Mid Size"/>
    <s v="Blended"/>
    <s v="L2 &amp; L3"/>
    <n v="1"/>
    <n v="4"/>
    <n v="13"/>
    <s v="FTE Based"/>
    <s v="GBP"/>
    <s v="Pet Claims VO2 - £19776_x000a_Pet Claims VO3 - £24580"/>
    <n v="13"/>
    <n v="1"/>
    <n v="1"/>
    <n v="3"/>
    <x v="105"/>
    <n v="0.23076923076923078"/>
    <n v="13271"/>
    <s v="NA"/>
    <s v="May till Sep"/>
    <n v="10.29"/>
    <n v="0.99"/>
    <s v="95% for phone, file, payment_x000a_99% for Indexing claim forms_x000a_98% for Quality of indexing completion"/>
    <s v="DPU – Defect Per Unit"/>
    <s v="NA"/>
    <s v="NA"/>
    <s v="Manual work allocation and reporting"/>
    <s v="None"/>
    <s v="None"/>
    <s v="NA"/>
    <s v="NA"/>
    <s v="None"/>
    <s v="NA"/>
    <s v="NA"/>
    <s v="NA"/>
    <s v="Onshore"/>
    <s v="Instructions in Application"/>
    <s v="Structured"/>
    <s v="50% Sharepoint and 50% Manual"/>
    <s v="Others"/>
    <s v="Suppliers"/>
    <s v="I&amp;W, MS Office,  Avaya , CMS, Outlook, UIS,360 portal"/>
  </r>
  <r>
    <s v="DLG"/>
    <s v="Top-3 UK P&amp;C Carrier"/>
    <s v="UK"/>
    <s v="Noida, India"/>
    <x v="2"/>
    <s v="Gauri Jain Sharma"/>
    <n v="12.2"/>
    <x v="1"/>
    <x v="1"/>
    <x v="8"/>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s v="Personal "/>
    <s v="Property"/>
    <s v="Property"/>
    <s v="Mid Size"/>
    <s v="Blended"/>
    <s v="L2"/>
    <n v="1"/>
    <n v="3"/>
    <n v="8"/>
    <s v="FTE Based"/>
    <s v="USD/GBP"/>
    <s v="Home VO - $19776_x000a_Home BO - £13,437.45"/>
    <n v="5"/>
    <n v="0.5"/>
    <n v="0.5"/>
    <n v="1"/>
    <x v="114"/>
    <n v="0.2"/>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s v="DLG"/>
    <s v="Top-3 UK P&amp;C Carrier"/>
    <s v="UK"/>
    <s v="Noida, India"/>
    <x v="2"/>
    <s v="Gauri Jain Sharma"/>
    <n v="11"/>
    <x v="1"/>
    <x v="1"/>
    <x v="7"/>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s v="Personal "/>
    <s v="Property"/>
    <s v="Property"/>
    <s v="Mid Size"/>
    <s v="Blended"/>
    <s v="L2"/>
    <n v="1"/>
    <n v="2"/>
    <n v="8"/>
    <s v="FTE Based"/>
    <s v="GBP"/>
    <n v="19776"/>
    <n v="6"/>
    <n v="0.5"/>
    <n v="0.5"/>
    <n v="2"/>
    <x v="115"/>
    <n v="0.33333333333333331"/>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s v="DLG"/>
    <s v="Top-3 UK P&amp;C Carrier"/>
    <s v="UK"/>
    <s v="Noida, India"/>
    <x v="2"/>
    <s v="Gauri Jain Sharma"/>
    <n v="12.3"/>
    <x v="1"/>
    <x v="1"/>
    <x v="8"/>
    <s v="Bill Payment (Medical Legal, Non Medical, Vendor)"/>
    <s v="Invoicing VO and Invoicing BO"/>
    <s v="The process involves making payments to motor suppliers and repairers once the invoice is received. Each invoice needs to be reviewed as per the process map."/>
    <s v="Personal "/>
    <s v="Auto"/>
    <s v="Auto"/>
    <s v="Large"/>
    <s v="Blended"/>
    <s v="L2"/>
    <n v="1"/>
    <n v="1.6"/>
    <n v="4"/>
    <s v="FTE Based"/>
    <s v="GBP"/>
    <s v="Invoicing VO - £19776_x000a_Invoicing BO - £13907"/>
    <n v="42"/>
    <n v="2.5"/>
    <n v="2.5"/>
    <n v="3"/>
    <x v="116"/>
    <n v="7.1428571428571425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s v="DLG"/>
    <s v="Top-3 UK P&amp;C Carrier"/>
    <s v="UK"/>
    <s v="Noida, India"/>
    <x v="2"/>
    <s v="Gauri Jain Sharma"/>
    <n v="14"/>
    <x v="1"/>
    <x v="1"/>
    <x v="8"/>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s v="Personal "/>
    <s v="Auto"/>
    <s v="Auto"/>
    <s v="Large"/>
    <s v="Back Office"/>
    <s v="L2"/>
    <n v="1"/>
    <n v="1"/>
    <n v="4"/>
    <s v="FTE Based"/>
    <s v="GBP"/>
    <n v="13907"/>
    <n v="3"/>
    <n v="0.5"/>
    <n v="0.5"/>
    <n v="1"/>
    <x v="103"/>
    <n v="0.33333333333333331"/>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s v="DLG"/>
    <s v="Top-3 UK P&amp;C Carrier"/>
    <s v="UK"/>
    <s v="Noida &amp; Pune, India"/>
    <x v="2"/>
    <s v="Gauri Jain Sharma"/>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
    <s v="Auto"/>
    <s v="Auto"/>
    <s v="Large"/>
    <s v="Blended"/>
    <s v="L3"/>
    <n v="2"/>
    <n v="3"/>
    <n v="8"/>
    <s v="FTE Based"/>
    <s v="GBP"/>
    <n v="21331.31"/>
    <n v="25"/>
    <n v="1"/>
    <n v="3"/>
    <n v="3"/>
    <x v="113"/>
    <n v="0.12"/>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
  </r>
  <r>
    <s v="DLG"/>
    <s v="Top-3 UK P&amp;C Carrier"/>
    <s v="UK"/>
    <s v="Pune, India"/>
    <x v="2"/>
    <s v="Gauri Jain Sharma"/>
    <n v="1.7"/>
    <x v="1"/>
    <x v="1"/>
    <x v="9"/>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s v="Personal "/>
    <s v="Auto"/>
    <s v="Auto"/>
    <s v="Large"/>
    <s v="Blended"/>
    <s v="L3"/>
    <n v="2"/>
    <n v="3"/>
    <n v="8"/>
    <s v="FTE Based"/>
    <s v="GBP"/>
    <n v="21331.31"/>
    <n v="10"/>
    <n v="1"/>
    <n v="1"/>
    <n v="1"/>
    <x v="8"/>
    <n v="0.1"/>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s v="DLG"/>
    <s v="Top-3 UK P&amp;C Carrier"/>
    <s v="UK"/>
    <s v="Noida &amp; Pune, India"/>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
    <s v="Insurance"/>
    <s v="Landlord, VAN,  Trades Person, Bread and Breakfast , Hair and Beauty,Motor,Property,Churchill , VW,Shop,Hotel,SME,"/>
    <s v="Large"/>
    <s v="Back Office"/>
    <s v="L2 to L3"/>
    <n v="4"/>
    <n v="10"/>
    <n v="13"/>
    <s v="FTE Based"/>
    <s v="GBP"/>
    <m/>
    <n v="48"/>
    <s v="2 GLS &amp; 2 QCAs"/>
    <n v="3"/>
    <n v="3"/>
    <x v="117"/>
    <n v="0.10416666666666674"/>
    <n v="63242"/>
    <s v="Finance-24712,Business Support- 27860,UKIBs-389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s v="DLG"/>
    <s v="Top-3 UK P&amp;C Carrier"/>
    <s v="UK"/>
    <s v="Pune, India"/>
    <x v="2"/>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s v="Commercial "/>
    <s v="Insurance"/>
    <s v="Landlord, VAN,  Trades Person, Bread and Breakfast , Hair and Beauty,Motor,Property,Churchill , VW,Shop,Hotel,SME,"/>
    <s v="Large"/>
    <s v="Voice"/>
    <s v="L3"/>
    <n v="4"/>
    <n v="10"/>
    <n v="13"/>
    <s v="FTE Based"/>
    <s v="GBP"/>
    <n v="25440.584923856251"/>
    <n v="14"/>
    <n v="0"/>
    <n v="1"/>
    <n v="2"/>
    <x v="48"/>
    <n v="0.21428571428571419"/>
    <n v="1047"/>
    <s v="BCTU-350, Telephony-75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s v="DLG"/>
    <s v="Top-3 UK P&amp;C Carrier"/>
    <s v="UK"/>
    <s v="Pune, India"/>
    <x v="2"/>
    <s v="Gauri Jain Sharma"/>
    <s v="1.5 months"/>
    <x v="1"/>
    <x v="2"/>
    <x v="4"/>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s v="Commercial "/>
    <s v="Insurance"/>
    <s v="Landlord, Tradesman,Shops"/>
    <s v="Large"/>
    <s v="Back Office"/>
    <s v="L4"/>
    <n v="4"/>
    <n v="9"/>
    <n v="12"/>
    <s v="FTE Based"/>
    <s v="GBP"/>
    <n v="21965.885277963753"/>
    <n v="1"/>
    <n v="0"/>
    <n v="0"/>
    <n v="1"/>
    <x v="15"/>
    <n v="1"/>
    <n v="300"/>
    <s v="TBC"/>
    <s v="Jan, Feb,Mar"/>
    <s v="30 Min"/>
    <s v="24 hours"/>
    <s v="N/A"/>
    <s v="Others"/>
    <s v="N/A"/>
    <s v="N/A"/>
    <s v="System issues"/>
    <s v="N/A"/>
    <s v="N/A"/>
    <s v="N/A"/>
    <s v="N/A"/>
    <s v="NA"/>
    <s v="NA"/>
    <s v="NA"/>
    <s v="NA"/>
    <s v="NA"/>
    <s v="Emails"/>
    <s v="Structured"/>
    <n v="1"/>
    <s v="Emails, Vlog"/>
    <s v="Brokers"/>
    <s v="MS Outlook, Chrome,MS offoce, Experian,Claim Centre, Geo Sphere"/>
  </r>
  <r>
    <s v="DLG"/>
    <s v="Top-3 UK P&amp;C Carrier"/>
    <s v="UK"/>
    <s v="Cape Town, South Africa"/>
    <x v="3"/>
    <s v="Pierre De Villiers/Khuthala Sinazo Phakathi"/>
    <n v="9"/>
    <x v="1"/>
    <x v="1"/>
    <x v="1"/>
    <s v="Claim Setup and assignment"/>
    <s v="FNOL"/>
    <s v="Capturing the details of the claim, processing of all details on the system"/>
    <s v="Personal "/>
    <s v="Insurance"/>
    <s v="Motor Insurance"/>
    <s v="Large"/>
    <s v="Voice"/>
    <s v="L2"/>
    <n v="1"/>
    <n v="5"/>
    <n v="12"/>
    <s v="FTE Based"/>
    <s v="GBP"/>
    <s v="26461 GBP (16.27 GBP per hour per FTE)"/>
    <n v="81"/>
    <n v="9"/>
    <n v="10"/>
    <n v="20"/>
    <x v="118"/>
    <n v="0.1408450704225352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s v="DLG"/>
    <s v="Top-3 UK P&amp;C Carrier"/>
    <s v="UK"/>
    <s v="Cape Town, South Africa"/>
    <x v="3"/>
    <s v="Pierre De Villiers / Sodiqa Karlie"/>
    <n v="9"/>
    <x v="1"/>
    <x v="4"/>
    <x v="15"/>
    <s v="General Inquiry"/>
    <s v="Sales &amp; Service"/>
    <s v="Servicing all customers and supporting with general information's and any mid-term changes to their policy. Also support on the renewal and retentions of customers"/>
    <s v="Personal "/>
    <s v="Insurance"/>
    <s v="Motor Insurance"/>
    <s v="Large"/>
    <s v="Voice"/>
    <s v="L2"/>
    <n v="1"/>
    <n v="6"/>
    <n v="12"/>
    <s v="FTE Based"/>
    <s v="GBP"/>
    <s v="25212 GBP (15.51 GBP per hour per FTE)"/>
    <n v="300"/>
    <n v="22"/>
    <n v="30"/>
    <n v="30"/>
    <x v="119"/>
    <n v="0.1111111111111111"/>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s v="Everest Global Services"/>
    <s v="Leading Global Insurer and Reinsurer"/>
    <s v="North America"/>
    <s v="Cape Town, South Africa"/>
    <x v="3"/>
    <s v="Faeekah Cornelius"/>
    <n v="3"/>
    <x v="1"/>
    <x v="1"/>
    <x v="1"/>
    <s v="Claim Setup and assignment"/>
    <s v="FNOL"/>
    <s v="New claim set up or existing claim inquiry search"/>
    <s v="Commercial "/>
    <s v="Multi/ Combination"/>
    <s v="Auto, WC, Property, GL, Excess Casualty"/>
    <s v="All"/>
    <s v="Voice"/>
    <s v="L1"/>
    <n v="4"/>
    <n v="2"/>
    <n v="8"/>
    <s v="FTE Based"/>
    <s v="USD"/>
    <n v="37648.21"/>
    <n v="8"/>
    <n v="1"/>
    <n v="1"/>
    <n v="4"/>
    <x v="9"/>
    <n v="0.44444444444444442"/>
    <n v="792"/>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s v="Everest Global Services"/>
    <s v="Leading Global Insurer and Reinsurer"/>
    <s v="North America"/>
    <s v="Noida, India"/>
    <x v="2"/>
    <s v="Bir"/>
    <n v="5"/>
    <x v="1"/>
    <x v="2"/>
    <x v="3"/>
    <s v="Endorsements intake and setup"/>
    <s v="Draft and Final Endorsement"/>
    <s v="Perform rating, issue endorsement, update Agent, insured &amp; home office copy for the change processed_x000a_"/>
    <s v="Commercial "/>
    <s v="Multi/ Combination"/>
    <s v="Auto, WC, Umbrella, GL, IM, Property, Energy, Wholesale"/>
    <s v="All"/>
    <s v="Back Office"/>
    <s v="L3"/>
    <n v="2"/>
    <s v="2 to 4"/>
    <s v="8 to 10"/>
    <s v="FTE Based"/>
    <s v="USD"/>
    <n v="28607.279999999999"/>
    <n v="21"/>
    <n v="1"/>
    <n v="1"/>
    <n v="2"/>
    <x v="4"/>
    <n v="9.5238095238095233E-2"/>
    <n v="2365"/>
    <s v="NA"/>
    <s v="NA"/>
    <n v="31"/>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s v="Everest Global Services"/>
    <s v="Leading Global Insurer and Reinsurer"/>
    <s v="North America"/>
    <s v="Noida, India"/>
    <x v="2"/>
    <s v="Bir"/>
    <n v="5"/>
    <x v="1"/>
    <x v="2"/>
    <x v="3"/>
    <s v="Non Renewals/Renewal notice"/>
    <s v="Conditional Renewal Notices"/>
    <s v="Review the conditions for policy to be renewed"/>
    <s v="Commercial "/>
    <s v="Multi/ Combination"/>
    <s v="Auto, WC, Umbrella, GL, IM, Property, Energy, Wholesale"/>
    <s v="All"/>
    <s v="Back Office"/>
    <s v="L3"/>
    <n v="2"/>
    <s v="2 to 4"/>
    <s v="8 to 10"/>
    <s v="FTE Based"/>
    <s v="USD"/>
    <n v="28607.279999999999"/>
    <n v="4"/>
    <n v="0"/>
    <n v="0"/>
    <n v="1"/>
    <x v="103"/>
    <n v="0.25"/>
    <s v="NA"/>
    <s v="NA"/>
    <s v="NA"/>
    <s v="~30 Mins"/>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3"/>
    <s v="Cancellation notice"/>
    <s v="Notices of Cancellation/ Notices of Reinstatement"/>
    <s v="Create the notice of cancellation due to non-payment of premium_x000a_Create the reinstatement notice after Insured pays the premium"/>
    <s v="Commercial "/>
    <s v="Multi/ Combination"/>
    <s v="Auto, WC, Umbrella, GL, IM, Property, Energy, Wholesale"/>
    <s v="All"/>
    <s v="Back Office"/>
    <s v="L3"/>
    <n v="2"/>
    <s v="2 to 4"/>
    <s v="8 to 10"/>
    <s v="FTE Based"/>
    <s v="USD"/>
    <n v="28607.279999999999"/>
    <n v="1"/>
    <n v="0"/>
    <n v="0"/>
    <n v="1"/>
    <x v="15"/>
    <n v="1"/>
    <s v="NA"/>
    <s v="NA"/>
    <s v="NA"/>
    <s v="~10 mins"/>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4"/>
    <s v="Renewal Prep"/>
    <s v="Bind"/>
    <s v="Review the specific booking/binding instructions in RBI sheet and launch the rating workbook to complete the transmittal to send the booking information to Policy Management_x000a__x000a_"/>
    <s v="Commercial "/>
    <s v="Multi/ Combination"/>
    <s v="Auto, WC, Umbrella, GL, IM, Property, Energy, Wholesale"/>
    <s v="All"/>
    <s v="Back Office"/>
    <s v="L3"/>
    <n v="2"/>
    <s v="2 to 4"/>
    <s v="8 to 10"/>
    <s v="FTE Based"/>
    <s v="USD"/>
    <n v="28607.279999999999"/>
    <n v="8"/>
    <n v="1"/>
    <n v="1"/>
    <n v="1"/>
    <x v="10"/>
    <n v="0.125"/>
    <n v="714"/>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5"/>
    <s v="Renewal Issuance"/>
    <s v="Draft and Final Issuance"/>
    <s v="Verify/update policy information &amp; Issuing information per Acord App_x000a_"/>
    <s v="Commercial "/>
    <s v="Multi/ Combination"/>
    <s v="Auto, WC, Umbrella, GL, IM, Property, Energy, Wholesale"/>
    <s v="All"/>
    <s v="Back Office"/>
    <s v="L3"/>
    <n v="2"/>
    <s v="2 to 4"/>
    <s v="8 to 10"/>
    <s v="FTE Based"/>
    <s v="USD"/>
    <n v="28607.279999999999"/>
    <n v="14"/>
    <n v="1"/>
    <n v="1"/>
    <n v="2"/>
    <x v="105"/>
    <n v="0.14285714285714285"/>
    <n v="1315"/>
    <s v="NA"/>
    <s v="NA"/>
    <n v="69"/>
    <s v="10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s v="Everest Global Services"/>
    <s v="Leading Global Insurer and Reinsurer"/>
    <s v="North America"/>
    <s v="Noida, India"/>
    <x v="2"/>
    <s v="Bir"/>
    <n v="5"/>
    <x v="1"/>
    <x v="2"/>
    <x v="10"/>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s v="Commercial "/>
    <s v="Multi/ Combination"/>
    <s v="Auto, WC, Umbrella, GL, IM, Property, Energy, Wholesale"/>
    <s v="All"/>
    <s v="Back Office"/>
    <s v="L3"/>
    <n v="2"/>
    <s v="2 to 4"/>
    <s v="8 to 10"/>
    <s v="FTE Based"/>
    <s v="USD"/>
    <n v="28607.279999999999"/>
    <n v="20"/>
    <n v="1"/>
    <n v="1"/>
    <n v="2"/>
    <x v="6"/>
    <n v="0.1"/>
    <n v="1278"/>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s v="Everest Global Services"/>
    <s v="Leading Global Insurer and Reinsurer"/>
    <s v="North America"/>
    <s v="Noida, India"/>
    <x v="2"/>
    <s v="Bir"/>
    <n v="5"/>
    <x v="1"/>
    <x v="2"/>
    <x v="10"/>
    <s v="Prepare Written Quote/ Proposal"/>
    <s v="Clearance and Submission"/>
    <s v="Initial submission task has been received in the intake box in the image right application, we set up all the files as per the procedure and working on the escape application as per the submission request"/>
    <s v="Commercial "/>
    <s v="Multi/ Combination"/>
    <s v="Auto, WC, Umbrella, GL, IM, Property, Energy, Wholesale"/>
    <s v="All"/>
    <s v="Back Office"/>
    <s v="L3"/>
    <n v="2"/>
    <s v="2 to 4"/>
    <s v="8 to 10"/>
    <s v="FTE Based"/>
    <s v="USD"/>
    <n v="26334.26"/>
    <n v="47"/>
    <n v="2"/>
    <n v="3"/>
    <n v="5"/>
    <x v="120"/>
    <n v="0.10638297872340426"/>
    <n v="21966"/>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s v="Everest Global Services"/>
    <s v="Leading Global Insurer and Reinsurer"/>
    <s v="North America"/>
    <s v="Noida, India"/>
    <x v="2"/>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s v="Commercial "/>
    <s v="Multi/ Combination"/>
    <s v="Auto, Property, GL, Financial lines"/>
    <s v="All"/>
    <s v="Back Office"/>
    <s v="L3"/>
    <n v="2"/>
    <s v="2 to 4"/>
    <s v="8 to 10"/>
    <s v="FTE Based"/>
    <s v="USD"/>
    <n v="33843.72"/>
    <n v="7"/>
    <n v="0"/>
    <n v="1"/>
    <n v="0"/>
    <x v="47"/>
    <n v="0"/>
    <n v="2413"/>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s v="Everest Global Services"/>
    <s v="Leading Global Insurer and Reinsurer"/>
    <s v="North America"/>
    <s v="Noida, India"/>
    <x v="2"/>
    <s v="Bir"/>
    <n v="5"/>
    <x v="1"/>
    <x v="1"/>
    <x v="8"/>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s v="Commercial "/>
    <s v="Multi/ Combination"/>
    <s v="Auto, Property, GL, Financial lines"/>
    <s v="All"/>
    <s v="Back Office"/>
    <s v="L3"/>
    <n v="2"/>
    <n v="2"/>
    <n v="2"/>
    <s v="FTE Based"/>
    <s v="USD"/>
    <n v="33843.72"/>
    <n v="3"/>
    <n v="0"/>
    <n v="1"/>
    <n v="0"/>
    <x v="19"/>
    <n v="0"/>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s v="Hanover"/>
    <s v="Large US Multi-Regional P&amp;C Carrier"/>
    <s v="North America"/>
    <s v="Cape Town"/>
    <x v="3"/>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s v="Personal &amp; Commercial"/>
    <s v="Multi/ Combination"/>
    <s v="Personal, Commercial, Auto"/>
    <s v="Small &amp; Mid Size"/>
    <s v="Voice"/>
    <s v="L1"/>
    <n v="4"/>
    <s v="4 to 8"/>
    <n v="4"/>
    <s v="FTE Based"/>
    <s v="USD"/>
    <n v="35000"/>
    <n v="14"/>
    <n v="1"/>
    <n v="1"/>
    <n v="5"/>
    <x v="121"/>
    <n v="0.35714285714285715"/>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s v="Hanover"/>
    <s v="Large US Multi-Regional P&amp;C Carrier"/>
    <s v="North America"/>
    <s v="Noida &amp; Pune, India"/>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
    <s v="Multi/ Combination"/>
    <s v="GL, Auto, Umbrella, Package, WC, BOP, Inland Marine and Specialty"/>
    <s v="Small &amp; Mid Size"/>
    <s v="Back Office"/>
    <s v="L1"/>
    <n v="1"/>
    <s v="4 to 6"/>
    <n v="4"/>
    <s v="FTE Based"/>
    <s v="USD"/>
    <n v="31000"/>
    <n v="31"/>
    <n v="2"/>
    <n v="2"/>
    <n v="10"/>
    <x v="45"/>
    <n v="0.32258064516129031"/>
    <n v="15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s v="Hanover"/>
    <s v="Large US Multi-Regional P&amp;C Carrier"/>
    <s v="North America"/>
    <s v="Noida, India"/>
    <x v="2"/>
    <s v="Rajesh Kodath"/>
    <n v="12"/>
    <x v="1"/>
    <x v="2"/>
    <x v="5"/>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s v="Commercial "/>
    <s v="Multi/ Combination"/>
    <s v="GL, Auto, Umbrella, Package, WC, BOP, Inland Marine and Specialty"/>
    <s v="Small &amp; Mid Size"/>
    <s v="Back Office"/>
    <s v="L3"/>
    <n v="1"/>
    <s v="4 to 6"/>
    <n v="4"/>
    <s v="FTE Based"/>
    <s v="USD"/>
    <n v="32000"/>
    <n v="67"/>
    <n v="8"/>
    <n v="1"/>
    <n v="20"/>
    <x v="122"/>
    <n v="0.2985074626865671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s v="Hanover"/>
    <s v="Large US Multi-Regional P&amp;C Carrier"/>
    <s v="North America"/>
    <s v="Noida, India"/>
    <x v="2"/>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s v="Commercial "/>
    <s v="Multi/ Combination"/>
    <s v="Bond"/>
    <s v="All"/>
    <s v="Back Office"/>
    <s v="L1"/>
    <n v="1"/>
    <s v="4 to 6"/>
    <n v="4"/>
    <s v="FTE Based"/>
    <s v="USD"/>
    <n v="31000"/>
    <n v="2"/>
    <n v="1"/>
    <n v="0"/>
    <n v="1"/>
    <x v="101"/>
    <n v="0.5"/>
    <n v="250"/>
    <s v="NA"/>
    <s v="Jan &amp; July"/>
    <n v="6"/>
    <s v="90% (0+1 working days)"/>
    <n v="0.92"/>
    <s v="DPU – Defect Per Unit"/>
    <s v="NA"/>
    <s v="NA"/>
    <s v="NA"/>
    <s v="NA"/>
    <s v="NA"/>
    <s v="NA"/>
    <s v="NA"/>
    <s v="NA"/>
    <s v="NA"/>
    <s v="NA"/>
    <s v="NA"/>
    <s v="UW/Agency"/>
    <s v="Multiple"/>
    <s v="Semi-Structured"/>
    <s v="NA"/>
    <s v="Others"/>
    <s v="UW/Raters"/>
    <s v="Citrix, CAAMS, IPS, APEX, "/>
  </r>
  <r>
    <s v="Hanover"/>
    <s v="Large US Multi-Regional P&amp;C Carrier"/>
    <s v="North America"/>
    <s v="Pune, India"/>
    <x v="2"/>
    <s v="Rajesh Kodath"/>
    <n v="13"/>
    <x v="1"/>
    <x v="2"/>
    <x v="5"/>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s v="Commercial &amp; Specialty"/>
    <s v="Multi/ Combination"/>
    <s v="Auto, WC, Commercial Package Policies, Umbrella , Inland Marine &amp; Specialty"/>
    <s v="All"/>
    <s v="Back Office"/>
    <s v="L3"/>
    <n v="2"/>
    <n v="4"/>
    <n v="4"/>
    <s v="FTE Based"/>
    <s v="USD"/>
    <n v="32000"/>
    <n v="45"/>
    <n v="12"/>
    <n v="8"/>
    <n v="7"/>
    <x v="123"/>
    <n v="0.15555555555555556"/>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s v="Commercial &amp; Specialty"/>
    <s v="Multi/ Combination"/>
    <s v="Auto, WC, Commercial Package Policies, Umbrella , Inland Marine &amp; Specialty"/>
    <s v="Small"/>
    <s v="Back Office"/>
    <s v="L3"/>
    <n v="2"/>
    <n v="4"/>
    <n v="4"/>
    <s v="FTE Based"/>
    <s v="USD"/>
    <n v="32000"/>
    <n v="45"/>
    <n v="12"/>
    <n v="8"/>
    <n v="7"/>
    <x v="123"/>
    <n v="0.15555555555555556"/>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s v="Hanover"/>
    <s v="Large US Multi-Regional P&amp;C Carrier"/>
    <s v="North America"/>
    <s v="Pune, India"/>
    <x v="2"/>
    <s v="Rajesh Kodath"/>
    <n v="14"/>
    <x v="1"/>
    <x v="2"/>
    <x v="5"/>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s v="Commercial &amp; Specialty"/>
    <s v="Multi/ Combination"/>
    <s v="Auto, WC, Commercial Package Policies, Umbrella  &amp; Specialty"/>
    <s v="Small"/>
    <s v="Back Office"/>
    <s v="L3"/>
    <n v="2"/>
    <n v="4"/>
    <n v="4"/>
    <s v="FTE Based"/>
    <s v="USD"/>
    <n v="32000"/>
    <n v="13"/>
    <n v="10"/>
    <n v="1"/>
    <n v="5"/>
    <x v="124"/>
    <n v="0.38461538461538464"/>
    <n v="3154.3333333333335"/>
    <s v="ALL LOBs"/>
    <s v="NA"/>
    <n v="30"/>
    <s v="TAT -24 Hrs._x000a_"/>
    <n v="0.92"/>
    <s v="DPU – Defect Per Unit"/>
    <s v="NA"/>
    <s v="NA"/>
    <s v="NA"/>
    <s v="NA"/>
    <s v="NA"/>
    <s v="NA"/>
    <s v="NA"/>
    <s v="NA"/>
    <s v="NA"/>
    <s v="NA"/>
    <s v="NA"/>
    <s v="Agent, TP"/>
    <s v="Multiple"/>
    <s v="Semi-Structured"/>
    <s v="NA"/>
    <s v="NA"/>
    <s v="Agent, TP"/>
    <s v="Citrix, CAAMS, IPS, APEX, "/>
  </r>
  <r>
    <s v="Hanover"/>
    <s v="Large US Multi-Regional P&amp;C Carrier"/>
    <s v="North America"/>
    <s v="Pune, India"/>
    <x v="2"/>
    <s v="Rajesh Kodath"/>
    <n v="14"/>
    <x v="1"/>
    <x v="2"/>
    <x v="4"/>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s v="Commercial &amp; Specialty"/>
    <s v="Multi/ Combination"/>
    <s v="Auto, WC, Commercial Package Policies, Umbrella  &amp; Specialty"/>
    <s v="All"/>
    <s v="Back Office"/>
    <s v="L3"/>
    <n v="2"/>
    <n v="4"/>
    <n v="4"/>
    <s v="FTE Based"/>
    <s v="USD"/>
    <n v="32000"/>
    <n v="13"/>
    <n v="10"/>
    <n v="1"/>
    <n v="5"/>
    <x v="124"/>
    <n v="0.38461538461538464"/>
    <n v="1493.1666666666667"/>
    <s v="ALL LOBs"/>
    <s v="NA"/>
    <n v="30"/>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3"/>
    <x v="1"/>
    <x v="2"/>
    <x v="10"/>
    <s v="Record Keeping"/>
    <s v="NAICS Validation"/>
    <s v="Identify and record accurate classifications for all businesses flowing through the Small Commercial Consolidation process."/>
    <s v="Commercial &amp; Specialty"/>
    <s v="Multi/ Combination"/>
    <s v="Auto, WC, Commercial Package Policies, Umbrella _x000a_Business Owners’ Policy"/>
    <s v="All"/>
    <s v="Back Office"/>
    <s v="L4"/>
    <n v="2"/>
    <n v="4"/>
    <n v="4"/>
    <s v="FTE Based"/>
    <s v="USD"/>
    <n v="35000"/>
    <n v="6"/>
    <n v="2"/>
    <n v="1"/>
    <n v="1"/>
    <x v="114"/>
    <n v="0.16666666666666666"/>
    <n v="1050.5"/>
    <s v="ALL LOBs"/>
    <s v="NA"/>
    <n v="45"/>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10"/>
    <s v="New Business Quotes/ Rating"/>
    <s v="Uderwriting Assistant"/>
    <s v="Prep the account and provide the Quote information to Rating and  UW when referred to UW"/>
    <s v="Commercial &amp; Specialty"/>
    <s v="Multi/ Combination"/>
    <s v="Auto, WC, Commercial Package Policies, Umbrella  &amp; Business Owners’ Policy"/>
    <s v="All"/>
    <s v="Back Office"/>
    <s v="L4"/>
    <n v="2"/>
    <n v="4"/>
    <n v="4"/>
    <s v="FTE Based"/>
    <s v="USD"/>
    <n v="35000"/>
    <n v="20"/>
    <n v="2"/>
    <n v="1"/>
    <n v="1"/>
    <x v="8"/>
    <n v="0.05"/>
    <n v="247.33333333333334"/>
    <s v="ALL LOBs"/>
    <s v="NA"/>
    <n v="45"/>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3"/>
    <s v="Quality Audit"/>
    <s v="NA"/>
    <s v="The process involves auditing of policies processed onshore by Hanover"/>
    <s v="Commercial &amp; Specialty"/>
    <s v="Multi/ Combination"/>
    <s v="Auto, WC, Commercial Package Policies, Umbrella  &amp; Business Owners’ Policy"/>
    <s v="All"/>
    <s v="Back Office"/>
    <s v="L4"/>
    <n v="2"/>
    <n v="4"/>
    <n v="4"/>
    <s v="FTE Based"/>
    <s v="USD"/>
    <n v="43000"/>
    <n v="13"/>
    <n v="0"/>
    <n v="1"/>
    <n v="1"/>
    <x v="2"/>
    <n v="7.6923076923076927E-2"/>
    <n v="1984.3333333333333"/>
    <s v="ALL LOBs"/>
    <s v="NA"/>
    <n v="30"/>
    <s v="NA"/>
    <n v="0.92"/>
    <s v="DPU – Defect Per Unit"/>
    <s v="NA"/>
    <s v="NA"/>
    <s v="NA"/>
    <s v="NA"/>
    <s v="NA"/>
    <s v="NA"/>
    <s v="NA"/>
    <s v="NA"/>
    <s v="NA"/>
    <s v="NA"/>
    <s v="NA"/>
    <s v="Hanover"/>
    <s v="Multiple"/>
    <s v="Semi-Structured"/>
    <s v="NA"/>
    <s v="NA"/>
    <s v="Internal"/>
    <s v="Citrix, CAAMS, IPS, APEX, "/>
  </r>
  <r>
    <s v="Hanover"/>
    <s v="Large US Multi-Regional P&amp;C Carrier"/>
    <s v="North America"/>
    <s v="Pune, India"/>
    <x v="2"/>
    <s v="Rajesh Kodath"/>
    <n v="14"/>
    <x v="1"/>
    <x v="2"/>
    <x v="4"/>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s v="Commercial &amp; Specialty"/>
    <s v="Auto"/>
    <s v="Motor"/>
    <s v="Small &amp; Mid Size"/>
    <s v="Back Office"/>
    <s v="L3"/>
    <n v="2"/>
    <n v="4"/>
    <n v="4"/>
    <s v="FTE Based"/>
    <s v="USD"/>
    <n v="31000"/>
    <n v="3"/>
    <n v="0"/>
    <n v="0"/>
    <n v="2"/>
    <x v="19"/>
    <n v="0.66666666666666663"/>
    <n v="2625.75"/>
    <s v="ALL LOBs"/>
    <s v="NA"/>
    <n v="12"/>
    <s v="TAT -24 Hrs._x000a_"/>
    <n v="0.92"/>
    <s v="DPU – Defect Per Unit"/>
    <s v="NA"/>
    <s v="NA"/>
    <s v="NA"/>
    <s v="NA"/>
    <s v="NA"/>
    <s v="NA"/>
    <s v="NA"/>
    <s v="NA"/>
    <s v="NA"/>
    <s v="NA"/>
    <s v="NA"/>
    <s v="DMV"/>
    <s v="Multiple"/>
    <s v="Semi-Structured"/>
    <s v="NA"/>
    <s v="NA"/>
    <s v="Internal - DMV"/>
    <s v="Citrix, CAAMS, IPS, APEX, "/>
  </r>
  <r>
    <s v="Hanover"/>
    <s v="Large US Multi-Regional P&amp;C Carrier"/>
    <s v="North America"/>
    <s v="Noida, India"/>
    <x v="2"/>
    <s v="Souvick Paul"/>
    <n v="14"/>
    <x v="1"/>
    <x v="1"/>
    <x v="1"/>
    <s v="Indexing"/>
    <s v="Indexing"/>
    <s v="&gt; Document management team working through Kofax to tag incoming documents with existing claims_x000a_&gt; Upload &amp; download the documents as per the request from onshore"/>
    <s v="Personal &amp; Commercial"/>
    <s v="Multi/ Combination"/>
    <s v="GL, Auto, Property"/>
    <s v="Small &amp; Mid Size"/>
    <s v="Back Office"/>
    <s v="L1"/>
    <n v="1"/>
    <n v="4"/>
    <n v="8"/>
    <s v="FTE Based"/>
    <s v="USD"/>
    <n v="29376.27"/>
    <n v="5"/>
    <n v="1"/>
    <n v="0"/>
    <n v="0"/>
    <x v="107"/>
    <n v="0"/>
    <n v="38121"/>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s v="Hanover"/>
    <s v="Large US Multi-Regional P&amp;C Carrier"/>
    <s v="North America"/>
    <s v="Noida, India"/>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Personal &amp; Commercial"/>
    <s v="Multi/ Combination"/>
    <s v="GL, Auto, Property"/>
    <s v="Small &amp; Mid Size"/>
    <s v="Back Office"/>
    <s v="L1"/>
    <n v="1"/>
    <n v="4"/>
    <n v="8"/>
    <s v="FTE Based"/>
    <s v="USD"/>
    <n v="29376.27"/>
    <n v="9"/>
    <n v="1"/>
    <n v="1"/>
    <n v="1"/>
    <x v="106"/>
    <n v="0.1111111111111111"/>
    <n v="8316"/>
    <s v="NA"/>
    <s v="NA"/>
    <n v="10"/>
    <s v="2 Hours"/>
    <n v="0.94"/>
    <s v="DPU – Defect Per Unit"/>
    <s v="NA"/>
    <s v="NA"/>
    <s v="NA"/>
    <s v="NA"/>
    <s v="NA"/>
    <s v="NA"/>
    <s v="NA"/>
    <s v="NA"/>
    <s v="NA"/>
    <s v="NA"/>
    <s v="NA"/>
    <s v="Agent, TP"/>
    <s v="Multiple"/>
    <s v="Semi-Structured"/>
    <s v="NA"/>
    <s v="Emails"/>
    <s v="Agent, TP"/>
    <s v="CMX, Outlook, Excel"/>
  </r>
  <r>
    <s v="Hanover"/>
    <s v="Large US Multi-Regional P&amp;C Carrier"/>
    <s v="North America"/>
    <s v="Noida, India"/>
    <x v="2"/>
    <s v="Rajesh Kodath"/>
    <n v="14"/>
    <x v="1"/>
    <x v="2"/>
    <x v="3"/>
    <s v="Non Renewals/Renewal notice"/>
    <s v="Oden"/>
    <s v="This task includes generating legal notices using ODEN system. Some of the possible notices are cancellation, reinstatement, non-renewal, conditional cancellation, conditional renewal etc."/>
    <s v="Personal "/>
    <s v="Multi/ Combination"/>
    <s v="Auto, Property, Umbrella, Watercraft"/>
    <s v="Small, Mid Size &amp; Large"/>
    <s v="Back Office"/>
    <s v="L2"/>
    <n v="1"/>
    <n v="4"/>
    <n v="8"/>
    <s v="FTE Based"/>
    <s v="USD"/>
    <n v="31000"/>
    <n v="2.4500000000000002"/>
    <n v="1"/>
    <n v="1"/>
    <n v="1"/>
    <x v="125"/>
    <n v="0.4081632653061224"/>
    <n v="4290"/>
    <s v="NA"/>
    <s v="NA"/>
    <n v="5"/>
    <s v="4 Hours"/>
    <n v="0.95"/>
    <s v="DPU – Defect Per Unit"/>
    <s v="NA"/>
    <s v="NA"/>
    <s v="NA"/>
    <s v="NA"/>
    <s v="NA"/>
    <s v="NA"/>
    <s v="NA"/>
    <s v="NA"/>
    <s v="NA"/>
    <s v="NA"/>
    <s v="NA"/>
    <s v="UW"/>
    <s v="Instructions in Application"/>
    <s v="Semi-Structured"/>
    <s v="NA"/>
    <s v="Emails"/>
    <s v="Agent, TP"/>
    <s v="Edge, PMS, POS, TAP Sales, Oden tool"/>
  </r>
  <r>
    <s v="Hanover"/>
    <s v="Large US Multi-Regional P&amp;C Carrier"/>
    <s v="North America"/>
    <s v="Noida, India"/>
    <x v="2"/>
    <s v="Neera Sachdeva"/>
    <n v="6.7"/>
    <x v="1"/>
    <x v="1"/>
    <x v="6"/>
    <s v="NCM support tasks, Med Tasks "/>
    <s v="Indexing Medical Records"/>
    <s v=" Sorting and indexing Medical documents "/>
    <s v="Personal &amp; Commercial"/>
    <s v="Multi/ Combination"/>
    <s v="Auto &amp; GL/ WC"/>
    <s v="Small, Mid Size &amp; Large"/>
    <s v="Back Office"/>
    <s v="L2"/>
    <n v="1"/>
    <n v="3"/>
    <n v="4"/>
    <s v="Transaction Based "/>
    <s v="USD"/>
    <s v="$0.16 Per Page"/>
    <n v="1"/>
    <n v="0.2"/>
    <n v="0.1"/>
    <n v="0"/>
    <x v="126"/>
    <n v="0"/>
    <s v="3579 Pages"/>
    <s v="Auto : 1209 Pages_x000a_AS/ PIP : 2853 Pages"/>
    <s v="March"/>
    <s v="Sorting and Indexing : 0.35 Min Per Page_x000a_Med Record Tagging : 1.00 Min Per Page_x000a_MedConnection Summary and Synthesis : 0.56 Min Per Page"/>
    <s v="Target - 98%_x000a__x000a_Hanover-Index: 7 Busines days for files upto 2500 pages. For every 500 pages above 2500 +1 busibness day_x000a__x000a_Hanover PIP: 7 Busines days for files upto 200 pages. For every 150 pages above 200 +1 busibness day_x000a_"/>
    <s v="97% DPO"/>
    <s v="DPO – Defect Per Opportunity"/>
    <s v="The activities of _x000a_1) File upload and 2) presentation of completed Indexes to be performed as indicated in agreed upon business rules_x000a_100% of available source files to be uploaded by EXL Completed Index to be returned in both Adobe PDF and Microsoft Word formats_x000a__x000a__x000a_"/>
    <s v="Quality Audit:Measuring number of images clarity/illegible vs total number of pages reviewed/ worked. Measure is based monthly files which were completed by EXL, and which are completed during the month by Hanover Hanover Nursing Team. "/>
    <s v="NA"/>
    <s v="NA"/>
    <s v="NA"/>
    <s v="NA"/>
    <s v="NA"/>
    <s v="NA"/>
    <s v="NA"/>
    <s v="NA"/>
    <s v="NA"/>
    <s v="Registered Nurses"/>
    <s v="PDFs"/>
    <s v="Unstructured"/>
    <n v="1"/>
    <s v="PDFs"/>
    <s v="Registered Nurses"/>
    <s v="NA : Client uses EXL Medconnection Platform to Upload the Input and download the output"/>
  </r>
  <r>
    <s v="Hanover"/>
    <s v="Large US Multi-Regional P&amp;C Carrier"/>
    <s v="North America"/>
    <s v="Noida, India"/>
    <x v="2"/>
    <s v="Neera Sachdeva"/>
    <n v="2.2000000000000002"/>
    <x v="1"/>
    <x v="1"/>
    <x v="6"/>
    <s v="Medical Record Summarization"/>
    <s v="Indexing &amp; Medical Record Summarization "/>
    <s v="Summary of Treatment &amp; Cost along with Sorting of Documents"/>
    <s v="Personal &amp; Commercial"/>
    <s v="Multi/ Combination"/>
    <s v="Auto &amp; GL"/>
    <s v="Small &amp; Mid Size"/>
    <s v="Back Office"/>
    <s v="L4"/>
    <n v="1"/>
    <n v="6"/>
    <n v="6"/>
    <s v="Transaction Based "/>
    <s v="USD"/>
    <s v="$0.82 Per Page"/>
    <n v="41"/>
    <n v="1"/>
    <n v="2"/>
    <n v="0"/>
    <x v="127"/>
    <n v="0"/>
    <s v="143039 Pages"/>
    <s v="Auto : 66504 Pages_x000a_GL : 77000 Pages"/>
    <s v="Sep, Oct"/>
    <s v="Sorting and Indexing : 0.35 Min Per Page_x000a_Med Record Tagging : 1.00 Min Per Page_x000a_MedConnection Summary and Synthesis : 0.56 Min Per Page"/>
    <s v="_x000a_Target - 99%_x000a__x000a_Hanover MCU : 7 Busines days for files upto 2500 pages. For every 500 pages above 2500 +1 busibness day_x000a__x000a_Hanover ABI/CGL: 7 Busines days for files upto 200 pages. For every 150 pages above 200 +1 busibness day_x000a__x000a_"/>
    <s v="97% DPO"/>
    <s v="DPO – Defect Per Opportunity"/>
    <s v="Support : Help desk contact and response time during weekdays 8:00 AM - 5:00 PM EST (inbound from Help Desk)._x000a_Issue resolution time (from EXL help desk)_x000a__x000a__x000a__x000a_"/>
    <s v="Service System Availability : Website access and availability for daily reporting"/>
    <s v="NA"/>
    <s v="NA"/>
    <s v="NA"/>
    <s v="NA"/>
    <s v="NA"/>
    <s v="NA"/>
    <s v="NA"/>
    <s v="NA"/>
    <s v="NA"/>
    <s v="Claim Adjuster/Litgation Specialist/Registered Nurses"/>
    <s v="PDFs"/>
    <s v="Unstructured"/>
    <n v="1"/>
    <s v="PDFs"/>
    <s v="Claim Adjuster/Litgation Specialist/Registered Nurses"/>
    <s v="NA : Client uses EXL Medconnection Platform to Upload the Input and download the output"/>
  </r>
  <r>
    <s v="Hanover"/>
    <s v="Large US Multi-Regional P&amp;C Carrier"/>
    <s v="North America"/>
    <s v="Noida, India"/>
    <x v="2"/>
    <s v="Vijender Prasad"/>
    <n v="4.5"/>
    <x v="1"/>
    <x v="3"/>
    <x v="16"/>
    <s v="Paralegal &amp; Legal Secretary Services"/>
    <s v="Legal Bill Review_x000a_Litigation Case Creation_x000a_Order Records_x000a_Claim File Transfer"/>
    <s v="Audit of external law firms invoices_x000a_Open Litigation Cases in Legal X and Legal Files_x000a_Order Medical and other records via Axiom and US Legal_x000a_Identify, Classify and label documents for Attorney's review"/>
    <s v="Personal &amp; Commercial"/>
    <s v="Multi/ Combination"/>
    <s v="GL, Auto, Umbrella, Package, WC, BOP, Inland Marine and Specialty"/>
    <s v="Specialized"/>
    <s v="Back Office"/>
    <s v="L4"/>
    <n v="1"/>
    <n v="2"/>
    <s v="2 to 3"/>
    <s v="FTE Based"/>
    <s v="USD"/>
    <s v="LBR Auditor - $39,033_x000a_Legal Admin - $31,366"/>
    <n v="15"/>
    <s v="NA"/>
    <n v="1"/>
    <n v="3"/>
    <x v="121"/>
    <n v="0.2"/>
    <n v="4795"/>
    <s v="LBR - 4300 Invoices_x000a_Open Cases - 285_x000a_Order Records - 210"/>
    <s v="October, November and December"/>
    <s v="LBR - 40 minutes_x000a_Open Cases - 80 minutes_x000a_Order Records - 60 minutes"/>
    <s v="LBR - Invoice diary date_x000a_Open Cases - 2 days_x000a_Order Records - 2 days"/>
    <s v="Minimum - 95%"/>
    <s v="DPO – Defect Per Opportunity"/>
    <s v="NA"/>
    <s v="NA"/>
    <s v="NA"/>
    <s v="Claims"/>
    <s v="NA"/>
    <s v="NA"/>
    <s v="NA"/>
    <s v="Analytics"/>
    <s v="Centralization of Paralegal and Legal Secretary tasks"/>
    <s v="This will help Hanover to reduce legal spend in Claims Litigation by outsourcing Paralegal and Legal Sec tasks to EXL"/>
    <s v="NA"/>
    <s v="External Law Firms and Claim Handlers"/>
    <s v="Multiple"/>
    <s v="Semi-Structured"/>
    <s v="Email - 30%_x000a_Legal X, Legal Files - 70%"/>
    <s v="Others"/>
    <s v="Hanover Claims"/>
    <s v="Leal X_x000a_Legal Files_x000a_Hanover Claims System_x000a_Axiom_x000a_US Legal"/>
  </r>
  <r>
    <s v="Hanover"/>
    <s v="Large US Multi-Regional P&amp;C Carrier"/>
    <s v="North America"/>
    <s v="Cape Town"/>
    <x v="3"/>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s v="Personal &amp; Commercial"/>
    <s v="Auto"/>
    <s v="Auto"/>
    <s v="All"/>
    <s v="Voice"/>
    <s v="L2"/>
    <n v="3"/>
    <n v="5"/>
    <n v="8"/>
    <s v="FTE Based"/>
    <s v="USD"/>
    <n v="35000"/>
    <n v="10"/>
    <n v="1"/>
    <n v="1"/>
    <n v="5"/>
    <x v="2"/>
    <n v="0.5"/>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s v="Hanover"/>
    <s v="Large US Multi-Regional P&amp;C Carrier"/>
    <s v="North America"/>
    <s v="Cape Town"/>
    <x v="3"/>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s v="Commercial "/>
    <s v="Multi/ Combination"/>
    <s v="Commercial, Agency Billing"/>
    <s v="All"/>
    <s v="Voice"/>
    <s v="L2"/>
    <n v="3"/>
    <n v="5"/>
    <n v="8"/>
    <s v="FTE Based"/>
    <s v="USD"/>
    <n v="35000"/>
    <n v="18"/>
    <n v="1"/>
    <n v="1"/>
    <n v="5"/>
    <x v="128"/>
    <n v="0.5"/>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s v="Hartford"/>
    <s v="Fortune 500 US P&amp;C Carrier"/>
    <s v="North America"/>
    <s v="Manila, PHP"/>
    <x v="1"/>
    <s v="Jayant Verma, Kristine Hintay"/>
    <n v="6.5"/>
    <x v="1"/>
    <x v="1"/>
    <x v="6"/>
    <s v="Document clinical info"/>
    <s v="Claim Completion"/>
    <n v="14"/>
    <n v="1.5"/>
    <n v="1"/>
    <n v="4.2899999999999991"/>
    <n v="20"/>
    <n v="0.27324840764331204"/>
    <n v="49000"/>
    <n v="49000"/>
    <s v="NA"/>
    <s v="4:00"/>
    <s v="TAT 1 - 95% Within 24 Hours_x000a_TAT 2 - 100% Within 48 Hours"/>
    <n v="0.96"/>
    <s v="DPO – Defect Per Opportunity"/>
    <s v="NA"/>
    <s v="NA"/>
    <s v="NA"/>
    <s v="NA"/>
    <x v="129"/>
    <s v="NA"/>
    <s v="NA"/>
    <s v="NA"/>
    <s v="NA"/>
    <s v="NA"/>
    <s v="NA"/>
    <s v="Employer and Provider Contact queues_x000a_Disability Benefit Manager queues"/>
    <s v="Others"/>
    <s v="Unstructured"/>
    <s v="100% Unstructured"/>
    <s v="Others"/>
    <s v="medical providers, Employer, Employee"/>
    <s v="THAA, Genesys,CIT, CNS"/>
    <s v="NA"/>
    <s v="NA"/>
    <s v="NA"/>
    <s v="NA"/>
    <s v="NA"/>
    <s v="NA"/>
    <s v="Employer and Provider Contact queues_x000a_Disability Benefit Manager queues"/>
    <s v="Others"/>
    <s v="Unstructured"/>
    <s v="100% Unstructured"/>
    <s v="Others"/>
    <s v="medical providers, Employer, Employee"/>
    <s v="THAA, Genesys,CIT, CNS"/>
  </r>
  <r>
    <s v="Hartford"/>
    <s v="Fortune 500 US P&amp;C Carrier"/>
    <s v="North America"/>
    <s v="Manila, PHP"/>
    <x v="1"/>
    <s v="Jayant Verma, Kristine Hintay"/>
    <n v="6.5"/>
    <x v="1"/>
    <x v="1"/>
    <x v="6"/>
    <s v="Document clinical info"/>
    <s v="Provider outreach "/>
    <n v="53.62"/>
    <n v="5"/>
    <n v="7"/>
    <n v="22.380000000000003"/>
    <n v="76"/>
    <n v="0.41738157403953757"/>
    <n v="56870"/>
    <n v="56870"/>
    <s v="NA"/>
    <s v="5:00"/>
    <n v="0.95"/>
    <n v="0.95"/>
    <s v="DPO – Defect Per Opportunity"/>
    <s v="NA"/>
    <s v="NA"/>
    <s v="NA"/>
    <s v="NA"/>
    <x v="129"/>
    <s v="NA"/>
    <s v="NA"/>
    <s v="NA"/>
    <s v="NA"/>
    <s v="NA"/>
    <s v="NA"/>
    <s v="Provider Contact Queue"/>
    <s v="Others"/>
    <s v="Unstructured"/>
    <s v="100% Unstructured"/>
    <s v="Others"/>
    <s v="Ability Analysts"/>
    <s v="THAA, Genesys,CIT, CNS"/>
    <s v="NA"/>
    <s v="NA"/>
    <s v="NA"/>
    <s v="NA"/>
    <s v="NA"/>
    <s v="NA"/>
    <s v="Provider Contact Queue"/>
    <s v="Others"/>
    <s v="Unstructured"/>
    <s v="100% Unstructured"/>
    <s v="Others"/>
    <s v="Ability Analysts"/>
    <s v="THAA, Genesys,CIT, CNS"/>
  </r>
  <r>
    <s v="Hartford"/>
    <s v="Fortune 500 US P&amp;C Carrier"/>
    <s v="North America"/>
    <s v="Manila, PHP"/>
    <x v="1"/>
    <s v="Jayant Verma, Kristine Hintay"/>
    <n v="7"/>
    <x v="2"/>
    <x v="1"/>
    <x v="9"/>
    <s v="Loss/ Damage verification"/>
    <s v=" CCT Claims Inquiry"/>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15"/>
    <x v="1"/>
    <x v="1"/>
    <x v="9"/>
    <s v="Inquiry calls from providers (medical bill review; bill intake; medical billing form and payment)"/>
    <s v="Provider service"/>
    <n v="14.65"/>
    <n v="1.5"/>
    <n v="1"/>
    <n v="3.3499999999999996"/>
    <n v="21"/>
    <n v="0.22866894197952214"/>
    <n v="15600"/>
    <n v="15600"/>
    <s v="NA"/>
    <n v="4.3"/>
    <s v="NA"/>
    <n v="0.98"/>
    <s v="DPO – Defect Per Opportunity"/>
    <s v="TSF"/>
    <s v="NA"/>
    <s v="NA"/>
    <s v="NA"/>
    <x v="129"/>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s v="Hartford"/>
    <s v="Fortune 500 US P&amp;C Carrier"/>
    <s v="North America"/>
    <s v="Manila, PHP"/>
    <x v="1"/>
    <s v="Jayant Verma, Kristine Hintay"/>
    <n v="2.1"/>
    <x v="2"/>
    <x v="1"/>
    <x v="1"/>
    <s v="First Notice of Loss Calls"/>
    <s v="CCT WC FNOL"/>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2.1"/>
    <x v="2"/>
    <x v="1"/>
    <x v="9"/>
    <s v="Inquiry calls from providers (medical bill review; bill intake; medical billing form and payment)"/>
    <s v="CCT WC Claim Inquiry"/>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5"/>
    <x v="2"/>
    <x v="1"/>
    <x v="9"/>
    <s v="Inquiry calls from providers (medical bill review; bill intake; medical billing form and payment)"/>
    <s v="Web portal response "/>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5"/>
    <x v="1"/>
    <x v="1"/>
    <x v="9"/>
    <s v="Inquiry calls from providers (medical bill review; bill intake; medical billing form and payment)"/>
    <s v="Group Benefits Claim Contact Center"/>
    <n v="117"/>
    <n v="12"/>
    <n v="14"/>
    <n v="25"/>
    <n v="142"/>
    <n v="0.21367521367521367"/>
    <n v="128000"/>
    <n v="128000"/>
    <s v="NA"/>
    <s v="TBD"/>
    <s v="NA"/>
    <n v="0.76"/>
    <s v="Others"/>
    <s v="Schedule Adherence - 92% _x000a_Transfer - 20%_x000a_Post Call Survey_x000a_Customer Effort - 89%_x000a_Customer Satisfaction - 87%"/>
    <s v="NA"/>
    <s v="NA"/>
    <s v="NA"/>
    <x v="129"/>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s v="Hartford"/>
    <s v="Fortune 500 US P&amp;C Carrier"/>
    <s v="North America"/>
    <s v="Manila, PHP"/>
    <x v="1"/>
    <s v="Jayant Verma, Kristine Hintay"/>
    <n v="6.5"/>
    <x v="1"/>
    <x v="1"/>
    <x v="9"/>
    <s v="Inquiry calls from providers (medical bill review; bill intake; medical billing form and payment)"/>
    <s v="GB Nurse Review"/>
    <n v="3.15"/>
    <n v="1"/>
    <n v="1"/>
    <n v="3"/>
    <n v="6"/>
    <n v="0.95238095238095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x v="129"/>
    <s v="NA"/>
    <s v="NA"/>
    <s v="NA"/>
    <s v="NA"/>
    <s v="NA"/>
    <s v="NA"/>
    <s v="Ability Analyst, Appeals Analyst"/>
    <s v="Others"/>
    <s v="Structured"/>
    <s v="100% Structured"/>
    <s v="Others"/>
    <s v="Ability Analyst, Appeals Analyst"/>
    <s v="THAA, ODG"/>
    <s v="NA"/>
    <s v="NA"/>
    <s v="NA"/>
    <s v="NA"/>
    <s v="NA"/>
    <s v="NA"/>
    <s v="Ability Analyst, Appeals Analyst"/>
    <s v="Others"/>
    <s v="Structured"/>
    <s v="100% Structured"/>
    <s v="Others"/>
    <s v="Ability Analyst, Appeals Analyst"/>
    <s v="THAA, ODG"/>
  </r>
  <r>
    <s v="Hartford"/>
    <s v="Fortune 500 US P&amp;C Carrier"/>
    <s v="North America"/>
    <s v="Manila, PHP"/>
    <x v="1"/>
    <s v="Jayant Verma, Kristine Hintay"/>
    <n v="5"/>
    <x v="1"/>
    <x v="1"/>
    <x v="9"/>
    <s v="Inquiry calls from providers (medical bill review; bill intake; medical billing form and payment)"/>
    <s v="GB Clinical Intake"/>
    <n v="15"/>
    <n v="4"/>
    <n v="2"/>
    <n v="6"/>
    <n v="21"/>
    <n v="0.4"/>
    <n v="7000"/>
    <n v="7000"/>
    <s v="NA"/>
    <n v="16"/>
    <s v="NA"/>
    <n v="0.76"/>
    <s v="Others"/>
    <s v="Schedule Adherence - 92% _x000a_Transfer - 20%_x000a_Post Call Survey_x000a_Customer Effort - 89%_x000a_Customer Satisfaction - 87%"/>
    <s v="NA"/>
    <s v="NA"/>
    <s v="NA"/>
    <x v="129"/>
    <s v="NA"/>
    <s v="NA"/>
    <s v="NA"/>
    <s v="NA"/>
    <s v="NA"/>
    <s v="NA"/>
    <s v="Claimants, Employers"/>
    <s v="Others"/>
    <s v="Unstructured"/>
    <s v="100% Unstructured"/>
    <s v="Others"/>
    <s v="Claimants, Employers"/>
    <s v="THAA, C3PO, KMT, CIT"/>
    <s v="NA"/>
    <s v="NA"/>
    <s v="NA"/>
    <s v="NA"/>
    <s v="NA"/>
    <s v="NA"/>
    <s v="Claimants, Employers"/>
    <s v="Others"/>
    <s v="Unstructured"/>
    <s v="100% Unstructured"/>
    <s v="Others"/>
    <s v="Claimants, Employers"/>
    <s v="THAA, C3PO, KMT, CIT"/>
  </r>
  <r>
    <s v="Hartford"/>
    <s v="Fortune 500 US P&amp;C Carrier"/>
    <s v="North America"/>
    <s v="Manila, PHP"/>
    <x v="1"/>
    <s v="Jayant Verma, Kristine Hintay"/>
    <n v="15"/>
    <x v="1"/>
    <x v="1"/>
    <x v="6"/>
    <s v="IME Scheduling"/>
    <s v="IME Scheduling"/>
    <n v="1.85"/>
    <n v="0"/>
    <n v="0"/>
    <n v="1"/>
    <n v="3"/>
    <n v="0.54054054054054046"/>
    <n v="680"/>
    <n v="680"/>
    <s v="NA"/>
    <s v="IME Non - NY 11.68_x000a_IME NY - 38.61_x000a_CA Med Appt - 63.85"/>
    <n v="0.95"/>
    <n v="0.95"/>
    <s v="Others"/>
    <s v="NA"/>
    <s v="NA"/>
    <s v="NA"/>
    <s v="NA"/>
    <x v="129"/>
    <s v="NA"/>
    <s v="NA"/>
    <s v="NA"/>
    <s v="NA"/>
    <s v="NA"/>
    <s v="NA"/>
    <s v="Claim Handler, Claim Adjuster"/>
    <s v="Others"/>
    <s v="Unstructured"/>
    <s v="100% Unstructured"/>
    <s v="Others"/>
    <s v="Vendor, Claim Handler and Claim Adjuster"/>
    <s v="ECOS, EDM,Talispoint"/>
    <s v="NA"/>
    <s v="NA"/>
    <s v="NA"/>
    <s v="NA"/>
    <s v="NA"/>
    <s v="NA"/>
    <s v="Claim Handler, Claim Adjuster"/>
    <s v="Others"/>
    <s v="Unstructured"/>
    <s v="100% Unstructured"/>
    <s v="Others"/>
    <s v="Vendor, Claim Handler and Claim Adjuster"/>
    <s v="ECOS, EDM,Talispoint"/>
  </r>
  <r>
    <s v="Hartford"/>
    <s v="Fortune 500 US P&amp;C Carrier"/>
    <s v="North America"/>
    <s v="Manila, PHP"/>
    <x v="1"/>
    <s v="Jayant Verma, Kristine Hintay"/>
    <n v="15"/>
    <x v="1"/>
    <x v="1"/>
    <x v="6"/>
    <s v="Utilization Review"/>
    <s v="UR - ICR"/>
    <n v="26.95"/>
    <n v="8"/>
    <n v="3"/>
    <n v="15"/>
    <n v="42"/>
    <n v="0.5565862708719852"/>
    <n v="4700"/>
    <n v="4700"/>
    <s v="NA"/>
    <n v="42.38"/>
    <s v="95% - 1 DAY_x000a_TAT 2 - 95% - 2 days (2-3 days state)_x000a_TAT3 - 98% - 7-10 days"/>
    <n v="0.96"/>
    <s v="Others"/>
    <s v="NA"/>
    <s v="NA"/>
    <s v="NA"/>
    <s v="NA"/>
    <x v="129"/>
    <s v="NA"/>
    <s v="NA"/>
    <s v="NA"/>
    <s v="NA"/>
    <s v="NA"/>
    <s v="NA"/>
    <s v="Claim Handler, Claim Adjuster"/>
    <s v="Others"/>
    <s v="Unstructured"/>
    <s v="100% Unstructured"/>
    <s v="Others"/>
    <s v="Vendor, Claim Handler and Claim Adjuster"/>
    <s v="ECOS, EDM,Talispoint, RS, Genesys"/>
    <s v="NA"/>
    <s v="NA"/>
    <s v="NA"/>
    <s v="NA"/>
    <s v="NA"/>
    <s v="NA"/>
    <s v="Claim Handler, Claim Adjuster"/>
    <s v="Others"/>
    <s v="Unstructured"/>
    <s v="100% Unstructured"/>
    <s v="Others"/>
    <s v="Vendor, Claim Handler and Claim Adjuster"/>
    <s v="ECOS, EDM,Talispoint, RS, Genesys"/>
  </r>
  <r>
    <s v="Hartford"/>
    <s v="Fortune 500 US P&amp;C Carrier"/>
    <s v="North America"/>
    <s v="Manila, PHP"/>
    <x v="1"/>
    <s v="Jayant Verma, Kristine Hintay"/>
    <n v="15"/>
    <x v="1"/>
    <x v="1"/>
    <x v="6"/>
    <s v="Determine assignment"/>
    <s v="UR - URC"/>
    <n v="4"/>
    <n v="1"/>
    <n v="1"/>
    <n v="4"/>
    <n v="8"/>
    <n v="1"/>
    <n v="8900"/>
    <n v="8900"/>
    <s v="NA"/>
    <n v="4.38"/>
    <n v="0.95"/>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11"/>
    <x v="1"/>
    <x v="1"/>
    <x v="6"/>
    <s v="Case Management of File "/>
    <s v="Clinical Case Management Support"/>
    <n v="5"/>
    <n v="0"/>
    <n v="1"/>
    <n v="2"/>
    <n v="7"/>
    <n v="0.4"/>
    <n v="13400"/>
    <n v="13400"/>
    <s v="NA"/>
    <s v="Correspondence - 3.00_x000a_Outbound calls - 4.33"/>
    <n v="0.95"/>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8"/>
    <x v="1"/>
    <x v="1"/>
    <x v="6"/>
    <s v="Determine assignment"/>
    <s v="Drug Review Coordinator"/>
    <n v="1.3"/>
    <n v="0"/>
    <n v="0"/>
    <n v="0.7"/>
    <n v="2"/>
    <n v="0.53846153846153844"/>
    <n v="2200"/>
    <n v="2200"/>
    <s v="NA"/>
    <n v="4.38"/>
    <s v="TAT Referrals 95%_x000a_TAT Referrals (Retro Review/Paper Bills) - 98.50%"/>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4"/>
    <x v="1"/>
    <x v="1"/>
    <x v="6"/>
    <s v="Peer Review &amp; support"/>
    <s v="Peer Review Referral and _x000a_(“IME”) Vendor Coordinator"/>
    <n v="5.5"/>
    <n v="1"/>
    <n v="1"/>
    <n v="2"/>
    <n v="7"/>
    <n v="0.36363636363636365"/>
    <n v="80000"/>
    <n v="80000"/>
    <s v="NA"/>
    <s v="TBD"/>
    <n v="0.95"/>
    <n v="0.95"/>
    <s v="Others"/>
    <s v="NA"/>
    <s v="NA"/>
    <s v="NA"/>
    <s v="NA"/>
    <x v="129"/>
    <s v="NA"/>
    <s v="NA"/>
    <s v="NA"/>
    <s v="NA"/>
    <s v="NA"/>
    <s v="NA"/>
    <s v="Ability Analyst, Appeals Analyst"/>
    <s v="Others"/>
    <s v="Unstructured"/>
    <s v="100% Unstructured"/>
    <s v="Others"/>
    <s v="Ability Analyst, Appeals Analyst, Vendor"/>
    <s v="THAA, DCS, Talispoint, Vendor SharePoint, KMT"/>
    <s v="NA"/>
    <s v="NA"/>
    <s v="NA"/>
    <s v="NA"/>
    <s v="NA"/>
    <s v="NA"/>
    <s v="Ability Analyst, Appeals Analyst"/>
    <s v="Others"/>
    <s v="Unstructured"/>
    <s v="100% Unstructured"/>
    <s v="Others"/>
    <s v="Ability Analyst, Appeals Analyst, Vendor"/>
    <s v="THAA, DCS, Talispoint, Vendor SharePoint, KMT"/>
  </r>
  <r>
    <s v="Hartford"/>
    <s v="Fortune 500 US P&amp;C Carrier"/>
    <s v="North America"/>
    <s v="Manila, PHP"/>
    <x v="1"/>
    <s v="Jayant Verma, Kristine Hintay"/>
    <n v="4"/>
    <x v="1"/>
    <x v="1"/>
    <x v="6"/>
    <s v="Determine assignment"/>
    <s v="GB Clinical Referral Assignment"/>
    <n v="3"/>
    <n v="0"/>
    <n v="0"/>
    <n v="2"/>
    <n v="5"/>
    <n v="0.66666666666666663"/>
    <n v="19060"/>
    <n v="19060"/>
    <s v="NA"/>
    <s v="TBD"/>
    <n v="0.95"/>
    <n v="0.95"/>
    <s v="Others"/>
    <s v="NA"/>
    <s v="NA"/>
    <s v="NA"/>
    <s v="NA"/>
    <x v="129"/>
    <s v="NA"/>
    <s v="NA"/>
    <s v="NA"/>
    <s v="NA"/>
    <s v="NA"/>
    <s v="NA"/>
    <s v="MCM's BHCM. VCM"/>
    <s v="Others"/>
    <s v="Structured"/>
    <s v="100% Structured"/>
    <s v="Others"/>
    <s v="MCM's BHCM. VCM"/>
    <s v="THAA"/>
    <s v="NA"/>
    <s v="NA"/>
    <s v="NA"/>
    <s v="NA"/>
    <s v="NA"/>
    <s v="NA"/>
    <s v="MCM's BHCM. VCM"/>
    <s v="Others"/>
    <s v="Structured"/>
    <s v="100% Structured"/>
    <s v="Others"/>
    <s v="MCM's BHCM. VCM"/>
    <s v="THAA"/>
  </r>
  <r>
    <s v="Hartford"/>
    <s v="Fortune 500 US P&amp;C Carrier"/>
    <s v="North America"/>
    <s v="Manila, PHP"/>
    <x v="1"/>
    <s v="Jayant Verma, Kristine Hintay"/>
    <n v="1.3"/>
    <x v="1"/>
    <x v="1"/>
    <x v="1"/>
    <s v="Claim Setup and assignment"/>
    <s v="History and Takeover"/>
    <n v="2.5"/>
    <n v="1"/>
    <n v="1"/>
    <n v="3"/>
    <n v="6"/>
    <n v="1.2"/>
    <s v="TBD"/>
    <s v="TBD"/>
    <s v="NA"/>
    <s v="TBD"/>
    <s v="TBD"/>
    <n v="0.98"/>
    <s v="Others"/>
    <s v="TBD"/>
    <s v="TBD"/>
    <s v="NA"/>
    <s v="NA"/>
    <x v="129"/>
    <s v="NA"/>
    <s v="NA"/>
    <s v="NA"/>
    <s v="NA"/>
    <s v="NA"/>
    <s v="NA"/>
    <s v="Policy Holder, Onshore Implementation team"/>
    <s v="Excel"/>
    <s v="Structured"/>
    <s v="100% Structured"/>
    <s v="Multiple"/>
    <s v="Ability Analyst, Claimants"/>
    <s v="THAA, LMS, CIT"/>
    <s v="NA"/>
    <s v="NA"/>
    <s v="NA"/>
    <s v="NA"/>
    <s v="NA"/>
    <s v="NA"/>
    <s v="Policy Holder, Onshore Implementation team"/>
    <s v="Excel"/>
    <s v="Structured"/>
    <s v="100% Structured"/>
    <s v="Multiple"/>
    <s v="Ability Analyst, Claimants"/>
    <s v="THAA, LMS, CIT"/>
  </r>
  <r>
    <s v="Hartford"/>
    <s v="Fortune 500 US P&amp;C Carrier"/>
    <s v="North America"/>
    <s v="Manila, PHP"/>
    <x v="1"/>
    <s v="Jayant Verma, Kristine Hintay"/>
    <n v="1.08"/>
    <x v="2"/>
    <x v="1"/>
    <x v="1"/>
    <s v="First Notice of Loss Calls"/>
    <s v="After Hours Support_x000a_*contract ended Feb 1, 2023"/>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4"/>
    <x v="1"/>
    <x v="1"/>
    <x v="9"/>
    <s v="Inquiry calls from providers (medical bill review; bill intake; medical billing form and payment)"/>
    <s v="GB Leave Management"/>
    <n v="101"/>
    <n v="18"/>
    <n v="9"/>
    <n v="25"/>
    <n v="159"/>
    <n v="0.18656716417910449"/>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x v="129"/>
    <s v="NA"/>
    <s v="NA"/>
    <s v="NA"/>
    <s v="NA"/>
    <s v="NA"/>
    <s v="NA"/>
    <s v="Tasks received from the client system"/>
    <s v="Others"/>
    <s v="Unstructured"/>
    <s v="100% Structured"/>
    <s v="Others"/>
    <s v="Employers, Employees, Plan Sponsors"/>
    <s v="THAA, C3PO, KMT, CIT"/>
    <s v="NA"/>
    <s v="NA"/>
    <s v="NA"/>
    <s v="NA"/>
    <s v="NA"/>
    <s v="NA"/>
    <s v="Tasks received from the client system"/>
    <s v="Others"/>
    <s v="Unstructured"/>
    <s v="100% Structured"/>
    <s v="Others"/>
    <s v="Employers, Employees, Plan Sponsors"/>
    <s v="THAA, C3PO, KMT, CIT"/>
  </r>
  <r>
    <s v="Hartford"/>
    <s v="Fortune 500 US P&amp;C Carrier"/>
    <s v="North America"/>
    <s v="Pune, India"/>
    <x v="2"/>
    <s v="Rajit C"/>
    <n v="12"/>
    <x v="1"/>
    <x v="1"/>
    <x v="8"/>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
    <s v="Multi/ Combination"/>
    <s v="WC, Auto, Home, Property"/>
    <s v="All"/>
    <s v="Back Office"/>
    <s v="L3"/>
    <n v="2"/>
    <n v="4"/>
    <n v="4"/>
    <s v="FTE Based"/>
    <s v="USD"/>
    <n v="20485.54"/>
    <n v="4.55"/>
    <n v="0"/>
    <s v="NA"/>
    <n v="0.45000000000000018"/>
    <x v="103"/>
    <n v="9.8901098901098994E-2"/>
    <n v="4540"/>
    <s v="55% WC_x000a_25% Auto_x000a_20% Property_x000a_"/>
    <s v="NA"/>
    <n v="7.53"/>
    <s v="95% - 2 day _x000a_100% - 4 days"/>
    <n v="0.95"/>
    <s v="DPO – Defect Per Opportunity"/>
    <s v="NA"/>
    <s v="NA"/>
    <s v="NA"/>
    <s v="NA"/>
    <s v="NA"/>
    <s v="NA"/>
    <s v="NA"/>
    <s v="NA"/>
    <s v="NA"/>
    <s v="NA"/>
    <s v="NA"/>
    <s v="Handler"/>
    <s v="Images"/>
    <s v="Structured"/>
    <s v="100% Standard"/>
    <s v="Multiple"/>
    <s v="Providers"/>
    <s v="Guidewire, SW, EDM, Outlook, RAD"/>
  </r>
  <r>
    <s v="Hartford"/>
    <s v="Fortune 500 US P&amp;C Carrier"/>
    <s v="North America"/>
    <s v="Pune, India"/>
    <x v="2"/>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s v="Commercial "/>
    <s v="WC"/>
    <s v="WC"/>
    <s v="All"/>
    <s v="Back Office"/>
    <s v="L2"/>
    <n v="2"/>
    <n v="4"/>
    <n v="8"/>
    <s v="FTE Based"/>
    <s v="USD"/>
    <n v="20485.54"/>
    <n v="3.82"/>
    <n v="0"/>
    <n v="0"/>
    <n v="1.1800000000000002"/>
    <x v="103"/>
    <n v="0.30890052356020958"/>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s v="Hartford"/>
    <s v="Fortune 500 US P&amp;C Carrier"/>
    <s v="North America"/>
    <s v="Pune, India"/>
    <x v="2"/>
    <s v="Rajit C"/>
    <n v="16"/>
    <x v="1"/>
    <x v="1"/>
    <x v="8"/>
    <s v="Medical Bill Review and Repricing"/>
    <s v="WC - Payment Processing"/>
    <s v="Team issue non medical expense payments to vendors and  mileage payments to claimant based on the state mileage rates"/>
    <s v="Commercial "/>
    <s v="WC"/>
    <s v="WC"/>
    <s v="All"/>
    <s v="Back Office"/>
    <s v="L3"/>
    <n v="2"/>
    <n v="4"/>
    <n v="8"/>
    <s v="FTE Based"/>
    <s v="USD"/>
    <n v="20485.54"/>
    <n v="6.16"/>
    <n v="2"/>
    <n v="1"/>
    <n v="0.83999999999999986"/>
    <x v="114"/>
    <n v="0.13636363636363624"/>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s v="Hartford"/>
    <s v="Fortune 500 US P&amp;C Carrier"/>
    <s v="North America"/>
    <s v="Pune, India"/>
    <x v="2"/>
    <s v="Rajit C"/>
    <n v="14"/>
    <x v="1"/>
    <x v="1"/>
    <x v="9"/>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s v="Commercial "/>
    <s v="WC"/>
    <s v="WC"/>
    <s v="All"/>
    <s v="Back Office"/>
    <s v="L3"/>
    <n v="2"/>
    <n v="4"/>
    <n v="8"/>
    <s v="FTE Based"/>
    <s v="USD"/>
    <n v="20485.54"/>
    <n v="5.45"/>
    <n v="1"/>
    <n v="0"/>
    <n v="0.54999999999999982"/>
    <x v="107"/>
    <n v="0.10091743119266061"/>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s v="Hartford"/>
    <s v="Fortune 500 US P&amp;C Carrier"/>
    <s v="North America"/>
    <s v="Pune, India"/>
    <x v="2"/>
    <s v="Rajit C"/>
    <n v="16"/>
    <x v="1"/>
    <x v="1"/>
    <x v="8"/>
    <s v="Medical Bill Entry &amp; Review"/>
    <s v="  Error Correction- APG and 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amp; Commercial"/>
    <s v="Multi/ Combination"/>
    <s v="WC, Auto, Property, GL "/>
    <s v="All"/>
    <s v="Back Office"/>
    <s v="L3"/>
    <n v="2"/>
    <n v="16"/>
    <n v="20"/>
    <s v="FTE Based"/>
    <s v="USD"/>
    <n v="20485.54"/>
    <n v="9.7200000000000006"/>
    <n v="2"/>
    <n v="1"/>
    <n v="3.2799999999999994"/>
    <x v="8"/>
    <n v="0.33744855967078191"/>
    <n v="28000"/>
    <s v="15% WC_x000a_65% Auto_x000a_20% Property_x000a_"/>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SW, EDM, Outlook, RAD"/>
  </r>
  <r>
    <s v="Hartford"/>
    <s v="Fortune 500 US P&amp;C Carrier"/>
    <s v="North America"/>
    <s v="Pune, India"/>
    <x v="2"/>
    <s v="Rajit C"/>
    <n v="12"/>
    <x v="2"/>
    <x v="1"/>
    <x v="8"/>
    <s v="Medical Bill Entry &amp; Review"/>
    <s v="Med Ops Error Correction- WC"/>
    <s v="This function is also responsible to reconcile claim system application (Guidewire, CCPS &amp; RAD) by correcting system generated errors and also correcting policy statistical data in claim system application as per coding team request."/>
    <s v="Commercial "/>
    <s v="WC"/>
    <s v="WC"/>
    <s v="All"/>
    <s v="Back Office"/>
    <s v="L1"/>
    <n v="16"/>
    <n v="20"/>
    <n v="4"/>
    <s v="FTE Based"/>
    <s v="USD"/>
    <n v="0"/>
    <n v="0"/>
    <n v="0"/>
    <n v="0"/>
    <n v="0"/>
    <x v="130"/>
    <e v="#DIV/0!"/>
    <n v="0"/>
    <n v="0"/>
    <s v="NA"/>
    <s v="NA"/>
    <s v="NA"/>
    <s v="NA"/>
    <s v="Others"/>
    <s v="NA"/>
    <s v="NA"/>
    <s v="NA"/>
    <s v="NA"/>
    <s v="NA"/>
    <s v="NA"/>
    <s v="NA"/>
    <s v="NA"/>
    <s v="NA"/>
    <s v="NA"/>
    <s v="NA"/>
    <s v="NA"/>
    <s v="NA"/>
    <s v="NA"/>
    <s v="NA"/>
    <s v="NA"/>
    <s v="NA"/>
    <s v="NA"/>
  </r>
  <r>
    <s v="Hartford"/>
    <s v="Fortune 500 US P&amp;C Carrier"/>
    <s v="North America"/>
    <s v="Pune, India"/>
    <x v="2"/>
    <s v="Rajit C"/>
    <n v="16"/>
    <x v="1"/>
    <x v="1"/>
    <x v="9"/>
    <s v="Coverage Verification"/>
    <s v="PL Coverage Verification"/>
    <s v="Team Investigates / verifies coverage issues raised by the claim handlers. Team validates the coverages for the date of loss and provides the required claim related documents to the claim handlers. "/>
    <s v="Personal "/>
    <s v="Multi/ Combination"/>
    <s v="Auto &amp; Property"/>
    <s v="All"/>
    <s v="Back Office"/>
    <s v="L3"/>
    <n v="2"/>
    <n v="16"/>
    <n v="16"/>
    <s v="FTE Based"/>
    <s v="USD"/>
    <n v="20485.54"/>
    <n v="5.87"/>
    <n v="2"/>
    <n v="1"/>
    <n v="2.13"/>
    <x v="47"/>
    <n v="0.36286201022146503"/>
    <n v="2600"/>
    <s v="85% Auto_x000a_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r>
  <r>
    <s v="Hartford"/>
    <s v="Fortune 500 US P&amp;C Carrier"/>
    <s v="North America"/>
    <s v="Pune, India"/>
    <x v="2"/>
    <s v="Rajit C"/>
    <n v="8"/>
    <x v="2"/>
    <x v="1"/>
    <x v="6"/>
    <s v="Quality Management"/>
    <s v="DQA"/>
    <s v="The process involves  reviewing a claim file to see if an handler has  appropriately handled  a claim end to end 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Personal &amp; Commercial"/>
    <s v="WC"/>
    <s v="WC"/>
    <s v="All"/>
    <s v="Back Office"/>
    <s v="L4"/>
    <n v="2"/>
    <n v="4"/>
    <n v="6"/>
    <s v="FTE Based"/>
    <s v="USD"/>
    <n v="0"/>
    <n v="0"/>
    <n v="0"/>
    <n v="0"/>
    <n v="0"/>
    <x v="130"/>
    <e v="#DIV/0!"/>
    <n v="0"/>
    <n v="0"/>
    <s v="NA"/>
    <s v="NA"/>
    <s v="NA"/>
    <s v="NA"/>
    <s v="Others"/>
    <s v="NA"/>
    <s v="NA"/>
    <s v="NA"/>
    <s v="NA"/>
    <s v="NA"/>
    <s v="NA"/>
    <s v="NA"/>
    <s v="NA"/>
    <s v="NA"/>
    <s v="NA"/>
    <s v="NA"/>
    <s v="NA"/>
    <s v="NA"/>
    <s v="NA"/>
    <s v="NA"/>
    <s v="NA"/>
    <s v="NA"/>
    <s v="NA"/>
  </r>
  <r>
    <s v="Hartford"/>
    <s v="Fortune 500 US P&amp;C Carrier"/>
    <s v="North America"/>
    <s v="Pune, India"/>
    <x v="2"/>
    <s v="Rajit C"/>
    <n v="9"/>
    <x v="1"/>
    <x v="1"/>
    <x v="6"/>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Commercial "/>
    <s v="WC"/>
    <s v="WC"/>
    <s v="All"/>
    <s v="Back Office"/>
    <s v="L4"/>
    <n v="2"/>
    <n v="4"/>
    <n v="8"/>
    <s v="FTE Based"/>
    <s v="USD"/>
    <n v="26504.92"/>
    <n v="0.74"/>
    <n v="0"/>
    <n v="0"/>
    <n v="0.26"/>
    <x v="77"/>
    <n v="0.35135135135135132"/>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s v="Hartford"/>
    <s v="Fortune 500 US P&amp;C Carrier"/>
    <s v="North America"/>
    <s v="Pune, India"/>
    <x v="2"/>
    <s v="Rajit C"/>
    <n v="16"/>
    <x v="1"/>
    <x v="1"/>
    <x v="8"/>
    <s v="Bill Payment (Medical Legal, Non Medical, Vendor)"/>
    <s v="APG Payment Processing"/>
    <s v="EXL team verifies the Invoices received from different third party vendors and issue payments basis fee schedule.  Bills are paid to adjusters for the expenses they incur for visiting loss location to estimate gross value. "/>
    <s v="Personal &amp; Commercial"/>
    <s v="Multi/ Combination"/>
    <s v="Auto, Property, GL etc."/>
    <s v="All"/>
    <s v="Back Office"/>
    <s v="L3"/>
    <n v="2"/>
    <n v="3"/>
    <n v="8"/>
    <s v="FTE Based"/>
    <s v="USD"/>
    <n v="20485.54"/>
    <n v="8.06"/>
    <n v="1"/>
    <n v="0"/>
    <n v="0.9399999999999995"/>
    <x v="115"/>
    <n v="0.11662531017369715"/>
    <n v="16086"/>
    <s v="50% Auto_x000a_30% Property_x000a_10% GL"/>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s v="Hartford"/>
    <s v="Fortune 500 US P&amp;C Carrier"/>
    <s v="North America"/>
    <s v="Pune, India"/>
    <x v="2"/>
    <s v="Rajit C"/>
    <n v="16"/>
    <x v="1"/>
    <x v="1"/>
    <x v="7"/>
    <s v="Triage/ Demand Issuance"/>
    <s v="CRO Demand Package"/>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Personal &amp; Commercial"/>
    <s v="Auto"/>
    <s v="Auto"/>
    <s v="All"/>
    <s v="Blended"/>
    <s v="L3"/>
    <n v="2"/>
    <n v="3"/>
    <n v="4"/>
    <s v="FTE Based"/>
    <s v="USD"/>
    <n v="21004.07"/>
    <n v="12.32"/>
    <n v="1"/>
    <n v="1"/>
    <n v="0.67999999999999972"/>
    <x v="8"/>
    <n v="5.5194805194805241E-2"/>
    <n v="7100"/>
    <s v="NA"/>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s v="Hartford"/>
    <s v="Fortune 500 US P&amp;C Carrier"/>
    <s v="North America"/>
    <s v="Pune, India"/>
    <x v="2"/>
    <s v="Rajit C"/>
    <n v="14"/>
    <x v="1"/>
    <x v="1"/>
    <x v="7"/>
    <s v="Triage/ Demand Issuance"/>
    <s v="CRO Demand Resend"/>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Personal &amp; Commercial"/>
    <s v="Auto"/>
    <s v="Auto"/>
    <s v="All"/>
    <s v="Back Office"/>
    <s v="L3"/>
    <n v="2"/>
    <n v="3"/>
    <n v="4"/>
    <s v="FTE Based"/>
    <s v="USD"/>
    <n v="21004.07"/>
    <n v="6.47"/>
    <n v="1"/>
    <n v="0"/>
    <n v="1.5300000000000002"/>
    <x v="47"/>
    <n v="0.2364760432766615"/>
    <n v="4100"/>
    <s v="NA"/>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s v="Hartford"/>
    <s v="Fortune 500 US P&amp;C Carrier"/>
    <s v="North America"/>
    <s v="Pune, India"/>
    <x v="2"/>
    <s v="Rajit C"/>
    <n v="5"/>
    <x v="1"/>
    <x v="1"/>
    <x v="9"/>
    <s v="Loss/ Damage verification"/>
    <s v="Auto Supplemental Assignments"/>
    <s v="Team is responsible for creating and sending supplement assignments to the appraisers for the request received for additional supplement damages from the body shop._x000a_Team also uploads the supplement related documents."/>
    <s v="Personal &amp; Commercial"/>
    <s v="Auto"/>
    <s v="Auto"/>
    <s v="All"/>
    <s v="Back Office"/>
    <s v="L3"/>
    <n v="2"/>
    <n v="1"/>
    <n v="3"/>
    <s v="FTE Based"/>
    <s v="USD"/>
    <n v="20485.54"/>
    <n v="5.07"/>
    <n v="1"/>
    <n v="0"/>
    <n v="0.92999999999999972"/>
    <x v="107"/>
    <n v="0.18343195266272172"/>
    <n v="5800"/>
    <s v="NA"/>
    <s v="NA"/>
    <s v="7.95"/>
    <s v="100% Same day"/>
    <n v="0.95"/>
    <s v="DPO – Defect Per Opportunity"/>
    <s v="NA"/>
    <s v="NA"/>
    <s v="NA"/>
    <s v="NA"/>
    <s v="NA"/>
    <s v="NA"/>
    <s v="NA"/>
    <s v="NA"/>
    <s v="NA"/>
    <s v="NA"/>
    <s v="NA"/>
    <s v="Body Shop"/>
    <s v="Emails"/>
    <s v="Structured"/>
    <s v="100% Structured"/>
    <s v="Multiple"/>
    <s v="Staff Appraisers"/>
    <s v="Guidewire, Outlook, Mitchell Work Center, CCC Portal"/>
  </r>
  <r>
    <s v="Hartford"/>
    <s v="Fortune 500 US P&amp;C Carrier"/>
    <s v="North America"/>
    <s v="Noida, India"/>
    <x v="2"/>
    <s v="Swapnil Dubey"/>
    <n v="0.5"/>
    <x v="2"/>
    <x v="1"/>
    <x v="8"/>
    <s v="Legal Document Review"/>
    <s v="File Open"/>
    <s v="Obtain case level information needed to open a case file. Complete required data fields in the case management system to facilitate opening of a case.  Advise attorney when case is opened"/>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Swapnil Dubey"/>
    <n v="0.5"/>
    <x v="2"/>
    <x v="1"/>
    <x v="8"/>
    <s v="Legal Document Review"/>
    <s v="Document management"/>
    <s v="Compile medical records, deposition transcripts, and other relevant documents, remove unnecessary documents, label files by doctor’s name &amp; date of service, prepare exhibit list and letter, send to opposing counsel and doctor."/>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Swapnil Dubey"/>
    <n v="0.5"/>
    <x v="2"/>
    <x v="1"/>
    <x v="8"/>
    <s v="Legal Document Review"/>
    <s v="Document management"/>
    <s v="Compile EOBs, medical reports, draft letter and send to lien claimant."/>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Rajit C"/>
    <n v="9"/>
    <x v="1"/>
    <x v="1"/>
    <x v="6"/>
    <s v="Quality Management"/>
    <s v="Compliance Audits"/>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amp; Commercial"/>
    <s v="Multi/ Combination"/>
    <s v="Auto &amp; Property"/>
    <s v="All"/>
    <s v="Back Office"/>
    <s v="L4"/>
    <n v="2"/>
    <n v="8"/>
    <n v="8"/>
    <s v="FTE Based"/>
    <s v="USD"/>
    <n v="26504.92"/>
    <n v="1"/>
    <n v="0"/>
    <n v="0"/>
    <n v="0"/>
    <x v="77"/>
    <n v="1"/>
    <n v="328"/>
    <s v="60% - Auto_x000a_40%- Property"/>
    <s v="Q3"/>
    <n v="29.89"/>
    <s v="100% -Month"/>
    <n v="0.95"/>
    <s v="DPO – Defect Per Opportunity"/>
    <s v="NA"/>
    <s v="NA"/>
    <s v="NA"/>
    <s v="Onshore Team"/>
    <s v="NA"/>
    <s v="NA"/>
    <s v="NA"/>
    <s v="NA"/>
    <s v="NA"/>
    <s v="NA"/>
    <s v="NA"/>
    <s v="Files shared by onshore team"/>
    <s v="Excel"/>
    <s v="Unstructured"/>
    <s v="100% unstructured"/>
    <s v="PDFs"/>
    <s v="Handlers"/>
    <s v="Audit Central, Guidewire,"/>
  </r>
  <r>
    <s v="Hartford"/>
    <s v="Fortune 500 US P&amp;C Carrier"/>
    <s v="North America"/>
    <s v="Noida, India"/>
    <x v="2"/>
    <s v="Rajit C"/>
    <n v="16"/>
    <x v="1"/>
    <x v="1"/>
    <x v="1"/>
    <s v="Claim Setup and assignment"/>
    <s v="AOL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amp; Commercial"/>
    <s v="Multi/ Combination"/>
    <s v="Auto, Property, General Liability"/>
    <s v="All"/>
    <s v="Back Office"/>
    <s v="L2"/>
    <n v="2"/>
    <n v="6"/>
    <n v="12"/>
    <s v="FTE Based"/>
    <s v="USD"/>
    <n v="20485.54"/>
    <n v="12.43"/>
    <n v="2"/>
    <n v="1"/>
    <n v="1.5700000000000003"/>
    <x v="9"/>
    <n v="1.1263073209975865"/>
    <n v="6100"/>
    <s v="35% - Auto_x000a_31%- Property_x000a_34%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s v="Hartford"/>
    <s v="Fortune 500 US P&amp;C Carrier"/>
    <s v="North America"/>
    <s v="Noida, India"/>
    <x v="2"/>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s v="Commercial "/>
    <s v="WC"/>
    <s v="WC"/>
    <s v="All"/>
    <s v="Back Office"/>
    <s v="L3"/>
    <n v="2"/>
    <n v="6"/>
    <n v="12"/>
    <s v="FTE Based"/>
    <s v="USD"/>
    <n v="20485.54"/>
    <n v="7.59"/>
    <n v="2"/>
    <n v="1"/>
    <n v="2.41"/>
    <x v="17"/>
    <n v="1.3175230566534915"/>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s v="Hartford"/>
    <s v="Fortune 500 US P&amp;C Carrier"/>
    <s v="North America"/>
    <s v="Noida, India"/>
    <x v="2"/>
    <s v="Rajit C"/>
    <n v="16"/>
    <x v="1"/>
    <x v="1"/>
    <x v="8"/>
    <s v="Medical Bill Review and Repricing"/>
    <s v="Med Tech-Auto "/>
    <s v="Medical Technicians are responsible for making payments towards first party automobile injury medical claims and assist the claim handlers with the bill resolution of submitted medical bills"/>
    <s v="Personal &amp; Commercial"/>
    <s v="Auto"/>
    <s v="Auto"/>
    <s v="All"/>
    <s v="Back Office"/>
    <s v="L3"/>
    <n v="2"/>
    <n v="4"/>
    <n v="12"/>
    <s v="FTE Based"/>
    <s v="USD"/>
    <n v="20485.54"/>
    <n v="15"/>
    <n v="2"/>
    <n v="1"/>
    <n v="0"/>
    <x v="2"/>
    <n v="1"/>
    <n v="14000"/>
    <s v="70%- Std_x000a_30%-Non Std"/>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s v="Hartford"/>
    <s v="Fortune 500 US P&amp;C Carrier"/>
    <s v="North America"/>
    <s v="Noida, India"/>
    <x v="2"/>
    <s v="Rajit C"/>
    <n v="16"/>
    <x v="1"/>
    <x v="1"/>
    <x v="8"/>
    <s v="Medical Bill Entry &amp; Review"/>
    <s v="Claim Tech-Auto"/>
    <s v="Claim Tech team handle exception bill volume and send delay letters to providers to request missing information. Team also issue payments to different IME vendors."/>
    <s v="Personal &amp; Commercial"/>
    <s v="Auto"/>
    <s v="Auto"/>
    <s v="All"/>
    <s v="Back Office"/>
    <s v="L2"/>
    <n v="2"/>
    <n v="4"/>
    <n v="12"/>
    <s v="FTE Based"/>
    <s v="USD"/>
    <n v="20485.54"/>
    <n v="2.42"/>
    <n v="1"/>
    <n v="0"/>
    <n v="0.58000000000000007"/>
    <x v="101"/>
    <n v="1.2396694214876034"/>
    <n v="4000"/>
    <s v="30%- Std_x000a_70%-Non Std"/>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s v="Hartford"/>
    <s v="Fortune 500 US P&amp;C Carrier"/>
    <s v="North America"/>
    <s v="Noida, India"/>
    <x v="2"/>
    <s v="Rajit C"/>
    <n v="13"/>
    <x v="1"/>
    <x v="1"/>
    <x v="8"/>
    <s v="Medical Bill Entry &amp; Review"/>
    <s v="Med Ops Payment Processing Lien (Settlement)- WC"/>
    <s v="Final negotiated payment is made to the provider as a settlement amount for claims "/>
    <s v="Commercial "/>
    <s v="WC"/>
    <s v="WC"/>
    <s v="All"/>
    <s v="Back Office"/>
    <s v="L2"/>
    <n v="2"/>
    <n v="3"/>
    <n v="4"/>
    <s v="FTE Based"/>
    <s v="USD"/>
    <n v="23913.25"/>
    <n v="0.34"/>
    <n v="0"/>
    <n v="0"/>
    <n v="0.65999999999999992"/>
    <x v="77"/>
    <n v="2.9411764705882351"/>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s v="Hartford"/>
    <s v="Fortune 500 US P&amp;C Carrier"/>
    <s v="North America"/>
    <s v="Noida, India"/>
    <x v="2"/>
    <s v="Rajit C"/>
    <n v="16"/>
    <x v="1"/>
    <x v="1"/>
    <x v="8"/>
    <s v="Medical Bill Entry &amp; Review"/>
    <s v="Data Validation-WC"/>
    <s v="Team update medical bill information relating to provider/ Claim match issues or other errors as per the state guidelines and other processing requirements"/>
    <s v="Personal "/>
    <s v="WC"/>
    <s v="WC"/>
    <s v="All"/>
    <s v="Back Office"/>
    <s v="L2"/>
    <n v="2"/>
    <n v="3"/>
    <n v="8"/>
    <s v="FTE Based"/>
    <s v="USD"/>
    <n v="20485.54"/>
    <n v="13.84"/>
    <n v="1"/>
    <n v="1"/>
    <n v="1.1600000000000001"/>
    <x v="2"/>
    <n v="1.0838150289017341"/>
    <n v="34000"/>
    <s v="20% -Non Std_x000a_10% Cleansing _x000a_70% -Core queue"/>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s v="Hartford"/>
    <s v="Fortune 500 US P&amp;C Carrier"/>
    <s v="North America"/>
    <s v="Noida, India"/>
    <x v="2"/>
    <s v="Rajit C"/>
    <n v="16"/>
    <x v="1"/>
    <x v="1"/>
    <x v="8"/>
    <s v="Medical Bill Entry &amp; Review"/>
    <s v="Claim Match Exception-WC"/>
    <s v="This is the initial claim matching process for medical bills that fail the automated match criteria executed by the scanning vendor during the medical bill intake process"/>
    <s v="Personal "/>
    <s v="WC"/>
    <s v="WC"/>
    <s v="All"/>
    <s v="Back Office"/>
    <s v="L2"/>
    <n v="2"/>
    <n v="2"/>
    <n v="6"/>
    <s v="FTE Based"/>
    <s v="USD"/>
    <n v="20485.54"/>
    <n v="5.0999999999999996"/>
    <n v="1"/>
    <n v="0"/>
    <n v="1.9000000000000004"/>
    <x v="114"/>
    <n v="1.3725490196078431"/>
    <n v="21000"/>
    <s v="70%- Std_x000a_30%-Non Std"/>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s v="Hartford"/>
    <s v="Fortune 500 US P&amp;C Carrier"/>
    <s v="North America"/>
    <s v="Noida, India"/>
    <x v="2"/>
    <s v="Rajit C"/>
    <n v="13"/>
    <x v="1"/>
    <x v="1"/>
    <x v="6"/>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2.97"/>
    <n v="1"/>
    <n v="0"/>
    <n v="1.0299999999999998"/>
    <x v="19"/>
    <n v="1.3468013468013467"/>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s v="Hartford"/>
    <s v="Fortune 500 US P&amp;C Carrier"/>
    <s v="North America"/>
    <s v="Noida, India"/>
    <x v="2"/>
    <s v="Rajit C"/>
    <n v="13"/>
    <x v="1"/>
    <x v="1"/>
    <x v="6"/>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0.76"/>
    <n v="0"/>
    <n v="0"/>
    <n v="0.24"/>
    <x v="77"/>
    <n v="1.3157894736842106"/>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s v="Hartford"/>
    <s v="Fortune 500 US P&amp;C Carrier"/>
    <s v="North America"/>
    <s v="Noida, India"/>
    <x v="2"/>
    <s v="Rajit C"/>
    <n v="11"/>
    <x v="1"/>
    <x v="1"/>
    <x v="8"/>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s v="Commercial "/>
    <s v="WC"/>
    <s v="WC"/>
    <s v="All"/>
    <s v="Back Office"/>
    <s v="L4"/>
    <n v="2"/>
    <n v="6"/>
    <n v="6"/>
    <s v="Transaction Based "/>
    <s v="USD"/>
    <s v="E&amp;M: $2.56_x000a_Prolong Codes: $0.81"/>
    <s v="TBP"/>
    <s v="TBP"/>
    <s v="TBP"/>
    <s v="TBP"/>
    <x v="106"/>
    <e v="#VALUE!"/>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s v="Hartford"/>
    <s v="Fortune 500 US P&amp;C Carrier"/>
    <s v="North America"/>
    <s v="Noida, India"/>
    <x v="2"/>
    <s v="Rajit C"/>
    <n v="16"/>
    <x v="1"/>
    <x v="1"/>
    <x v="9"/>
    <s v="Loss/ Damage verification"/>
    <s v="Content Pricing-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Personal &amp; Commercial"/>
    <s v="Property"/>
    <s v="Property"/>
    <s v="All"/>
    <s v="Blended"/>
    <s v="L1"/>
    <n v="2"/>
    <n v="3"/>
    <n v="16"/>
    <s v="FTE Based"/>
    <s v="USD"/>
    <n v="20485.54"/>
    <n v="8.81"/>
    <n v="1"/>
    <n v="0.5"/>
    <n v="1.1899999999999995"/>
    <x v="17"/>
    <n v="1.1350737797956867"/>
    <n v="27307"/>
    <s v="~85% Personal_x000a_~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s v="Hartford"/>
    <s v="Fortune 500 US P&amp;C Carrier"/>
    <s v="North America"/>
    <s v="Noida, India"/>
    <x v="2"/>
    <s v="Rajit C"/>
    <n v="3"/>
    <x v="1"/>
    <x v="1"/>
    <x v="1"/>
    <s v="Indexing"/>
    <s v="APG Vendor Report Upload"/>
    <s v="This work unit involves Uploading claim related documents by identifying correct claim either via claim number provided on reports, or using Advanced Search if necessary. Set activity within ECOS after uploading documents. "/>
    <s v="Personal &amp; Commercial"/>
    <s v="Property"/>
    <s v="Property"/>
    <s v="All"/>
    <s v="Back Office"/>
    <s v="L1"/>
    <n v="2"/>
    <n v="1"/>
    <n v="2"/>
    <s v="FTE Based"/>
    <s v="USD"/>
    <n v="20485.54"/>
    <n v="2"/>
    <n v="0"/>
    <n v="0"/>
    <n v="1"/>
    <x v="101"/>
    <n v="1.5"/>
    <n v="6444"/>
    <s v="100%-Property"/>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s v="Hartford"/>
    <s v="Fortune 500 US P&amp;C Carrier"/>
    <s v="North America"/>
    <s v="Noida, India"/>
    <x v="2"/>
    <s v="Rajit C"/>
    <n v="3"/>
    <x v="1"/>
    <x v="1"/>
    <x v="6"/>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2.35"/>
    <n v="0"/>
    <n v="0"/>
    <n v="0.64999999999999991"/>
    <x v="101"/>
    <n v="1.2765957446808509"/>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s v="Hartford"/>
    <s v="Fortune 500 US P&amp;C Carrier"/>
    <s v="North America"/>
    <s v="Noida &amp; Pune, India"/>
    <x v="2"/>
    <s v="Rajit C"/>
    <n v="16"/>
    <x v="1"/>
    <x v="1"/>
    <x v="8"/>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
    <s v="WC"/>
    <s v="WC"/>
    <s v="All"/>
    <s v="Back Office"/>
    <s v="L4"/>
    <n v="2"/>
    <n v="8"/>
    <n v="8"/>
    <s v="FTE Based"/>
    <s v="USD"/>
    <n v="23913.25"/>
    <n v="31.89"/>
    <n v="4"/>
    <n v="2"/>
    <n v="2.1099999999999994"/>
    <x v="131"/>
    <n v="1.0661649419880841"/>
    <n v="85000"/>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s v="Hartford"/>
    <s v="Fortune 500 US P&amp;C Carrier"/>
    <s v="North America"/>
    <s v="Hyderabad, India"/>
    <x v="2"/>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s v="Personal "/>
    <s v="Auto"/>
    <s v="Auto"/>
    <s v="All"/>
    <s v="Back Office"/>
    <s v="L3"/>
    <n v="1"/>
    <n v="12"/>
    <n v="8"/>
    <s v="FTE Based"/>
    <s v="USD"/>
    <n v="23986"/>
    <n v="4.1348271291966201"/>
    <n v="1"/>
    <n v="0"/>
    <n v="2"/>
    <x v="132"/>
    <n v="0.48369615887389994"/>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s v="Personal "/>
    <s v="Auto"/>
    <s v="Auto"/>
    <s v="All"/>
    <s v="Back Office"/>
    <s v="L3"/>
    <n v="1"/>
    <n v="4"/>
    <n v="2"/>
    <s v="FTE Based"/>
    <s v="USD"/>
    <n v="23986"/>
    <n v="1.9774516693259199E-2"/>
    <n v="0"/>
    <n v="0"/>
    <n v="0"/>
    <x v="133"/>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s v="Personal "/>
    <s v="Multi/ Combination"/>
    <s v="Auto &amp; Home"/>
    <s v="All"/>
    <s v="Back Office"/>
    <s v="L3"/>
    <n v="1"/>
    <n v="4"/>
    <n v="4"/>
    <s v="FTE Based"/>
    <s v="USD"/>
    <n v="23986"/>
    <n v="0.57919026321773526"/>
    <n v="0"/>
    <n v="0"/>
    <n v="0"/>
    <x v="134"/>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5"/>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s v="Personal "/>
    <s v="Auto"/>
    <s v="Auto"/>
    <s v="All"/>
    <s v="Back Office"/>
    <s v="L3"/>
    <n v="1"/>
    <n v="4"/>
    <n v="2"/>
    <s v="FTE Based"/>
    <s v="USD"/>
    <n v="23986"/>
    <n v="6.6730349955064938E-2"/>
    <n v="0"/>
    <n v="0"/>
    <n v="0"/>
    <x v="135"/>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s v="Personal "/>
    <s v="Auto"/>
    <s v="Auto"/>
    <s v="All"/>
    <s v="Back Office"/>
    <s v="L3"/>
    <n v="1"/>
    <n v="8"/>
    <n v="4"/>
    <s v="FTE Based"/>
    <s v="USD"/>
    <n v="23986"/>
    <n v="1.7821179731270276E-2"/>
    <n v="0"/>
    <n v="0"/>
    <n v="0"/>
    <x v="136"/>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10"/>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s v="Personal "/>
    <s v="Auto"/>
    <s v="Auto"/>
    <s v="All"/>
    <s v="Back Office"/>
    <s v="L3"/>
    <n v="1"/>
    <n v="4"/>
    <n v="2"/>
    <s v="FTE Based"/>
    <s v="USD"/>
    <n v="23986"/>
    <n v="0.08"/>
    <n v="0"/>
    <n v="0"/>
    <n v="0"/>
    <x v="137"/>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s v="Personal "/>
    <s v="Auto"/>
    <s v="Auto"/>
    <s v="All"/>
    <s v="Back Office"/>
    <s v="L3"/>
    <n v="1"/>
    <n v="4"/>
    <n v="4"/>
    <s v="FTE Based"/>
    <s v="USD"/>
    <n v="23986"/>
    <n v="2.0082667538361243E-2"/>
    <n v="0"/>
    <n v="0"/>
    <n v="0"/>
    <x v="138"/>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s v="Personal "/>
    <s v="Auto"/>
    <s v="Auto"/>
    <s v="All"/>
    <s v="Back Office"/>
    <s v="L3"/>
    <n v="1"/>
    <n v="8"/>
    <n v="8"/>
    <s v="FTE Based"/>
    <s v="USD"/>
    <n v="23986"/>
    <n v="4.9792502792689968"/>
    <n v="1"/>
    <n v="1"/>
    <n v="2.0000000000000036"/>
    <x v="139"/>
    <n v="0.4016668951803770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s v="Personal "/>
    <s v="Auto"/>
    <s v="Auto"/>
    <s v="All"/>
    <s v="Back Office"/>
    <s v="L3"/>
    <n v="1"/>
    <n v="9"/>
    <n v="8"/>
    <s v="FTE Based"/>
    <s v="USD"/>
    <n v="23986"/>
    <n v="2.15"/>
    <n v="0.5"/>
    <n v="0"/>
    <n v="1"/>
    <x v="140"/>
    <n v="0.46511627906976738"/>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s v="Personal "/>
    <s v="Property"/>
    <s v="Home"/>
    <s v="All"/>
    <s v="Back Office"/>
    <s v="L3"/>
    <n v="1"/>
    <n v="8"/>
    <n v="8"/>
    <s v="FTE Based"/>
    <s v="USD"/>
    <n v="23986"/>
    <n v="0.71062248965866204"/>
    <n v="0"/>
    <n v="0"/>
    <n v="0"/>
    <x v="141"/>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5"/>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s v="Personal "/>
    <s v="Property"/>
    <s v="Home"/>
    <s v="All"/>
    <s v="Back Office"/>
    <s v="L3"/>
    <n v="1"/>
    <n v="12"/>
    <n v="8"/>
    <s v="FTE Based"/>
    <s v="USD"/>
    <n v="23986"/>
    <n v="0"/>
    <n v="0"/>
    <n v="0"/>
    <n v="0"/>
    <x v="13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10"/>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s v="Personal "/>
    <s v="Property"/>
    <s v="Home"/>
    <s v="All"/>
    <s v="Back Office"/>
    <s v="L3"/>
    <n v="1"/>
    <n v="4"/>
    <n v="4"/>
    <s v="FTE Based"/>
    <s v="USD"/>
    <n v="23986"/>
    <n v="0"/>
    <n v="0"/>
    <n v="0"/>
    <n v="0"/>
    <x v="13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Endorsements intake and setup"/>
    <s v="FHCF"/>
    <s v="Declaration Narratives require updating as the supporting departments inform the process team/underwriting areas of updates or changes."/>
    <s v="Personal "/>
    <s v="Multi/ Combination"/>
    <s v="Auto &amp; Home"/>
    <s v="All"/>
    <s v="Back Office"/>
    <s v="L3"/>
    <n v="1"/>
    <n v="4"/>
    <n v="4"/>
    <s v="FTE Based"/>
    <s v="USD"/>
    <n v="23986"/>
    <n v="1.1906725816118562E-2"/>
    <n v="0"/>
    <n v="0"/>
    <n v="0"/>
    <x v="14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s v="Hartford"/>
    <s v="Fortune 500 US P&amp;C Carrier"/>
    <s v="North America"/>
    <s v="Hyderabad, India"/>
    <x v="2"/>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s v="Personal "/>
    <s v="Multi/ Combination"/>
    <s v="Auto &amp; Home"/>
    <s v="All"/>
    <s v="Back Office"/>
    <s v="L2"/>
    <n v="1"/>
    <n v="8"/>
    <n v="4"/>
    <s v="FTE Based"/>
    <s v="USD"/>
    <n v="23986"/>
    <n v="0.57517928724651313"/>
    <n v="0"/>
    <n v="0"/>
    <n v="0"/>
    <x v="14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s v="Hartford"/>
    <s v="Fortune 500 US P&amp;C Carrier"/>
    <s v="North America"/>
    <s v="Hyderabad, India"/>
    <x v="2"/>
    <s v="Rajit C"/>
    <n v="9"/>
    <x v="1"/>
    <x v="2"/>
    <x v="3"/>
    <s v="Endorsements intake and setup"/>
    <s v="PLIC EDM Mailbox"/>
    <s v="Real time management of mailbox. daily tracking of inflow and outflow of emails, mailbox reporting, track progress on rework status."/>
    <s v="Personal "/>
    <s v="Multi/ Combination"/>
    <s v="Auto &amp; Home"/>
    <s v="All"/>
    <s v="Back Office"/>
    <s v="L2"/>
    <n v="1"/>
    <n v="1"/>
    <n v="2"/>
    <s v="FTE Based"/>
    <s v="USD"/>
    <n v="23986"/>
    <n v="1"/>
    <n v="0.5"/>
    <n v="0"/>
    <n v="0"/>
    <x v="77"/>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s v="Hartford"/>
    <s v="Fortune 500 US P&amp;C Carrier"/>
    <s v="North America"/>
    <s v="Hyderabad, India"/>
    <x v="2"/>
    <s v="Rajit C"/>
    <n v="9"/>
    <x v="1"/>
    <x v="2"/>
    <x v="3"/>
    <s v="Endorsements intake and setup"/>
    <s v="QCA"/>
    <s v="Processing internal audits in personal lines"/>
    <s v="Personal "/>
    <s v="Multi/ Combination"/>
    <s v="Auto &amp; Home"/>
    <s v="All"/>
    <s v="Back Office"/>
    <s v="L2"/>
    <n v="1"/>
    <n v="6"/>
    <n v="4"/>
    <s v="FTE Based"/>
    <s v="USD"/>
    <n v="23986"/>
    <n v="2.59"/>
    <n v="4"/>
    <n v="0"/>
    <n v="1"/>
    <x v="34"/>
    <n v="0.38610038610038622"/>
    <n v="0"/>
    <n v="0"/>
    <s v="NA"/>
    <n v="0"/>
    <s v="NA"/>
    <s v="NA"/>
    <s v="Others"/>
    <s v="NA"/>
    <s v="NA"/>
    <s v="NA"/>
    <s v="NA"/>
    <s v="NA"/>
    <s v="NA"/>
    <s v="NA"/>
    <s v="NA"/>
    <s v="NA"/>
    <s v="NA"/>
    <s v="NA"/>
    <s v="Agents, Insured"/>
    <s v="Multiple"/>
    <s v="Semi-Structured"/>
    <s v="NA"/>
    <s v="Others"/>
    <s v="Named Insured, Agency"/>
    <s v="Client, Café, PLI, IKE, TABS, mailbox"/>
  </r>
  <r>
    <s v="Hartford"/>
    <s v="Fortune 500 US P&amp;C Carrier"/>
    <s v="North America"/>
    <s v="Chennai, India"/>
    <x v="2"/>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s v="Personal "/>
    <s v="Multi/ Combination"/>
    <s v="Auto &amp; Home"/>
    <s v="All"/>
    <s v="Back Office"/>
    <s v="L2"/>
    <n v="1"/>
    <n v="4"/>
    <n v="4"/>
    <s v="FTE Based"/>
    <s v="USD"/>
    <n v="23986"/>
    <n v="1.1130485116308726"/>
    <n v="0"/>
    <n v="0"/>
    <n v="0"/>
    <x v="144"/>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s v="Personal "/>
    <s v="Multi/ Combination"/>
    <s v="Auto &amp; Home"/>
    <s v="All"/>
    <s v="Back Office"/>
    <s v="L2"/>
    <n v="1"/>
    <n v="6"/>
    <n v="4"/>
    <s v="FTE Based"/>
    <s v="USD"/>
    <n v="23986"/>
    <n v="3.8278159714811801"/>
    <n v="1"/>
    <n v="0"/>
    <n v="2"/>
    <x v="145"/>
    <n v="0.52249115811753533"/>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s v="Personal "/>
    <s v="Multi/ Combination"/>
    <s v="Auto &amp; Home"/>
    <s v="All"/>
    <s v="Back Office"/>
    <s v="L2"/>
    <n v="1"/>
    <n v="6"/>
    <n v="4"/>
    <s v="FTE Based"/>
    <s v="USD"/>
    <n v="23986"/>
    <n v="4.5907440774690746"/>
    <n v="0"/>
    <n v="1"/>
    <n v="1.4999999999999956"/>
    <x v="146"/>
    <n v="0.32674441761235395"/>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s v="Personal "/>
    <s v="Multi/ Combination"/>
    <s v="Auto &amp; Home"/>
    <s v="All"/>
    <s v="Back Office"/>
    <s v="L2"/>
    <n v="1"/>
    <n v="4"/>
    <n v="4"/>
    <s v="FTE Based"/>
    <s v="USD"/>
    <n v="23986"/>
    <n v="1.2347975603487498"/>
    <n v="0"/>
    <n v="0"/>
    <n v="0"/>
    <x v="147"/>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s v="Personal "/>
    <s v="Multi/ Combination"/>
    <s v="Auto &amp; Home"/>
    <s v="All"/>
    <s v="Back Office"/>
    <s v="L2"/>
    <n v="1"/>
    <n v="6"/>
    <n v="4"/>
    <s v="FTE Based"/>
    <s v="USD"/>
    <n v="23986"/>
    <n v="0.23"/>
    <n v="0"/>
    <n v="0"/>
    <n v="0"/>
    <x v="148"/>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s v="Personal "/>
    <s v="Multi/ Combination"/>
    <s v="Auto &amp; Home"/>
    <s v="All"/>
    <s v="Back Office"/>
    <s v="L2"/>
    <n v="1"/>
    <n v="6"/>
    <n v="4"/>
    <s v="FTE Based"/>
    <s v="USD"/>
    <n v="23986"/>
    <n v="2.2400000000000002"/>
    <n v="0"/>
    <n v="0"/>
    <n v="0.81"/>
    <x v="149"/>
    <n v="0.36160714285714279"/>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LCP II"/>
    <s v="Processing of changes to the personal lines Auto policies as requested by the customers. The changes includes Addition &amp; Deletion of Account Credit/PUP Liability based on the insured's eligibility"/>
    <s v="Personal "/>
    <s v="Multi/ Combination"/>
    <s v="Auto &amp; Home"/>
    <s v="All"/>
    <s v="Back Office"/>
    <s v="L2"/>
    <n v="1"/>
    <n v="4"/>
    <n v="3"/>
    <s v="FTE Based"/>
    <s v="USD"/>
    <n v="23986"/>
    <n v="0.11230819183115545"/>
    <n v="0"/>
    <n v="0"/>
    <n v="0"/>
    <x v="150"/>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s v="Personal "/>
    <s v="Auto"/>
    <s v="Auto"/>
    <s v="All"/>
    <s v="Back Office"/>
    <s v="L2"/>
    <n v="1"/>
    <n v="4"/>
    <n v="4"/>
    <s v="FTE Based"/>
    <s v="USD"/>
    <n v="23986"/>
    <n v="1.4107050682132754E-2"/>
    <n v="0"/>
    <n v="0"/>
    <n v="0"/>
    <x v="151"/>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s v="Personal "/>
    <s v="Auto"/>
    <s v="Auto"/>
    <s v="All"/>
    <s v="Blended"/>
    <s v="L2"/>
    <n v="1"/>
    <n v="4"/>
    <n v="4"/>
    <s v="FTE Based"/>
    <s v="USD"/>
    <n v="23986"/>
    <n v="2.8938790335945146E-2"/>
    <n v="0"/>
    <n v="0"/>
    <n v="0"/>
    <x v="15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s v="Personal "/>
    <s v="Auto"/>
    <s v="Auto"/>
    <s v="All"/>
    <s v="Back Office"/>
    <s v="L2"/>
    <n v="1"/>
    <n v="4"/>
    <n v="4"/>
    <s v="FTE Based"/>
    <s v="USD"/>
    <n v="23986"/>
    <n v="0.21"/>
    <n v="0"/>
    <n v="0"/>
    <n v="0"/>
    <x v="153"/>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s v="Personal "/>
    <s v="Auto"/>
    <s v="Auto"/>
    <s v="All"/>
    <s v="Back Office"/>
    <s v="L2"/>
    <n v="1"/>
    <n v="4"/>
    <n v="4"/>
    <s v="FTE Based"/>
    <s v="USD"/>
    <n v="23986"/>
    <n v="6.0754255736070392E-2"/>
    <n v="0"/>
    <n v="0"/>
    <n v="0"/>
    <x v="154"/>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s v="Personal "/>
    <s v="Multi/ Combination"/>
    <s v="Auto &amp; Home"/>
    <s v="All"/>
    <s v="Back Office"/>
    <s v="L2"/>
    <n v="1"/>
    <n v="4"/>
    <n v="2"/>
    <s v="FTE Based"/>
    <s v="USD"/>
    <n v="23986"/>
    <n v="0.39593338103815673"/>
    <n v="0"/>
    <n v="0"/>
    <n v="0"/>
    <x v="155"/>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s v="Personal "/>
    <s v="Auto"/>
    <s v="Auto"/>
    <s v="All"/>
    <s v="Back Office"/>
    <s v="L2"/>
    <n v="1"/>
    <n v="6"/>
    <n v="4"/>
    <s v="FTE Based"/>
    <s v="USD"/>
    <n v="23986"/>
    <n v="0.34510214652633314"/>
    <n v="0"/>
    <n v="0"/>
    <n v="0"/>
    <x v="156"/>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s v="Hartford"/>
    <s v="Fortune 500 US P&amp;C Carrier"/>
    <s v="North America"/>
    <s v="Chennai, India"/>
    <x v="2"/>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s v="Personal "/>
    <s v="Multi/ Combination"/>
    <s v="Auto &amp; Home"/>
    <s v="All"/>
    <s v="Back Office"/>
    <s v="L2"/>
    <n v="1"/>
    <n v="6"/>
    <n v="4"/>
    <s v="FTE Based"/>
    <s v="USD"/>
    <n v="23986"/>
    <n v="1.110764284033573"/>
    <n v="0"/>
    <n v="0"/>
    <n v="0"/>
    <x v="157"/>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s v="Hartford"/>
    <s v="Fortune 500 US P&amp;C Carrier"/>
    <s v="North America"/>
    <s v="Chennai, India"/>
    <x v="2"/>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s v="Personal "/>
    <s v="Property"/>
    <s v="Home"/>
    <s v="All"/>
    <s v="Back Office"/>
    <s v="L3"/>
    <n v="1"/>
    <n v="8"/>
    <n v="4"/>
    <s v="FTE Based"/>
    <s v="USD"/>
    <n v="23986"/>
    <n v="0.24843919647873494"/>
    <n v="0"/>
    <n v="0"/>
    <n v="0"/>
    <x v="158"/>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s v="Hartford"/>
    <s v="Fortune 500 US P&amp;C Carrier"/>
    <s v="North America"/>
    <s v="Chennai, India"/>
    <x v="2"/>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s v="Personal "/>
    <s v="Multi/ Combination"/>
    <s v="Auto &amp; Home"/>
    <s v="All"/>
    <s v="Back Office"/>
    <s v="L2"/>
    <n v="1"/>
    <n v="6"/>
    <n v="4"/>
    <s v="FTE Based"/>
    <s v="USD"/>
    <n v="23986"/>
    <n v="0.20916349167827228"/>
    <n v="0"/>
    <n v="0"/>
    <n v="0"/>
    <x v="159"/>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s v="Personal "/>
    <s v="Auto"/>
    <s v="Auto"/>
    <s v="All"/>
    <s v="Back Office"/>
    <s v="L2"/>
    <n v="1"/>
    <n v="4"/>
    <n v="4"/>
    <s v="FTE Based"/>
    <s v="USD"/>
    <n v="23986"/>
    <n v="0.8233810222066853"/>
    <n v="0"/>
    <n v="0"/>
    <n v="0"/>
    <x v="160"/>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s v="Personal "/>
    <s v="Auto"/>
    <s v="Auto"/>
    <s v="All"/>
    <s v="Back Office"/>
    <s v="L2"/>
    <n v="1"/>
    <n v="4"/>
    <n v="4"/>
    <s v="FTE Based"/>
    <s v="USD"/>
    <n v="23986"/>
    <n v="0.65617328283784515"/>
    <n v="0"/>
    <n v="0"/>
    <n v="0"/>
    <x v="161"/>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s v="Personal "/>
    <s v="Auto"/>
    <s v="Auto"/>
    <s v="All"/>
    <s v="Back Office"/>
    <s v="L2"/>
    <n v="1"/>
    <n v="3"/>
    <n v="2"/>
    <s v="FTE Based"/>
    <s v="USD"/>
    <n v="23986"/>
    <n v="0.13899929830655089"/>
    <n v="0"/>
    <n v="0"/>
    <n v="0"/>
    <x v="162"/>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s v="Personal "/>
    <s v="Multi/ Combination"/>
    <s v="Auto &amp; Home"/>
    <s v="All"/>
    <s v="Back Office"/>
    <s v="L2"/>
    <n v="1"/>
    <n v="4"/>
    <n v="4"/>
    <s v="FTE Based"/>
    <s v="USD"/>
    <n v="23986"/>
    <n v="0.43989846447565661"/>
    <n v="0"/>
    <n v="0"/>
    <n v="0"/>
    <x v="163"/>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s v="Personal "/>
    <s v="Multi/ Combination"/>
    <s v="Auto &amp; Home"/>
    <s v="All"/>
    <s v="Back Office"/>
    <s v="L2"/>
    <n v="1"/>
    <n v="4"/>
    <n v="4"/>
    <s v="FTE Based"/>
    <s v="USD"/>
    <n v="23986"/>
    <n v="3.1552170181736834"/>
    <n v="0"/>
    <n v="1"/>
    <n v="0.99999999999999645"/>
    <x v="164"/>
    <n v="0.31693541022380156"/>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s v="Personal "/>
    <s v="Multi/ Combination"/>
    <s v="Auto &amp; Home"/>
    <s v="All"/>
    <s v="Back Office"/>
    <s v="L2"/>
    <n v="1"/>
    <n v="6"/>
    <n v="4"/>
    <s v="FTE Based"/>
    <s v="USD"/>
    <n v="23986"/>
    <n v="0.56999999999999995"/>
    <n v="0"/>
    <n v="0"/>
    <n v="0"/>
    <x v="16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s v="Insurance Australia Group"/>
    <s v="Fortune 500 Global P&amp;C Carrier"/>
    <s v="Australia"/>
    <s v="Cape Town, South Africa"/>
    <x v="3"/>
    <s v="Phenyo Nong / Yunus Bayat "/>
    <n v="5"/>
    <x v="2"/>
    <x v="2"/>
    <x v="4"/>
    <s v="New Business setup"/>
    <s v="New Business setup"/>
    <s v="We service customers in the AUTO/Property, we set up policy, amend, cancel and renew policies"/>
    <s v="Personal "/>
    <s v="Multi/ Combination"/>
    <s v="Auto / Property "/>
    <s v="Small"/>
    <s v="Voice"/>
    <s v="L3"/>
    <n v="2"/>
    <s v="6 to 7"/>
    <n v="8"/>
    <s v="FTE Based"/>
    <s v="AUD"/>
    <s v="23.70/Hour"/>
    <n v="125"/>
    <n v="10"/>
    <n v="12"/>
    <n v="24"/>
    <x v="130"/>
    <n v="0"/>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s v="Insurance Australia Group"/>
    <s v="Fortune 100 APAC P&amp;C Carrier"/>
    <s v="Australia"/>
    <s v="Manila, PHP"/>
    <x v="1"/>
    <s v="Red Dayao / Verna Arzadon"/>
    <n v="7"/>
    <x v="1"/>
    <x v="1"/>
    <x v="1"/>
    <s v="Data entry "/>
    <s v="Claims Management"/>
    <s v="Manage Claims from validation to finalization"/>
    <s v="Personal &amp; Commercial"/>
    <s v="Multi/ Combination"/>
    <s v="Property"/>
    <s v="Small, Mid Size &amp; Large"/>
    <s v="Blended"/>
    <s v="L2"/>
    <n v="2"/>
    <n v="4"/>
    <n v="4"/>
    <s v="FTE Based"/>
    <s v="AUD"/>
    <s v="22.70/Hour"/>
    <n v="70"/>
    <n v="4"/>
    <n v="4"/>
    <n v="8"/>
    <x v="166"/>
    <n v="0.11428571428571428"/>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s v="Insurance Australia Group"/>
    <s v="Fortune 100 APAC P&amp;C Carrier"/>
    <s v="Australia"/>
    <s v="Noida, India"/>
    <x v="2"/>
    <s v="Red Dayao / Verna Arzadon"/>
    <n v="7"/>
    <x v="1"/>
    <x v="1"/>
    <x v="1"/>
    <s v="Indexing"/>
    <s v="Classification of documents"/>
    <s v="Staff classify the documents related to claims &amp; Policy received thourgh Email/Fax/Post"/>
    <s v="Personal &amp; Commercial"/>
    <s v="Multi/ Combination"/>
    <s v="DCT AUS &amp; NZ"/>
    <s v="Small &amp; Mid Size"/>
    <s v="Back Office"/>
    <s v="L2"/>
    <n v="1"/>
    <n v="4"/>
    <n v="4"/>
    <s v="FTE Based"/>
    <s v="AUD"/>
    <n v="23436"/>
    <n v="26"/>
    <n v="3"/>
    <n v="2"/>
    <n v="2"/>
    <x v="12"/>
    <n v="7.6923076923076927E-2"/>
    <n v="64033"/>
    <n v="64033"/>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s v="ZNA"/>
    <s v="Fortune 500 Global P&amp;C Carrier"/>
    <s v="North America"/>
    <s v="Pune, India"/>
    <x v="2"/>
    <s v="Arbind Singh/Saurabh Sharma"/>
    <n v="5"/>
    <x v="1"/>
    <x v="1"/>
    <x v="8"/>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s v="Commercial "/>
    <s v="Multi/ Combination"/>
    <s v="WC, Property, GL, Auto"/>
    <s v="All"/>
    <s v="Back Office"/>
    <s v="L2"/>
    <n v="2"/>
    <n v="1"/>
    <n v="4"/>
    <s v="FTE Based"/>
    <s v="USD"/>
    <n v="24490.33"/>
    <n v="1.23"/>
    <n v="1"/>
    <n v="1"/>
    <n v="0.1"/>
    <x v="167"/>
    <n v="8.1300813008130093E-2"/>
    <n v="9324"/>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s v="ZNA"/>
    <s v="Fortune 500 Global P&amp;C Carrier"/>
    <s v="North America"/>
    <s v="Pune, India"/>
    <x v="2"/>
    <s v="Arbind Singh/Saurabh Sharma"/>
    <n v="5"/>
    <x v="1"/>
    <x v="1"/>
    <x v="6"/>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s v="Commercial "/>
    <s v="Multi/ Combination"/>
    <s v="GL, Auto,WC"/>
    <s v="All"/>
    <s v="Back Office"/>
    <s v="L2"/>
    <n v="2"/>
    <n v="1"/>
    <n v="4"/>
    <s v="FTE Based"/>
    <s v="USD"/>
    <n v="24490.33"/>
    <n v="4.4800000000000004"/>
    <n v="1"/>
    <n v="1"/>
    <n v="0.1"/>
    <x v="168"/>
    <n v="2.2321428571428572E-2"/>
    <n v="13251"/>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s v="ZNA"/>
    <s v="Fortune 500 Global P&amp;C Carrier"/>
    <s v="North America"/>
    <s v="Pune, India"/>
    <x v="2"/>
    <s v="Arbind Singh/Saurabh Sharma"/>
    <n v="5"/>
    <x v="1"/>
    <x v="1"/>
    <x v="8"/>
    <s v="Bill Payment (Medical Legal, Non Medical, Vendor)"/>
    <s v="Payment Transfer"/>
    <s v="The purpose of this task is to take off the paid amount from incorrect claim and transfer it to correct claim as per the instructions received"/>
    <s v="Commercial "/>
    <s v="Multi/ Combination"/>
    <s v="WC, Property, GL, Auto,Specialities"/>
    <s v="All"/>
    <s v="Back Office"/>
    <s v="L2"/>
    <n v="2"/>
    <n v="1"/>
    <n v="4"/>
    <s v="FTE Based"/>
    <s v="USD"/>
    <n v="24490.33"/>
    <n v="1.07"/>
    <n v="1"/>
    <n v="1"/>
    <n v="0.1"/>
    <x v="169"/>
    <n v="9.3457943925233641E-2"/>
    <n v="1827"/>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s v="ZNA"/>
    <s v="Fortune 500 Global P&amp;C Carrier"/>
    <s v="North America"/>
    <s v="Pune, India"/>
    <x v="2"/>
    <s v="Arbind Singh/Saurabh Sharma"/>
    <n v="5"/>
    <x v="1"/>
    <x v="1"/>
    <x v="1"/>
    <s v="Data entry "/>
    <s v="Trail Companion Letter"/>
    <s v="The purpose of this task is mimic the master claim file to accommodate a different date of loss. The file which is created is known a Trail file."/>
    <s v="Commercial "/>
    <s v="Multi/ Combination"/>
    <s v="Property &amp; GL"/>
    <s v="All"/>
    <s v="Back Office"/>
    <s v="L2"/>
    <n v="2"/>
    <n v="1"/>
    <n v="4"/>
    <s v="FTE Based"/>
    <s v="USD"/>
    <n v="24490.33"/>
    <n v="0.1"/>
    <n v="1"/>
    <n v="1"/>
    <n v="0.05"/>
    <x v="170"/>
    <n v="0.5"/>
    <n v="84"/>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s v="ZNA"/>
    <s v="Fortune 500 Global P&amp;C Carrier"/>
    <s v="North America"/>
    <s v="Pune, India"/>
    <x v="2"/>
    <s v="Arbind Singh/Saurabh Sharma"/>
    <n v="5"/>
    <x v="1"/>
    <x v="1"/>
    <x v="9"/>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s v="Commercial "/>
    <s v="WC"/>
    <s v="WC"/>
    <s v="All"/>
    <s v="Back Office"/>
    <s v="L2"/>
    <n v="2"/>
    <n v="1"/>
    <n v="4"/>
    <s v="FTE Based"/>
    <s v="USD"/>
    <n v="24490.33"/>
    <n v="1.59"/>
    <n v="1"/>
    <n v="1"/>
    <n v="0.1"/>
    <x v="171"/>
    <n v="6.2893081761006289E-2"/>
    <n v="714"/>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s v="ZNA"/>
    <s v="Fortune 500 Global P&amp;C Carrier"/>
    <s v="North America"/>
    <s v="Pune, India"/>
    <x v="2"/>
    <s v="Arbind Singh/Saurabh Sharma"/>
    <n v="5"/>
    <x v="1"/>
    <x v="1"/>
    <x v="9"/>
    <s v="Gathering relevant reports"/>
    <s v="Indeterminates-Aged"/>
    <s v="The purpose of this task is to check and follow up with claim handler if no action (for 30 days)has been taken on claims which do not have a policy number assigned. The task is received on 5th and 20th of each month."/>
    <s v="Commercial "/>
    <s v="Multi/ Combination"/>
    <s v="WC, Property, GL, Auto"/>
    <s v="All"/>
    <s v="Back Office"/>
    <s v="L2"/>
    <n v="2"/>
    <n v="1"/>
    <n v="4"/>
    <s v="FTE Based"/>
    <s v="USD"/>
    <n v="24490.33"/>
    <n v="0.17"/>
    <n v="1"/>
    <n v="1"/>
    <n v="0.1"/>
    <x v="172"/>
    <n v="0.58823529411764708"/>
    <n v="714"/>
    <s v="NA"/>
    <s v="NA"/>
    <n v="1"/>
    <n v="0.9869"/>
    <n v="0.9869"/>
    <s v="DPO – Defect Per Opportunity"/>
    <s v="NA"/>
    <s v="NA"/>
    <s v="None"/>
    <s v="None"/>
    <s v="NA"/>
    <s v="None"/>
    <s v="None"/>
    <s v="None"/>
    <s v="None"/>
    <s v="None"/>
    <s v="None"/>
    <s v="LOB"/>
    <s v="Emails"/>
    <s v="Structured"/>
    <s v="Email  - 100%"/>
    <s v="Email - 10% , Application - 90%"/>
    <s v="LOB"/>
    <s v="EZAccess, MS Outlook "/>
  </r>
  <r>
    <s v="ZNA"/>
    <s v="Fortune 500 Global P&amp;C Carrier"/>
    <s v="North America"/>
    <s v="Pune, India"/>
    <x v="2"/>
    <s v="Arbind Singh/Saurabh Sharma"/>
    <n v="5"/>
    <x v="1"/>
    <x v="1"/>
    <x v="9"/>
    <s v="Loss/ Damage verification"/>
    <s v="Medicare CMS Letter"/>
    <s v="The purpose of this task is to check and update 5 key elements. And if the Key elements are missing we send CMS letter to Claimant/Attorney"/>
    <s v="Commercial "/>
    <s v="Multi/ Combination"/>
    <s v="WC, GL, Auto"/>
    <s v="All"/>
    <s v="Back Office"/>
    <s v="L2"/>
    <n v="2"/>
    <n v="1"/>
    <n v="4"/>
    <s v="FTE Based"/>
    <s v="USD"/>
    <n v="24490.33"/>
    <n v="0.39"/>
    <n v="1"/>
    <n v="1"/>
    <n v="0.1"/>
    <x v="173"/>
    <n v="0.25641025641025644"/>
    <n v="504"/>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s v="ZNA"/>
    <s v="Fortune 500 Global P&amp;C Carrier"/>
    <s v="North America"/>
    <s v="Pune, India"/>
    <x v="2"/>
    <s v="Arbind Singh/Saurabh Sharma"/>
    <n v="5"/>
    <x v="1"/>
    <x v="1"/>
    <x v="9"/>
    <s v="Gathering relevant reports"/>
    <s v="Surety Letters"/>
    <s v="The purpose of this task is to send surety letters to Claimants, Principals, Obligee/Owners, Group name and Claim Handlers etc. as per the instructions"/>
    <s v="Commercial "/>
    <s v="GL"/>
    <s v="GL"/>
    <s v="All"/>
    <s v="Back Office"/>
    <s v="L2"/>
    <n v="2"/>
    <n v="1"/>
    <n v="4"/>
    <s v="FTE Based"/>
    <s v="USD"/>
    <n v="24490.33"/>
    <n v="0.94"/>
    <n v="1"/>
    <n v="1"/>
    <n v="0.1"/>
    <x v="174"/>
    <n v="0.10638297872340427"/>
    <n v="420"/>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s v="ZNA"/>
    <s v="Fortune 500 Global P&amp;C Carrier"/>
    <s v="North America"/>
    <s v="Pune, India"/>
    <x v="2"/>
    <s v="Arbind Singh/Saurabh Sharma"/>
    <n v="5"/>
    <x v="1"/>
    <x v="1"/>
    <x v="9"/>
    <s v="Loss/ Damage verification"/>
    <s v="Medicare COBC Letters"/>
    <s v="The purpose of this task is to check and update 5 key elements. If these elements are not found we send CMS letter to claimant, a Lotus notes to claim handler and setup a task to update the information."/>
    <s v="Commercial "/>
    <s v="Auto"/>
    <s v="WC"/>
    <s v="All"/>
    <s v="Back Office"/>
    <s v="L2"/>
    <n v="2"/>
    <n v="1"/>
    <n v="4"/>
    <s v="FTE Based"/>
    <s v="USD"/>
    <n v="24490.33"/>
    <n v="0.39"/>
    <n v="1"/>
    <n v="1"/>
    <n v="0.1"/>
    <x v="173"/>
    <n v="0.25641025641025644"/>
    <n v="903"/>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s v="ZNA"/>
    <s v="Fortune 500 Global P&amp;C Carrier"/>
    <s v="North America"/>
    <s v="Pune, India"/>
    <x v="2"/>
    <s v="Arbind Singh/Saurabh Sharma"/>
    <n v="5"/>
    <x v="1"/>
    <x v="1"/>
    <x v="9"/>
    <s v="State Form and Filing"/>
    <s v="State Auto Regulation Letters"/>
    <s v="The purpose of this task is send State regulatory letters, which system was unable to send due to missing information. If we are unable to find information we setup a task for Claim handler"/>
    <s v="Commercial "/>
    <s v="Auto"/>
    <s v="Auto"/>
    <s v="All"/>
    <s v="Back Office"/>
    <s v="L2"/>
    <n v="2"/>
    <n v="1"/>
    <n v="4"/>
    <s v="FTE Based"/>
    <s v="USD"/>
    <n v="24490.33"/>
    <n v="0.31"/>
    <n v="1"/>
    <n v="1"/>
    <n v="0.1"/>
    <x v="74"/>
    <n v="0.32258064516129037"/>
    <n v="714"/>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s v="ZNA"/>
    <s v="Fortune 500 Global P&amp;C Carrier"/>
    <s v="North America"/>
    <s v="Pune, India"/>
    <x v="2"/>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s v="Commercial "/>
    <s v="Multi/ Combination"/>
    <s v="GL, Mass Litigation,Pollution and Environment"/>
    <s v="All"/>
    <s v="Back Office"/>
    <s v="L2"/>
    <n v="2"/>
    <n v="1"/>
    <n v="4"/>
    <s v="FTE Based"/>
    <s v="USD"/>
    <n v="24490.33"/>
    <n v="0.1"/>
    <n v="1"/>
    <n v="1"/>
    <n v="0.1"/>
    <x v="175"/>
    <n v="1"/>
    <n v="118"/>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Pune, India"/>
    <x v="2"/>
    <s v="Arbind Singh/Saurabh Sharma"/>
    <n v="5"/>
    <x v="1"/>
    <x v="1"/>
    <x v="1"/>
    <s v="Claim Setup and assignment"/>
    <s v="Office 41- Veterinary claims Set up"/>
    <s v="Vet claims setup requests are received directly from the Veterinarians who are our insureds. These Claims are for animals that were treated by our insureds. "/>
    <s v="Commercial "/>
    <s v="Specialty"/>
    <s v="Specialities"/>
    <s v="All"/>
    <s v="Back Office"/>
    <s v="L2"/>
    <n v="2"/>
    <n v="1"/>
    <n v="4"/>
    <s v="FTE Based"/>
    <s v="USD"/>
    <n v="24490.33"/>
    <n v="0.94"/>
    <n v="1"/>
    <n v="1"/>
    <n v="0.1"/>
    <x v="174"/>
    <n v="0.10638297872340427"/>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s v="Commercial "/>
    <s v="Specialty"/>
    <s v="Specialities"/>
    <s v="All"/>
    <s v="Back Office"/>
    <s v="L2"/>
    <n v="2"/>
    <n v="1"/>
    <n v="4"/>
    <s v="FTE Based"/>
    <s v="USD"/>
    <n v="24490.33"/>
    <n v="0.1"/>
    <n v="1"/>
    <n v="1"/>
    <n v="0.1"/>
    <x v="175"/>
    <n v="1"/>
    <n v="378"/>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s v="Commercial "/>
    <s v="Specialty"/>
    <s v="Specialities"/>
    <s v="All"/>
    <s v="Back Office"/>
    <s v="L2"/>
    <n v="2"/>
    <n v="1"/>
    <n v="4"/>
    <s v="FTE Based"/>
    <s v="USD"/>
    <n v="24490.33"/>
    <n v="0.1"/>
    <n v="1"/>
    <n v="1"/>
    <n v="0.05"/>
    <x v="170"/>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Pune, India"/>
    <x v="2"/>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s v="Commercial "/>
    <s v="Specialty"/>
    <s v="Specialities"/>
    <s v="All"/>
    <s v="Back Office"/>
    <s v="L2"/>
    <n v="2"/>
    <n v="1"/>
    <n v="4"/>
    <s v="FTE Based"/>
    <s v="USD"/>
    <n v="24490.33"/>
    <n v="0.73"/>
    <n v="1"/>
    <n v="1"/>
    <n v="0.1"/>
    <x v="176"/>
    <n v="0.13698630136986303"/>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DL claims set up"/>
    <s v="The purpose of this task to mirror and create existing claims which end up in litigation"/>
    <s v="Commercial "/>
    <s v="Multi/ Combination"/>
    <s v="Specialities"/>
    <s v="All"/>
    <s v="Back Office"/>
    <s v="L2"/>
    <n v="2"/>
    <n v="1"/>
    <n v="4"/>
    <s v="FTE Based"/>
    <s v="USD"/>
    <n v="24490.33"/>
    <n v="0.1"/>
    <n v="1"/>
    <n v="1"/>
    <n v="0.1"/>
    <x v="175"/>
    <n v="1"/>
    <n v="63"/>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s v="ZNA"/>
    <s v="Fortune 500 Global P&amp;C Carrier"/>
    <s v="North America"/>
    <s v="Pune, India"/>
    <x v="2"/>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s v="Commercial "/>
    <s v="Multi/ Combination"/>
    <s v="WC, Property, GL, Auto"/>
    <s v="All"/>
    <s v="Back Office"/>
    <s v="L2"/>
    <n v="2"/>
    <n v="1"/>
    <n v="4"/>
    <s v="FTE Based"/>
    <s v="USD"/>
    <n v="24490.33"/>
    <n v="1.5"/>
    <n v="1"/>
    <n v="1"/>
    <n v="0.1"/>
    <x v="39"/>
    <n v="6.6666666666666666E-2"/>
    <n v="166"/>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s v="ZNA"/>
    <s v="Fortune 500 Global P&amp;C Carrier"/>
    <s v="North America"/>
    <s v="Pune, India"/>
    <x v="2"/>
    <s v="Arbind Singh/Saurabh Sharma"/>
    <n v="5"/>
    <x v="1"/>
    <x v="1"/>
    <x v="9"/>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s v="Commercial "/>
    <s v="Multi/ Combination"/>
    <s v="WC, GL, Auto"/>
    <s v="All"/>
    <s v="Back Office"/>
    <s v="L2"/>
    <n v="2"/>
    <n v="1"/>
    <n v="4"/>
    <s v="FTE Based"/>
    <s v="USD"/>
    <n v="24490.33"/>
    <n v="2.83"/>
    <n v="1"/>
    <n v="1"/>
    <n v="0.1"/>
    <x v="177"/>
    <n v="3.5335689045936397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s v="ZNA"/>
    <s v="Fortune 500 Global P&amp;C Carrier"/>
    <s v="North America"/>
    <s v="Pune, India"/>
    <x v="2"/>
    <s v="Arbind Singh/Saurabh Sharma"/>
    <n v="5"/>
    <x v="1"/>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s v="Commercial "/>
    <s v="Multi/ Combination"/>
    <s v="WC, Property, GL, Auto"/>
    <s v="All"/>
    <s v="Back Office"/>
    <s v="L2"/>
    <n v="2"/>
    <n v="1"/>
    <n v="4"/>
    <s v="FTE Based"/>
    <s v="USD"/>
    <n v="24490.33"/>
    <n v="0.1"/>
    <n v="1"/>
    <n v="1"/>
    <n v="0.1"/>
    <x v="175"/>
    <n v="1"/>
    <n v="35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s v="ZNA"/>
    <s v="Fortune 500 Global P&amp;C Carrier"/>
    <s v="North America"/>
    <s v="Pune, India"/>
    <x v="2"/>
    <s v="Arbind Singh/Saurabh Sharma"/>
    <n v="5"/>
    <x v="1"/>
    <x v="1"/>
    <x v="8"/>
    <s v="Send Closing Documents"/>
    <s v="Claim Fox- Sub Poena"/>
    <s v="The purpose of the task is to provide producable documents (non previlaged nonPHI,nonPI) to requester claimant's attorney for closed claims which are challenged via judiciary system (court proceeding)."/>
    <s v="Commercial "/>
    <s v="Multi/ Combination"/>
    <s v="WC, Property, GL, Auto"/>
    <s v="All"/>
    <s v="Back Office"/>
    <s v="L2"/>
    <n v="2"/>
    <n v="1"/>
    <n v="4"/>
    <s v="FTE Based"/>
    <s v="USD"/>
    <n v="24490.33"/>
    <n v="0.55000000000000004"/>
    <n v="1"/>
    <n v="1"/>
    <n v="0.1"/>
    <x v="178"/>
    <n v="0.18181818181818182"/>
    <n v="31"/>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s v="ZNA"/>
    <s v="Fortune 500 Global P&amp;C Carrier"/>
    <s v="North America"/>
    <s v="Pune, India"/>
    <x v="2"/>
    <s v="Arbind Singh/Saurabh Sharma"/>
    <n v="5"/>
    <x v="1"/>
    <x v="1"/>
    <x v="1"/>
    <s v="Claim Setup and assignment"/>
    <s v="WC - Triage"/>
    <s v="The purpose of this task is to assign the claim to right claim handler, according to the office, business type and severity of the claim. Triage Portal is being used to assign claims"/>
    <s v="Commercial "/>
    <s v="WC"/>
    <s v="WC"/>
    <s v="All"/>
    <s v="Back Office"/>
    <s v="L2"/>
    <n v="2"/>
    <n v="1"/>
    <n v="4"/>
    <s v="FTE Based"/>
    <s v="USD"/>
    <n v="24490.33"/>
    <n v="1.07"/>
    <n v="1"/>
    <n v="1"/>
    <n v="0.1"/>
    <x v="169"/>
    <n v="9.3457943925233641E-2"/>
    <n v="2471"/>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s v="ZNA"/>
    <s v="Fortune 500 Global P&amp;C Carrier"/>
    <s v="North America"/>
    <s v="Noida, India"/>
    <x v="2"/>
    <s v="Arbind Singh/Saurabh Sharma"/>
    <n v="7"/>
    <x v="1"/>
    <x v="1"/>
    <x v="6"/>
    <s v="Case Management of File "/>
    <s v="Claim Cancellation"/>
    <s v="This task is performed as a result of a cancellation request received on claims. A claim maybe cancelled due to reasons like claim denial, coverage not available, policy expiration, duplicate set ups etc. "/>
    <s v="Commercial "/>
    <s v="Multi/ Combination"/>
    <s v="WC, Property, GL, Auto"/>
    <s v="All"/>
    <s v="Back Office"/>
    <s v="L2"/>
    <n v="2"/>
    <n v="1"/>
    <n v="4"/>
    <s v="FTE Based"/>
    <s v="USD"/>
    <n v="24490.33"/>
    <n v="0.46032682285723642"/>
    <n v="2"/>
    <n v="1"/>
    <n v="0.1"/>
    <x v="179"/>
    <n v="0.21723696086033539"/>
    <n v="1512"/>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s v="Commercial "/>
    <s v="Auto"/>
    <s v="Auto"/>
    <s v="All"/>
    <s v="Back Office"/>
    <s v="L2"/>
    <n v="2"/>
    <n v="1"/>
    <n v="4"/>
    <s v="FTE Based"/>
    <s v="USD"/>
    <n v="24490.33"/>
    <n v="0.24239249756281389"/>
    <n v="2"/>
    <n v="1"/>
    <n v="0.1"/>
    <x v="180"/>
    <n v="0.41255402293994631"/>
    <n v="1365"/>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s v="Commercial "/>
    <s v="Multi/ Combination"/>
    <s v="WC, Property, GL, Auto"/>
    <s v="All"/>
    <s v="Back Office"/>
    <s v="L2"/>
    <n v="2"/>
    <n v="1"/>
    <n v="4"/>
    <s v="FTE Based"/>
    <s v="USD"/>
    <n v="24490.33"/>
    <n v="1.79"/>
    <n v="2"/>
    <n v="1"/>
    <n v="0.1"/>
    <x v="181"/>
    <n v="5.5865921787709501E-2"/>
    <n v="4578"/>
    <s v="NA"/>
    <s v="NA"/>
    <n v="6.7"/>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s v="Commercial "/>
    <s v="Multi/ Combination"/>
    <s v="WC, Property, GL, Auto"/>
    <s v="All"/>
    <s v="Back Office"/>
    <s v="L2"/>
    <n v="2"/>
    <n v="1"/>
    <n v="4"/>
    <s v="FTE Based"/>
    <s v="USD"/>
    <n v="24490.33"/>
    <n v="1.42"/>
    <n v="2"/>
    <n v="1"/>
    <n v="0.1"/>
    <x v="182"/>
    <n v="7.0422535211267609E-2"/>
    <n v="8127"/>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6"/>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s v="Commercial "/>
    <s v="Property"/>
    <s v="Property"/>
    <s v="All"/>
    <s v="Back Office"/>
    <s v="L2"/>
    <n v="2"/>
    <n v="1"/>
    <n v="4"/>
    <s v="FTE Based"/>
    <s v="USD"/>
    <n v="24490.33"/>
    <n v="1.98"/>
    <n v="2"/>
    <n v="1"/>
    <n v="0.1"/>
    <x v="183"/>
    <n v="5.0505050505050511E-2"/>
    <n v="1491"/>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Legal Referral"/>
    <s v="Recovery Referral"/>
    <s v="This task involves assigning claim referrals to  a Recovery Professional based on their skill set, availability and claim amount"/>
    <s v="Commercial "/>
    <s v="Multi/ Combination"/>
    <s v="WC, Property, GL, Auto"/>
    <s v="All"/>
    <s v="Back Office"/>
    <s v="L2"/>
    <n v="2"/>
    <n v="1"/>
    <n v="4"/>
    <s v="FTE Based"/>
    <s v="USD"/>
    <n v="24490.33"/>
    <n v="0.75"/>
    <n v="2"/>
    <n v="1"/>
    <n v="0.1"/>
    <x v="184"/>
    <n v="0.13333333333333333"/>
    <n v="1081"/>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Claim Coding"/>
    <s v="Claim Coding"/>
    <s v="The task involves to code the changes made to the claim information like Site Code, Policy number, name of insured, Date of loss etc."/>
    <s v="Commercial "/>
    <s v="Multi/ Combination"/>
    <s v="WC, Property, GL, Auto"/>
    <s v="All"/>
    <s v="Back Office"/>
    <s v="L2"/>
    <n v="2"/>
    <n v="1"/>
    <n v="4"/>
    <s v="FTE Based"/>
    <s v="USD"/>
    <n v="24490.33"/>
    <n v="0.57999999999999996"/>
    <n v="2"/>
    <n v="1"/>
    <n v="0.1"/>
    <x v="185"/>
    <n v="0.17241379310344829"/>
    <n v="223"/>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s v="Commercial "/>
    <s v="Multi/ Combination"/>
    <s v="WC, Property, GL, Auto"/>
    <s v="All"/>
    <s v="Back Office"/>
    <s v="L2"/>
    <n v="2"/>
    <n v="1"/>
    <n v="4"/>
    <s v="FTE Based"/>
    <s v="USD"/>
    <n v="24490.33"/>
    <n v="0.41433718631103056"/>
    <n v="2"/>
    <n v="1"/>
    <n v="0.1"/>
    <x v="186"/>
    <n v="0.24134932442422147"/>
    <n v="777"/>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
    <s v="Multi/ Combination"/>
    <s v="Auto &amp; Property"/>
    <s v="All"/>
    <s v="Back Office"/>
    <s v="L2"/>
    <n v="2"/>
    <n v="1"/>
    <n v="4"/>
    <s v="FTE Based"/>
    <s v="USD"/>
    <n v="24490.33"/>
    <n v="0.15"/>
    <n v="2"/>
    <n v="1"/>
    <n v="0.01"/>
    <x v="187"/>
    <n v="6.6666666666666666E-2"/>
    <n v="316"/>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s v="ZNA"/>
    <s v="Fortune 500 Global P&amp;C Carrier"/>
    <s v="North America"/>
    <s v="Noida, India"/>
    <x v="2"/>
    <s v="Arbind Singh/Saurabh Sharma"/>
    <n v="7"/>
    <x v="1"/>
    <x v="1"/>
    <x v="9"/>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
    <s v="Multi/ Combination"/>
    <s v="Auto &amp; Property"/>
    <s v="All"/>
    <s v="Back Office"/>
    <s v="L2"/>
    <n v="2"/>
    <n v="1"/>
    <n v="4"/>
    <s v="FTE Based"/>
    <s v="USD"/>
    <n v="24490.33"/>
    <n v="1"/>
    <n v="2"/>
    <n v="1"/>
    <n v="0.1"/>
    <x v="22"/>
    <n v="0.1"/>
    <n v="821"/>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s v="ZNA"/>
    <s v="Fortune 500 Global P&amp;C Carrier"/>
    <s v="North America"/>
    <s v="Noida, India"/>
    <x v="2"/>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s v="Commercial "/>
    <s v="GL"/>
    <s v="GL"/>
    <s v="All"/>
    <s v="Back Office"/>
    <s v="L2"/>
    <n v="2"/>
    <n v="1"/>
    <n v="4"/>
    <s v="FTE Based"/>
    <s v="USD"/>
    <n v="24490.33"/>
    <n v="0.47"/>
    <n v="2"/>
    <n v="1"/>
    <n v="0.1"/>
    <x v="188"/>
    <n v="0.21276595744680854"/>
    <n v="90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Noida, India"/>
    <x v="2"/>
    <s v="Arbind Singh/Saurabh Sharma"/>
    <n v="7"/>
    <x v="1"/>
    <x v="1"/>
    <x v="9"/>
    <s v="Requesting Police report"/>
    <s v="Police Recovery Letter"/>
    <s v="The purpose of this task is to send letter to respective police department (loss address) to send notification for recovered items to insurance carrier."/>
    <s v="Commercial "/>
    <s v="Multi/ Combination"/>
    <s v="WC, Property, GL, Auto"/>
    <s v="All"/>
    <s v="Back Office"/>
    <s v="L2"/>
    <n v="2"/>
    <n v="1"/>
    <n v="4"/>
    <s v="FTE Based"/>
    <s v="USD"/>
    <n v="24490.33"/>
    <n v="0.14000000000000001"/>
    <n v="2"/>
    <n v="1"/>
    <n v="0.01"/>
    <x v="140"/>
    <n v="7.1428571428571425E-2"/>
    <n v="1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s v="ZNA"/>
    <s v="Fortune 500 Global P&amp;C Carrier"/>
    <s v="North America"/>
    <s v="Noida, India"/>
    <x v="2"/>
    <s v="Arbind Singh/Saurabh Sharma"/>
    <n v="7"/>
    <x v="1"/>
    <x v="1"/>
    <x v="1"/>
    <s v="Initial Acknowledgement Letters"/>
    <s v="6 Pack"/>
    <s v="The purpose of this task is to publish and send multiple letters in a packet to the Insured/Claimant upon their request as per the state/Law requirements."/>
    <s v="Commercial "/>
    <s v="WC"/>
    <s v="WC"/>
    <s v="All"/>
    <s v="Back Office"/>
    <s v="L2"/>
    <n v="2"/>
    <n v="1"/>
    <n v="4"/>
    <s v="FTE Based"/>
    <s v="USD"/>
    <n v="24490.33"/>
    <n v="0.43"/>
    <n v="2"/>
    <n v="1"/>
    <n v="0.1"/>
    <x v="189"/>
    <n v="0.23255813953488375"/>
    <n v="3066"/>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8"/>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s v="Commercial "/>
    <s v="WC"/>
    <s v="WC"/>
    <s v="All"/>
    <s v="Back Office"/>
    <s v="L2"/>
    <n v="2"/>
    <n v="1"/>
    <n v="4"/>
    <s v="FTE Based"/>
    <s v="USD"/>
    <n v="24490.33"/>
    <n v="0.38"/>
    <n v="2"/>
    <n v="1"/>
    <n v="0.1"/>
    <x v="190"/>
    <n v="0.26315789473684209"/>
    <n v="840"/>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Initial Acknowledgement Letters"/>
    <s v="NY-LA Decision Letter"/>
    <s v="This Process involves finding, analyzing, completing, mailing and filing the required NY/LA State Form for decision Letters issued by nurses &amp; doctors"/>
    <s v="Commercial "/>
    <s v="Multi/ Combination"/>
    <s v="WC &amp; GL"/>
    <s v="All"/>
    <s v="Back Office"/>
    <s v="L2"/>
    <n v="2"/>
    <n v="1"/>
    <n v="4"/>
    <s v="FTE Based"/>
    <s v="USD"/>
    <n v="24490.33"/>
    <n v="1.48"/>
    <n v="2"/>
    <n v="1"/>
    <n v="0.1"/>
    <x v="191"/>
    <n v="6.7567567567567571E-2"/>
    <n v="276"/>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Send Initial Notification"/>
    <s v="Provider Sendback"/>
    <s v="This Process shows the details of reviewing the document and sending them back to the provider where request is not in approved format."/>
    <s v="Commercial "/>
    <s v="Multi/ Combination"/>
    <s v="WC, Property, GL, Auto"/>
    <s v="All"/>
    <s v="Back Office"/>
    <s v="L2"/>
    <n v="2"/>
    <n v="1"/>
    <n v="4"/>
    <s v="FTE Based"/>
    <s v="USD"/>
    <n v="24490.33"/>
    <n v="0.19"/>
    <n v="2"/>
    <n v="1"/>
    <n v="0.1"/>
    <x v="192"/>
    <n v="0.52631578947368418"/>
    <n v="749"/>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s v="ZNA"/>
    <s v="Fortune 500 Global P&amp;C Carrier"/>
    <s v="North America"/>
    <s v="Noida, India"/>
    <x v="2"/>
    <s v="Arbind Singh/Saurabh Sharma"/>
    <n v="7"/>
    <x v="1"/>
    <x v="1"/>
    <x v="8"/>
    <s v="Send Closing Documents"/>
    <s v="Transfer Notes/Docs"/>
    <s v="This process shows the details of transferring Notes from the cancelled claims to new claims and upon the completion of the transfer send email to the requester"/>
    <s v="Commercial "/>
    <s v="Multi/ Combination"/>
    <s v="WC, Property, GL, Auto"/>
    <s v="All"/>
    <s v="Back Office"/>
    <s v="L2"/>
    <n v="2"/>
    <n v="1"/>
    <n v="4"/>
    <s v="FTE Based"/>
    <s v="USD"/>
    <n v="24490.33"/>
    <n v="0.08"/>
    <n v="2"/>
    <n v="1"/>
    <n v="0.01"/>
    <x v="28"/>
    <n v="0.125"/>
    <n v="7"/>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s v="Commercial "/>
    <s v="GL"/>
    <s v="GL"/>
    <s v="All"/>
    <s v="Back Office"/>
    <s v="L2"/>
    <n v="2"/>
    <n v="1"/>
    <n v="4"/>
    <s v="FTE Based"/>
    <s v="USD"/>
    <n v="24490.33"/>
    <n v="0.15"/>
    <n v="2"/>
    <n v="1"/>
    <n v="0.01"/>
    <x v="187"/>
    <n v="6.6666666666666666E-2"/>
    <n v="111"/>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7"/>
    <s v="Initiate Recovery Collection &amp; processing"/>
    <s v="Recovery Transfer"/>
    <s v="This Process shows to assign the claim to the appropriate recovery claim handler and if the handler does not work in the organization anymore send email to the Team leader"/>
    <s v="Commercial "/>
    <s v="GL"/>
    <s v="GL"/>
    <s v="All"/>
    <s v="Back Office"/>
    <s v="L2"/>
    <n v="2"/>
    <n v="1"/>
    <n v="4"/>
    <s v="FTE Based"/>
    <s v="USD"/>
    <n v="24490.33"/>
    <n v="0.16"/>
    <n v="2"/>
    <n v="1"/>
    <n v="0.01"/>
    <x v="193"/>
    <n v="6.25E-2"/>
    <n v="399"/>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s v="Commercial "/>
    <s v="Multi/ Combination"/>
    <s v="Auto, GL, WC, Property, Specialty"/>
    <s v="All"/>
    <s v="Back Office"/>
    <s v="L2"/>
    <n v="2"/>
    <n v="1"/>
    <n v="4"/>
    <s v="FTE Based"/>
    <s v="USD"/>
    <n v="24490.33"/>
    <n v="0.47"/>
    <n v="2"/>
    <n v="1"/>
    <n v="0.1"/>
    <x v="188"/>
    <n v="0.21276595744680854"/>
    <n v="52"/>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Noida, India"/>
    <x v="2"/>
    <s v="Arbind Singh/Saurabh Sharma"/>
    <n v="7"/>
    <x v="1"/>
    <x v="1"/>
    <x v="1"/>
    <s v="State Form Filing"/>
    <s v="WC Form Filing"/>
    <s v="The purpose of Form Filing is to provide worker compensation information to State along with informing employer and Attorneys as per State guidelines."/>
    <s v="Commercial "/>
    <s v="WC"/>
    <s v="WC"/>
    <s v="All"/>
    <s v="Back Office"/>
    <s v="L2"/>
    <n v="2"/>
    <n v="1"/>
    <n v="4"/>
    <s v="FTE Based"/>
    <s v="USD"/>
    <n v="24490.33"/>
    <n v="17.447229836600275"/>
    <n v="1"/>
    <n v="1"/>
    <n v="1.03"/>
    <x v="194"/>
    <n v="5.903515971568718E-2"/>
    <n v="12537"/>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s v="Commercial "/>
    <s v="Multi/ Combination"/>
    <s v="WC, GL &amp; Auto"/>
    <s v="All"/>
    <s v="Back Office"/>
    <s v="L2"/>
    <n v="2"/>
    <n v="1"/>
    <n v="4"/>
    <s v="FTE Based"/>
    <s v="USD"/>
    <n v="24490.33"/>
    <n v="2.5"/>
    <n v="1"/>
    <n v="1"/>
    <n v="0.1"/>
    <x v="195"/>
    <n v="0.04"/>
    <n v="4000"/>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xternal Distribution"/>
    <s v="File &amp; Serve"/>
    <s v="The purpose of this task is to send any claim related document to a party who sends a document to request."/>
    <s v="Commercial "/>
    <s v="WC"/>
    <s v="WC"/>
    <s v="All"/>
    <s v="Back Office"/>
    <s v="L2"/>
    <n v="2"/>
    <n v="1"/>
    <n v="4"/>
    <s v="FTE Based"/>
    <s v="USD"/>
    <n v="24490.33"/>
    <n v="0.51931100630918148"/>
    <n v="1"/>
    <n v="1"/>
    <n v="0.1"/>
    <x v="196"/>
    <n v="0.19256283572865995"/>
    <n v="60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xternal Distribution"/>
    <s v="Generate &amp; Distribute"/>
    <s v="The process involves retrieval and then distribution of the various reports in the appropriate folders on the DER and Non-DER SharePoint site and send email to Admin Managers.  This process covers a total of 12 reports."/>
    <s v="Commercial "/>
    <s v="Multi/ Combination"/>
    <s v="WC, Property, GL, Auto"/>
    <s v="All"/>
    <s v="Back Office"/>
    <s v="L2"/>
    <n v="2"/>
    <n v="1"/>
    <n v="4"/>
    <s v="FTE Based"/>
    <s v="USD"/>
    <n v="24490.33"/>
    <n v="1.0064364535167454"/>
    <n v="1"/>
    <n v="1"/>
    <n v="0.1"/>
    <x v="197"/>
    <n v="9.9360470947345486E-2"/>
    <n v="2163"/>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s v="Commercial "/>
    <s v="Multi/ Combination"/>
    <s v="WC, Property, GL, Auto"/>
    <s v="All"/>
    <s v="Back Office"/>
    <s v="L2"/>
    <n v="2"/>
    <n v="1"/>
    <n v="4"/>
    <s v="FTE Based"/>
    <s v="USD"/>
    <n v="24490.33"/>
    <n v="0.32800890084953344"/>
    <n v="1"/>
    <n v="1"/>
    <n v="0.1"/>
    <x v="198"/>
    <n v="0.30486977560975614"/>
    <n v="2625"/>
    <s v="NA"/>
    <s v="NA"/>
    <n v="5"/>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Gathering relevant reports"/>
    <s v="WC BOE reports (24066)"/>
    <s v="This tasks required payment reports to be fetched as per the paykind codes provided. Once reports for the paykind codes is fetched then these reports are uploaded on Citrix application on the claim"/>
    <s v="Commercial "/>
    <s v="WC"/>
    <s v="WC"/>
    <s v="All"/>
    <s v="Back Office"/>
    <s v="L2"/>
    <n v="2"/>
    <n v="1"/>
    <n v="4"/>
    <s v="FTE Based"/>
    <s v="USD"/>
    <n v="24490.33"/>
    <n v="0.15049551241765352"/>
    <n v="1"/>
    <n v="1"/>
    <n v="0.1"/>
    <x v="199"/>
    <n v="0.66447164034021877"/>
    <n v="1575"/>
    <s v="NA"/>
    <s v="NA"/>
    <n v="10"/>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s v="Commercial "/>
    <s v="WC"/>
    <s v="WC"/>
    <s v="All"/>
    <s v="Back Office"/>
    <s v="L2"/>
    <n v="2"/>
    <n v="1"/>
    <n v="4"/>
    <s v="FTE Based"/>
    <s v="USD"/>
    <n v="24490.33"/>
    <n v="0.15"/>
    <n v="1"/>
    <n v="1"/>
    <n v="0.01"/>
    <x v="200"/>
    <n v="6.6666666666666666E-2"/>
    <n v="105"/>
    <s v="NA"/>
    <s v="NA"/>
    <n v="10"/>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6"/>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s v="Commercial "/>
    <s v="Multi/ Combination"/>
    <s v="WC, Property, GL, Auto"/>
    <s v="All"/>
    <s v="Back Office"/>
    <s v="L2"/>
    <n v="2"/>
    <n v="1"/>
    <n v="4"/>
    <s v="FTE Based"/>
    <s v="USD"/>
    <n v="24490.33"/>
    <n v="0.61275719920792904"/>
    <n v="1"/>
    <n v="1"/>
    <n v="0.1"/>
    <x v="201"/>
    <n v="0.16319677700933327"/>
    <n v="2625"/>
    <s v="NA"/>
    <s v="NA"/>
    <n v="3.2"/>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s v="Commercial "/>
    <s v="Multi/ Combination"/>
    <s v="WC, Property, GL, Auto"/>
    <s v="All"/>
    <s v="Back Office"/>
    <s v="L2"/>
    <n v="2"/>
    <n v="1"/>
    <n v="4"/>
    <s v="FTE Based"/>
    <s v="USD"/>
    <n v="24490.33"/>
    <n v="0.15"/>
    <n v="1"/>
    <n v="1"/>
    <n v="0.01"/>
    <x v="200"/>
    <n v="6.6666666666666666E-2"/>
    <n v="147"/>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s v="Commercial "/>
    <s v="Multi/ Combination"/>
    <s v="WC, Property, GL, Auto"/>
    <s v="All"/>
    <s v="Back Office"/>
    <s v="L2"/>
    <n v="2"/>
    <n v="1"/>
    <n v="4"/>
    <s v="FTE Based"/>
    <s v="USD"/>
    <n v="24490.33"/>
    <n v="1.05"/>
    <n v="1"/>
    <n v="1"/>
    <n v="0.1"/>
    <x v="140"/>
    <n v="9.5238095238095233E-2"/>
    <n v="3451"/>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s v="Commercial "/>
    <s v="WC"/>
    <s v="WC"/>
    <s v="All"/>
    <s v="Blended"/>
    <s v="L2"/>
    <n v="2"/>
    <n v="1"/>
    <n v="4"/>
    <s v="FTE Based"/>
    <s v="USD"/>
    <n v="24490.33"/>
    <n v="5"/>
    <n v="1"/>
    <n v="1"/>
    <n v="0.2"/>
    <x v="202"/>
    <n v="0.04"/>
    <n v="1500"/>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Gathering relevant reports"/>
    <s v="SB1159 Covid Reporting"/>
    <s v="This keeps track of all Covid affected workers as per information shared by the insured via email. Data details are captured on a excel sheet which is saved on share point for reporting purpose."/>
    <s v="Commercial "/>
    <s v="WC"/>
    <s v="WC"/>
    <s v="All"/>
    <s v="Back Office"/>
    <s v="L2"/>
    <n v="2"/>
    <n v="1"/>
    <n v="4"/>
    <s v="FTE Based"/>
    <s v="USD"/>
    <n v="24490.33"/>
    <n v="0.1399443689589675"/>
    <n v="1"/>
    <n v="1"/>
    <n v="0.1"/>
    <x v="203"/>
    <n v="0.71456965895727165"/>
    <n v="139"/>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s v="ZNA"/>
    <s v="Fortune 500 Global P&amp;C Carrier"/>
    <s v="North America"/>
    <s v="Noida, India"/>
    <x v="2"/>
    <s v="Arbind Singh/Saurabh Sharma"/>
    <n v="7"/>
    <x v="1"/>
    <x v="1"/>
    <x v="6"/>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s v="Commercial "/>
    <s v="Multi/ Combination"/>
    <s v="Multi/ Combination"/>
    <s v="All"/>
    <s v="Back Office"/>
    <s v="L2"/>
    <n v="2"/>
    <n v="1"/>
    <n v="4"/>
    <s v="FTE Based"/>
    <s v="USD"/>
    <n v="24490.33"/>
    <n v="0.41694315416943156"/>
    <n v="1"/>
    <n v="1"/>
    <n v="0.1"/>
    <x v="204"/>
    <n v="0.23984084880636605"/>
    <n v="218"/>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Gathering relevant reports"/>
    <s v="Med Connections Report"/>
    <s v="In this task, we receive instructions from vendor that report has been generated as per the instructions provided by CP. We save it on client application."/>
    <s v="Commercial "/>
    <s v="WC"/>
    <s v="WC"/>
    <s v="All"/>
    <s v="Back Office"/>
    <s v="L2"/>
    <n v="2"/>
    <n v="1"/>
    <n v="4"/>
    <s v="FTE Based"/>
    <s v="USD"/>
    <n v="24490.33"/>
    <n v="0.10598687605986876"/>
    <n v="1"/>
    <n v="1"/>
    <n v="0.1"/>
    <x v="205"/>
    <n v="0.94351304347826093"/>
    <n v="23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Initial Acknowledgement Letters"/>
    <s v="NY-PA-ME-  SROI Letter"/>
    <s v="Subsequent report of injury letters are sent to Injured worker, Insured and Attorney's as per CPs instructions"/>
    <s v="Commercial "/>
    <s v="WC"/>
    <s v="WC"/>
    <s v="All"/>
    <s v="Back Office"/>
    <s v="L2"/>
    <n v="2"/>
    <n v="1"/>
    <n v="4"/>
    <s v="FTE Based"/>
    <s v="USD"/>
    <n v="24490.33"/>
    <n v="0.5"/>
    <n v="1"/>
    <n v="1"/>
    <n v="0.1"/>
    <x v="83"/>
    <n v="0.2"/>
    <n v="847"/>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Triaging for SIU, Subro"/>
    <s v="BOE Reports"/>
    <s v="Various reports are pulled through client application manipulated and then saved on share point for future reference or shared with CPs via email"/>
    <s v="Commercial "/>
    <s v="Multi/ Combination"/>
    <s v="Multi/ Combination"/>
    <s v="All"/>
    <s v="Back Office"/>
    <s v="L2"/>
    <n v="2"/>
    <n v="1"/>
    <n v="4"/>
    <s v="FTE Based"/>
    <s v="USD"/>
    <n v="24490.33"/>
    <n v="0.5"/>
    <n v="1"/>
    <n v="1"/>
    <n v="0.1"/>
    <x v="83"/>
    <n v="0.2"/>
    <n v="12"/>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s v="ZNA"/>
    <s v="Fortune 500 Global P&amp;C Carrier"/>
    <s v="North America"/>
    <s v="Manila, PHP"/>
    <x v="1"/>
    <s v="Michelle Fontamillas"/>
    <n v="7"/>
    <x v="1"/>
    <x v="1"/>
    <x v="6"/>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s v="Commercial "/>
    <s v="WC"/>
    <s v="WC"/>
    <s v="Large"/>
    <s v="Blended"/>
    <s v="L3"/>
    <n v="1"/>
    <n v="5"/>
    <n v="6"/>
    <s v="FTE Based"/>
    <s v="USD"/>
    <n v="24490.33"/>
    <n v="42.66"/>
    <n v="3"/>
    <n v="2.5"/>
    <n v="14"/>
    <x v="206"/>
    <n v="0.3281762775433662"/>
    <n v="32000"/>
    <n v="32000"/>
    <s v="January &amp; October"/>
    <s v="8 Minutes"/>
    <n v="0.98"/>
    <n v="0.98"/>
    <s v="DPO – Defect Per Opportunity"/>
    <s v="NA"/>
    <s v="NA"/>
    <s v="Attrition"/>
    <s v="TAT &amp; QA"/>
    <s v="Multi/ Combination"/>
    <s v="SWM, Other automation tools, PGT,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EZAccess, Time and Billing, Claims Connect, Medwise, SWM/Smart Work Management Dashboard, MS Outlook, MS Teams"/>
  </r>
  <r>
    <s v="ZNA"/>
    <s v="Fortune 500 Global P&amp;C Carrier"/>
    <s v="North America"/>
    <s v="Manila, PHP"/>
    <x v="1"/>
    <s v="Michelle Fontamillas"/>
    <n v="6"/>
    <x v="1"/>
    <x v="1"/>
    <x v="1"/>
    <s v="Claim Setup and assignment"/>
    <s v="Referral and Triage"/>
    <s v="Assignment of NCMs or Client Integrated Nurses on claims as necessary. Requests can be from an automated system or adjusters/other nurses and reviewed using a list of client-approved criteria._x000a_"/>
    <s v="Commercial "/>
    <s v="WC"/>
    <s v="WC"/>
    <s v="Mid Size"/>
    <s v="Back Office"/>
    <s v="L3"/>
    <n v="1"/>
    <n v="3"/>
    <n v="4"/>
    <s v="FTE Based"/>
    <s v="USD"/>
    <n v="24490.33"/>
    <n v="6.37"/>
    <n v="1"/>
    <n v="1"/>
    <n v="2"/>
    <x v="207"/>
    <n v="0.31397174254317112"/>
    <n v="4700"/>
    <n v="4700"/>
    <s v="January &amp; October"/>
    <s v="14.7 Minutes"/>
    <n v="0.98"/>
    <n v="0.98"/>
    <s v="DPO – Defect Per Opportunity"/>
    <s v="NA"/>
    <s v="NA"/>
    <s v="Attrition"/>
    <s v="QA"/>
    <s v="Multi/ Combination"/>
    <s v="SWM, Other automation tools, PGT,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EZAccess, Claims Connect,  SWM/Smart Work Management Dashboard, MS Outlook, MS Teams, Share Point, Serrela, "/>
  </r>
  <r>
    <s v="ZNA"/>
    <s v="Fortune 500 Global P&amp;C Carrier"/>
    <s v="North America"/>
    <s v="Manila, PHP"/>
    <x v="1"/>
    <s v="Michelle Fontamillas"/>
    <n v="6"/>
    <x v="2"/>
    <x v="1"/>
    <x v="6"/>
    <s v="Identify claims for closing"/>
    <s v="Return to Work Coordinator"/>
    <s v="Nurse associates review and classify claims based on current work status parameters.  If it is determined, the claim will be sent to RTW nurses onshore for further review._x000a_"/>
    <s v="Commercial "/>
    <s v="WC"/>
    <s v="WC"/>
    <s v="Small"/>
    <s v="Back Office"/>
    <s v="L3"/>
    <n v="1"/>
    <n v="4"/>
    <n v="6"/>
    <s v="FTE Based"/>
    <s v="USD"/>
    <n v="24490.33"/>
    <n v="2"/>
    <n v="0"/>
    <n v="0"/>
    <n v="0"/>
    <x v="15"/>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s v="ZNA"/>
    <s v="Fortune 500 Global P&amp;C Carrier"/>
    <s v="North America"/>
    <s v="Manila, PHP"/>
    <x v="1"/>
    <s v="Michelle Fontamillas"/>
    <n v="7"/>
    <x v="1"/>
    <x v="1"/>
    <x v="6"/>
    <s v="Utilization Review"/>
    <s v="Intake and Closure"/>
    <s v="Intake Unit is responsible to  receive the request, review it for completeness and assign it to the USRN at EXL for complete Clinical Review. Closure Unit is responsible of sending out decision letters _x000a__x000a_"/>
    <s v="Commercial "/>
    <s v="WC"/>
    <s v="WC"/>
    <s v="Specialized"/>
    <s v="Back Office"/>
    <s v="L2"/>
    <n v="1"/>
    <n v="3"/>
    <n v="6"/>
    <s v="FTE Based"/>
    <s v="USD"/>
    <n v="24490.33"/>
    <n v="33.29"/>
    <n v="2"/>
    <n v="2.5"/>
    <n v="14"/>
    <x v="208"/>
    <n v="0.42054671072394112"/>
    <n v="15000"/>
    <n v="15000"/>
    <s v="January &amp; October"/>
    <s v="Intake: 21.3 min_x000a_Closure NY: 12.5 min._x000a_Closure Non - NY: 8.5 min."/>
    <s v="TAT 1: 70%_x000a_TAT 2: 99.6%_x000a_TAT 3: 99. 9%"/>
    <s v="Quality: 95%"/>
    <s v="DPO – Defect Per Opportunity"/>
    <s v="NA"/>
    <s v="NA"/>
    <s v="1. Attrition_x000a_2. Backlogs_x000a_3. MEI"/>
    <s v="UR TAT"/>
    <s v="Robotics"/>
    <s v="1. UR BOT_x000a_2. SWM_x000a_3. Process Guidance tool"/>
    <s v="UR BOT - 1 FTE Prod Gain (2020)"/>
    <s v="Extraction Tool"/>
    <s v="UR Extraction Tool"/>
    <s v="Increased Efficiency"/>
    <s v="NA"/>
    <s v="Requests received by fax and  worked by EXL nurse"/>
    <s v="Multiple"/>
    <s v="Structured"/>
    <s v="30% PDF &amp; 70% MS Office Document Imaging"/>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7"/>
    <x v="1"/>
    <x v="1"/>
    <x v="6"/>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s v="Commercial "/>
    <s v="WC"/>
    <s v="WC"/>
    <s v="Specialized"/>
    <s v="Blended"/>
    <s v="L3"/>
    <n v="1"/>
    <n v="6"/>
    <n v="10"/>
    <s v="FTE Based"/>
    <s v="USD"/>
    <n v="24490.33"/>
    <n v="29.32"/>
    <n v="2"/>
    <n v="2"/>
    <n v="8"/>
    <x v="209"/>
    <n v="0.27285129604365621"/>
    <n v="7200"/>
    <n v="7200"/>
    <s v="January &amp; October"/>
    <s v="34.3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Case Trakker"/>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5"/>
    <x v="1"/>
    <x v="1"/>
    <x v="6"/>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s v="Commercial "/>
    <s v="WC"/>
    <s v="WC"/>
    <s v="Specialized"/>
    <s v="Voice"/>
    <s v="L2"/>
    <n v="1"/>
    <n v="2"/>
    <n v="10"/>
    <s v="FTE Based"/>
    <s v="USD"/>
    <n v="24490.33"/>
    <n v="7"/>
    <n v="1"/>
    <n v="0.5"/>
    <n v="1"/>
    <x v="24"/>
    <n v="0.14285714285714285"/>
    <n v="2500"/>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vaya"/>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s v="Commercial "/>
    <s v="WC"/>
    <s v="WC Claims (except requests from Staff Legal   **Liability Claims (for vendor physician review requests only)_x000a_"/>
    <s v="Specialized"/>
    <s v="Back Office"/>
    <s v="L2"/>
    <n v="1"/>
    <n v="4"/>
    <n v="8"/>
    <s v="FTE Based"/>
    <s v="USD"/>
    <n v="24490.33"/>
    <n v="0.5"/>
    <n v="1"/>
    <n v="0"/>
    <n v="0.5"/>
    <x v="15"/>
    <n v="1"/>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s v="ZNA"/>
    <s v="Fortune 500 Global P&amp;C Carrier"/>
    <s v="North America"/>
    <s v="Manila, PHP"/>
    <x v="1"/>
    <s v="Michelle Fontamillas"/>
    <n v="1"/>
    <x v="2"/>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s v="Commercial "/>
    <s v="WC"/>
    <s v="WC"/>
    <s v="Specialized"/>
    <s v="Back Office"/>
    <s v="L1"/>
    <n v="1"/>
    <n v="1"/>
    <n v="4"/>
    <s v="FTE Based"/>
    <s v="USD"/>
    <n v="24490.33"/>
    <n v="7.67"/>
    <n v="0"/>
    <n v="0.5"/>
    <n v="2"/>
    <x v="210"/>
    <n v="0.2607561929595828"/>
    <n v="20000"/>
    <n v="20000"/>
    <s v="January &amp; October"/>
    <s v="3 minutes"/>
    <n v="0.98"/>
    <n v="0.98"/>
    <s v="DPO – Defect Per Opportunity"/>
    <s v="NA"/>
    <s v="NA"/>
    <s v="Attrition"/>
    <s v="Service Levels"/>
    <s v="Multi/ Combination"/>
    <s v="Ongoing for Xtrakto.Ai"/>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s v="ZNA"/>
    <s v="Fortune 500 Global P&amp;C Carrier"/>
    <s v="North America"/>
    <s v="Manila, PHP"/>
    <x v="1"/>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s v="Commercial "/>
    <s v="WC"/>
    <s v="WC"/>
    <s v="Specialized"/>
    <s v="Back Office"/>
    <s v="L2"/>
    <n v="1"/>
    <n v="1"/>
    <n v="4"/>
    <s v="FTE Based"/>
    <s v="USD"/>
    <n v="24490.33"/>
    <s v="inclusive of FTE in VC"/>
    <n v="0"/>
    <n v="0"/>
    <n v="0"/>
    <x v="130"/>
    <s v="NA"/>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s v="ZNA"/>
    <s v="Fortune 500 Global P&amp;C Carrier"/>
    <s v="North America"/>
    <s v="Noida, India"/>
    <x v="2"/>
    <s v="Anshuman Singh/Arbind Singh"/>
    <n v="6"/>
    <x v="2"/>
    <x v="2"/>
    <x v="4"/>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s v="Commercial "/>
    <s v="Multi/ Combination"/>
    <s v="All"/>
    <s v="All"/>
    <s v="Back Office"/>
    <s v="L2"/>
    <n v="1"/>
    <s v="2 to 4"/>
    <s v="2 to 4"/>
    <s v="FTE Based"/>
    <s v="USD"/>
    <n v="25123.55"/>
    <n v="1"/>
    <n v="4"/>
    <n v="0"/>
    <n v="0"/>
    <x v="103"/>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s v="ZNA"/>
    <s v="Fortune 500 Global P&amp;C Carrier"/>
    <s v="North America"/>
    <s v="Noida, India"/>
    <x v="2"/>
    <s v="Anshuman Singh/Arbind Singh"/>
    <n v="7"/>
    <x v="1"/>
    <x v="2"/>
    <x v="3"/>
    <s v="Indexing"/>
    <s v="Indexing"/>
    <s v="Correctly naming all documents per the Indexing Guidelines that are part of the Submission in eFile"/>
    <s v="Commercial "/>
    <s v="Multi/ Combination"/>
    <s v="All"/>
    <s v="All"/>
    <s v="Back Office"/>
    <s v="L2"/>
    <n v="1"/>
    <s v="2 to 4"/>
    <s v="2 to 4"/>
    <s v="FTE Based"/>
    <s v="USD"/>
    <n v="25123.55"/>
    <n v="11"/>
    <n v="1"/>
    <n v="0.5"/>
    <n v="1"/>
    <x v="106"/>
    <n v="9.0909090909090912E-2"/>
    <n v="5332"/>
    <n v="5332"/>
    <s v="Round the year"/>
    <n v="10.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s v="ZNA"/>
    <s v="Fortune 500 Global P&amp;C Carrier"/>
    <s v="North America"/>
    <s v="Noida, India"/>
    <x v="2"/>
    <s v="Anshuman Singh/Arbind Singh"/>
    <n v="7"/>
    <x v="1"/>
    <x v="2"/>
    <x v="4"/>
    <s v="Validate and Update Policy info (Limits, Exposure State, Exposure, FEIN, Address, Name Insured, Employers Liability etc.)"/>
    <s v="Additional System Setup"/>
    <s v="To fill all the details related to a policy (Insured, producer) in the required source system and setup rating taks."/>
    <s v="Commercial "/>
    <s v="Multi/ Combination"/>
    <s v="All"/>
    <s v="All"/>
    <s v="Back Office"/>
    <s v="L2"/>
    <n v="1"/>
    <s v="2 to 4"/>
    <s v="2 to 4"/>
    <s v="FTE Based"/>
    <s v="USD"/>
    <n v="25123.55"/>
    <n v="2.5"/>
    <n v="1"/>
    <n v="0"/>
    <n v="1"/>
    <x v="100"/>
    <n v="0.4"/>
    <n v="880"/>
    <n v="880"/>
    <s v="Round the year"/>
    <n v="5.4"/>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s v="ZNA"/>
    <s v="Fortune 500 Global P&amp;C Carrier"/>
    <s v="North America"/>
    <s v="Noida, India"/>
    <x v="2"/>
    <s v="Anshuman Singh/Arbind Singh"/>
    <n v="7"/>
    <x v="1"/>
    <x v="2"/>
    <x v="4"/>
    <s v="New Business setup"/>
    <s v="Add Product"/>
    <s v="Adding product to an existing submission because of Missed Product, or Broker made new requests or other reasons during New Business Set-Up of policy"/>
    <s v="Commercial "/>
    <s v="Multi/ Combination"/>
    <s v="All"/>
    <s v="All"/>
    <s v="Back Office"/>
    <s v="L2"/>
    <n v="1"/>
    <s v="2 to 4"/>
    <s v="2 to 4"/>
    <s v="FTE Based"/>
    <s v="USD"/>
    <n v="25123.55"/>
    <n v="0.06"/>
    <n v="0"/>
    <n v="0"/>
    <n v="0"/>
    <x v="211"/>
    <n v="0"/>
    <n v="5"/>
    <n v="5"/>
    <s v="Round the year"/>
    <n v="2.6"/>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s v="ZNA"/>
    <s v="Fortune 500 Global P&amp;C Carrier"/>
    <s v="North America"/>
    <s v="Noida, India"/>
    <x v="2"/>
    <s v="Anshuman Singh/Arbind Singh"/>
    <n v="3"/>
    <x v="2"/>
    <x v="2"/>
    <x v="4"/>
    <s v="Clearance and Registration"/>
    <s v="PLAC Decline"/>
    <s v="Clearing &amp; Registering upfront decline assignments in Underwriting Management"/>
    <s v="Commercial "/>
    <s v="Multi/ Combination"/>
    <s v="Auto, Property, GL, WC"/>
    <s v="Specialized"/>
    <s v="Back Office"/>
    <s v="L2"/>
    <n v="1"/>
    <s v="2 to 4"/>
    <s v="2 to 4"/>
    <s v="FTE Based"/>
    <s v="USD"/>
    <n v="25123.55"/>
    <n v="2"/>
    <n v="0"/>
    <n v="0"/>
    <n v="0"/>
    <x v="15"/>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s v="ZNA"/>
    <s v="Fortune 500 Global P&amp;C Carrier"/>
    <s v="North America"/>
    <s v="Noida, India"/>
    <x v="2"/>
    <s v="Anshuman Singh/Arbind Singh"/>
    <n v="4"/>
    <x v="1"/>
    <x v="1"/>
    <x v="6"/>
    <s v="State Guideline Research &amp; Review, ODG Benchmarks"/>
    <s v="GA-120"/>
    <s v="WC Claims Rate Cards for the State of Georgia are printed"/>
    <s v="Commercial "/>
    <s v="Multi/ Combination"/>
    <s v="WC"/>
    <s v="All"/>
    <s v="Back Office"/>
    <s v="L2"/>
    <n v="1"/>
    <s v="2 to 4"/>
    <s v="2 to 4"/>
    <s v="FTE Based"/>
    <s v="USD"/>
    <n v="25123.55"/>
    <n v="1"/>
    <n v="0"/>
    <n v="0"/>
    <n v="0"/>
    <x v="77"/>
    <n v="0"/>
    <n v="386"/>
    <n v="386"/>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s v="ZNA"/>
    <s v="Fortune 500 Global P&amp;C Carrier"/>
    <s v="North America"/>
    <s v="Noida, India"/>
    <x v="2"/>
    <s v="Anshuman Singh/Arbind Singh"/>
    <n v="0.1"/>
    <x v="1"/>
    <x v="2"/>
    <x v="4"/>
    <s v="New Business setup"/>
    <s v="E&amp;S C&amp;R"/>
    <s v="To clear and register the assignments for E&amp;S- PNP and Excess Casualty market baskets in Underwriting Management"/>
    <s v="Commercial "/>
    <s v="Multi/ Combination"/>
    <s v="All"/>
    <s v="All"/>
    <s v="Back Office"/>
    <s v="L2"/>
    <n v="1"/>
    <s v="2 to 4"/>
    <s v="2 to 4"/>
    <s v="FTE Based"/>
    <s v="USD"/>
    <n v="25123.55"/>
    <n v="2"/>
    <n v="0"/>
    <n v="0"/>
    <n v="0"/>
    <x v="15"/>
    <n v="0"/>
    <n v="485"/>
    <n v="485"/>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s v="ZNA"/>
    <s v="Fortune 500 Global P&amp;C Carrier"/>
    <s v="North America"/>
    <s v="Noida, India"/>
    <x v="2"/>
    <s v="Anshuman Singh/Arbind Singh"/>
    <n v="3"/>
    <x v="2"/>
    <x v="2"/>
    <x v="4"/>
    <s v="New Business setup"/>
    <s v="Paychex-NB"/>
    <s v="Paychex helps in small-business owners to succeed by taking care of the details that go into running a business. This helps client to spend more time on their customers, employees and their organisation/companies."/>
    <s v="Commercial "/>
    <s v="Multi/ Combination"/>
    <s v="Auto, Property, GL, WC"/>
    <s v="All"/>
    <s v="Back Office"/>
    <s v="L2"/>
    <n v="1"/>
    <s v="2 to 4"/>
    <s v="2 to 4"/>
    <s v="FTE Based"/>
    <s v="USD"/>
    <n v="25123.55"/>
    <n v="0.5"/>
    <n v="0"/>
    <n v="0"/>
    <n v="0"/>
    <x v="79"/>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s v="ZNA"/>
    <s v="Fortune 500 Global P&amp;C Carrier"/>
    <s v="North America"/>
    <s v="Noida, India"/>
    <x v="2"/>
    <s v="Anshuman Singh/Arbind Singh"/>
    <n v="3"/>
    <x v="2"/>
    <x v="2"/>
    <x v="4"/>
    <s v="New Business setup"/>
    <s v="Paychex-RN"/>
    <s v="Paychex helps in small-business owners to succeed by taking care of the details that go into running a business. This helps client to spend more time on their customers, employees and their organisation/companies."/>
    <s v="Commercial "/>
    <s v="Multi/ Combination"/>
    <s v="Auto, Property, GL, WC"/>
    <s v="All"/>
    <s v="Back Office"/>
    <s v="L2"/>
    <n v="1"/>
    <s v="2 to 4"/>
    <s v="2 to 4"/>
    <s v="FTE Based"/>
    <s v="USD"/>
    <n v="25123.55"/>
    <n v="1.3"/>
    <n v="0"/>
    <n v="0"/>
    <n v="0"/>
    <x v="126"/>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s v="ZNA"/>
    <s v="Fortune 500 Global P&amp;C Carrier"/>
    <s v="North America"/>
    <s v="Noida, India"/>
    <x v="2"/>
    <s v="Anshuman Singh/Arbind Singh"/>
    <n v="3"/>
    <x v="2"/>
    <x v="2"/>
    <x v="4"/>
    <s v="New Business setup"/>
    <s v="Paychex-NB (EPD)"/>
    <s v="Paychex helps in small-business owners to succeed by taking care of the details that go into running a business. This helps client to spend more time on their customers, employees and their organisation/companies."/>
    <s v="Commercial "/>
    <s v="Multi/ Combination"/>
    <s v="Fidelity Bond"/>
    <s v="All"/>
    <s v="Back Office"/>
    <s v="L2"/>
    <n v="1"/>
    <s v="2 to 4"/>
    <s v="2 to 4"/>
    <s v="FTE Based"/>
    <s v="USD"/>
    <n v="25123.55"/>
    <n v="1"/>
    <n v="0"/>
    <n v="0"/>
    <n v="0"/>
    <x v="77"/>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s v="ZNA"/>
    <s v="Fortune 500 Global P&amp;C Carrier"/>
    <s v="North America"/>
    <s v="Noida, India"/>
    <x v="2"/>
    <s v="Anshuman Singh/Arbind Singh"/>
    <n v="3"/>
    <x v="2"/>
    <x v="2"/>
    <x v="4"/>
    <s v="New Business setup"/>
    <s v="Paychex-RN (EPD)"/>
    <s v="Paychex helps in small-business owners to succeed by taking care of the details that go into running a business. This helps client to spend more time on their customers, employees and their organisation/companies."/>
    <s v="Commercial "/>
    <s v="Multi/ Combination"/>
    <s v="Fidelity Bond"/>
    <s v="All"/>
    <s v="Back Office"/>
    <s v="L2"/>
    <n v="1"/>
    <s v="2 to 4"/>
    <s v="2 to 4"/>
    <s v="FTE Based"/>
    <s v="USD"/>
    <n v="25123.55"/>
    <n v="1"/>
    <n v="0"/>
    <n v="0"/>
    <n v="0"/>
    <x v="77"/>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s v="ZNA"/>
    <s v="Fortune 500 Global P&amp;C Carrier"/>
    <s v="North America"/>
    <s v="Noida, India"/>
    <x v="2"/>
    <s v="Anshuman Singh/Arbind Singh"/>
    <n v="2"/>
    <x v="2"/>
    <x v="2"/>
    <x v="4"/>
    <s v="New Business setup"/>
    <s v="Captive Bind"/>
    <s v="The bind policy function is performed, once an order is received on a submission &amp; the policy is bound in Workbench."/>
    <s v="Commercial "/>
    <s v="Multi/ Combination"/>
    <s v="Auto, Property, GL, WC"/>
    <s v="All"/>
    <s v="Back Office"/>
    <s v="L2"/>
    <n v="1"/>
    <s v="2 to 4"/>
    <s v="2 to 4"/>
    <s v="FTE Based"/>
    <s v="USD"/>
    <n v="25123.55"/>
    <n v="1.5"/>
    <n v="0"/>
    <n v="0"/>
    <n v="0"/>
    <x v="78"/>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s v="ZNA"/>
    <s v="Fortune 500 Global P&amp;C Carrier"/>
    <s v="North America"/>
    <s v="Noida, India"/>
    <x v="2"/>
    <s v="Anshuman Singh/Arbind Singh"/>
    <n v="2"/>
    <x v="2"/>
    <x v="2"/>
    <x v="4"/>
    <s v="Clearance and Registration"/>
    <s v="Captive C&amp;R"/>
    <s v="Clearing and Registering New Business Submissions is the process of recording all the submission information available into Workbench (Zurich Corporate Database)."/>
    <s v="Commercial "/>
    <s v="Multi/ Combination"/>
    <s v="Auto, Property, GL, WC"/>
    <s v="All"/>
    <s v="Back Office"/>
    <s v="L2"/>
    <n v="1"/>
    <s v="2 to 4"/>
    <s v="2 to 4"/>
    <s v="FTE Based"/>
    <s v="USD"/>
    <n v="25123.55"/>
    <n v="1"/>
    <n v="0"/>
    <n v="0"/>
    <n v="0"/>
    <x v="77"/>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s v="ZNA"/>
    <s v="Fortune 500 Global P&amp;C Carrier"/>
    <s v="North America"/>
    <s v="Noida, India"/>
    <x v="2"/>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s v="Commercial "/>
    <s v="Multi/ Combination"/>
    <s v="Auto, Property, GL, WC"/>
    <s v="All"/>
    <s v="Back Office"/>
    <s v="L2"/>
    <n v="1"/>
    <s v="2 to 4"/>
    <s v="2 to 4"/>
    <s v="FTE Based"/>
    <s v="USD"/>
    <n v="25123.55"/>
    <n v="2"/>
    <n v="0"/>
    <n v="0"/>
    <n v="0"/>
    <x v="15"/>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s v="ZNA"/>
    <s v="Fortune 500 Global P&amp;C Carrier"/>
    <s v="North America"/>
    <s v="Noida, India"/>
    <x v="2"/>
    <s v="Anshuman Singh/Arbind Singh"/>
    <n v="3"/>
    <x v="1"/>
    <x v="2"/>
    <x v="4"/>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s v="Commercial "/>
    <s v="Multi/ Combination"/>
    <s v="WC"/>
    <s v="All"/>
    <s v="Back Office"/>
    <s v="L2"/>
    <n v="1"/>
    <s v="2 to 4"/>
    <s v="2 to 4"/>
    <s v="FTE Based"/>
    <s v="USD"/>
    <n v="25123.55"/>
    <n v="2"/>
    <n v="0"/>
    <n v="0"/>
    <n v="0"/>
    <x v="15"/>
    <n v="0"/>
    <n v="625"/>
    <n v="625"/>
    <s v="Round the year"/>
    <n v="7.9"/>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s v="ZNA"/>
    <s v="Fortune 500 Global P&amp;C Carrier"/>
    <s v="North America"/>
    <s v="Noida, India"/>
    <x v="2"/>
    <s v="Anshuman Singh/Arbind Singh"/>
    <n v="1"/>
    <x v="1"/>
    <x v="2"/>
    <x v="3"/>
    <s v="Indexing"/>
    <s v="Program Upload"/>
    <s v="A document upload request in Outlook Mailbox comes into Inbox. These requests have documents related to Endorsements, hence only needs to be uploaded in eFile."/>
    <s v="Commercial "/>
    <s v="Multi/ Combination"/>
    <s v="WC"/>
    <s v="All"/>
    <s v="Back Office"/>
    <s v="L2"/>
    <n v="1"/>
    <s v="2 to 4"/>
    <s v="2 to 4"/>
    <s v="FTE Based"/>
    <s v="USD"/>
    <n v="25123.55"/>
    <n v="2.34"/>
    <n v="1"/>
    <n v="0"/>
    <n v="0"/>
    <x v="212"/>
    <n v="0"/>
    <n v="2230"/>
    <n v="2230"/>
    <s v="Round the year"/>
    <n v="5.8"/>
    <n v="0.96"/>
    <n v="0.984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s v="ZNA"/>
    <s v="Fortune 500 Global P&amp;C Carrier"/>
    <s v="North America"/>
    <s v="Noida, India"/>
    <x v="2"/>
    <s v="Anshuman Singh/Arbind Singh"/>
    <n v="1"/>
    <x v="1"/>
    <x v="2"/>
    <x v="10"/>
    <s v="Prepare Written Quote/ Proposal"/>
    <s v="Program Submission"/>
    <s v="Submission requests are processed under Alternative Markets to initiate the New Business and Renewal transactions in ULTRA and Workbench."/>
    <s v="Commercial "/>
    <s v="Multi/ Combination"/>
    <s v="Auto, Property, GL"/>
    <s v="All"/>
    <s v="Back Office"/>
    <s v="L2"/>
    <n v="1"/>
    <s v="2 to 4"/>
    <s v="2 to 4"/>
    <s v="FTE Based"/>
    <s v="USD"/>
    <n v="25123.55"/>
    <n v="0.1"/>
    <n v="0"/>
    <n v="0"/>
    <n v="0"/>
    <x v="213"/>
    <n v="0"/>
    <n v="7"/>
    <n v="7"/>
    <s v="Round the year"/>
    <n v="34.799999999999997"/>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s v="ZNA"/>
    <s v="Fortune 500 Global P&amp;C Carrier"/>
    <s v="North America"/>
    <s v="Noida, India"/>
    <x v="2"/>
    <s v="Anshuman Singh/Arbind Singh"/>
    <n v="2"/>
    <x v="2"/>
    <x v="2"/>
    <x v="3"/>
    <s v="Endorsements intake and setup"/>
    <s v="Paychex Endorsement"/>
    <s v="Modifying and changing the forms used in Paychex policies"/>
    <s v="Commercial "/>
    <s v="Multi/ Combination"/>
    <s v="Fidelity Bond"/>
    <s v="All"/>
    <s v="Back Office"/>
    <s v="L2"/>
    <n v="1"/>
    <s v="2 to 4"/>
    <s v="2 to 4"/>
    <s v="FTE Based"/>
    <s v="USD"/>
    <n v="25123.55"/>
    <n v="0.01"/>
    <n v="0"/>
    <n v="0"/>
    <n v="0"/>
    <x v="214"/>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s v="ZNA"/>
    <s v="Fortune 500 Global P&amp;C Carrier"/>
    <s v="North America"/>
    <s v="Noida, India"/>
    <x v="2"/>
    <s v="Anshuman Singh/Arbind Singh"/>
    <n v="2"/>
    <x v="2"/>
    <x v="2"/>
    <x v="3"/>
    <s v="Endorsements intake and setup"/>
    <s v="Paychex Cancellation"/>
    <s v="Cancelling the policies issued in paychex"/>
    <s v="Commercial "/>
    <s v="Multi/ Combination"/>
    <s v="Fidelity Bond"/>
    <s v="All"/>
    <s v="Back Office"/>
    <s v="L2"/>
    <n v="1"/>
    <s v="2 to 4"/>
    <s v="2 to 4"/>
    <s v="FTE Based"/>
    <s v="USD"/>
    <n v="25123.55"/>
    <n v="0.01"/>
    <n v="0"/>
    <n v="0"/>
    <n v="0"/>
    <x v="214"/>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s v="ZNA"/>
    <s v="Fortune 500 Global P&amp;C Carrier"/>
    <s v="North America"/>
    <s v="Noida, India"/>
    <x v="2"/>
    <s v="Anshuman Singh/Arbind Singh"/>
    <n v="6"/>
    <x v="2"/>
    <x v="2"/>
    <x v="10"/>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s v="Commercial "/>
    <s v="Multi/ Combination"/>
    <s v="Auto, Property, GL, WC"/>
    <s v="Mid Size"/>
    <s v="Back Office"/>
    <s v="L2"/>
    <n v="1"/>
    <s v="2 to 4"/>
    <s v="2 to 4"/>
    <s v="FTE Based"/>
    <s v="USD"/>
    <n v="25123.55"/>
    <n v="1"/>
    <n v="0"/>
    <n v="0"/>
    <n v="0"/>
    <x v="77"/>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s v="ZNA"/>
    <s v="Fortune 500 Global P&amp;C Carrier"/>
    <s v="North America"/>
    <s v="Noida, India"/>
    <x v="2"/>
    <s v="Anshuman Singh/Arbind Singh"/>
    <n v="6"/>
    <x v="2"/>
    <x v="2"/>
    <x v="4"/>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s v="Commercial "/>
    <s v="Multi/ Combination"/>
    <s v="Auto, Property, GL, WC"/>
    <s v="Mid Size"/>
    <s v="Back Office"/>
    <s v="L2"/>
    <n v="1"/>
    <s v="2 to 4"/>
    <s v="2 to 4"/>
    <s v="FTE Based"/>
    <s v="USD"/>
    <n v="25123.55"/>
    <n v="0.3"/>
    <n v="0"/>
    <n v="0"/>
    <n v="0"/>
    <x v="215"/>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s v="ZNA"/>
    <s v="Fortune 500 Global P&amp;C Carrier"/>
    <s v="North America"/>
    <s v="Noida, India"/>
    <x v="2"/>
    <s v="Anshuman Singh/Arbind Singh"/>
    <n v="7"/>
    <x v="1"/>
    <x v="2"/>
    <x v="10"/>
    <s v="New Business Quotes/ Rating"/>
    <s v="CRR"/>
    <s v="To review and determine if ZNA is interested in continuing the business currently written with it."/>
    <s v="Commercial "/>
    <s v="Multi/ Combination"/>
    <s v="All"/>
    <s v="All"/>
    <s v="Back Office"/>
    <s v="L2"/>
    <n v="1"/>
    <s v="2 to 4"/>
    <s v="2 to 4"/>
    <s v="FTE Based"/>
    <s v="USD"/>
    <n v="25123.55"/>
    <n v="2.4"/>
    <n v="1"/>
    <n v="0"/>
    <n v="1"/>
    <x v="216"/>
    <n v="0.41666666666666669"/>
    <n v="1215"/>
    <n v="1215"/>
    <s v="Round the year"/>
    <n v="3"/>
    <n v="0.96"/>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s v="ZNA"/>
    <s v="Fortune 500 Global P&amp;C Carrier"/>
    <s v="North America"/>
    <s v="Noida, India"/>
    <x v="2"/>
    <s v="Anshuman Singh/Arbind Singh"/>
    <n v="7"/>
    <x v="1"/>
    <x v="2"/>
    <x v="3"/>
    <s v="Indexing"/>
    <s v="Update Renewal and Index"/>
    <s v="Correctly naming all documents per the Indexing Guidelines that are part of the Submission in eFile"/>
    <s v="Commercial "/>
    <s v="Multi/ Combination"/>
    <s v="All"/>
    <s v="All"/>
    <s v="Back Office"/>
    <s v="L2"/>
    <n v="1"/>
    <s v="2 to 4"/>
    <s v="2 to 4"/>
    <s v="FTE Based"/>
    <s v="USD"/>
    <n v="25123.55"/>
    <n v="1.5"/>
    <n v="0"/>
    <n v="0"/>
    <n v="0"/>
    <x v="78"/>
    <n v="0"/>
    <n v="223"/>
    <n v="223"/>
    <s v="Round the year"/>
    <n v="17.5"/>
    <n v="0.96"/>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s v="ZNA"/>
    <s v="Fortune 500 Global P&amp;C Carrier"/>
    <s v="North America"/>
    <s v="Noida, India"/>
    <x v="2"/>
    <s v="Anshuman Singh/Arbind Singh"/>
    <n v="7"/>
    <x v="1"/>
    <x v="2"/>
    <x v="4"/>
    <s v="Validate and Update Policy info (Limits, Exposure State, Exposure, FEIN, Address, Name Insured, Employers Liability etc.)"/>
    <s v="Add Product"/>
    <s v="Adding product to an existing submission because of Missed Product, or Broker made new requests or other reasons during Renewal Set-Up of policy"/>
    <s v="Commercial "/>
    <s v="Multi/ Combination"/>
    <s v="All"/>
    <s v="All"/>
    <s v="Back Office"/>
    <s v="L2"/>
    <n v="1"/>
    <s v="2 to 4"/>
    <s v="2 to 4"/>
    <s v="FTE Based"/>
    <s v="USD"/>
    <n v="25123.55"/>
    <n v="0.1"/>
    <n v="0"/>
    <n v="0.5"/>
    <n v="0"/>
    <x v="213"/>
    <n v="0"/>
    <n v="4"/>
    <n v="4"/>
    <s v="Round the year"/>
    <n v="3"/>
    <n v="0.96"/>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s v="ZNA"/>
    <s v="Fortune 500 Global P&amp;C Carrier"/>
    <s v="North America"/>
    <s v="Noida, India"/>
    <x v="2"/>
    <s v="Anshuman Singh/Arbind Singh"/>
    <n v="7"/>
    <x v="1"/>
    <x v="2"/>
    <x v="2"/>
    <s v="Verification of Agent/Agency license (P&amp;AL initial &amp; secondary)"/>
    <s v="Initial Verification"/>
    <s v="To confirms that the proper state appointment and/or licenses are in place"/>
    <s v="Commercial "/>
    <s v="Multi/ Combination"/>
    <s v="All"/>
    <s v="All"/>
    <s v="Back Office"/>
    <s v="L2"/>
    <n v="1"/>
    <s v="2 to 4"/>
    <s v="2 to 4"/>
    <s v="FTE Based"/>
    <s v="USD"/>
    <n v="25123.55"/>
    <n v="1"/>
    <n v="1"/>
    <n v="0"/>
    <n v="0"/>
    <x v="77"/>
    <n v="0"/>
    <n v="1959"/>
    <n v="1959"/>
    <s v="Round the year"/>
    <n v="3.5"/>
    <n v="0.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s v="ZNA"/>
    <s v="Fortune 500 Global P&amp;C Carrier"/>
    <s v="North America"/>
    <s v="Noida, India"/>
    <x v="2"/>
    <s v="Anshuman Singh/Arbind Singh"/>
    <n v="7"/>
    <x v="1"/>
    <x v="2"/>
    <x v="2"/>
    <s v="Verification of Agent/Agency license (P&amp;AL initial &amp; secondary)"/>
    <s v="Secondary Verification"/>
    <s v="To confirms that the proper state appointment and/or licenses are in place"/>
    <s v="Commercial "/>
    <s v="Multi/ Combination"/>
    <s v="All"/>
    <s v="All"/>
    <s v="Back Office"/>
    <s v="L2"/>
    <n v="1"/>
    <s v="2 to 4"/>
    <s v="2 to 4"/>
    <s v="FTE Based"/>
    <s v="USD"/>
    <n v="25123.55"/>
    <n v="1"/>
    <n v="0"/>
    <n v="0"/>
    <n v="0"/>
    <x v="77"/>
    <n v="0"/>
    <n v="88"/>
    <n v="88"/>
    <s v="Round the year"/>
    <n v="3.5"/>
    <n v="0.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s v="ZNA"/>
    <s v="Fortune 500 Global P&amp;C Carrier"/>
    <s v="North America"/>
    <s v="Noida, India"/>
    <x v="2"/>
    <s v="Anshuman Singh/Arbind Singh"/>
    <n v="3"/>
    <x v="1"/>
    <x v="2"/>
    <x v="2"/>
    <s v="Verification of Agent/Agency license (P&amp;AL initial &amp; secondary)"/>
    <s v="UM PA&amp;L Resolution"/>
    <s v="To confirms that the proper state appointment and/or licenses are in place"/>
    <s v="Commercial "/>
    <s v="Multi/ Combination"/>
    <s v="All"/>
    <s v="All"/>
    <s v="Back Office"/>
    <s v="L2"/>
    <n v="1"/>
    <s v="2 to 4"/>
    <s v="2 to 4"/>
    <s v="FTE Based"/>
    <s v="USD"/>
    <n v="25123.55"/>
    <n v="3"/>
    <n v="0"/>
    <n v="0"/>
    <n v="1"/>
    <x v="19"/>
    <n v="0.33333333333333331"/>
    <n v="2982"/>
    <n v="2982"/>
    <s v="Round the year"/>
    <n v="9.6"/>
    <n v="0.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s v="ZNA"/>
    <s v="Fortune 500 Global P&amp;C Carrier"/>
    <s v="North America"/>
    <s v="Noida, India"/>
    <x v="2"/>
    <s v="Anshuman Singh/Arbind Singh"/>
    <n v="7"/>
    <x v="1"/>
    <x v="2"/>
    <x v="5"/>
    <s v="Renewal Issuance"/>
    <s v="Rating and Issuance"/>
    <s v="Process deals in Rating and Issuance of Policy. Rating of policy is Premium quotation which is used by UW/UA and Issuance of Policy is to assemble policy as per the terms and conditions which is in binder and issue it to UA/broker"/>
    <s v="Specialty"/>
    <s v="Specialty"/>
    <s v="Management Liability PNP_x000a_Management Liability Public_x000a_Financial Institutions_x000a_"/>
    <s v="Mid Size"/>
    <s v="Back Office"/>
    <s v="L3"/>
    <n v="2"/>
    <n v="4"/>
    <n v="5"/>
    <s v="FTE Based"/>
    <s v="USD"/>
    <s v="_x0009_$33,095.23"/>
    <n v="16"/>
    <n v="2"/>
    <n v="0.5"/>
    <n v="1"/>
    <x v="121"/>
    <n v="6.25E-2"/>
    <n v="750"/>
    <s v="Middle Market - 750_x000a_CORP - 170_x000a_Financial Institution -120"/>
    <s v="February and May"/>
    <s v="Rate - Financial Institutions-73_x000a_Rate - Mgmt. Liability PNP-72_x000a_Issuance - Financial Institutions-64_x000a_Issuance - Mgmt. Liability Public-51"/>
    <n v="0.95"/>
    <n v="0.93500000000000005"/>
    <s v="DPU – Defect Per Unit"/>
    <s v="Productivity - 100%"/>
    <s v="NA"/>
    <s v="Manual Work Allocation"/>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Citrix_x000a_UWD_x000a_Z-spire_x000a_Zapper_x000a_Efile_x000a_EPD Tool_x000a_VIN_x000a_I-track_x000a_Workbench"/>
  </r>
  <r>
    <s v="ZNA"/>
    <s v="Fortune 500 Global P&amp;C Carrier"/>
    <s v="North America"/>
    <s v="Noida, India"/>
    <x v="2"/>
    <s v="Anshuman Singh/Arbind Singh"/>
    <n v="5"/>
    <x v="1"/>
    <x v="2"/>
    <x v="10"/>
    <s v="New Business Quotes/ Rating"/>
    <s v="Rating"/>
    <s v="EXL manages Rating for Mid Size Business commercial market for ZNA. Team processes rating task for Auto, GL, Worker’s Compensation, OCP RRP, Construction and Property for Quation of Premium"/>
    <s v="Commercial "/>
    <s v="Package"/>
    <s v="Auto_x000a_GL_x000a_WC_x000a_Property_x000a_Non Truck Liability_x000a_OCP RRP_x000a_Construction"/>
    <s v="Mid Size"/>
    <s v="Back Office"/>
    <s v="L3"/>
    <n v="3"/>
    <n v="12"/>
    <n v="6"/>
    <s v="FTE Based"/>
    <s v="USD"/>
    <s v="_x0009_$33,095.23"/>
    <n v="4"/>
    <n v="2"/>
    <n v="0.3"/>
    <n v="1"/>
    <x v="19"/>
    <n v="0.25"/>
    <n v="100"/>
    <s v="Auto - 30_x000a_GL - 20_x000a_WC - 20_x000a_Property - 30"/>
    <s v="May and October"/>
    <s v="&quot;PACE(All Product) - 131.2_x000a_Non PACE (1 Product) - 104_x000a_Non PACE (2 Product) - 185_x000a_Non PACE (3 Product) - 278_x000a_Non PACE (4 Product) - 359_x000a_NTL - 545_x000a_OCP/RRP - 49&quot;"/>
    <n v="0.87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ZAPPER_x000a_E-File_x000a_Outlook_x000a_Workbench_x000a_Underwriting Desktop_x000a_VIN Validation Tool_x000a_USPS_x000a_Prometrics_x000a_"/>
  </r>
  <r>
    <s v="ZNA"/>
    <s v="Fortune 500 Global P&amp;C Carrier"/>
    <s v="North America"/>
    <s v="Pune, India"/>
    <x v="2"/>
    <s v="Arbind Singh/Saurabh Sharma"/>
    <n v="3"/>
    <x v="1"/>
    <x v="2"/>
    <x v="5"/>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s v="Commercial "/>
    <s v="Package"/>
    <s v="Auto_x000a_GL_x000a_WC_x000a_Property_x000a_Non Truck Liability_x000a_OCP RRP_x000a_Construction"/>
    <s v="Mid Size"/>
    <s v="Back Office"/>
    <s v="L3"/>
    <n v="3"/>
    <n v="8"/>
    <n v="6"/>
    <s v="FTE Based"/>
    <s v="USD"/>
    <s v="_x0009_$33,095.23"/>
    <n v="4"/>
    <n v="2"/>
    <n v="0"/>
    <n v="0"/>
    <x v="19"/>
    <n v="0"/>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ZAPPER_x000a_E-File_x000a_Outlook_x000a_Underwriting Desktop_x000a_USPS_x000a_Cesar_x000a_Lotus Notes_x000a_"/>
  </r>
  <r>
    <s v="ZNA"/>
    <s v="Fortune 500 Global P&amp;C Carrier"/>
    <s v="North America"/>
    <s v="Pune, India"/>
    <x v="2"/>
    <s v="Arbind Singh/Saurabh Sharma"/>
    <n v="7"/>
    <x v="1"/>
    <x v="2"/>
    <x v="5"/>
    <s v="New Business Issuance"/>
    <s v="New Business Issuance"/>
    <s v="To issue the New business policy per instruction/finalize premium and generate final Issuance documents"/>
    <s v="Commercial &amp; Specialty"/>
    <s v="UMB"/>
    <s v="Umbrella"/>
    <s v="Large"/>
    <s v="Back Office"/>
    <s v="L3"/>
    <s v="1 to 2"/>
    <s v="4 to 6"/>
    <s v="4 to 6"/>
    <s v="FTE Based"/>
    <s v="USD"/>
    <s v="_x0009_$33,095.23"/>
    <n v="0.33481182708732332"/>
    <n v="1.5"/>
    <n v="1"/>
    <n v="1"/>
    <x v="217"/>
    <n v="2.9867523160679355"/>
    <n v="85"/>
    <n v="85"/>
    <s v="NA"/>
    <n v="25.1"/>
    <n v="0.92700000000000005"/>
    <n v="0.94699999999999995"/>
    <s v="DPU – Defect Per Unit"/>
    <s v="Productivity - 100%"/>
    <s v="NA"/>
    <s v="NA"/>
    <s v="NA"/>
    <s v="NA"/>
    <s v="NA"/>
    <s v="NA"/>
    <s v="NA"/>
    <s v="NA"/>
    <s v="NA"/>
    <s v="NA"/>
    <s v="UA/UW"/>
    <s v="Multiple"/>
    <s v="Semi-Structured"/>
    <s v="PDF-90%, Excel file - 10%"/>
    <s v="PDFs"/>
    <s v="UA &amp; UW"/>
    <s v="Citrix_x000a_Ultra_x000a_Lotus Notes_x000a_E-file_x000a_Underwriting Desktop_x000a_Outlook_x000a_MS Teams"/>
  </r>
  <r>
    <s v="ZNA"/>
    <s v="Fortune 500 Global P&amp;C Carrier"/>
    <s v="North America"/>
    <s v="Pune, India"/>
    <x v="2"/>
    <s v="Arbind Singh/Saurabh Sharma"/>
    <n v="7"/>
    <x v="1"/>
    <x v="2"/>
    <x v="5"/>
    <s v="Renewal Issuance"/>
    <s v="Renewal Issuance"/>
    <s v="To issue the renewal policy per instruction/finalize premium and generate final Issuance documents"/>
    <s v="Commercial &amp; Specialty"/>
    <s v="UMB"/>
    <s v="Umbrella"/>
    <s v="Large"/>
    <s v="Back Office"/>
    <s v="L3"/>
    <s v="1 to 2"/>
    <s v="4 to 6"/>
    <s v="4 to 6"/>
    <s v="FTE Based"/>
    <s v="USD"/>
    <s v="_x0009_$33,095.23"/>
    <n v="1.217014419095191"/>
    <n v="0"/>
    <n v="0"/>
    <n v="0"/>
    <x v="218"/>
    <n v="0"/>
    <n v="185"/>
    <n v="185"/>
    <s v="NA"/>
    <n v="25.1"/>
    <n v="0.92700000000000005"/>
    <n v="0.94699999999999995"/>
    <s v="DPU – Defect Per Unit"/>
    <s v="Productivity - 100%"/>
    <s v="NA"/>
    <s v="NA"/>
    <s v="NA"/>
    <s v="NA"/>
    <s v="NA"/>
    <s v="NA"/>
    <s v="NA"/>
    <s v="NA"/>
    <s v="NA"/>
    <s v="NA"/>
    <s v="UA/UW"/>
    <s v="Multiple"/>
    <s v="Semi-Structured"/>
    <s v="PDF-90%, Excel file - 10%"/>
    <s v="PDFs"/>
    <s v="UA &amp; UW"/>
    <s v="Citrix_x000a_Ultra_x000a_Lotus Notes_x000a_E-file_x000a_Underwriting Desktop_x000a_Outlook_x000a_MS Teams"/>
  </r>
  <r>
    <s v="ZNA"/>
    <s v="Fortune 500 Global P&amp;C Carrier"/>
    <s v="North America"/>
    <s v="Pune, India"/>
    <x v="2"/>
    <s v="Arbind Singh/Saurabh Sharma"/>
    <n v="7"/>
    <x v="1"/>
    <x v="2"/>
    <x v="5"/>
    <s v="Endorsements Issuance"/>
    <s v="Endorsement"/>
    <s v="To process instructed changes on policy through endorsement"/>
    <s v="Commercial &amp; Specialty"/>
    <s v="UMB"/>
    <s v="Umbrella"/>
    <s v="Large"/>
    <s v="Back Office"/>
    <s v="L3"/>
    <s v="1 to 2"/>
    <s v="4 to 6"/>
    <s v="4 to 6"/>
    <s v="FTE Based"/>
    <s v="USD"/>
    <s v="_x0009_$33,095.23"/>
    <n v="1.64"/>
    <n v="0"/>
    <n v="0"/>
    <n v="0"/>
    <x v="219"/>
    <n v="0"/>
    <n v="178"/>
    <n v="178"/>
    <s v="NA"/>
    <n v="39.799999999999997"/>
    <n v="0.92700000000000005"/>
    <n v="0.94699999999999995"/>
    <s v="DPU – Defect Per Unit"/>
    <s v="Productivity - 100%"/>
    <s v="NA"/>
    <s v="Multiple endorsement copy to create for the endorsement with same effective date"/>
    <s v="NA"/>
    <s v="AIM idea implemented"/>
    <s v="If multiple changes requested in endorsement, then create endorsement wording for all changes, rather than creating seprate endorsement wordings for all request "/>
    <s v="0.5 FTE "/>
    <s v="NA"/>
    <s v="NA"/>
    <s v="NA"/>
    <s v="NA"/>
    <s v="UA/UW"/>
    <s v="Multiple"/>
    <s v="Semi-Structured"/>
    <s v="Email Correspondance-90%, PDF-10%"/>
    <s v="PDFs"/>
    <s v="UA &amp; UW"/>
    <s v="Citrix_x000a_Ultra_x000a_Lotus Notes_x000a_E-file_x000a_Underwriting Desktop_x000a_Outlook_x000a_MS Teams"/>
  </r>
  <r>
    <s v="ZNA"/>
    <s v="Fortune 500 Global P&amp;C Carrier"/>
    <s v="North America"/>
    <s v="Pune, India"/>
    <x v="2"/>
    <s v="Arbind Singh/Saurabh Sharma"/>
    <n v="7"/>
    <x v="1"/>
    <x v="2"/>
    <x v="10"/>
    <s v="New Business Quotes/ Rating"/>
    <s v="New Business Rate"/>
    <s v="As per UA/UW instructions to generate Umbrella New business Quote premium"/>
    <s v="Commercial &amp; Specialty"/>
    <s v="UMB"/>
    <s v="Umbrella"/>
    <s v="Large"/>
    <s v="Back Office"/>
    <s v="L3"/>
    <s v="1 to 2"/>
    <s v="4 to 6"/>
    <s v="4 to 6"/>
    <s v="FTE Based"/>
    <s v="USD"/>
    <s v="_x0009_$33,095.23"/>
    <n v="2.9079448988042862"/>
    <n v="0"/>
    <n v="0"/>
    <n v="0"/>
    <x v="220"/>
    <n v="0"/>
    <n v="190"/>
    <n v="190"/>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10"/>
    <s v="Renewal Quotes/ Rating"/>
    <s v="Renewal Rate"/>
    <s v="As per UA/UW revise instructions to generate Umbrella Renewal-Rate premium"/>
    <s v="Commercial &amp; Specialty"/>
    <s v="UMB"/>
    <s v="Umbrella"/>
    <s v="Large"/>
    <s v="Back Office"/>
    <s v="L3"/>
    <s v="1 to 2"/>
    <s v="4 to 6"/>
    <s v="4 to 6"/>
    <s v="FTE Based"/>
    <s v="USD"/>
    <s v="_x0009_$33,095.23"/>
    <n v="2.3221718256638542"/>
    <n v="0"/>
    <n v="0"/>
    <n v="0"/>
    <x v="221"/>
    <n v="0"/>
    <n v="243"/>
    <n v="243"/>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10"/>
    <s v="Re-Rating"/>
    <s v="Re-Rate"/>
    <s v="As per UA/UW revise instructions to generate Umbrella Re-Rate premium"/>
    <s v="Commercial &amp; Specialty"/>
    <s v="UMB"/>
    <s v="Umbrella"/>
    <s v="Large"/>
    <s v="Back Office"/>
    <s v="L3"/>
    <s v="1 to 2"/>
    <s v="4 to 6"/>
    <s v="4 to 6"/>
    <s v="FTE Based"/>
    <s v="USD"/>
    <s v="_x0009_$33,095.23"/>
    <n v="1"/>
    <n v="0"/>
    <n v="0"/>
    <n v="0"/>
    <x v="77"/>
    <n v="0"/>
    <n v="17"/>
    <n v="17"/>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3"/>
    <s v="Cancel and Rewrite"/>
    <s v="Cancel - Rewrite"/>
    <s v="To process cancel/Rewrite per instructions"/>
    <s v="Commercial &amp; Specialty"/>
    <s v="UMB"/>
    <s v="Umbrella"/>
    <s v="Large"/>
    <s v="Back Office"/>
    <s v="L3"/>
    <s v="1 to 2"/>
    <s v="4 to 6"/>
    <s v="4 to 6"/>
    <s v="FTE Based"/>
    <s v="USD"/>
    <s v="_x0009_$33,095.23"/>
    <n v="5.7362570526424761E-3"/>
    <n v="0"/>
    <n v="0"/>
    <n v="0"/>
    <x v="222"/>
    <n v="0"/>
    <n v="2"/>
    <n v="2"/>
    <s v="NA"/>
    <n v="17"/>
    <n v="0.92700000000000005"/>
    <n v="0.94699999999999995"/>
    <s v="DPU – Defect Per Unit"/>
    <s v="Productivity - 100%"/>
    <s v="NA"/>
    <s v="NA"/>
    <s v="NA"/>
    <s v="NA"/>
    <s v="NA"/>
    <s v="NA"/>
    <s v="NA"/>
    <s v="NA"/>
    <s v="NA"/>
    <s v="NA"/>
    <s v="UA/UW"/>
    <s v="Instructions in Application"/>
    <s v="Structured"/>
    <s v="PDF-100%"/>
    <s v="PDFs"/>
    <s v="UA &amp; UW"/>
    <s v="Citrix_x000a_Ultra_x000a_Lotus Notes_x000a_E-file_x000a_Underwriting Desktop_x000a_Outlook_x000a_MS Teams"/>
  </r>
  <r>
    <s v="ZNA"/>
    <s v="Fortune 500 Global P&amp;C Carrier"/>
    <s v="North America"/>
    <s v="Pune, India"/>
    <x v="2"/>
    <s v="Arbind Singh/Saurabh Sharma"/>
    <n v="7"/>
    <x v="1"/>
    <x v="2"/>
    <x v="3"/>
    <s v="Cancel and Rewrite"/>
    <s v="Cancellation &amp; Reinstatement"/>
    <s v="To process cancellation &amp; Reinstament per instructions"/>
    <s v="Commercial &amp; Specialty"/>
    <s v="UMB"/>
    <s v="Umbrella"/>
    <s v="Large"/>
    <s v="Back Office"/>
    <s v="L3"/>
    <s v="1 to 2"/>
    <s v="4 to 6"/>
    <s v="4 to 6"/>
    <s v="FTE Based"/>
    <s v="USD"/>
    <s v="_x0009_$33,095.23"/>
    <n v="5.0000000000000001E-3"/>
    <n v="0"/>
    <n v="0"/>
    <n v="0"/>
    <x v="223"/>
    <n v="0"/>
    <n v="1"/>
    <n v="1"/>
    <s v="NA"/>
    <n v="8"/>
    <n v="0.92700000000000005"/>
    <n v="0.94699999999999995"/>
    <s v="DPU – Defect Per Unit"/>
    <s v="Productivity - 100%"/>
    <s v="NA"/>
    <s v="NA"/>
    <s v="NA"/>
    <s v="NA"/>
    <s v="NA"/>
    <s v="NA"/>
    <s v="NA"/>
    <s v="NA"/>
    <s v="NA"/>
    <s v="NA"/>
    <s v="UA/UW"/>
    <s v="Multiple"/>
    <s v="Structured"/>
    <s v="PDF-100%"/>
    <s v="PDFs"/>
    <s v="UA &amp; UW"/>
    <s v="Citrix_x000a_Ultra_x000a_Lotus Notes_x000a_E-file_x000a_Underwriting Desktop_x000a_Outlook_x000a_MS Teams"/>
  </r>
  <r>
    <s v="ZNA"/>
    <s v="Fortune 500 Global P&amp;C Carrier"/>
    <s v="North America"/>
    <s v="Pune, India"/>
    <x v="2"/>
    <s v="Arbind Singh/Saurabh Sharma"/>
    <n v="7"/>
    <x v="1"/>
    <x v="2"/>
    <x v="10"/>
    <s v="Re-Rating"/>
    <s v="Rate - Per Expring"/>
    <s v="To create renewal rating worksheet as per expired details and upload in efile for premium reference"/>
    <s v="Commercial &amp; Specialty"/>
    <s v="Multi/ Combination"/>
    <s v="Auto, GL, AL, Package "/>
    <s v="Mid Size &amp; Large"/>
    <s v="Back Office"/>
    <s v="L2"/>
    <s v="1 to 2"/>
    <s v="2 to 3 "/>
    <s v="2 to 3 "/>
    <s v="FTE Based"/>
    <s v="USD"/>
    <n v="25123.55"/>
    <n v="1"/>
    <n v="0.5"/>
    <n v="0.3"/>
    <n v="0"/>
    <x v="224"/>
    <n v="0"/>
    <n v="150"/>
    <n v="150"/>
    <s v="NA"/>
    <n v="26"/>
    <n v="0.95499999999999996"/>
    <n v="0.94699999999999995"/>
    <s v="DPU – Defect Per Unit"/>
    <s v="Productivity - 100%"/>
    <s v="NA"/>
    <s v="NA"/>
    <s v="NA"/>
    <s v="NA"/>
    <s v="NA"/>
    <s v="NA"/>
    <s v="NA"/>
    <s v="NA"/>
    <s v="NA"/>
    <s v="NA"/>
    <s v="UA/UW"/>
    <s v="Instructions in Application"/>
    <s v="Structured"/>
    <s v="Insturctions - 100%"/>
    <s v="Others"/>
    <s v="UA &amp; UW"/>
    <s v="Citrix_x000a_Ultra_x000a_Lotus Notes_x000a_E-file_x000a_Underwriting Desktop_x000a_Outlook_x000a_MS Teams_x000a_Zapper"/>
  </r>
  <r>
    <s v="ZNA"/>
    <s v="Fortune 500 Global P&amp;C Carrier"/>
    <s v="North America"/>
    <s v="Pune, India"/>
    <x v="2"/>
    <s v="Arbind Singh/Saurabh Sharma"/>
    <n v="6"/>
    <x v="1"/>
    <x v="2"/>
    <x v="4"/>
    <s v="Location Data Cleansing"/>
    <s v="Location Data Cleansing "/>
    <s v="Cleanse the SOV, verify and update in teamplate and  to match SOV values with instructions"/>
    <s v="Commercial "/>
    <s v="Property &amp; Casualty"/>
    <s v="Property"/>
    <s v="Specialized"/>
    <s v="Back Office"/>
    <s v="L3"/>
    <s v="1 to 2"/>
    <n v="4"/>
    <n v="4"/>
    <s v="FTE Based"/>
    <s v="USD"/>
    <s v="_x0009_$33,095.23"/>
    <n v="10"/>
    <n v="1"/>
    <n v="0.5"/>
    <n v="0"/>
    <x v="10"/>
    <n v="0"/>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Citrix_x000a_E-file_x000a_Underwriting Desktop_x000a_Outlook_x000a_MS Teams_x000a_Zorba_x000a_Underwriting Management "/>
  </r>
  <r>
    <s v="ZNA"/>
    <s v="Fortune 500 Global P&amp;C Carrier"/>
    <s v="North America"/>
    <s v="Pune, India"/>
    <x v="2"/>
    <s v="Arbind Singh/Saurabh Sharma"/>
    <n v="7"/>
    <x v="1"/>
    <x v="2"/>
    <x v="10"/>
    <s v="New Business Quotes/ Rating"/>
    <s v="New Business Quote"/>
    <s v="Prepare the quote for UW review. These quotes are utilized for pricing details and neogiation with customers"/>
    <s v="Commercial "/>
    <s v="Multi/ Combination"/>
    <s v="Auto, GL, WC, Property"/>
    <s v="All"/>
    <s v="Back Office"/>
    <s v="L3"/>
    <s v="1 to 2"/>
    <s v="4 to 6"/>
    <s v="3 to 4"/>
    <s v="FTE Based"/>
    <s v="USD"/>
    <s v="_x0009_$33,095.23"/>
    <n v="6"/>
    <n v="2"/>
    <n v="0.5"/>
    <n v="3"/>
    <x v="225"/>
    <n v="0.5"/>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Citrix_x000a_Ultra_x000a_Lotus Notes_x000a_E-file_x000a_Workbench_x000a_Outlook_x000a_MS Teams"/>
  </r>
  <r>
    <s v="ZNA"/>
    <s v="Fortune 500 Global P&amp;C Carrier"/>
    <s v="North America"/>
    <s v="Pune, India"/>
    <x v="2"/>
    <s v="Arbind Singh/Saurabh Sharma"/>
    <n v="7"/>
    <x v="1"/>
    <x v="2"/>
    <x v="10"/>
    <s v="Renewal Rating"/>
    <s v="Renewal Quote"/>
    <s v="Prepare the quote for UW review. These quotes are utilized for pricing details and neogiation with customers during renewals"/>
    <s v="Commercial "/>
    <s v="Multi/ Combination"/>
    <s v="Auto, GL, WC, Property"/>
    <s v="All"/>
    <s v="Back Office"/>
    <s v="L3"/>
    <s v="1 to 2"/>
    <s v="4 to 6"/>
    <s v="3 to 4"/>
    <s v="FTE Based"/>
    <s v="USD"/>
    <s v="_x0009_$33,095.23"/>
    <n v="6"/>
    <n v="0"/>
    <n v="0"/>
    <n v="0"/>
    <x v="107"/>
    <n v="0"/>
    <n v="200"/>
    <s v="Auto - 2_x000a_GL - 2_x000a_WC - 200_x000a_"/>
    <s v="NA"/>
    <s v="Auto, GL - 106_x000a_WC -97"/>
    <n v="0.95"/>
    <n v="0.94699999999999995"/>
    <s v="DPU – Defect Per Unit"/>
    <s v="Productivity - 100%"/>
    <s v="NA"/>
    <s v="NA"/>
    <s v="Pricing"/>
    <s v="NA"/>
    <s v="NA"/>
    <s v="NA"/>
    <s v="NA"/>
    <s v="NA"/>
    <s v="NA"/>
    <s v="Guidewire implemented for Rating"/>
    <s v="UA/UW, Broker"/>
    <s v="Multiple"/>
    <s v="Semi-Structured"/>
    <s v="Excel - 70%, Word - 30%"/>
    <s v="PDFs"/>
    <s v="Prducer_x000a_UW, UA"/>
    <s v="Citrix_x000a_Ultra_x000a_Lotus Notes_x000a_E-file_x000a_Workbench_x000a_Outlook_x000a_MS Teams"/>
  </r>
  <r>
    <s v="ZNA"/>
    <s v="Fortune 500 Global P&amp;C Carrier"/>
    <s v="North America"/>
    <s v="Pune, India"/>
    <x v="2"/>
    <s v="Arbind Singh/Saurabh Sharma"/>
    <n v="7"/>
    <x v="1"/>
    <x v="2"/>
    <x v="5"/>
    <s v="New Business Issuance"/>
    <s v="New Business Issuance"/>
    <s v="Issue New Business Policies as per UW instructions, send the policy document via EPD (Electronic Policy  Distribution)"/>
    <s v="Commercial "/>
    <s v="Multi/ Combination"/>
    <s v="Auto, GL, WC, Property"/>
    <s v="All"/>
    <s v="Back Office"/>
    <s v="L3"/>
    <s v="1 to 2"/>
    <s v="6 to 8"/>
    <s v="4 to 6"/>
    <s v="FTE Based"/>
    <s v="USD"/>
    <s v="_x0009_$33,095.23"/>
    <n v="1"/>
    <n v="0"/>
    <n v="0"/>
    <n v="0"/>
    <x v="77"/>
    <n 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Citrix_x000a_Ultra_x000a_Lotus Notes_x000a_E-file_x000a_Workbench_x000a_Outlook_x000a_MS Teams"/>
  </r>
  <r>
    <s v="ZNA"/>
    <s v="Fortune 500 Global P&amp;C Carrier"/>
    <s v="North America"/>
    <s v="Pune, India"/>
    <x v="2"/>
    <s v="Arbind Singh/Saurabh Sharma"/>
    <n v="6"/>
    <x v="2"/>
    <x v="2"/>
    <x v="5"/>
    <s v="Renewal Issuance"/>
    <s v="Renewal Issuance"/>
    <s v="Issue Renewal Policies as per UW instructions, send the policy document via EPD (Electronic Policy  Distribution)"/>
    <s v="Commercial "/>
    <s v="Multi/ Combination"/>
    <s v="Auto, GL, WC, Property"/>
    <s v="All"/>
    <s v="Back Office"/>
    <s v="L3"/>
    <s v="1 to 2"/>
    <s v="6 to 8"/>
    <s v="4 to 6"/>
    <s v="FTE Based"/>
    <s v="USD"/>
    <s v="_x0009_$33,095.23"/>
    <n v="0"/>
    <n v="0"/>
    <n v="0"/>
    <n v="0"/>
    <x v="13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Citrix_x000a_Ultra_x000a_Lotus Notes_x000a_E-file_x000a_Workbench_x000a_Outlook_x000a_MS Teams"/>
  </r>
  <r>
    <s v="ZNA"/>
    <s v="Fortune 500 Global P&amp;C Carrier"/>
    <s v="North America"/>
    <s v="Pune, India"/>
    <x v="2"/>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s v="Commercial "/>
    <s v="Multi/ Combination"/>
    <s v="Auto, GL, WC, Property"/>
    <s v="All"/>
    <s v="Back Office"/>
    <s v="L3"/>
    <s v="1 to 2"/>
    <s v="4 to 6"/>
    <s v="3 to 4"/>
    <s v="FTE Based"/>
    <s v="USD"/>
    <s v="_x0009_$33,095.23"/>
    <n v="1"/>
    <n v="0"/>
    <n v="0"/>
    <n v="0"/>
    <x v="130"/>
    <n v="0"/>
    <n v="2"/>
    <n v="2"/>
    <s v="NA"/>
    <s v="Auto, GL - 37_x000a_WC -45"/>
    <n v="0.95"/>
    <n v="0.94699999999999995"/>
    <s v="DPU – Defect Per Unit"/>
    <s v="Productivity - 100%"/>
    <s v="NA"/>
    <s v="NA"/>
    <s v="Pricing"/>
    <s v="NA"/>
    <s v="NA"/>
    <s v="NA"/>
    <s v="NA"/>
    <s v="NA"/>
    <s v="NA"/>
    <s v="NA"/>
    <s v="UA/UW, Broker"/>
    <s v="Multiple"/>
    <s v="Semi-Structured"/>
    <s v="Thread request in application"/>
    <s v="PDFs"/>
    <s v="Agents, Underwriter and Insured"/>
    <s v="Citrix_x000a_Ultra_x000a_E-file_x000a_Workbench_x000a_Outlook_x000a_MS Teams"/>
  </r>
  <r>
    <s v="ZNA"/>
    <s v="Fortune 500 Global P&amp;C Carrier"/>
    <s v="North America"/>
    <s v="Pune, India"/>
    <x v="2"/>
    <s v="Arbind Singh/Saurabh Sharma"/>
    <n v="7"/>
    <x v="1"/>
    <x v="2"/>
    <x v="5"/>
    <s v="New Business Issuance"/>
    <s v="New Business Issuance"/>
    <s v="Issue the NB policy in the client application"/>
    <s v="Commercial "/>
    <s v="Multi/ Combination"/>
    <s v="Auto, GL, Property, Pkg, Crime, Umbrella and S&amp;P"/>
    <s v="All"/>
    <s v="Back Office"/>
    <s v="L3"/>
    <s v="2 to 4"/>
    <s v="2 to 4"/>
    <s v="2 to 4"/>
    <s v="FTE Based"/>
    <s v="USD"/>
    <s v="_x0009_$33,095.23"/>
    <n v="0.5"/>
    <n v="1"/>
    <n v="0.5"/>
    <n v="0"/>
    <x v="226"/>
    <n v="0"/>
    <n v="32"/>
    <n v="32"/>
    <s v="Jan, Mar, Apr and Jul"/>
    <n v="96.8"/>
    <n v="0.96799999999999997"/>
    <n v="0.94699999999999995"/>
    <s v="DPU – Defect Per Unit"/>
    <s v="Productivity - 100%"/>
    <s v="NA"/>
    <s v="NA"/>
    <s v="NA"/>
    <s v="NA"/>
    <s v="NA"/>
    <s v="NA"/>
    <s v="NA"/>
    <s v="NA"/>
    <s v="NA"/>
    <s v="NA"/>
    <s v="UA/UW"/>
    <s v="Emails"/>
    <s v="Semi-Structured"/>
    <s v="Excel-80%, PDF-20%"/>
    <s v="Rating Worksheet"/>
    <s v="UA"/>
    <s v="Citrix_x000a_Z-spire_x000a_Ultra_x000a_Efile_x000a_Promatrix_x000a_SAM Web_x000a_Underwriting Management "/>
  </r>
  <r>
    <s v="ZNA"/>
    <s v="Fortune 500 Global P&amp;C Carrier"/>
    <s v="North America"/>
    <s v="Pune, India"/>
    <x v="2"/>
    <s v="Arbind Singh/Saurabh Sharma"/>
    <n v="7"/>
    <x v="1"/>
    <x v="2"/>
    <x v="5"/>
    <s v="Renewal Issuance"/>
    <s v="Renewal Issuance"/>
    <s v="Issue the renewal policy in the client application"/>
    <s v="Commercial "/>
    <s v="Multi/ Combination"/>
    <s v="Auto, GL, Property, Pkg, Crime, Umbrella and S&amp;P"/>
    <s v="All"/>
    <s v="Back Office"/>
    <s v="L3"/>
    <s v="2 to 4"/>
    <s v="2 to 4"/>
    <s v="2 to 4"/>
    <s v="FTE Based"/>
    <s v="USD"/>
    <s v="_x0009_$33,095.23"/>
    <n v="1.5"/>
    <n v="0"/>
    <n v="0"/>
    <n v="0"/>
    <x v="78"/>
    <n v="0"/>
    <n v="70"/>
    <n v="70"/>
    <s v="Jan, Mar, Apr and Jul"/>
    <n v="90"/>
    <n v="0.96799999999999997"/>
    <n v="0.94699999999999995"/>
    <s v="DPU – Defect Per Unit"/>
    <s v="Productivity - 100%"/>
    <s v="NA"/>
    <s v="NA"/>
    <s v="NA"/>
    <s v="NA"/>
    <s v="NA"/>
    <s v="NA"/>
    <s v="NA"/>
    <s v="NA"/>
    <s v="NA"/>
    <s v="NA"/>
    <s v="UA/UW"/>
    <s v="Emails"/>
    <s v="Semi-Structured"/>
    <s v="Excel-80%, PDF-20%"/>
    <s v="Rating Worksheet"/>
    <s v="UA"/>
    <s v="Citrix_x000a_Z-spire_x000a_Ultra_x000a_Efile_x000a_Promatrix_x000a_SAM Web_x000a_Underwriting Management "/>
  </r>
  <r>
    <s v="ZNA"/>
    <s v="Fortune 500 Global P&amp;C Carrier"/>
    <s v="North America"/>
    <s v="Pune, India"/>
    <x v="2"/>
    <s v="Arbind Singh/Saurabh Sharma"/>
    <n v="7"/>
    <x v="1"/>
    <x v="2"/>
    <x v="10"/>
    <s v="New Business Quotes/ Rating"/>
    <s v="New Business Quote"/>
    <s v="Prepare the quote options for UA review"/>
    <s v="Commercial "/>
    <s v="Multi/ Combination"/>
    <s v="Auto, GL, Property, Pkg, Crime, Umbrella and S&amp;P"/>
    <s v="All"/>
    <s v="Back Office"/>
    <s v="L3"/>
    <s v="2 to 4"/>
    <s v="2 to 4"/>
    <s v="2 to 4"/>
    <s v="FTE Based"/>
    <s v="USD"/>
    <s v="_x0009_$33,095.23"/>
    <n v="1.9"/>
    <n v="0"/>
    <n v="0"/>
    <n v="0"/>
    <x v="227"/>
    <n v="0"/>
    <n v="58"/>
    <n v="58"/>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Citrix_x000a_Z-spire_x000a_Ultra_x000a_Efile_x000a_Promatrix_x000a_SAM Web_x000a_Underwriting Management "/>
  </r>
  <r>
    <s v="ZNA"/>
    <s v="Fortune 500 Global P&amp;C Carrier"/>
    <s v="North America"/>
    <s v="Pune, India"/>
    <x v="2"/>
    <s v="Arbind Singh/Saurabh Sharma"/>
    <n v="7"/>
    <x v="1"/>
    <x v="2"/>
    <x v="10"/>
    <s v="Renewal Rating"/>
    <s v="Renewal Quote"/>
    <s v="Prepare the quote options for UW review on Policy renewal"/>
    <s v="Commercial "/>
    <s v="Multi/ Combination"/>
    <s v="Auto, GL, Property, Pkg, Crime, Umbrella and S&amp;P"/>
    <s v="All"/>
    <s v="Back Office"/>
    <s v="L3"/>
    <s v="2 to 4"/>
    <s v="2 to 4"/>
    <s v="2 to 4"/>
    <s v="FTE Based"/>
    <s v="USD"/>
    <s v="_x0009_$33,095.23"/>
    <n v="3.1"/>
    <n v="0"/>
    <n v="0"/>
    <n v="0"/>
    <x v="20"/>
    <n v="0"/>
    <n v="102"/>
    <n v="102"/>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Citrix_x000a_Z-spire_x000a_Ultra_x000a_Efile_x000a_Promatrix_x000a_SAM Web_x000a_Underwriting Management "/>
  </r>
  <r>
    <s v="ZNA"/>
    <s v="Fortune 500 Global P&amp;C Carrier"/>
    <s v="North America"/>
    <s v="Pune, India"/>
    <x v="2"/>
    <s v="Arbind Singh/Saurabh Sharma"/>
    <n v="7"/>
    <x v="1"/>
    <x v="2"/>
    <x v="10"/>
    <s v="Re-Rating"/>
    <s v="Re-rate"/>
    <s v="Process the changes in Quotes based on Re-rate information"/>
    <s v="Commercial "/>
    <s v="Multi/ Combination"/>
    <s v="Auto, GL, Property, Pkg, Crime, Umbrella and S&amp;P"/>
    <s v="All"/>
    <s v="Back Office"/>
    <s v="L3"/>
    <s v="2 to 4"/>
    <s v="2 to 4"/>
    <s v="2 to 4"/>
    <s v="FTE Based"/>
    <s v="USD"/>
    <s v="_x0009_$33,095.23"/>
    <n v="1.99"/>
    <n v="0"/>
    <n v="0"/>
    <n v="0"/>
    <x v="228"/>
    <n v="0"/>
    <n v="64"/>
    <n v="64"/>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Citrix_x000a_Z-spire_x000a_Ultra_x000a_Efile_x000a_Promatrix_x000a_SAM Web_x000a_Underwriting Management "/>
  </r>
  <r>
    <s v="ZNA"/>
    <s v="Fortune 500 Global P&amp;C Carrier"/>
    <s v="North America"/>
    <s v="Pune, India"/>
    <x v="2"/>
    <s v="Arbind Singh/Saurabh Sharma"/>
    <n v="3"/>
    <x v="1"/>
    <x v="2"/>
    <x v="3"/>
    <s v="Endorsements intake and setup"/>
    <s v="Endorsements"/>
    <s v="Process the changes in Quotes and issuance based on the change request received"/>
    <s v="Commercial "/>
    <s v="Multi/ Combination"/>
    <s v="Auto, GL, Property, Pkg, Crime, Umbrella and S&amp;P"/>
    <s v="All"/>
    <s v="Back Office"/>
    <s v="L3"/>
    <s v="2 to 4"/>
    <s v="2 to 4"/>
    <s v="2 to 4"/>
    <s v="FTE Based"/>
    <s v="USD"/>
    <s v="_x0009_$33,095.23"/>
    <n v="3"/>
    <n v="0"/>
    <n v="0"/>
    <n v="0"/>
    <x v="101"/>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Citrix_x000a_Z-spire_x000a_Ultra_x000a_Efile_x000a_Promatrix_x000a_SAM Web_x000a_Underwriting Management "/>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Auto"/>
    <s v="Auto"/>
    <s v="All"/>
    <s v="Back Office"/>
    <s v="L3"/>
    <n v="2"/>
    <s v="4 to 6"/>
    <s v="6 to 8"/>
    <s v="FTE Based"/>
    <s v="USD"/>
    <s v="_x0009_$33,095.23"/>
    <n v="2.2999999999999998"/>
    <n v="0"/>
    <n v="0"/>
    <n v="0"/>
    <x v="97"/>
    <n v="0"/>
    <n v="206"/>
    <n v="206"/>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GL"/>
    <s v="GL"/>
    <s v="All"/>
    <s v="Back Office"/>
    <s v="L3"/>
    <n v="2"/>
    <s v="4 to 6"/>
    <s v="6 to 8"/>
    <s v="FTE Based"/>
    <s v="USD"/>
    <s v="_x0009_$33,095.23"/>
    <n v="3.6"/>
    <n v="0"/>
    <n v="0.5"/>
    <n v="0"/>
    <x v="39"/>
    <n v="0"/>
    <n v="314"/>
    <n v="314"/>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WC"/>
    <s v="WC"/>
    <s v="All"/>
    <s v="Back Office"/>
    <s v="L3"/>
    <n v="2"/>
    <s v="4 to 6"/>
    <s v="6 to 8"/>
    <s v="FTE Based"/>
    <s v="USD"/>
    <s v="_x0009_$33,095.23"/>
    <n v="3.9"/>
    <n v="0"/>
    <n v="0"/>
    <n v="0"/>
    <x v="19"/>
    <n v="0"/>
    <n v="339"/>
    <n v="339"/>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Package"/>
    <s v="AUTO , GL Property"/>
    <s v="All"/>
    <s v="Back Office"/>
    <s v="L3"/>
    <n v="2"/>
    <s v="4 to 6"/>
    <s v="6 to 8"/>
    <s v="FTE Based"/>
    <s v="USD"/>
    <s v="_x0009_$33,095.23"/>
    <n v="0.1"/>
    <n v="0"/>
    <n v="0"/>
    <n v="0"/>
    <x v="77"/>
    <n v="0"/>
    <n v="6"/>
    <n v="6"/>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Property"/>
    <s v="Property"/>
    <s v="All"/>
    <s v="Back Office"/>
    <s v="L3"/>
    <n v="2"/>
    <s v="4 to 6"/>
    <s v="6 to 8"/>
    <s v="FTE Based"/>
    <s v="USD"/>
    <s v="_x0009_$33,095.23"/>
    <n v="0.1"/>
    <n v="0"/>
    <n v="0"/>
    <n v="0"/>
    <x v="213"/>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2"/>
    <x v="2"/>
    <x v="2"/>
    <x v="10"/>
    <s v="CAT modeling"/>
    <s v="Riskmodeling"/>
    <s v="Process to run risk modeling for CAT coverage (TRIA, Wind, EQ and Flood) on new/existing locations and also for amend/add/del coverage_x000a_"/>
    <s v="Commercial "/>
    <s v="Property"/>
    <s v="Property"/>
    <s v="All"/>
    <s v="Back Office"/>
    <s v="L3"/>
    <n v="2"/>
    <s v="4 to 6"/>
    <s v="6 to 8"/>
    <s v="FTE Based"/>
    <s v="USD"/>
    <s v="_x0009_$33,095.23"/>
    <n v="2"/>
    <n v="0"/>
    <n v="0"/>
    <n v="0"/>
    <x v="15"/>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Citrix_x000a_UWD_x000a_Z-spire_x000a_Zapper_x000a_Efile_x000a_EPD Tool_x000a_VIN_x000a_I-track"/>
  </r>
  <r>
    <s v="ZNA"/>
    <s v="Fortune 500 Global P&amp;C Carrier"/>
    <s v="North America"/>
    <s v="Pune, India"/>
    <x v="2"/>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2.2999999999999998"/>
    <n v="1"/>
    <n v="1"/>
    <n v="0"/>
    <x v="20"/>
    <n v="0"/>
    <n v="260"/>
    <n v="26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2"/>
    <n v="0"/>
    <n v="0"/>
    <n v="0"/>
    <x v="175"/>
    <n v="0"/>
    <n v="185"/>
    <n v="185"/>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1"/>
    <n v="0"/>
    <n v="0"/>
    <n v="0"/>
    <x v="213"/>
    <n v="0"/>
    <n v="50"/>
    <n v="50"/>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5"/>
    <n v="0"/>
    <n v="0"/>
    <n v="0"/>
    <x v="79"/>
    <n v="0"/>
    <n v="150"/>
    <n v="15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s v="All"/>
    <s v="Back Office"/>
    <s v="L2"/>
    <s v="1 to 2"/>
    <s v="3 to 4"/>
    <s v="3 to 4"/>
    <s v="FTE Based"/>
    <s v="USD"/>
    <n v="25123.55"/>
    <n v="1"/>
    <n v="0"/>
    <n v="0"/>
    <n v="0"/>
    <x v="77"/>
    <n v="0"/>
    <n v="150"/>
    <n v="15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Citrix_x000a_Efile_x000a_Outlook_x000a_Sanctions Screener Tool"/>
  </r>
  <r>
    <s v="ZNA"/>
    <s v="Fortune 500 Global P&amp;C Carrier"/>
    <s v="North America"/>
    <s v="Pune, India"/>
    <x v="2"/>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1"/>
    <n v="0"/>
    <n v="0"/>
    <n v="0"/>
    <x v="213"/>
    <n v="0"/>
    <n v="2"/>
    <n v="2"/>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Citrix_x000a_Efile_x000a_Workbench_x000a_Sanctions Screener Tool"/>
  </r>
  <r>
    <s v="ZNA"/>
    <s v="Fortune 500 Global P&amp;C Carrier"/>
    <s v="North America"/>
    <s v="Pune, India"/>
    <x v="2"/>
    <s v="Arbind Singh/Saurabh Sharma"/>
    <n v="7"/>
    <x v="1"/>
    <x v="2"/>
    <x v="3"/>
    <s v="OFAC Verification"/>
    <s v="OFAC Captives Indexing"/>
    <s v="Uploading the document received in the email at the submission level given in the email"/>
    <s v="Commercial "/>
    <s v="Multi/ Combination"/>
    <s v="Auto, GL, WC, Property, Umbrella"/>
    <s v="All"/>
    <s v="Back Office"/>
    <s v="L2"/>
    <s v="1 to 2"/>
    <s v="3 to 4"/>
    <s v="3 to 4"/>
    <s v="FTE Based"/>
    <s v="USD"/>
    <n v="25123.55"/>
    <n v="1"/>
    <n v="0"/>
    <n v="0"/>
    <n v="0"/>
    <x v="77"/>
    <n v="0"/>
    <n v="200"/>
    <n v="200"/>
    <s v="Jan - May"/>
    <n v="6"/>
    <n v="0.96399999999999997"/>
    <n v="0.98799999999999999"/>
    <s v="DPU – Defect Per Unit"/>
    <s v="Productivity - 100%"/>
    <s v="NA"/>
    <s v="NA"/>
    <s v="NA"/>
    <s v="NA"/>
    <s v="NA"/>
    <s v="NA"/>
    <s v="NA"/>
    <s v="NA"/>
    <s v="NA"/>
    <s v="NA"/>
    <s v="UA/UW"/>
    <s v="Emails"/>
    <s v="Semi-Structured"/>
    <s v="Email : 100%"/>
    <s v="Others"/>
    <s v="Task creation team/_x000a_UA/UW"/>
    <s v="Citrix_x000a_Outlook"/>
  </r>
  <r>
    <s v="ZNA"/>
    <s v="Fortune 500 Global P&amp;C Carrier"/>
    <s v="North America"/>
    <s v="Pune, India"/>
    <x v="2"/>
    <s v="Arbind Singh/Saurabh Sharma"/>
    <n v="7"/>
    <x v="1"/>
    <x v="2"/>
    <x v="10"/>
    <s v="New Business Quotes/ Rating"/>
    <s v="New Business (Wrapup)"/>
    <s v="Rating and Issuance of new WC policies of sub-contractors"/>
    <s v="Commercial "/>
    <s v="WC"/>
    <s v="WC"/>
    <s v="All"/>
    <s v="Back Office"/>
    <s v="L3"/>
    <s v="2 to 3"/>
    <s v="3 to 4"/>
    <s v="3 to 4"/>
    <s v="FTE Based"/>
    <s v="USD"/>
    <s v="_x0009_$33,095.23"/>
    <n v="3"/>
    <n v="2"/>
    <n v="0.3"/>
    <n v="1.54"/>
    <x v="229"/>
    <n v="0.51333333333333331"/>
    <n v="730"/>
    <n v="110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5"/>
    <s v="Renewal Issuance"/>
    <s v="Renewals (Wrapup)"/>
    <s v="Renewing policies by performing rating and Issuance of WC policies of sub-contractors"/>
    <s v="Commercial "/>
    <s v="WC"/>
    <s v="WC"/>
    <s v="All"/>
    <s v="Back Office"/>
    <s v="L3"/>
    <s v="2 to 3"/>
    <s v="3 to 4"/>
    <s v="3 to 4"/>
    <s v="FTE Based"/>
    <s v="USD"/>
    <s v="_x0009_$33,095.23"/>
    <n v="2.25"/>
    <n v="0"/>
    <n v="0"/>
    <n v="0"/>
    <x v="230"/>
    <n v="0"/>
    <n v="1100"/>
    <n v="2244"/>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Endorsements intake and setup"/>
    <s v="Endorsement (Wrapup)"/>
    <s v="Making changes to an existing WC Policy of a sub-contractor"/>
    <s v="Commercial "/>
    <s v="WC"/>
    <s v="WC"/>
    <s v="All"/>
    <s v="Back Office"/>
    <s v="L3"/>
    <s v="2 to 3"/>
    <s v="3 to 4"/>
    <s v="3 to 4"/>
    <s v="FTE Based"/>
    <s v="USD"/>
    <s v="_x0009_$33,095.23"/>
    <n v="0.25"/>
    <n v="0"/>
    <n v="0"/>
    <n v="0"/>
    <x v="231"/>
    <n v="0"/>
    <n v="40"/>
    <n v="136"/>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Non Renewals/Renewal notice"/>
    <s v="Non Renewal (Wrapup)"/>
    <s v="Sub-contractor WC polcies that do not need to be renewed as per the broker must go through the non-renwal process in the system"/>
    <s v="Commercial "/>
    <s v="WC"/>
    <s v="WC"/>
    <s v="All"/>
    <s v="Back Office"/>
    <s v="L3"/>
    <s v="2 to 3"/>
    <s v="3 to 4"/>
    <s v="3 to 4"/>
    <s v="FTE Based"/>
    <s v="USD"/>
    <s v="_x0009_$33,095.23"/>
    <n v="0.26"/>
    <n v="0"/>
    <n v="0"/>
    <n v="0"/>
    <x v="232"/>
    <n v="0"/>
    <n v="400"/>
    <n v="46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Cancellation notice"/>
    <s v="Cancellations (Wrapup)"/>
    <s v="Cancelling a WC Policy as requested by the broker/insured"/>
    <s v="Commercial "/>
    <s v="WC"/>
    <s v="WC"/>
    <s v="All"/>
    <s v="Back Office"/>
    <s v="L3"/>
    <s v="2 to 3"/>
    <s v="3 to 4"/>
    <s v="3 to 4"/>
    <s v="FTE Based"/>
    <s v="USD"/>
    <s v="_x0009_$33,095.23"/>
    <n v="0.2"/>
    <n v="0"/>
    <n v="0"/>
    <n v="0"/>
    <x v="233"/>
    <n v="0"/>
    <n v="100"/>
    <n v="112"/>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Loss run retrieval"/>
    <s v="Loss Runs External"/>
    <s v="Team generate loss runs report for requested policy and sends to the requester"/>
    <s v="Commercial "/>
    <s v="Multi/ Combination"/>
    <s v="Auto, GL, Property, WC"/>
    <s v="All"/>
    <s v="Back Office"/>
    <s v="L2"/>
    <s v="2 to 3"/>
    <s v="3 to 4"/>
    <s v="3 to 4"/>
    <s v="FTE Based"/>
    <s v="USD"/>
    <n v="25123.55"/>
    <n v="4.42"/>
    <n v="0"/>
    <n v="0.5"/>
    <n v="1"/>
    <x v="103"/>
    <n v="0.22624434389140272"/>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Citrix_x000a_UWD_x000a_Underwriting Management_x000a_Workbench_x000a_Efile_x000a_RI 2.0_x000a_BOE"/>
  </r>
  <r>
    <s v="ZNA"/>
    <s v="Fortune 500 Global P&amp;C Carrier"/>
    <s v="North America"/>
    <s v="Pune, India"/>
    <x v="2"/>
    <s v="Arbind Singh/Saurabh Sharma"/>
    <n v="7"/>
    <x v="1"/>
    <x v="2"/>
    <x v="3"/>
    <s v="Loss run retrieval"/>
    <s v="Loss Runs Internal"/>
    <s v="Team generate loss runs report and upload to efile. If requested then sends to the requester"/>
    <s v="Commercial "/>
    <s v="Multi/ Combination"/>
    <s v="Auto, GL, Property, WC"/>
    <s v="All"/>
    <s v="Back Office"/>
    <s v="L2"/>
    <s v="2 to 3"/>
    <s v="3 to 4"/>
    <s v="3 to 4"/>
    <s v="FTE Based"/>
    <s v="USD"/>
    <n v="25123.55"/>
    <n v="2.2000000000000002"/>
    <n v="0"/>
    <n v="0"/>
    <n v="0"/>
    <x v="175"/>
    <n v="0"/>
    <n v="2200"/>
    <n v="22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Citrix_x000a_UWD_x000a_Underwriting Management_x000a_Workbench_x000a_Efile_x000a_RI 2.0_x000a_BOE"/>
  </r>
  <r>
    <s v="ZNA"/>
    <s v="Fortune 500 Global P&amp;C Carrier"/>
    <s v="North America"/>
    <s v="Pune, India"/>
    <x v="2"/>
    <s v="Arbind Singh/Saurabh Sharma"/>
    <n v="7"/>
    <x v="1"/>
    <x v="2"/>
    <x v="3"/>
    <s v="Loss run retrieval"/>
    <s v="Loss Runs External Programs"/>
    <s v="Team generate loss runs report for requested policy and sends to the requester"/>
    <s v="Commercial "/>
    <s v="Multi/ Combination"/>
    <s v="Auto, GL, Property, WC"/>
    <s v="All"/>
    <s v="Back Office"/>
    <s v="L2"/>
    <s v="2 to 3"/>
    <s v="3 to 4"/>
    <s v="3 to 4"/>
    <s v="FTE Based"/>
    <s v="USD"/>
    <n v="25123.55"/>
    <n v="0.3"/>
    <n v="0"/>
    <n v="0"/>
    <n v="0"/>
    <x v="215"/>
    <n v="0"/>
    <n v="400"/>
    <n v="4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Citrix_x000a_Outlook_x000a_Workbench_x000a_Efile_x000a_RI 2.0_x000a_BOE"/>
  </r>
  <r>
    <s v="ZNA"/>
    <s v="Fortune 500 Global P&amp;C Carrier"/>
    <s v="North America"/>
    <s v="Pune, India"/>
    <x v="2"/>
    <s v="Arbind Singh/Saurabh Sharma"/>
    <n v="7"/>
    <x v="1"/>
    <x v="2"/>
    <x v="3"/>
    <s v="Loss run retrieval"/>
    <s v="Loss Runs Internal Programs"/>
    <s v="Team generate loss runs report for requested policy and sends to the requester"/>
    <s v="Commercial "/>
    <s v="Multi/ Combination"/>
    <s v="Auto, GL, Property, WC"/>
    <s v="All"/>
    <s v="Back Office"/>
    <s v="L2"/>
    <s v="2 to 3"/>
    <s v="3 to 4"/>
    <s v="3 to 4"/>
    <s v="FTE Based"/>
    <s v="USD"/>
    <n v="25123.55"/>
    <n v="0.5"/>
    <n v="0"/>
    <n v="0"/>
    <n v="0"/>
    <x v="79"/>
    <n v="0"/>
    <n v="70"/>
    <n v="7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Citrix_x000a_Workbench_x000a_Efile_x000a_RI 2.0_x000a_BOE"/>
  </r>
  <r>
    <s v="ZNA"/>
    <s v="Fortune 500 Global P&amp;C Carrier"/>
    <s v="North America"/>
    <s v="Pune, India"/>
    <x v="2"/>
    <s v="Arbind Singh/Saurabh Sharma"/>
    <n v="4"/>
    <x v="1"/>
    <x v="2"/>
    <x v="5"/>
    <s v="New Business Issuance"/>
    <s v="Manual Policy Issuance "/>
    <s v="Teams works on creating the policy document by using forms,instructions and binder etc."/>
    <s v="Commercial "/>
    <s v="Specialty"/>
    <s v="Property"/>
    <s v="Specialized"/>
    <s v="Back Office"/>
    <s v="L3"/>
    <s v="2 to 3"/>
    <s v="3 to 4"/>
    <s v="3 to 4"/>
    <s v="FTE Based"/>
    <s v="USD"/>
    <s v="_x0009_$33,095.23"/>
    <n v="1"/>
    <n v="0.1"/>
    <n v="0"/>
    <n v="1"/>
    <x v="23"/>
    <n v="1"/>
    <n v="50"/>
    <n v="50"/>
    <s v="Mar &amp; Aug"/>
    <n v="98.1"/>
    <n v="0.95"/>
    <n v="0.94699999999999995"/>
    <s v="DPU – Defect Per Unit"/>
    <s v="Productivity - 100%"/>
    <s v="NA"/>
    <s v="NA"/>
    <s v="NA"/>
    <s v="NA"/>
    <s v="NA"/>
    <s v="NA"/>
    <s v="NA"/>
    <s v="NA"/>
    <s v="NA"/>
    <s v="NA"/>
    <s v="UA/UW"/>
    <s v="Structured"/>
    <s v="Semi-Structured"/>
    <s v="Application : 100%"/>
    <s v="PDFs"/>
    <s v="Broker/Producer"/>
    <s v="Citrix_x000a_UWD_x000a_Underwriting Management_x000a_Workbench_x000a_Efile_x000a_iTrac_x000a_Shared drive folder"/>
  </r>
  <r>
    <s v="ZNA"/>
    <s v="Fortune 500 Global P&amp;C Carrier"/>
    <s v="North America"/>
    <s v="Pune, India"/>
    <x v="2"/>
    <s v="Arbind Singh/Saurabh Sharma"/>
    <n v="3"/>
    <x v="1"/>
    <x v="2"/>
    <x v="3"/>
    <s v="Cancellation notice"/>
    <s v="Cancellation"/>
    <s v="Commercial &amp; Specialty"/>
    <s v="Commercial "/>
    <s v="Multi/ Combination"/>
    <s v="Auto"/>
    <s v="Direct Market"/>
    <s v="Back Office"/>
    <s v="L2"/>
    <n v="1"/>
    <n v="1"/>
    <n v="1"/>
    <s v="FTE Based"/>
    <s v="USD"/>
    <n v="25123.55"/>
    <n v="3"/>
    <n v="0.5"/>
    <n v="0"/>
    <n v="0"/>
    <x v="19"/>
    <n v="0"/>
    <n v="9000"/>
    <n v="9000"/>
    <s v="NA"/>
    <n v="3.1"/>
    <s v="5 calender days"/>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3"/>
    <x v="1"/>
    <x v="2"/>
    <x v="10"/>
    <s v="New Business Quotes/ Rating"/>
    <s v="Transfer"/>
    <s v="Commercial &amp; Specialty"/>
    <s v="Commercial "/>
    <s v="Multi/ Combination"/>
    <s v="Auto"/>
    <s v="Direct Market"/>
    <s v="Back Office"/>
    <s v="L2"/>
    <n v="1"/>
    <n v="1"/>
    <n v="1"/>
    <s v="FTE Based"/>
    <s v="USD"/>
    <n v="25123.55"/>
    <n v="1"/>
    <n v="0"/>
    <n v="0.1"/>
    <n v="0"/>
    <x v="77"/>
    <n v="0"/>
    <n v="50"/>
    <n v="50"/>
    <s v="NA"/>
    <n v="15"/>
    <s v="5 calender days"/>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3"/>
    <x v="1"/>
    <x v="2"/>
    <x v="10"/>
    <s v="New Business Quotes/ Rating"/>
    <s v="Data Entry"/>
    <s v="Commercial &amp; Specialty"/>
    <s v="Commercial "/>
    <s v="Multi/ Combination"/>
    <s v="Auto"/>
    <s v="Direct Market"/>
    <s v="Back Office"/>
    <s v="L2"/>
    <n v="1"/>
    <n v="1"/>
    <n v="2"/>
    <s v="FTE Based"/>
    <s v="USD"/>
    <n v="25123.55"/>
    <n v="1"/>
    <n v="0"/>
    <n v="0"/>
    <n v="0"/>
    <x v="77"/>
    <n v="0"/>
    <n v="400"/>
    <n v="400"/>
    <s v="NA"/>
    <n v="6.5"/>
    <s v="20th of every month"/>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0.7"/>
    <x v="1"/>
    <x v="2"/>
    <x v="10"/>
    <s v="Re-Rating"/>
    <s v="Rating"/>
    <s v="EXL manages Rating for Domestic Casualty Auto Rating for ZNA. Team processes rating task for Auto policies."/>
    <s v="Commercial &amp; Specialty"/>
    <s v="Auto, Domestic Casualty"/>
    <s v="Auto"/>
    <s v="Specialized"/>
    <s v="Back Office"/>
    <s v="L3"/>
    <n v="2"/>
    <n v="4"/>
    <n v="4"/>
    <s v="FTE Based"/>
    <s v="USD"/>
    <s v="_x0009_$33,095.23"/>
    <n v="10"/>
    <n v="1"/>
    <n v="0.5"/>
    <n v="0"/>
    <x v="17"/>
    <n v="0"/>
    <n v="50"/>
    <n v="50"/>
    <s v="NA"/>
    <n v="720"/>
    <n v="0.95"/>
    <n v="0.93500000000000005"/>
    <s v="DPU – Defect Per Unit"/>
    <s v="Productivity - 100%"/>
    <s v="NA"/>
    <s v="NA"/>
    <s v="NA"/>
    <s v="NA"/>
    <s v="NA"/>
    <s v="NA"/>
    <s v="NA"/>
    <s v="NA"/>
    <s v="NA"/>
    <s v="NA"/>
    <s v="Underwriter/Underwriter Assistant/Broker"/>
    <s v="PDFs, Excel"/>
    <s v="Structured"/>
    <s v="Excel - 50% and PDF - 50%"/>
    <s v="PDFs"/>
    <s v="Underwriter/Underwriter Assistant/Broker"/>
    <s v="E-File_x000a_Outlook_x000a_Underwriting Desktop_x000a_Zspire_x000a_"/>
  </r>
  <r>
    <s v="ZNA"/>
    <s v="Fortune 500 Global P&amp;C Carrier"/>
    <s v="North America"/>
    <s v="Pune, India"/>
    <x v="2"/>
    <s v="Arbind Singh/Saurabh Sharma"/>
    <n v="1"/>
    <x v="1"/>
    <x v="2"/>
    <x v="5"/>
    <s v="Issuing Certificate of Insurance"/>
    <s v="Affinity &amp; Travel"/>
    <s v="Accident and Health certificates to create as per master document for Accident and Travel policies  and issue the policy to Underwriter "/>
    <s v="Commercial &amp; Specialty"/>
    <s v="Accident &amp; Health"/>
    <s v="Multi/ Combination"/>
    <s v="Specialized"/>
    <s v="Back Office"/>
    <s v="L3"/>
    <n v="2"/>
    <n v="4"/>
    <n v="4"/>
    <s v="FTE Based"/>
    <s v="USD"/>
    <s v="_x0009_$33,095.23"/>
    <n v="4"/>
    <n v="1"/>
    <n v="0.5"/>
    <n v="1"/>
    <x v="103"/>
    <n v="0.25"/>
    <n v="30"/>
    <s v="Affinity - 15_x000a_Travel - 15"/>
    <s v="NA"/>
    <n v="300"/>
    <n v="0.85"/>
    <n v="0.9"/>
    <s v="DPO – Defect Per Opportunity"/>
    <s v="Productivity - 100%"/>
    <s v="NA"/>
    <s v="NA"/>
    <s v="NA"/>
    <s v="NA"/>
    <s v="NA"/>
    <s v="NA"/>
    <s v="NA"/>
    <s v="NA"/>
    <s v="NA"/>
    <s v="NA"/>
    <s v="Underwriter/Underwriter Assistant/Broker"/>
    <s v="Word"/>
    <s v="Structured"/>
    <s v="Word - 100%"/>
    <s v="Word"/>
    <s v="Underwriter/Underwriter Assistant/Broker"/>
    <s v="SharePoint_x000a_Outlook"/>
  </r>
  <r>
    <s v="Suncorp"/>
    <s v="Large APAC P&amp;C Carrier"/>
    <s v="Australia"/>
    <s v="Alabang and SMNE, PHP"/>
    <x v="1"/>
    <s v="Verna  Arzadon"/>
    <n v="5.2"/>
    <x v="1"/>
    <x v="4"/>
    <x v="14"/>
    <s v="General Inquiry"/>
    <s v="Voice Policy enquiries, endorsements, payment, online support "/>
    <s v="Policy Servicing Contact Center for Personal insurance handling Queries, Changes to policy, Documents, Payments/direct debit, Password Reset walkthrough, Self-servce Support "/>
    <s v="Personal "/>
    <s v="Multi/ Combination"/>
    <s v="Motor and Home "/>
    <s v="All"/>
    <s v="Voice"/>
    <s v="L2"/>
    <n v="1"/>
    <n v="4"/>
    <n v="2"/>
    <s v="FTE Based"/>
    <s v="AUD"/>
    <n v="35409.32"/>
    <n v="200"/>
    <n v="9"/>
    <n v="7"/>
    <n v="41"/>
    <x v="234"/>
    <n v="0.20499999999999999"/>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COINS/NPS"/>
    <s v="NPS/OSAT"/>
    <s v="NA"/>
    <s v="NA"/>
    <s v="NA"/>
    <s v="1._x0009_Power Notes: Demo with clients and follow-up on implementation._x000a_2._x0009_Coaching Tool: Revisit, considering limitations in Project Aurora._x000a_3._x0009_Quality Tool: Status review and clarification of its purpose._x000a_4._x0009_Nervehub Implementations: under review_x000a_5._x0009_Volume Handled/AHT Improvement for Voice: Not yet started._x000a_6._x0009_IPH/AHT Improvement for Chat: Progress review._x000a_."/>
    <s v="FTE Reduction"/>
    <s v="5-10%"/>
    <s v="Multiple on-going initiatives (details not available)"/>
    <s v="Customer"/>
    <s v="Calls"/>
    <s v="Semi-Structured"/>
    <s v="100% Calls"/>
    <s v="NA"/>
    <s v="Customer, Sales"/>
    <s v="Mainframe,Protect and Customer Workbench"/>
  </r>
  <r>
    <s v="Suncorp"/>
    <s v="Large APAC P&amp;C Carrier"/>
    <s v="Australia"/>
    <s v="Alabang and SMNE, PHP"/>
    <x v="1"/>
    <s v="Verna  Arzadon"/>
    <n v="5.2"/>
    <x v="1"/>
    <x v="4"/>
    <x v="14"/>
    <s v="Webchat - Query resolution, General Inquiry"/>
    <s v="Chat, Email Support Policy enquiries, endorsements, payment"/>
    <s v="Policy Servicing through Chat and Email Support, Personal insurance handling Queries, Changes to policy, Documents, Payments/direct debit, Password Reset, Self-servce Support "/>
    <s v="Personal "/>
    <s v="Multi/ Combination"/>
    <s v="Motor and Home "/>
    <s v="All"/>
    <s v="Voice"/>
    <s v="L2"/>
    <n v="1"/>
    <n v="6"/>
    <n v="4"/>
    <s v="FTE Based"/>
    <s v="AUD"/>
    <n v="34545.68"/>
    <n v="87"/>
    <n v="5"/>
    <n v="3"/>
    <n v="17"/>
    <x v="235"/>
    <n v="0.19540229885057472"/>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IT/ASA/HD Required"/>
    <s v="NPS/OSAT"/>
    <s v="NA"/>
    <s v="NA"/>
    <s v="NA"/>
    <s v="NA"/>
    <s v="NA"/>
    <s v="NA"/>
    <s v="NA"/>
    <s v="Customer"/>
    <s v="EMAIL and CHAT"/>
    <s v="Semi-Structured"/>
    <s v="100% CHAT/Email"/>
    <s v="NA"/>
    <s v="Customer, Sales"/>
    <s v="Mainframe,Protect and Customer Workbench"/>
  </r>
  <r>
    <s v="Fidelis"/>
    <s v="Leading specialist (Re)insurance group of UK"/>
    <s v="UK"/>
    <s v="Noida &amp; Pune, India"/>
    <x v="2"/>
    <s v="Deepak Pardeshi/Pranabendu Barman"/>
    <n v="2"/>
    <x v="1"/>
    <x v="2"/>
    <x v="4"/>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s v="Commercial "/>
    <s v="Multi/ Combination"/>
    <s v="Property and Casualty, Marine, Aviation and Aerospace, Credit and Political Risk, Property D&amp;F Reinsurance, Kidnap and Ransom, War Breach and Yacht"/>
    <s v="All"/>
    <s v="Back Office"/>
    <s v="L3"/>
    <n v="1"/>
    <n v="3"/>
    <n v="5"/>
    <s v="FTE Based"/>
    <s v="GBP"/>
    <s v="(FTE) : GBP 23473,(SME) : GBP 28295       (Supervisor) : GBP 37579"/>
    <n v="55.5"/>
    <n v="9"/>
    <n v="6"/>
    <n v="19.5"/>
    <x v="236"/>
    <n v="0.3513"/>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s v="AON"/>
    <s v="Leading Global Broker"/>
    <s v="Global"/>
    <s v="Noida &amp; Pune, India"/>
    <x v="2"/>
    <s v="Anwar Attar"/>
    <s v="9 Months"/>
    <x v="1"/>
    <x v="2"/>
    <x v="5"/>
    <s v="Issuing Certificate of Insurance"/>
    <s v="Certificate of Insurance"/>
    <s v="EXL will manually check and cross verify the extracted data such as Insured name, address, effective date, limits etc. from Certificates of Insurance (“COIs”) submitted by the policyholders through the Certificial platform to ensure accuracy with the actual certificate (“Services”)."/>
    <s v="Commercial "/>
    <s v="Multi/ Combination"/>
    <s v="NA"/>
    <s v="All"/>
    <s v="Back Office"/>
    <s v="L2"/>
    <n v="1"/>
    <n v="2"/>
    <n v="2"/>
    <s v="FTE Based"/>
    <s v="USD"/>
    <n v="23000"/>
    <n v="6"/>
    <n v="1"/>
    <n v="1"/>
    <n v="4"/>
    <x v="106"/>
    <n v="0.66666666666666663"/>
    <n v="654"/>
    <s v="New Business - 496   Renewal - 157"/>
    <s v="January"/>
    <s v="5.75 Mins"/>
    <s v="NA"/>
    <n v="0.95"/>
    <s v="DPO – Defect Per Opportunity"/>
    <s v="NA"/>
    <s v="NA"/>
    <s v="Dependency on Client team to get missing information and clarification in Queries"/>
    <s v="Delay in processing cases in timely manners"/>
    <m/>
    <s v="NA"/>
    <s v="NA"/>
    <s v="NA"/>
    <s v="NA"/>
    <s v="NA"/>
    <s v="NA"/>
    <s v="Client"/>
    <s v="Scanned PDF Docs in the Application portal"/>
    <s v="Unstructured"/>
    <m/>
    <s v="Others"/>
    <s v="Onshore clients"/>
    <s v="Cert Tool, Adobe Acrobat, Zoho One, Trainual"/>
  </r>
  <r>
    <s v="AON"/>
    <s v="Leading Global Broker"/>
    <s v="Global"/>
    <s v="Noida &amp; Pune, India"/>
    <x v="2"/>
    <s v="Anwar Attar"/>
    <s v="9 Months"/>
    <x v="2"/>
    <x v="2"/>
    <x v="5"/>
    <s v="Issuing Certificate of Insurance"/>
    <s v="Certificate of Insurance"/>
    <s v="EXL will manually check and cross verify the extracted data such as Insured name, address, effective date, limits etc. from Certificates of Insurance (“COIs”) submitted by the policyholders through the Certificial platform to ensure accuracy with the actual certificate (“Services”)."/>
    <s v="Commercial "/>
    <s v="Multi/ Combination"/>
    <s v="NA"/>
    <s v="All"/>
    <s v="Back Office"/>
    <s v="L2"/>
    <n v="1"/>
    <n v="2"/>
    <n v="2"/>
    <s v="FTE Based"/>
    <s v="USD"/>
    <n v="23000"/>
    <n v="6"/>
    <n v="1"/>
    <n v="1"/>
    <n v="4"/>
    <x v="106"/>
    <n v="0.66666666666666663"/>
    <n v="654"/>
    <s v="New Business - 496   Renewal - 157"/>
    <s v="January"/>
    <s v="5.75 Mins"/>
    <s v="NA"/>
    <n v="0.95"/>
    <s v="DPO – Defect Per Opportunity"/>
    <s v="NA"/>
    <s v="NA"/>
    <s v="Dependency on Client team to get missing information and clarification in Queries"/>
    <s v="Delay in processing cases in timely manners"/>
    <m/>
    <s v="NA"/>
    <s v="NA"/>
    <s v="NA"/>
    <s v="NA"/>
    <s v="NA"/>
    <s v="NA"/>
    <s v="Client"/>
    <s v="Scanned PDF Docs in the Application portal"/>
    <s v="Unstructured"/>
    <m/>
    <s v="Others"/>
    <s v="Onshore clients"/>
    <s v="Cert Tool, Adobe Acrobat, Zoho One, Trainual"/>
  </r>
  <r>
    <s v="Berkshire Hathaway Guard"/>
    <s v="Fortune 100 US P&amp;C Carrier"/>
    <s v="North America"/>
    <s v="Cape Town, South Africa"/>
    <x v="3"/>
    <s v="Faeekah Cornelius"/>
    <n v="2.6"/>
    <x v="1"/>
    <x v="1"/>
    <x v="9"/>
    <s v="Inquiry calls from providers (medical bill review; bill intake; medical billing form and payment)"/>
    <s v="FROI, General Enquiries, Existing Claims, Medical bills, "/>
    <s v="First report of incident, Direct callers on existing claims to the correct department, Assisting with medical billl queries from providers, check status requests"/>
    <s v="Personal &amp; Commercial"/>
    <s v="Property &amp; Casualty"/>
    <s v="Commercial Auto/Motor, Homeowners, Business Owners Policy, Commercial Package, Workers Compensation, Professional Liability, Commercial Umbrella"/>
    <s v="All"/>
    <s v="Voice"/>
    <s v="L3"/>
    <n v="1"/>
    <n v="3.5"/>
    <n v="1"/>
    <s v="FTE Based"/>
    <s v="USD"/>
    <n v="24750"/>
    <n v="15"/>
    <n v="1"/>
    <n v="1"/>
    <n v="2"/>
    <x v="105"/>
    <n v="0.13333333333333333"/>
    <s v="18 624"/>
    <m/>
    <s v="January"/>
    <s v="10 minutes"/>
    <s v="N/A"/>
    <n v="0.85"/>
    <s v="Others"/>
    <n v="0.97"/>
    <s v="NA"/>
    <s v="N/A"/>
    <s v="N/A"/>
    <s v="NA"/>
    <s v="NA"/>
    <s v="NA"/>
    <s v="NA"/>
    <s v="NA"/>
    <s v="NA"/>
    <s v="NA"/>
    <s v="Client's claims department / adjusters/ Providers"/>
    <s v="Multiple"/>
    <s v="Unstructured"/>
    <s v="NA"/>
    <s v="NA"/>
    <s v="Client Customers"/>
    <s v="IIS, MS Office 365, Ring Central, NiceInContact"/>
  </r>
  <r>
    <s v="Berkshire Hathaway Guard"/>
    <s v="Fortune 100 US P&amp;C Carrier"/>
    <s v="North America"/>
    <s v="Cape Town, South Africa"/>
    <x v="3"/>
    <s v="Faeekah Cornelius"/>
    <n v="2.2000000000000002"/>
    <x v="1"/>
    <x v="2"/>
    <x v="3"/>
    <s v="Certificates (COI, AI, Renewal)"/>
    <s v="Billing, audits, Policy documents, Data Entry"/>
    <s v="Assist with audit requirements for customers, Billing policy queries, Enquiring about endorsements, generating insurance certificates and loss runs"/>
    <s v="Personal &amp; Commercial"/>
    <s v="Property &amp; Casualty"/>
    <s v="Commercial Auto/Motor, Homeowners, Business Owners Policy, Commercial Package, Workers Compensation, Professional Liability, Commercial Umbrella"/>
    <s v="All"/>
    <s v="Voice"/>
    <s v="L3"/>
    <n v="1"/>
    <n v="3.5"/>
    <n v="1"/>
    <s v="FTE Based"/>
    <s v="USD"/>
    <n v="24750"/>
    <n v="15"/>
    <n v="1"/>
    <n v="1"/>
    <n v="2"/>
    <x v="104"/>
    <n v="0.13333333333333333"/>
    <s v="9 467"/>
    <m/>
    <s v="January"/>
    <s v="10 minutes"/>
    <s v="N/A"/>
    <n v="0.85"/>
    <s v="Others"/>
    <n v="0.97"/>
    <s v="NA"/>
    <s v="N/A"/>
    <s v="N/A"/>
    <s v="NA"/>
    <s v="NA"/>
    <s v="NA"/>
    <s v="NA"/>
    <s v="NA"/>
    <s v="NA"/>
    <s v="NA"/>
    <s v="Clients Underwriting department/Mortgagee Agents/auditors"/>
    <s v="Multiple"/>
    <s v="Unstructured"/>
    <s v="NA"/>
    <s v="NA"/>
    <s v="Client Customers"/>
    <s v="IIS, MS Office 365, Ring Central, NiceInContact"/>
  </r>
  <r>
    <s v="Hollard"/>
    <s v="Fortune 100 APAC P&amp;C Carrier"/>
    <s v="Australia"/>
    <s v="Cape Town, South Africa"/>
    <x v="3"/>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
    <s v="Claims"/>
    <s v="• Lodgments_x000a_•  Motor &amp; Home Claims Enquiry_x000a_•  Broker Lodgments_x000a_•  Digital Lodgments_x000a_•  Supplier Payments_x000a_•  Mailbox Management"/>
    <s v="Mid Size"/>
    <s v="Voice"/>
    <s v="L2"/>
    <s v="1 week"/>
    <s v="5 weeks"/>
    <s v="1 week"/>
    <s v="FTE Based"/>
    <s v="AUD"/>
    <n v="22.64"/>
    <n v="131"/>
    <n v="14"/>
    <n v="17"/>
    <n v="47"/>
    <x v="237"/>
    <s v="16.25%"/>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s v="Convex"/>
    <s v="International speciality Insurance and Reinsurance"/>
    <s v="UK"/>
    <s v="Pune"/>
    <x v="2"/>
    <s v="Aghraja Bhatia, Deepak Bansal"/>
    <n v="1"/>
    <x v="1"/>
    <x v="2"/>
    <x v="4"/>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s v="Commercial &amp; Specialty"/>
    <s v="Multi/ Combination"/>
    <s v="Property and Casualty, Marine, Aviation and Aerospace, Credit and Political Risk, Property D&amp;F Reinsurance, Kidnap and Ransom, War Breach and Yatch"/>
    <s v="All"/>
    <s v="Back Office"/>
    <s v="L4"/>
    <n v="1"/>
    <n v="6"/>
    <n v="4"/>
    <s v="FTE Based"/>
    <s v="USD"/>
    <s v="$184,652.1 - Including all bands "/>
    <n v="49"/>
    <n v="14"/>
    <n v="6"/>
    <n v="4"/>
    <x v="238"/>
    <n v="5.4800000000000001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s v="Convex"/>
    <s v="International speciality Insurance and Reinsurance"/>
    <s v="UK"/>
    <s v="Pune"/>
    <x v="2"/>
    <s v="Aghraja Bhatia, Deepak Bansal"/>
    <n v="1"/>
    <x v="1"/>
    <x v="1"/>
    <x v="9"/>
    <s v="Claim Coding"/>
    <s v="Bureau and Non-Bureau Claim coding "/>
    <s v="Claim Coding "/>
    <s v="Commercial &amp; Specialty"/>
    <s v="Multi/ Combination"/>
    <s v="Property and Casualty, Marine, Aviation and Aerospace, Credit and Political Risk, Property D&amp;F Reinsurance, Kidnap and Ransom, War Breach and Yatch"/>
    <s v="All"/>
    <s v="Back Office"/>
    <s v="L4"/>
    <n v="1"/>
    <n v="6"/>
    <n v="4"/>
    <s v="FTE Based"/>
    <s v="USD"/>
    <s v="53715.10 - Including all bands "/>
    <n v="11"/>
    <n v="1"/>
    <n v="1"/>
    <n v="2"/>
    <x v="2"/>
    <n v="0.15379999999999999"/>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s v="Esure"/>
    <s v="UK General Insurance Carrier"/>
    <s v="UK"/>
    <s v="Cape Town, South Africa"/>
    <x v="3"/>
    <s v="Denver Vieira, Nontobeko Mfeka, Meeta Sarkar"/>
    <n v="1"/>
    <x v="1"/>
    <x v="2"/>
    <x v="3"/>
    <s v="Customer service"/>
    <s v="Webchat and Inbound Calls"/>
    <s v="Handling incoming calls and chats from customers regarding various querries like mid-term amendments, renewals cancellations, complaints, payments, billing, general queries, etc. "/>
    <s v="Personal"/>
    <s v="Auto"/>
    <s v="Personal Auto"/>
    <s v="All"/>
    <s v="Voice and Webchat"/>
    <s v="L3"/>
    <n v="1"/>
    <n v="4"/>
    <n v="4"/>
    <s v="FTE Based"/>
    <s v="GBP"/>
    <n v="23625"/>
    <n v="30"/>
    <n v="5"/>
    <n v="4"/>
    <n v="12"/>
    <x v="239"/>
    <n v="0.4"/>
    <n v="30200"/>
    <s v="Calls: 15200_x000a_Chats: 15000"/>
    <s v="Oct - Dec"/>
    <s v="Calls: 620 to 630 sec_x000a_Chats: 920 to 930 sec"/>
    <s v="NA"/>
    <n v="0.9"/>
    <s v="DPO – Defect Per Opportunity"/>
    <s v="Net Lock Down (staffing delivery per interval): 100%"/>
    <s v="Compliance: 95%"/>
    <s v="Quality - following all regulatory / compliance scripts _x000a_Net Lock Down Deliverry - 100% delivery can be challenging with spikes in absences, etc."/>
    <s v="CSAT / NPS: Not measured yet (design in progress)"/>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s v="Liberty Mutual Insurance Company"/>
    <s v="Fortune 100 Global P&amp;C Carrier"/>
    <s v="North America"/>
    <s v="Pune, India"/>
    <x v="2"/>
    <s v="Rashmi Arora"/>
    <s v="12 months"/>
    <x v="1"/>
    <x v="2"/>
    <x v="10"/>
    <s v="Renewal Quotes/ Rating"/>
    <s v="Generating Quotes"/>
    <s v="Generating quotes for Auto policies by following instructions"/>
    <s v="Commercial "/>
    <s v="Auto"/>
    <s v="AUTO"/>
    <s v="Mid Size"/>
    <s v="Back Office"/>
    <s v="L3"/>
    <n v="1"/>
    <n v="6"/>
    <n v="7"/>
    <s v="FTE Based"/>
    <s v="USD"/>
    <n v="22264"/>
    <n v="8"/>
    <n v="0"/>
    <n v="1"/>
    <n v="1"/>
    <x v="17"/>
    <n v="0.875"/>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s v="Commercial "/>
    <s v="Auto"/>
    <s v="AUTO"/>
    <s v="Mid Size"/>
    <s v="Back Office"/>
    <s v="L3"/>
    <n v="1"/>
    <n v="3"/>
    <n v="8"/>
    <s v="FTE Based"/>
    <s v="USD"/>
    <n v="22264"/>
    <n v="7"/>
    <n v="0"/>
    <n v="0.5"/>
    <n v="1"/>
    <x v="13"/>
    <n v="0.875"/>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s v="Liberty Mutual Insurance Company"/>
    <s v="Fortune 100 Global P&amp;C Carrier"/>
    <s v="North America"/>
    <s v="Pune, India"/>
    <x v="2"/>
    <s v="Rashmi Arora"/>
    <s v="12 months"/>
    <x v="1"/>
    <x v="2"/>
    <x v="10"/>
    <s v="Renewal Quotes/ Rating"/>
    <s v="Comparing Forms "/>
    <s v="Comparing forms of renewal quotes and old quote to match and finalize forms"/>
    <s v="Commercial "/>
    <s v="Auto"/>
    <s v="AUTO"/>
    <s v="Mid Size &amp; Large"/>
    <s v="Back Office"/>
    <s v="L3"/>
    <n v="1"/>
    <n v="3"/>
    <n v="5"/>
    <s v="FTE Based"/>
    <s v="USD"/>
    <n v="22264"/>
    <n v="7"/>
    <n v="0"/>
    <n v="0.5"/>
    <n v="2"/>
    <x v="24"/>
    <n v="0.875"/>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s v="Liberty Mutual Insurance Company"/>
    <s v="Fortune 100 Global P&amp;C Carrier"/>
    <s v="North America"/>
    <s v="Pune, India"/>
    <x v="2"/>
    <s v="Rashmi Arora"/>
    <s v="12 months"/>
    <x v="1"/>
    <x v="2"/>
    <x v="10"/>
    <s v="New Business Quotes/ Rating"/>
    <s v="Generating Quotes"/>
    <s v="Generating quotes for WC policies by following AA instructions"/>
    <s v="Commercial "/>
    <s v="WC"/>
    <s v="WC"/>
    <s v="Mid Size &amp; Large"/>
    <s v="Back Office"/>
    <s v="L3"/>
    <n v="1"/>
    <n v="5"/>
    <n v="8"/>
    <s v="FTE Based"/>
    <s v="USD"/>
    <n v="22264"/>
    <n v="11"/>
    <n v="0"/>
    <n v="1"/>
    <n v="2"/>
    <x v="9"/>
    <n v="0.87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s v="Liberty Mutual Insurance Company"/>
    <s v="Fortune 100 Global P&amp;C Carrier"/>
    <s v="North America"/>
    <s v="Pune, India"/>
    <x v="2"/>
    <s v="Rashmi Arora"/>
    <s v="12 months"/>
    <x v="1"/>
    <x v="2"/>
    <x v="12"/>
    <s v="Premium Audit Endorsements"/>
    <s v="Premium Audit"/>
    <s v="Auditing finalized premium after the renewal / new business issuance for every policy"/>
    <s v="Commercial "/>
    <s v="WC"/>
    <s v="WC"/>
    <s v="Mid Size &amp; Large"/>
    <s v="Back Office"/>
    <s v="L3"/>
    <n v="1"/>
    <n v="4"/>
    <n v="6"/>
    <s v="FTE Based"/>
    <s v="USD"/>
    <n v="22264"/>
    <n v="10"/>
    <n v="0"/>
    <n v="1"/>
    <n v="2"/>
    <x v="8"/>
    <n v="0.87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Updating Experience mods for midterms."/>
    <s v="Commercial "/>
    <s v="WC"/>
    <s v="WC"/>
    <s v="Mid Size &amp; Large"/>
    <s v="Back Office"/>
    <s v="L3"/>
    <n v="1"/>
    <n v="4"/>
    <n v="8"/>
    <s v="FTE Based"/>
    <s v="USD"/>
    <n v="22264"/>
    <n v="8"/>
    <n v="0"/>
    <n v="1"/>
    <n v="1"/>
    <x v="17"/>
    <n v="0.875"/>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Updating Experience mods for midterms."/>
    <s v="Commercial "/>
    <s v="WC"/>
    <s v="WC"/>
    <s v="Mid Size &amp; Large"/>
    <s v="Back Office"/>
    <s v="L3"/>
    <n v="1"/>
    <n v="3"/>
    <n v="4"/>
    <s v="FTE Based"/>
    <s v="USD"/>
    <n v="22264"/>
    <n v="3"/>
    <n v="0"/>
    <n v="0"/>
    <n v="2"/>
    <x v="103"/>
    <n v="0.875"/>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s v="Liberty Mutual Insurance Company"/>
    <s v="Fortune 100 Global P&amp;C Carrier"/>
    <s v="North America"/>
    <s v="Pune, India"/>
    <x v="2"/>
    <s v="Rashmi Arora"/>
    <s v="12 months"/>
    <x v="1"/>
    <x v="2"/>
    <x v="4"/>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s v="Commercial "/>
    <s v="Multi/ Combination"/>
    <s v="Auto_x000a_GL_x000a_Property_x000a_WC _x000a_Inland Marine"/>
    <s v="All"/>
    <s v="Back Office"/>
    <s v="L3"/>
    <n v="1"/>
    <n v="7"/>
    <n v="6"/>
    <s v="FTE Based"/>
    <s v="USD"/>
    <n v="22264"/>
    <n v="3"/>
    <n v="0"/>
    <n v="0"/>
    <n v="1"/>
    <x v="19"/>
    <n v="0.87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s v="Liberty Mutual Insurance Company"/>
    <s v="Fortune 100 Global P&amp;C Carrier"/>
    <s v="North America"/>
    <s v="Pune, India"/>
    <x v="2"/>
    <s v="Rashmi Arora"/>
    <s v="12 months"/>
    <x v="1"/>
    <x v="2"/>
    <x v="4"/>
    <s v="Validate and Update Policy info (Limits, Exposure State, Exposure, FEIN, Address, Name Insured, Employers Liability etc.)"/>
    <s v="Policy Assembly"/>
    <s v="Updating forms of the GL policies as per broker instruction and finalizing the policy"/>
    <s v="Commercial "/>
    <s v="GL"/>
    <s v="GL"/>
    <s v="Mid Size &amp; Large"/>
    <s v="Back Office"/>
    <s v="L3"/>
    <n v="1"/>
    <n v="5"/>
    <n v="4"/>
    <s v="FTE Based"/>
    <s v="USD"/>
    <n v="22264"/>
    <n v="1"/>
    <n v="0"/>
    <n v="0"/>
    <n v="1"/>
    <x v="15"/>
    <n v="0.87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s v="Liberty Mutual Insurance Company"/>
    <s v="Fortune 100 Global P&amp;C Carrier"/>
    <s v="North America"/>
    <s v="Pune, India"/>
    <x v="2"/>
    <s v="Rashmi Arora"/>
    <s v="12 months"/>
    <x v="1"/>
    <x v="2"/>
    <x v="5"/>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s v="Commercial "/>
    <s v="Property"/>
    <s v="Property"/>
    <s v="Mid Size &amp; Large"/>
    <s v="Back Office"/>
    <s v="L3"/>
    <n v="1"/>
    <n v="9"/>
    <n v="7"/>
    <s v="FTE Based"/>
    <s v="USD"/>
    <n v="22264"/>
    <n v="4"/>
    <n v="0"/>
    <n v="0.5"/>
    <n v="2"/>
    <x v="240"/>
    <n v="0.875"/>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s v="Liberty Mutual Insurance Company"/>
    <s v="Fortune 100 Global P&amp;C Carrier"/>
    <s v="North America"/>
    <s v="Pune, India"/>
    <x v="2"/>
    <s v="Rashmi Arora"/>
    <s v="12 months"/>
    <x v="1"/>
    <x v="2"/>
    <x v="10"/>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s v="Commercial "/>
    <s v="General Liability"/>
    <s v="General Liability"/>
    <s v="Mid Size"/>
    <s v="Back Office"/>
    <s v="L3"/>
    <n v="1"/>
    <n v="8"/>
    <n v="11"/>
    <s v="FTE Based"/>
    <s v="USD"/>
    <n v="22264"/>
    <n v="9"/>
    <n v="0"/>
    <n v="0.5"/>
    <n v="0"/>
    <x v="24"/>
    <n v="0.875"/>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s v="Liberty Mutual Insurance Company"/>
    <s v="Fortune 100 Global P&amp;C Carrier"/>
    <s v="North America"/>
    <s v="Pune, India"/>
    <x v="2"/>
    <s v="Rashmi Arora"/>
    <s v="12 months"/>
    <x v="1"/>
    <x v="2"/>
    <x v="10"/>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s v="Commercial "/>
    <s v="General Liability"/>
    <s v="General Liability"/>
    <s v="Large"/>
    <s v="Back Office"/>
    <s v="L3"/>
    <n v="1"/>
    <n v="8"/>
    <n v="11"/>
    <s v="FTE Based"/>
    <s v="USD"/>
    <n v="22264"/>
    <n v="5"/>
    <n v="0"/>
    <n v="0.5"/>
    <n v="1"/>
    <x v="240"/>
    <n v="0.87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s v="Liberty Mutual Insurance Company"/>
    <s v="Fortune 100 Global P&amp;C Carrier"/>
    <s v="North America"/>
    <s v="Pune, India"/>
    <x v="2"/>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s v="Commercial "/>
    <s v="WC"/>
    <s v="WC"/>
    <s v="Mid Size &amp; Large"/>
    <s v="Back Office"/>
    <s v="L3"/>
    <n v="1"/>
    <n v="5"/>
    <n v="4"/>
    <s v="FTE Based"/>
    <s v="USD"/>
    <n v="22264"/>
    <n v="1"/>
    <n v="0"/>
    <n v="0"/>
    <n v="1"/>
    <x v="15"/>
    <n v="0.87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s v="Liberty Mutual Insurance Company"/>
    <s v="Fortune 100 Global P&amp;C Carrier"/>
    <s v="North America"/>
    <s v="Pune, India"/>
    <x v="2"/>
    <s v="Rashmi Arora"/>
    <s v="12 months"/>
    <x v="1"/>
    <x v="2"/>
    <x v="3"/>
    <s v="Endorsements intake and setup"/>
    <s v="Policy Maintainance/Amendments"/>
    <s v="Work received post Issuance where team need to update add delete named insured, forms, exposure, class code and add/amend location address "/>
    <s v="Commercial "/>
    <s v="WC"/>
    <s v="WC"/>
    <s v="Mid Size &amp; Large"/>
    <s v="Back Office"/>
    <s v="L3"/>
    <n v="1"/>
    <n v="8"/>
    <n v="9"/>
    <s v="FTE Based"/>
    <s v="USD"/>
    <n v="24300"/>
    <n v="6"/>
    <n v="0"/>
    <n v="1"/>
    <n v="2"/>
    <x v="115"/>
    <n v="0.875"/>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s v="Liberty Mutual Insurance Company"/>
    <s v="Fortune 100 Global P&amp;C Carrier"/>
    <s v="North America"/>
    <s v="Pune, India"/>
    <x v="2"/>
    <s v="Rashmi Arora"/>
    <s v="12 months"/>
    <x v="1"/>
    <x v="2"/>
    <x v="10"/>
    <s v="Endorsements Quotes/ Rating"/>
    <s v="Rate Validation"/>
    <s v="&gt;Work received post Issuance, Request generated due to new information added in the midterm, original document is updated to include changes., Rater completes an excel template with account information &amp; Premium details"/>
    <s v="Commercial "/>
    <s v="WC"/>
    <s v="WC"/>
    <s v="Mid Size"/>
    <s v="Back Office"/>
    <s v="L3"/>
    <n v="1"/>
    <n v="3"/>
    <n v="2"/>
    <s v="FTE Based"/>
    <s v="USD"/>
    <n v="22264"/>
    <n v="3"/>
    <n v="0"/>
    <n v="0"/>
    <n v="1"/>
    <x v="19"/>
    <n v="0.87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s v="Liberty Mutual Insurance Company"/>
    <s v="Fortune 100 Global P&amp;C Carrier"/>
    <s v="North America"/>
    <s v="Pune, India"/>
    <x v="2"/>
    <s v="Rashmi Arora"/>
    <s v="6 months"/>
    <x v="1"/>
    <x v="2"/>
    <x v="10"/>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s v="Commercial "/>
    <s v="ALL LOB"/>
    <s v="Auto, GL, Prop, WC, Crime"/>
    <s v="Mid Size"/>
    <s v="Back Office"/>
    <s v="L3"/>
    <n v="1"/>
    <n v="6"/>
    <n v="6"/>
    <s v="FTE Based"/>
    <s v="USD"/>
    <n v="22264"/>
    <n v="4"/>
    <n v="0"/>
    <n v="0.5"/>
    <n v="2"/>
    <x v="240"/>
    <n v="0.875"/>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s v="Liberty Mutual Insurance Company"/>
    <s v="Fortune 100 Global P&amp;C Carrier"/>
    <s v="North America"/>
    <s v="Pune, India"/>
    <x v="2"/>
    <s v="Rashmi Arora"/>
    <s v="6 months"/>
    <x v="1"/>
    <x v="2"/>
    <x v="5"/>
    <s v="New Business Issuance"/>
    <s v="Issuing Policy"/>
    <s v="Issuance policies for finalised quotes by updating forms and fill-ins as per AA instructions"/>
    <s v="Commercial "/>
    <s v="Auto"/>
    <s v="AUTO"/>
    <s v="Large"/>
    <s v="Back Office"/>
    <s v="L3"/>
    <n v="1"/>
    <n v="6"/>
    <n v="16"/>
    <s v="FTE Based"/>
    <s v="USD"/>
    <n v="22264"/>
    <n v="3"/>
    <n v="0"/>
    <n v="0.5"/>
    <n v="2"/>
    <x v="14"/>
    <n v="0.87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s v="Liberty Mutual Insurance Company"/>
    <s v="Fortune 100 Global P&amp;C Carrier"/>
    <s v="North America"/>
    <s v="Pune, India"/>
    <x v="2"/>
    <s v="Rashmi Arora"/>
    <s v="6 months"/>
    <x v="1"/>
    <x v="2"/>
    <x v="10"/>
    <s v="New Business Quotes/ Rating"/>
    <s v="Generating Quotes"/>
    <s v="Generating quotes for Auto policies by following AA instructions"/>
    <s v="Commercial "/>
    <s v="Auto"/>
    <s v="AUTO"/>
    <s v="Large"/>
    <s v="Back Office"/>
    <s v="L3"/>
    <n v="1"/>
    <n v="6"/>
    <n v="7"/>
    <s v="FTE Based"/>
    <s v="USD"/>
    <n v="22264"/>
    <n v="4"/>
    <n v="0"/>
    <n v="0.5"/>
    <n v="2"/>
    <x v="240"/>
    <n v="0.875"/>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GL"/>
    <s v="General Liability"/>
    <s v="Mid Size &amp; Large"/>
    <s v="Back Office"/>
    <s v="L3"/>
    <n v="1"/>
    <n v="10"/>
    <n v="11"/>
    <s v="FTE Based"/>
    <s v="USD"/>
    <n v="24300"/>
    <n v="7"/>
    <n v="0"/>
    <n v="0.5"/>
    <n v="4"/>
    <x v="225"/>
    <n v="0.875"/>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s v="Liberty Mutual Insurance Company"/>
    <s v="Fortune 100 Global P&amp;C Carrier"/>
    <s v="North America"/>
    <s v="Pune, India"/>
    <x v="2"/>
    <s v="Rashmi Arora"/>
    <s v="6 months"/>
    <x v="1"/>
    <x v="2"/>
    <x v="4"/>
    <s v="Validate and Update Policy info (Limits, Exposure State, Exposure, FEIN, Address, Name Insured, Employers Liability etc.)"/>
    <s v="Policy Assembly"/>
    <s v="Updating forms of the GL policies as per broker instruction and finalizing the policy"/>
    <s v="Commercial "/>
    <s v="GL"/>
    <s v="GL"/>
    <s v="Mid Size &amp; Large"/>
    <s v="Back Office"/>
    <s v="L3"/>
    <n v="1"/>
    <n v="5"/>
    <n v="4"/>
    <s v="FTE Based"/>
    <s v="USD"/>
    <n v="22264"/>
    <n v="3"/>
    <n v="0"/>
    <n v="0.5"/>
    <n v="2"/>
    <x v="14"/>
    <n v="0.87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Property"/>
    <s v="Property"/>
    <s v="Large"/>
    <s v="Back Office"/>
    <s v="L3"/>
    <n v="1"/>
    <n v="4"/>
    <n v="12"/>
    <s v="FTE Based"/>
    <s v="USD"/>
    <n v="24300"/>
    <n v="7"/>
    <n v="0"/>
    <n v="0"/>
    <n v="3"/>
    <x v="17"/>
    <n v="0.875"/>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Property"/>
    <s v="Property"/>
    <s v="Mid Size &amp; Large"/>
    <s v="Back Office"/>
    <s v="L3"/>
    <n v="1"/>
    <n v="4"/>
    <n v="12"/>
    <s v="FTE Based"/>
    <s v="USD"/>
    <n v="24300"/>
    <n v="2"/>
    <n v="0"/>
    <n v="0"/>
    <n v="2"/>
    <x v="19"/>
    <n v="0.87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s v="Liberty Mutual Insurance Company"/>
    <s v="Fortune 100 Global P&amp;C Carrier"/>
    <s v="North America"/>
    <s v="Pune, India"/>
    <x v="2"/>
    <s v="Rashmi Arora"/>
    <s v="6 months"/>
    <x v="1"/>
    <x v="2"/>
    <x v="10"/>
    <s v="New Business Quotes/ Rating"/>
    <s v="Policy Assignment"/>
    <s v="Assigning policy numbers for all LOB which has come to us as submission"/>
    <s v="Commercial "/>
    <s v="ALL LOB"/>
    <s v="Auto, GL, Prop, WC"/>
    <s v="All"/>
    <s v="Back Office"/>
    <s v="L3"/>
    <n v="1"/>
    <n v="3"/>
    <n v="4"/>
    <s v="FTE Based"/>
    <s v="USD"/>
    <n v="22264"/>
    <n v="1"/>
    <n v="0"/>
    <n v="0"/>
    <n v="0"/>
    <x v="77"/>
    <n v="0.875"/>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s v="Liberty Mutual Insurance Company"/>
    <s v="Fortune 100 Global P&amp;C Carrier"/>
    <s v="North America"/>
    <s v="Pune, India"/>
    <x v="2"/>
    <s v="Rashmi Arora"/>
    <s v="6 months"/>
    <x v="1"/>
    <x v="2"/>
    <x v="4"/>
    <s v="Renewal Prep"/>
    <s v="Process UW Pre-Renewal"/>
    <s v="Pre renewal of existing policies according to eligibility criterias, Losses, TIV, Premium limits etc"/>
    <s v="Commercial "/>
    <s v="Multi/ Combination"/>
    <s v="MA Excess Casualty, E-Breakdown, In. Marine &amp; Property"/>
    <s v="Large"/>
    <s v="Back Office"/>
    <s v="L3"/>
    <n v="1"/>
    <n v="7"/>
    <n v="8"/>
    <s v="FTE Based"/>
    <s v="USD"/>
    <n v="22264"/>
    <n v="7"/>
    <n v="0"/>
    <n v="1"/>
    <n v="4"/>
    <x v="106"/>
    <n v="0.875"/>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s v="Liberty Mutual Insurance Company"/>
    <s v="Fortune 100 Global P&amp;C Carrier"/>
    <s v="North America"/>
    <s v="Pune, India"/>
    <x v="2"/>
    <s v="Rashmi Arora"/>
    <s v="6 months"/>
    <x v="1"/>
    <x v="2"/>
    <x v="4"/>
    <s v="Renewal Prep"/>
    <s v="Process UW Pre-Renewal"/>
    <s v="Pre renewal according to exping accounts"/>
    <s v="Commercial "/>
    <s v="ALL LOB"/>
    <s v="Auto, GL, Prop, WC, Government Line and School Lines, Crime, Liquor Liability"/>
    <s v="Mid Size"/>
    <s v="Back Office"/>
    <s v="L3"/>
    <n v="1"/>
    <n v="6"/>
    <n v="4"/>
    <s v="FTE Based"/>
    <s v="USD"/>
    <n v="22264"/>
    <n v="1"/>
    <n v="0"/>
    <n v="0"/>
    <n v="0"/>
    <x v="77"/>
    <n v="0.875"/>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s v="Liberty Mutual Insurance Company"/>
    <s v="Fortune 100 Global P&amp;C Carrier"/>
    <s v="North America"/>
    <s v="Pune, India"/>
    <x v="2"/>
    <s v="Rashmi Arora"/>
    <s v="6 months"/>
    <x v="1"/>
    <x v="2"/>
    <x v="4"/>
    <s v="Renewal Prep"/>
    <s v="Process Pre-Renewal CNR"/>
    <s v="Sending templates to the UW and sending Drafts to the insured with Condistions of the renewal / non-renewal of the policies"/>
    <s v="Commercial "/>
    <s v="Multi/ Combination"/>
    <s v="Auto, GL, Prop, WC, Umbrella, Excess Casualty, Inland Marine, Crime"/>
    <s v="Mid Size &amp; Large"/>
    <s v="Back Office"/>
    <s v="L3"/>
    <n v="1"/>
    <n v="4"/>
    <n v="5"/>
    <s v="FTE Based"/>
    <s v="USD"/>
    <n v="22264"/>
    <n v="5"/>
    <n v="0"/>
    <n v="0"/>
    <n v="1"/>
    <x v="107"/>
    <n v="0.875"/>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s v="Liberty Mutual Insurance Company"/>
    <s v="Fortune 100 Global P&amp;C Carrier"/>
    <s v="North America"/>
    <s v="Pune, India"/>
    <x v="2"/>
    <s v="Rashmi Arora"/>
    <s v="6 months"/>
    <x v="1"/>
    <x v="2"/>
    <x v="4"/>
    <s v="Renewal Prep"/>
    <s v="Process Signed Docs"/>
    <s v="Generate policy documents, calculate premium and send it to Insured for Signing"/>
    <s v="Commercial "/>
    <s v="Multi/ Combination"/>
    <s v="Auto, GL, Prop, WC, UM/UIM, Umbrella, Inland Marine, Liquor, RRR (rail road protection)"/>
    <s v="Mid Size &amp; Large"/>
    <s v="Back Office"/>
    <s v="L3"/>
    <n v="1"/>
    <n v="6"/>
    <n v="4"/>
    <s v="FTE Based"/>
    <s v="USD"/>
    <n v="22264"/>
    <n v="7"/>
    <n v="0"/>
    <n v="0"/>
    <n v="2"/>
    <x v="115"/>
    <n v="0.875"/>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s v="Liberty Mutual Insurance Company"/>
    <s v="Fortune 100 Global P&amp;C Carrier"/>
    <s v="North America"/>
    <s v="Pune, India"/>
    <x v="2"/>
    <s v="Rashmi Arora"/>
    <s v="1 month"/>
    <x v="1"/>
    <x v="2"/>
    <x v="3"/>
    <s v="Endorsements intake and setup"/>
    <s v="Policy Maintainance/Amendments"/>
    <s v="Work received post Issuance where team need to update add delete named insured, forms, exposure, class code and add/amend location address "/>
    <s v="Commercial "/>
    <s v="Auto"/>
    <s v="AUTO"/>
    <s v="Mid Size &amp; Large"/>
    <s v="Back Office"/>
    <s v="L3"/>
    <n v="1"/>
    <n v="2"/>
    <n v="8"/>
    <s v="FTE Based"/>
    <s v="USD"/>
    <n v="24300"/>
    <n v="6"/>
    <n v="0"/>
    <n v="0"/>
    <n v="3"/>
    <x v="115"/>
    <n v="0.875"/>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s v="Liberty Mutual Insurance Company"/>
    <s v="Fortune 100 Global P&amp;C Carrier"/>
    <s v="North America"/>
    <s v="Pune, India"/>
    <x v="2"/>
    <s v="Rashmi Arora"/>
    <s v="1 month"/>
    <x v="1"/>
    <x v="2"/>
    <x v="5"/>
    <s v="New Business Issuance"/>
    <s v="Issuing Policy"/>
    <s v="Issuance policies for finalised quotes by updating forms and fill-ins as per AA instructions"/>
    <s v="Commercial "/>
    <s v="GL"/>
    <s v="General Liability"/>
    <s v="Mid Size &amp; Large"/>
    <s v="Back Office"/>
    <s v="L3"/>
    <n v="1"/>
    <n v="4"/>
    <n v="8"/>
    <s v="FTE Based"/>
    <s v="USD"/>
    <n v="22264"/>
    <n v="11"/>
    <n v="0"/>
    <n v="1"/>
    <n v="4"/>
    <x v="104"/>
    <n v="0.87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s v="Liberty Mutual Insurance Company"/>
    <s v="Fortune 100 Global P&amp;C Carrier"/>
    <s v="North America"/>
    <s v="Manila, PHP"/>
    <x v="1"/>
    <s v="Ruth Verzonilla"/>
    <n v="5"/>
    <x v="1"/>
    <x v="1"/>
    <x v="9"/>
    <s v="Inquiry calls from providers (medical bill review; bill intake; medical billing form and payment)"/>
    <s v="PSU"/>
    <s v="Intake of medical provider calls regarding WC medical bill status"/>
    <s v="Commercial "/>
    <s v="WC"/>
    <s v="Single LOB - WC"/>
    <s v="All"/>
    <s v="Voice"/>
    <s v="L3"/>
    <n v="1.4"/>
    <n v="3"/>
    <s v="15 days"/>
    <s v="FTE Based"/>
    <s v="USD"/>
    <n v="27183"/>
    <n v="21.5"/>
    <n v="4"/>
    <n v="2"/>
    <n v="5.5"/>
    <x v="12"/>
    <n v="1.5348837209302326"/>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s v="Liberty Mutual Insurance Company"/>
    <s v="Fortune 100 Global P&amp;C Carrier"/>
    <s v="North America"/>
    <s v="Manila, PHP"/>
    <x v="1"/>
    <s v="Ruth Verzonilla"/>
    <n v="5"/>
    <x v="1"/>
    <x v="1"/>
    <x v="8"/>
    <s v="Medical Bill Review and Repricing"/>
    <s v="CRS"/>
    <s v="Review of WC medical bills based on State specific WC guidelines, CPT/ICD, CPT modifier etc."/>
    <s v="Commercial "/>
    <s v="WC"/>
    <s v="Single LOB - WC"/>
    <s v="All"/>
    <s v="Back Office"/>
    <s v="L4"/>
    <n v="0.8"/>
    <n v="4"/>
    <s v="20 days"/>
    <s v="FTE Based"/>
    <s v="USD"/>
    <n v="36765"/>
    <n v="5.38"/>
    <n v="2"/>
    <n v="1"/>
    <n v="3"/>
    <x v="241"/>
    <n v="2.1152416356877324"/>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s v="Liberty Mutual Insurance Company"/>
    <s v="Fortune 100 Global P&amp;C Carrier"/>
    <s v="North America"/>
    <s v="Manila, PHP"/>
    <x v="1"/>
    <s v="Ruth Verzonilla"/>
    <n v="3"/>
    <x v="2"/>
    <x v="1"/>
    <x v="9"/>
    <s v="Inquiry calls from providers (medical bill review; bill intake; medical billing form and payment)"/>
    <s v="UM Calls"/>
    <s v="Intake of medical provider calls and members regarding UR status"/>
    <s v="Commercial "/>
    <s v="WC"/>
    <s v="Single LOB - WC"/>
    <s v="All"/>
    <s v="Voice"/>
    <s v="L3"/>
    <n v="1.4"/>
    <n v="2"/>
    <s v="15 days"/>
    <s v="FTE Based"/>
    <s v="USD"/>
    <n v="27183"/>
    <n v="3.2"/>
    <n v="1"/>
    <n v="1"/>
    <n v="1"/>
    <x v="242"/>
    <n v="1.9375"/>
    <n v="4693"/>
    <s v="TBD"/>
    <s v="March, May, June &amp; August"/>
    <s v="NA"/>
    <s v="NA"/>
    <n v="0.96"/>
    <s v="DPO – Defect Per Opportunity"/>
    <s v="ABA% 4%"/>
    <s v="AHT 166 secs"/>
    <s v="NA"/>
    <s v="NA"/>
    <s v="NA"/>
    <s v="NA"/>
    <s v="NA"/>
    <s v="NA"/>
    <s v="NA"/>
    <s v="NA"/>
    <s v="NA"/>
    <s v="Medical Providers, Members"/>
    <s v="Others"/>
    <s v="Semi-Structured"/>
    <n v="1"/>
    <s v="Others"/>
    <s v="Medical Providers"/>
    <s v="ECM"/>
  </r>
  <r>
    <s v="Liberty Mutual Insurance Company"/>
    <s v="Fortune 100 Global P&amp;C Carrier"/>
    <s v="North America"/>
    <s v="Manila, PHP"/>
    <x v="1"/>
    <s v="Ruth Verzonilla"/>
    <n v="2"/>
    <x v="1"/>
    <x v="1"/>
    <x v="8"/>
    <s v="Bill Payment (Medical Legal, Non Medical, Vendor)"/>
    <s v="MBR OP"/>
    <s v="Review of overpayment and refund for WC medical bills "/>
    <s v="Commercial "/>
    <s v="WC"/>
    <s v="Single LOB - WC"/>
    <s v="All"/>
    <s v="Blended"/>
    <s v="L3"/>
    <n v="0.8"/>
    <n v="3"/>
    <n v="15"/>
    <s v="FTE Based"/>
    <s v="USD"/>
    <n v="27183"/>
    <n v="4.1500000000000004"/>
    <s v="-"/>
    <s v="-"/>
    <m/>
    <x v="243"/>
    <n v="1"/>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s v="Liberty Mutual Insurance Company"/>
    <s v="Fortune 100 Global P&amp;C Carrier"/>
    <s v="North America"/>
    <s v="Noida, India"/>
    <x v="2"/>
    <s v="Bhuwan Dass"/>
    <n v="5"/>
    <x v="1"/>
    <x v="1"/>
    <x v="1"/>
    <s v="Adjuster License Management (addition/renewal/removal)"/>
    <s v="CM Contact"/>
    <s v="Addition of new (or existing) agent for NI business"/>
    <s v="Personal &amp; Commercial"/>
    <s v="Multi/ Combination"/>
    <s v="WC, Auto, Property"/>
    <s v="All"/>
    <s v="Back Office"/>
    <s v="L2"/>
    <n v="1"/>
    <n v="3"/>
    <s v="8 WK"/>
    <s v="FTE Based"/>
    <s v="USD"/>
    <n v="28906.52"/>
    <n v="0"/>
    <n v="1"/>
    <n v="1"/>
    <n v="1"/>
    <x v="77"/>
    <n v="1.1764705882352942"/>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mpliance Notice"/>
    <s v="Possible addition as well as appointment for new (or existing) agent for NI business"/>
    <s v="Personal &amp; Commercial"/>
    <s v="Multi/ Combination"/>
    <s v="WC, Auto, Property"/>
    <s v="All"/>
    <s v="Back Office"/>
    <s v="L2"/>
    <n v="1"/>
    <n v="3"/>
    <s v="8 WK"/>
    <s v="FTE Based"/>
    <s v="USD"/>
    <n v="25140.33"/>
    <n v="1"/>
    <n v="1"/>
    <n v="0"/>
    <n v="1"/>
    <x v="244"/>
    <n v="1.1764705882352942"/>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mpliance Notice Appt"/>
    <s v="Appointment for existing agent for NI business"/>
    <s v="Personal &amp; Commercial"/>
    <s v="Multi/ Combination"/>
    <s v="WC, Auto, Property"/>
    <s v="All"/>
    <s v="Back Office"/>
    <s v="L2"/>
    <n v="1"/>
    <n v="3"/>
    <s v="8 WK"/>
    <s v="FTE Based"/>
    <s v="USD"/>
    <n v="25140.33"/>
    <n v="0"/>
    <n v="1"/>
    <n v="0"/>
    <n v="1"/>
    <x v="245"/>
    <n v="1.1764705882352942"/>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ntracts/Agreements"/>
    <s v="Logging and filing of returned/signed agency agreement"/>
    <s v="Personal &amp; Commercial"/>
    <s v="Multi/ Combination"/>
    <s v="WC, Auto, Property"/>
    <s v="All"/>
    <s v="Back Office"/>
    <s v="L2"/>
    <n v="1"/>
    <n v="3"/>
    <s v="8 WK"/>
    <s v="FTE Based"/>
    <s v="USD"/>
    <n v="25140.33"/>
    <n v="1"/>
    <n v="1"/>
    <n v="0"/>
    <n v="1"/>
    <x v="246"/>
    <n v="1.1764705882352942"/>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Nonresident Appointment"/>
    <s v="Non-Resident appointment for both agent and agency for applicable line of business to specific agency code(s) as well as opening product lines within Safeco"/>
    <s v="Personal &amp; Commercial"/>
    <s v="Multi/ Combination"/>
    <s v="WC, Auto, Property"/>
    <s v="All"/>
    <s v="Back Office"/>
    <s v="L2"/>
    <n v="1"/>
    <n v="3"/>
    <s v="8 WK"/>
    <s v="FTE Based"/>
    <s v="USD"/>
    <n v="25140.33"/>
    <n v="1.21"/>
    <n v="0"/>
    <n v="0"/>
    <n v="1"/>
    <x v="247"/>
    <n v="1.1764705882352942"/>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art II Termination"/>
    <s v="Termination of appointments for Agency and last agent after an Agency Termination"/>
    <s v="Personal &amp; Commercial"/>
    <s v="Multi/ Combination"/>
    <s v="WC, Auto, Property"/>
    <s v="All"/>
    <s v="Back Office"/>
    <s v="L2"/>
    <n v="1"/>
    <n v="3"/>
    <s v="8 WK"/>
    <s v="FTE Based"/>
    <s v="USD"/>
    <n v="25140.33"/>
    <n v="0.19"/>
    <n v="0"/>
    <n v="0"/>
    <n v="0"/>
    <x v="248"/>
    <n v="1.1764705882352942"/>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Appointment"/>
    <s v="Addition of new agent for applicable line of business requested to specific agency code(s)"/>
    <s v="Personal &amp; Commercial"/>
    <s v="Multi/ Combination"/>
    <s v="WC, Auto, Property"/>
    <s v="All"/>
    <s v="Back Office"/>
    <s v="L2"/>
    <n v="1"/>
    <n v="3"/>
    <s v="8 WK"/>
    <s v="FTE Based"/>
    <s v="USD"/>
    <n v="25140.33"/>
    <n v="3.61"/>
    <n v="0"/>
    <n v="0"/>
    <n v="0"/>
    <x v="249"/>
    <n v="1.1764705882352942"/>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Transfer"/>
    <s v="Addition of new agent for applicable line of business requested to specific agency code(s)"/>
    <s v="Personal &amp; Commercial"/>
    <s v="Multi/ Combination"/>
    <s v="WC, Auto, Property"/>
    <s v="All"/>
    <s v="Back Office"/>
    <s v="L2"/>
    <n v="1"/>
    <n v="3"/>
    <s v="8 WK"/>
    <s v="FTE Based"/>
    <s v="USD"/>
    <n v="25140.33"/>
    <n v="0.08"/>
    <n v="0"/>
    <n v="0"/>
    <n v="0"/>
    <x v="137"/>
    <n v="1.1764705882352942"/>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Termination"/>
    <s v="Termination of individual agent from specific agency relationship"/>
    <s v="Personal &amp; Commercial"/>
    <s v="Multi/ Combination"/>
    <s v="WC, Auto, Property"/>
    <s v="All"/>
    <s v="Back Office"/>
    <s v="L2"/>
    <n v="1"/>
    <n v="3"/>
    <s v="8 WK"/>
    <s v="FTE Based"/>
    <s v="USD"/>
    <n v="25140.33"/>
    <n v="1.77"/>
    <n v="0"/>
    <n v="0"/>
    <n v="0"/>
    <x v="250"/>
    <n v="1.1764705882352942"/>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HardStop"/>
    <s v="In this task we appoint agent and agency for commercial line of business"/>
    <s v="Personal &amp; Commercial"/>
    <s v="Multi/ Combination"/>
    <s v="WC, Auto, Property"/>
    <s v="All"/>
    <s v="Back Office"/>
    <s v="L2"/>
    <n v="1"/>
    <n v="3"/>
    <s v="8 WK"/>
    <s v="FTE Based"/>
    <s v="USD"/>
    <n v="25140.33"/>
    <n v="0"/>
    <n v="0"/>
    <n v="0"/>
    <n v="0"/>
    <x v="130"/>
    <n v="1.1764705882352942"/>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License Validation"/>
    <s v="This task is for commercial lines only. In this task we resolve compliance of both agency and agent"/>
    <s v="Personal &amp; Commercial"/>
    <s v="Multi/ Combination"/>
    <s v="WC, Auto, Property"/>
    <s v="All"/>
    <s v="Back Office"/>
    <s v="L2"/>
    <n v="1"/>
    <n v="3"/>
    <s v="8 WK"/>
    <s v="FTE Based"/>
    <s v="USD"/>
    <n v="25140.33"/>
    <n v="0"/>
    <n v="0"/>
    <n v="0"/>
    <n v="0"/>
    <x v="130"/>
    <n v="1.1764705882352942"/>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Address Change(Same State) - USRM Adjusters"/>
    <s v="Address to be changed on NIPR website. EXL to complete the address change request within 2 Business Days from the date of request"/>
    <s v="Personal &amp; Commercial"/>
    <s v="Multi/ Combination"/>
    <s v="WC, Auto, Property"/>
    <s v="All"/>
    <s v="Back Office"/>
    <s v="L2"/>
    <n v="1"/>
    <n v="3"/>
    <s v="8 WK"/>
    <s v="FTE Based"/>
    <s v="USD"/>
    <n v="28906.52"/>
    <n v="0"/>
    <n v="1"/>
    <n v="1"/>
    <n v="0"/>
    <x v="251"/>
    <n v="1.1764705882352942"/>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Terminations - USRM Adjusters"/>
    <s v="Completed within 3 business days of updating Term Report on WIP Tracker on Sharepoint"/>
    <s v="Personal &amp; Commercial"/>
    <s v="Multi/ Combination"/>
    <s v="WC, Auto, Property"/>
    <s v="All"/>
    <s v="Back Office"/>
    <s v="L2"/>
    <n v="1"/>
    <n v="3"/>
    <s v="8 WK"/>
    <s v="FTE Based"/>
    <s v="USD"/>
    <n v="25140.33"/>
    <n v="0.54"/>
    <n v="0"/>
    <n v="0"/>
    <n v="0"/>
    <x v="252"/>
    <n v="1.1764705882352942"/>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Web CE Terminations - USRM Adjusters"/>
    <s v="Completed within 3 business days of updating Term Report on WIP Tracker on Sharepoint"/>
    <s v="Personal &amp; Commercial"/>
    <s v="Multi/ Combination"/>
    <s v="WC, Auto, Property"/>
    <s v="All"/>
    <s v="Back Office"/>
    <s v="L2"/>
    <n v="1"/>
    <n v="3"/>
    <s v="8 WK"/>
    <s v="FTE Based"/>
    <s v="USD"/>
    <n v="25140.33"/>
    <n v="0.54"/>
    <n v="0"/>
    <n v="0"/>
    <n v="0"/>
    <x v="252"/>
    <n v="1.1764705882352942"/>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Name Changes - USRM Adjusters"/>
    <s v="EXL to complete in-scope activities of the name change request within 25 calendar days from the date of receiving request"/>
    <s v="Personal &amp; Commercial"/>
    <s v="Multi/ Combination"/>
    <s v="WC, Auto, Property"/>
    <s v="All"/>
    <s v="Back Office"/>
    <s v="L2"/>
    <n v="1"/>
    <n v="3"/>
    <s v="8 WK"/>
    <s v="FTE Based"/>
    <s v="USD"/>
    <n v="25140.33"/>
    <n v="0.08"/>
    <n v="0"/>
    <n v="0"/>
    <n v="0"/>
    <x v="137"/>
    <n v="1.1764705882352942"/>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Customer Communications (USRM Adjusters)"/>
    <s v="All Emails received before 3 PM would be processed in 1 Business Day"/>
    <s v="Personal &amp; Commercial"/>
    <s v="Multi/ Combination"/>
    <s v="WC, Auto, Property"/>
    <s v="All"/>
    <s v="Back Office"/>
    <s v="L2"/>
    <n v="1"/>
    <n v="3"/>
    <s v="8 WK"/>
    <s v="FTE Based"/>
    <s v="USD"/>
    <n v="25140.33"/>
    <n v="5.85"/>
    <n v="0"/>
    <n v="0"/>
    <n v="0"/>
    <x v="253"/>
    <n v="1.1764705882352942"/>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Intake - USRM Adjusters"/>
    <s v="All Emails received before 3 PM would be processed in 1 Business Day"/>
    <s v="Personal &amp; Commercial"/>
    <s v="Multi/ Combination"/>
    <s v="WC, Auto, Property"/>
    <s v="All"/>
    <s v="Back Office"/>
    <s v="L2"/>
    <n v="1"/>
    <n v="5"/>
    <s v="8 WK"/>
    <s v="FTE Based"/>
    <s v="USD"/>
    <n v="25140.33"/>
    <n v="0.06"/>
    <n v="0"/>
    <n v="0"/>
    <n v="0"/>
    <x v="211"/>
    <n v="1.1764705882352942"/>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Initial Licensing - USRM Adjusters"/>
    <s v="Setup licensing for resident state / designated home state within 5 business days"/>
    <s v="Personal &amp; Commercial"/>
    <s v="Multi/ Combination"/>
    <s v="WC, Auto, Property"/>
    <s v="All"/>
    <s v="Back Office"/>
    <s v="L2"/>
    <n v="1"/>
    <n v="5"/>
    <s v="8 WK"/>
    <s v="FTE Based"/>
    <s v="USD"/>
    <n v="25140.33"/>
    <n v="0.13"/>
    <n v="0"/>
    <n v="0"/>
    <n v="0"/>
    <x v="254"/>
    <n v="1.1764705882352942"/>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Reciprocals - USRM Adjusters"/>
    <s v="Setup licensing for all states (for reciprocals) wherever needed within 5 business days "/>
    <s v="Personal &amp; Commercial"/>
    <s v="Multi/ Combination"/>
    <s v="WC, Auto, Property"/>
    <s v="All"/>
    <s v="Back Office"/>
    <s v="L2"/>
    <n v="1"/>
    <n v="5"/>
    <s v="8 WK"/>
    <s v="FTE Based"/>
    <s v="USD"/>
    <n v="25140.33"/>
    <n v="0.09"/>
    <n v="0"/>
    <n v="0"/>
    <n v="0"/>
    <x v="255"/>
    <n v="1.1764705882352942"/>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Appointment - USRM Adjusters"/>
    <s v="Setup appointment for Florida on state website &amp; for New Mexico on Sircon within 5 business days"/>
    <s v="Personal &amp; Commercial"/>
    <s v="Multi/ Combination"/>
    <s v="WC, Auto, Property"/>
    <s v="All"/>
    <s v="Back Office"/>
    <s v="L2"/>
    <n v="1"/>
    <n v="5"/>
    <s v="8 WK"/>
    <s v="FTE Based"/>
    <s v="USD"/>
    <n v="25140.33"/>
    <n v="0.02"/>
    <n v="0"/>
    <n v="0"/>
    <n v="0"/>
    <x v="256"/>
    <n v="1.1764705882352942"/>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CE Review - USRM Adjusters"/>
    <s v="CE follow up requested 30 Calendar days prior to resident expiration date"/>
    <s v="Personal &amp; Commercial"/>
    <s v="Multi/ Combination"/>
    <s v="WC, Auto, Property"/>
    <s v="All"/>
    <s v="Back Office"/>
    <s v="L2"/>
    <n v="1"/>
    <n v="3"/>
    <s v="8 WK"/>
    <s v="FTE Based"/>
    <s v="USD"/>
    <n v="25140.33"/>
    <n v="0.72"/>
    <n v="0"/>
    <n v="0"/>
    <n v="0"/>
    <x v="257"/>
    <n v="1.1764705882352942"/>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Renewals - USRM Adjusters"/>
    <s v="All renewals to be completed within 30 calender days of state opening for birtdate, appraiser and Manual"/>
    <s v="Personal &amp; Commercial"/>
    <s v="Multi/ Combination"/>
    <s v="WC, Auto, Property"/>
    <s v="All"/>
    <s v="Back Office"/>
    <s v="L2"/>
    <n v="1"/>
    <n v="3"/>
    <s v="8 WK"/>
    <s v="FTE Based"/>
    <s v="USD"/>
    <n v="25140.33"/>
    <n v="3.5"/>
    <n v="0"/>
    <n v="0"/>
    <n v="0"/>
    <x v="100"/>
    <n v="1.1764705882352942"/>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Personal &amp; Commercial"/>
    <s v="Multi/ Combination"/>
    <s v="WC, Auto, Property"/>
    <s v="All"/>
    <s v="Back Office"/>
    <s v="L2"/>
    <n v="1"/>
    <n v="3"/>
    <s v="8 WK"/>
    <s v="FTE Based"/>
    <s v="USD"/>
    <n v="25140.33"/>
    <n v="1.43"/>
    <n v="0"/>
    <n v="0"/>
    <n v="0"/>
    <x v="258"/>
    <n v="1.1764705882352942"/>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s v="Liberty Mutual Insurance Company"/>
    <s v="Fortune 100 Global P&amp;C Carrier"/>
    <s v="North America"/>
    <s v="Noida, India"/>
    <x v="2"/>
    <s v="Bhuwan Dass"/>
    <n v="5"/>
    <x v="1"/>
    <x v="1"/>
    <x v="1"/>
    <s v="Adjuster Onboarding/Off-boarding"/>
    <s v="New Hire Intake - USRM Producers"/>
    <s v="Orientation Checklist sent to new hire along with relevant PX Packet within 1 business day of receiving the request from Liberty "/>
    <s v="Personal &amp; Commercial"/>
    <s v="Multi/ Combination"/>
    <s v="WC, Auto, Property"/>
    <s v="All"/>
    <s v="Back Office"/>
    <s v="L2"/>
    <n v="1"/>
    <n v="1"/>
    <s v="1 WK"/>
    <s v="FTE Based"/>
    <s v="USD"/>
    <n v="25140.33"/>
    <n v="0"/>
    <n v="0"/>
    <n v="0"/>
    <n v="0"/>
    <x v="259"/>
    <n v="1.1764705882352942"/>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Intake- USRM IA Partnership"/>
    <s v="Registration Email sent to new hire within 1 business day of receiving the request from Liberty "/>
    <s v="Personal &amp; Commercial"/>
    <s v="Multi/ Combination"/>
    <s v="WC, Auto, Property"/>
    <s v="All"/>
    <s v="Back Office"/>
    <s v="L2"/>
    <n v="1"/>
    <n v="1"/>
    <s v="1 WK"/>
    <s v="FTE Based"/>
    <s v="USD"/>
    <n v="25140.33"/>
    <n v="0.5"/>
    <n v="0"/>
    <n v="0"/>
    <n v="0"/>
    <x v="79"/>
    <n v="1.1764705882352942"/>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Initial Licensing - USRM Producers"/>
    <s v="Apply for resident license within 2 business days of passing exam"/>
    <s v="Personal &amp; Commercial"/>
    <s v="Multi/ Combination"/>
    <s v="WC, Auto, Property"/>
    <s v="All"/>
    <s v="Back Office"/>
    <s v="L2"/>
    <n v="1"/>
    <n v="1"/>
    <s v="1 WK"/>
    <s v="FTE Based"/>
    <s v="USD"/>
    <n v="25140.33"/>
    <n v="1.19"/>
    <n v="0"/>
    <n v="0"/>
    <n v="0"/>
    <x v="260"/>
    <n v="1.1764705882352942"/>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Reciprocals - USRM Producers"/>
    <s v="Apply for nonresident licenses within 5 business days of resident license approval or new request."/>
    <s v="Personal &amp; Commercial"/>
    <s v="Multi/ Combination"/>
    <s v="WC, Auto, Property"/>
    <s v="All"/>
    <s v="Back Office"/>
    <s v="L2"/>
    <n v="1"/>
    <n v="1"/>
    <s v="1 WK"/>
    <s v="FTE Based"/>
    <s v="USD"/>
    <n v="25140.33"/>
    <n v="0.19"/>
    <n v="0"/>
    <n v="0"/>
    <n v="0"/>
    <x v="248"/>
    <n v="1.1764705882352942"/>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appointment - USRM Producers"/>
    <s v="Non-JIT EE  appointments within 7 business days from EE license approval"/>
    <s v="Personal &amp; Commercial"/>
    <s v="Multi/ Combination"/>
    <s v="WC, Auto, Property"/>
    <s v="All"/>
    <s v="Back Office"/>
    <s v="L2"/>
    <n v="1"/>
    <n v="1"/>
    <s v="1 WK"/>
    <s v="FTE Based"/>
    <s v="USD"/>
    <n v="25140.33"/>
    <n v="0.19"/>
    <n v="0"/>
    <n v="0"/>
    <n v="0"/>
    <x v="248"/>
    <n v="1.1764705882352942"/>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appointment- USRM IA Partnership"/>
    <s v="Once registration email is received for IA, appointments start for respective states"/>
    <s v="Personal &amp; Commercial"/>
    <s v="Multi/ Combination"/>
    <s v="WC, Auto, Property"/>
    <s v="All"/>
    <s v="Back Office"/>
    <s v="L2"/>
    <n v="1"/>
    <n v="1"/>
    <s v="1 WK"/>
    <s v="FTE Based"/>
    <s v="USD"/>
    <n v="25140.33"/>
    <n v="0.5"/>
    <n v="0"/>
    <n v="0"/>
    <n v="0"/>
    <x v="79"/>
    <n v="1.1764705882352942"/>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E Review - USRM Producers"/>
    <s v="CE follow up requested 30 Calendar days prior to resident expiration date"/>
    <s v="Personal &amp; Commercial"/>
    <s v="Multi/ Combination"/>
    <s v="WC, Auto, Property"/>
    <s v="All"/>
    <s v="Back Office"/>
    <s v="L2"/>
    <n v="1"/>
    <n v="3"/>
    <s v="8 WK"/>
    <s v="FTE Based"/>
    <s v="USD"/>
    <n v="41076.14"/>
    <n v="0"/>
    <n v="0"/>
    <n v="1"/>
    <n v="0"/>
    <x v="261"/>
    <n v="1.1764705882352942"/>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Renewals - USRM Producers"/>
    <s v="Renewals to be completed 30 days prior to expiration date (if CE done)"/>
    <s v="Personal &amp; Commercial"/>
    <s v="Multi/ Combination"/>
    <s v="WC, Auto, Property"/>
    <s v="All"/>
    <s v="Back Office"/>
    <s v="L2"/>
    <n v="1"/>
    <n v="3"/>
    <s v="8 WK"/>
    <s v="FTE Based"/>
    <s v="USD"/>
    <n v="25140.33"/>
    <n v="4.21"/>
    <n v="0"/>
    <n v="0"/>
    <n v="0"/>
    <x v="262"/>
    <n v="1.1764705882352942"/>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USRM Producers"/>
    <s v="Emails have to be responded within 2 business days of receiving in the mailbox."/>
    <s v="Personal &amp; Commercial"/>
    <s v="Multi/ Combination"/>
    <s v="WC, Auto, Property"/>
    <s v="All"/>
    <s v="Back Office"/>
    <s v="L2"/>
    <n v="1"/>
    <n v="3"/>
    <s v="8 WK"/>
    <s v="FTE Based"/>
    <s v="USD"/>
    <n v="25140.33"/>
    <n v="4.42"/>
    <n v="0"/>
    <n v="0"/>
    <n v="0"/>
    <x v="263"/>
    <n v="1.1764705882352942"/>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USRM IA Partnership"/>
    <s v="Emails have to be responded within 2 business days of receiving in the mailbox."/>
    <s v="Personal &amp; Commercial"/>
    <s v="Multi/ Combination"/>
    <s v="WC, Auto, Property"/>
    <s v="All"/>
    <s v="Back Office"/>
    <s v="L2"/>
    <n v="1"/>
    <n v="3"/>
    <s v="8 WK"/>
    <s v="FTE Based"/>
    <s v="USD"/>
    <n v="25140.33"/>
    <n v="0.5"/>
    <n v="0"/>
    <n v="0"/>
    <n v="0"/>
    <x v="79"/>
    <n v="1.1764705882352942"/>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ddress Changes (same state) - USRM Producers"/>
    <s v="Address to be changed on NIPR website. EXL to complete the address change request within 2 Business Days from the date of request"/>
    <s v="Personal &amp; Commercial"/>
    <s v="Multi/ Combination"/>
    <s v="WC, Auto, Property"/>
    <s v="All"/>
    <s v="Back Office"/>
    <s v="L2"/>
    <n v="1"/>
    <n v="3"/>
    <s v="8 WK"/>
    <s v="FTE Based"/>
    <s v="USD"/>
    <n v="25140.33"/>
    <n v="0.28000000000000003"/>
    <n v="0"/>
    <n v="0"/>
    <n v="0"/>
    <x v="264"/>
    <n v="1.1764705882352942"/>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Name Changes - USRM Producers"/>
    <s v="EXL to complete in-scope activities of the name change request within 25 calendar days from the date of receiving request"/>
    <s v="Personal &amp; Commercial"/>
    <s v="Multi/ Combination"/>
    <s v="WC, Auto, Property"/>
    <s v="All"/>
    <s v="Back Office"/>
    <s v="L2"/>
    <n v="1"/>
    <n v="3"/>
    <s v="8 WK"/>
    <s v="FTE Based"/>
    <s v="USD"/>
    <n v="25140.33"/>
    <n v="0.02"/>
    <n v="0"/>
    <n v="0"/>
    <n v="0"/>
    <x v="256"/>
    <n v="1.1764705882352942"/>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s v="Personal &amp; Commercial"/>
    <s v="Multi/ Combination"/>
    <s v="WC, Auto, Property"/>
    <s v="All"/>
    <s v="Back Office"/>
    <s v="L2"/>
    <n v="1"/>
    <n v="3"/>
    <s v="8 WK"/>
    <s v="FTE Based"/>
    <s v="USD"/>
    <n v="25140.33"/>
    <n v="0.88"/>
    <n v="0"/>
    <n v="0"/>
    <n v="0"/>
    <x v="265"/>
    <n v="1.1764705882352942"/>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Terminations - USRM Producers"/>
    <s v="Completed within 3 business days of updating Term Report on WIP Tracker on Sharepoint"/>
    <s v="Personal &amp; Commercial"/>
    <s v="Multi/ Combination"/>
    <s v="WC, Auto, Property"/>
    <s v="All"/>
    <s v="Back Office"/>
    <s v="L2"/>
    <n v="1"/>
    <n v="3"/>
    <s v="8 WK"/>
    <s v="FTE Based"/>
    <s v="USD"/>
    <n v="25140.33"/>
    <n v="0.4"/>
    <n v="0"/>
    <n v="0"/>
    <n v="0"/>
    <x v="266"/>
    <n v="1.1764705882352942"/>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Web CE Terminations - USRM Producers"/>
    <s v="Completed within 3 business days of updating Term Report on WIP Tracker on Sharepoint"/>
    <s v="Personal &amp; Commercial"/>
    <s v="Multi/ Combination"/>
    <s v="WC, Auto, Property"/>
    <s v="All"/>
    <s v="Back Office"/>
    <s v="L2"/>
    <n v="1"/>
    <n v="3"/>
    <s v="8 WK"/>
    <s v="FTE Based"/>
    <s v="USD"/>
    <n v="25140.33"/>
    <n v="0.4"/>
    <n v="0"/>
    <n v="0"/>
    <n v="0"/>
    <x v="266"/>
    <n v="1.1764705882352942"/>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Terminations - USRM IA Partnership"/>
    <s v="Completed within 3 business days of updating Term Report on WIP Tracker on Sharepoint"/>
    <s v="Personal &amp; Commercial"/>
    <s v="Multi/ Combination"/>
    <s v="WC, Auto, Property"/>
    <s v="All"/>
    <s v="Back Office"/>
    <s v="L2"/>
    <n v="1"/>
    <n v="3"/>
    <s v="8 WK"/>
    <s v="FTE Based"/>
    <s v="USD"/>
    <n v="25140.33"/>
    <n v="0.5"/>
    <n v="0"/>
    <n v="0"/>
    <n v="0"/>
    <x v="79"/>
    <n v="1.1764705882352942"/>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ddress Change(Same State) - GRS Adjusters"/>
    <s v="Address to be changed on NIPR website. EXL to complete the address change request within 2 Business Days from the date of request"/>
    <s v="Personal &amp; Commercial"/>
    <s v="Multi/ Combination"/>
    <s v="WC, Auto, Property"/>
    <s v="All"/>
    <s v="Back Office"/>
    <s v="L2"/>
    <n v="1"/>
    <n v="3"/>
    <s v="8 WK"/>
    <s v="FTE Based"/>
    <s v="USD"/>
    <n v="25140.33"/>
    <n v="3"/>
    <n v="0"/>
    <n v="0"/>
    <n v="0"/>
    <x v="101"/>
    <n v="1.1764705882352942"/>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Terminations - GRS Adjusters"/>
    <s v="Completed within 3 business days of updating Term Report on WIP Tracker on Sharepoint"/>
    <s v="Personal &amp; Commercial"/>
    <s v="Multi/ Combination"/>
    <s v="WC, Auto, Property"/>
    <s v="All"/>
    <s v="Back Office"/>
    <s v="L2"/>
    <n v="1"/>
    <n v="3"/>
    <s v="8 WK"/>
    <s v="FTE Based"/>
    <s v="USD"/>
    <n v="25140.33"/>
    <n v="0"/>
    <n v="0"/>
    <n v="0"/>
    <n v="0"/>
    <x v="130"/>
    <n v="1.1764705882352942"/>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Name Changes - GRS Adjusters"/>
    <s v="EXL to complete in-scope activities of the name change request within 25 calendar days from the date of receiving request"/>
    <s v="Personal &amp; Commercial"/>
    <s v="Multi/ Combination"/>
    <s v="WC, Auto, Property"/>
    <s v="All"/>
    <s v="Back Office"/>
    <s v="L2"/>
    <n v="1"/>
    <n v="3"/>
    <s v="8 WK"/>
    <s v="FTE Based"/>
    <s v="USD"/>
    <n v="25140.33"/>
    <n v="0"/>
    <n v="0"/>
    <n v="0"/>
    <n v="0"/>
    <x v="130"/>
    <n v="1.1764705882352942"/>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GRS Adjusters"/>
    <s v="All Emails received before 3 PM would be processed in 1 Business Day"/>
    <s v="Personal &amp; Commercial"/>
    <s v="Multi/ Combination"/>
    <s v="WC, Auto, Property"/>
    <s v="All"/>
    <s v="Back Office"/>
    <s v="L2"/>
    <n v="1"/>
    <n v="3"/>
    <s v="8 WK"/>
    <s v="FTE Based"/>
    <s v="USD"/>
    <n v="25140.33"/>
    <n v="0"/>
    <n v="0"/>
    <n v="0"/>
    <n v="0"/>
    <x v="130"/>
    <n v="1.1764705882352942"/>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Web CE Termination - GRS Adjusters"/>
    <s v="Completed within 3 business days of updating Term Report on WIP Tracker on Sharepoint"/>
    <s v="Personal &amp; Commercial"/>
    <s v="Multi/ Combination"/>
    <s v="WC, Auto, Property"/>
    <s v="All"/>
    <s v="Back Office"/>
    <s v="L2"/>
    <n v="1"/>
    <n v="3"/>
    <s v="8 WK"/>
    <s v="FTE Based"/>
    <s v="USD"/>
    <n v="25140.33"/>
    <n v="0"/>
    <n v="0"/>
    <n v="0"/>
    <n v="0"/>
    <x v="130"/>
    <n v="1.1764705882352942"/>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Intake - GRS Adjusters"/>
    <s v="All Emails received before 3 PM would be processed in 1 Business Day"/>
    <s v="Personal &amp; Commercial"/>
    <s v="Multi/ Combination"/>
    <s v="WC, Auto, Property"/>
    <s v="All"/>
    <s v="Back Office"/>
    <s v="L2"/>
    <n v="1"/>
    <n v="5"/>
    <s v="8 WK"/>
    <s v="FTE Based"/>
    <s v="USD"/>
    <n v="25140.33"/>
    <n v="0"/>
    <n v="0"/>
    <n v="0"/>
    <n v="0"/>
    <x v="130"/>
    <n v="1.1764705882352942"/>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Initial Licensing - GRS Adjusters"/>
    <s v="Setup licensing for resident state / designated home state within 5 business days"/>
    <s v="Personal &amp; Commercial"/>
    <s v="Multi/ Combination"/>
    <s v="WC, Auto, Property"/>
    <s v="All"/>
    <s v="Back Office"/>
    <s v="L2"/>
    <n v="1"/>
    <n v="5"/>
    <s v="8 WK"/>
    <s v="FTE Based"/>
    <s v="USD"/>
    <n v="25140.33"/>
    <n v="0"/>
    <n v="0"/>
    <n v="0"/>
    <n v="0"/>
    <x v="130"/>
    <n v="1.1764705882352942"/>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Reciprocals - GRS Adjusters"/>
    <s v="Setup licensing for all states (for reciprocals) wherever needed within 5 business days "/>
    <s v="Personal &amp; Commercial"/>
    <s v="Multi/ Combination"/>
    <s v="WC, Auto, Property"/>
    <s v="All"/>
    <s v="Back Office"/>
    <s v="L2"/>
    <n v="1"/>
    <n v="5"/>
    <s v="8 WK"/>
    <s v="FTE Based"/>
    <s v="USD"/>
    <n v="25140.33"/>
    <n v="0"/>
    <n v="0"/>
    <n v="0"/>
    <n v="0"/>
    <x v="130"/>
    <n v="1.1764705882352942"/>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Appointment - GRS Adjusters"/>
    <s v="Setup appointment for Florida on state website &amp; for New Mexico on Sircon within 5 business days"/>
    <s v="Personal &amp; Commercial"/>
    <s v="Multi/ Combination"/>
    <s v="WC, Auto, Property"/>
    <s v="All"/>
    <s v="Back Office"/>
    <s v="L2"/>
    <n v="1"/>
    <n v="5"/>
    <s v="8 WK"/>
    <s v="FTE Based"/>
    <s v="USD"/>
    <n v="25140.33"/>
    <n v="0"/>
    <n v="0"/>
    <n v="0"/>
    <n v="0"/>
    <x v="130"/>
    <n v="1.1764705882352942"/>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CE Review - GRS Adjusters"/>
    <s v="CE follow up requested 30 Calendar days prior to resident expiration date"/>
    <s v="Personal &amp; Commercial"/>
    <s v="Multi/ Combination"/>
    <s v="WC, Auto, Property"/>
    <s v="All"/>
    <s v="Back Office"/>
    <s v="L2"/>
    <n v="1"/>
    <n v="3"/>
    <s v="8 WK"/>
    <s v="FTE Based"/>
    <s v="USD"/>
    <n v="25140.33"/>
    <n v="0"/>
    <n v="0"/>
    <n v="0"/>
    <n v="0"/>
    <x v="130"/>
    <n v="1.1764705882352942"/>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Renewals - GRS Adjusters"/>
    <s v="All renewals to be completed within 30 calender days of state opening for birtdate, appraiser and Manual"/>
    <s v="Personal &amp; Commercial"/>
    <s v="Multi/ Combination"/>
    <s v="WC, Auto, Property"/>
    <s v="All"/>
    <s v="Back Office"/>
    <s v="L2"/>
    <n v="1"/>
    <n v="3"/>
    <s v="8 WK"/>
    <s v="FTE Based"/>
    <s v="USD"/>
    <n v="25140.33"/>
    <n v="0"/>
    <n v="0"/>
    <n v="0"/>
    <n v="0"/>
    <x v="130"/>
    <n v="1.1764705882352942"/>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Personal &amp; Commercial"/>
    <s v="Multi/ Combination"/>
    <s v="WC, Auto, Property"/>
    <s v="All"/>
    <s v="Back Office"/>
    <s v="L2"/>
    <n v="1"/>
    <n v="3"/>
    <s v="8 WK"/>
    <s v="FTE Based"/>
    <s v="USD"/>
    <n v="25140.33"/>
    <n v="0"/>
    <n v="0"/>
    <n v="0"/>
    <n v="1"/>
    <x v="211"/>
    <n v="1.1764705882352942"/>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Initial Acknowledgement Letters"/>
    <s v="Formwork"/>
    <s v="Send formwork letter to claimant/Customer/Attorney for worker compensation  as per claim details and as per State guideline, to let them know about their rights and contact person."/>
    <s v="Commercial "/>
    <s v="Multi/ Combination"/>
    <s v="Auto_x000a_GL_x000a_Property_x000a_WC "/>
    <s v="All"/>
    <s v="Back Office"/>
    <s v="L2"/>
    <n v="1"/>
    <s v="2 to 4"/>
    <s v="Multiple as per sub activities"/>
    <s v="FTE Based"/>
    <s v="USD"/>
    <n v="23196"/>
    <n v="12.27"/>
    <n v="1"/>
    <n v="1"/>
    <n v="3.7300000000000004"/>
    <x v="2"/>
    <n v="0.30399348003259991"/>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s v="Liberty Mutual Insurance Company"/>
    <s v="Fortune 100 Global P&amp;C Carrier"/>
    <s v="North America"/>
    <s v="Noida, India"/>
    <x v="2"/>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s v="Commercial "/>
    <s v="Multi/ Combination"/>
    <s v="Auto_x000a_GL_x000a_Property_x000a_WC "/>
    <s v="All"/>
    <s v="Back Office"/>
    <s v="L2"/>
    <n v="1"/>
    <s v="2 to 4"/>
    <s v="Multiple as per sub activities"/>
    <s v="FTE Based"/>
    <s v="USD"/>
    <n v="23196"/>
    <n v="2.67"/>
    <n v="1"/>
    <n v="0"/>
    <n v="2.33"/>
    <x v="19"/>
    <n v="0.87265917602996257"/>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s v="Liberty Mutual Insurance Company"/>
    <s v="Fortune 100 Global P&amp;C Carrier"/>
    <s v="North America"/>
    <s v="Noida, India"/>
    <x v="2"/>
    <s v="Bhuwan Dass"/>
    <n v="6"/>
    <x v="1"/>
    <x v="1"/>
    <x v="1"/>
    <s v="Indexing"/>
    <s v="CSLN"/>
    <s v="Received Lien Notices or Lien releases from the state for worker compensation/auto/property/GL claims and combine them with the appropriate claim and processing application. And notify the case owner for further processing."/>
    <s v="Commercial "/>
    <s v="Multi/ Combination"/>
    <s v="Auto_x000a_GL_x000a_Property_x000a_WC "/>
    <s v="All"/>
    <s v="Back Office"/>
    <s v="L2"/>
    <n v="1"/>
    <s v="2 to 4"/>
    <s v="Multiple as per sub activities"/>
    <s v="FTE Based"/>
    <s v="USD"/>
    <n v="23196"/>
    <n v="0.83"/>
    <n v="1"/>
    <n v="0"/>
    <n v="1.17"/>
    <x v="77"/>
    <n v="1.4096385542168675"/>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s v="Liberty Mutual Insurance Company"/>
    <s v="Fortune 100 Global P&amp;C Carrier"/>
    <s v="North America"/>
    <s v="Noida, India"/>
    <x v="2"/>
    <s v="Bhuwan Dass"/>
    <n v="6"/>
    <x v="1"/>
    <x v="1"/>
    <x v="9"/>
    <s v="Triaging for SIU, Subro"/>
    <s v="SIU"/>
    <s v="We receive ICN numbers for claims in a spreadsheet and we have to find the settlement details for a particular ICN through On Demand and Exprs and update the spreadsheet accordingly."/>
    <s v="Commercial "/>
    <s v="Multi/ Combination"/>
    <s v="WC"/>
    <s v="All"/>
    <s v="Back Office"/>
    <s v="L2"/>
    <n v="1"/>
    <s v="1 to 2"/>
    <s v="Multiple as per sub activities"/>
    <s v="FTE Based"/>
    <s v="USD"/>
    <n v="23196"/>
    <n v="2.36"/>
    <n v="1"/>
    <n v="0"/>
    <n v="0.64000000000000012"/>
    <x v="15"/>
    <n v="0.27118644067796616"/>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s v="Liberty Mutual Insurance Company"/>
    <s v="Fortune 100 Global P&amp;C Carrier"/>
    <s v="North America"/>
    <s v="Noida, India"/>
    <x v="2"/>
    <s v="Bhuwan Dass"/>
    <n v="6"/>
    <x v="1"/>
    <x v="1"/>
    <x v="9"/>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s v="Commercial "/>
    <s v="Multi/ Combination"/>
    <s v="Auto_x000a_GL_x000a_Property_x000a_WC "/>
    <s v="All"/>
    <s v="Back Office"/>
    <s v="L2"/>
    <n v="1"/>
    <s v="2 to 4"/>
    <s v="Multiple as per sub activities"/>
    <s v="FTE Based"/>
    <s v="USD"/>
    <n v="23196"/>
    <n v="20.6"/>
    <n v="1"/>
    <n v="1"/>
    <n v="5.3999999999999986"/>
    <x v="4"/>
    <n v="0.26213592233009703"/>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s v="Liberty Mutual Insurance Company"/>
    <s v="Fortune 100 Global P&amp;C Carrier"/>
    <s v="North America"/>
    <s v="Noida, India"/>
    <x v="2"/>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s v="Commercial "/>
    <s v="Multi/ Combination"/>
    <s v="Auto_x000a_GL_x000a_Property_x000a_WC "/>
    <s v="All"/>
    <s v="Back Office"/>
    <s v="L2"/>
    <n v="1"/>
    <s v="2 to 4"/>
    <s v="Multiple as per sub activities"/>
    <s v="FTE Based"/>
    <s v="USD"/>
    <n v="21178"/>
    <n v="10.76"/>
    <n v="1"/>
    <n v="1"/>
    <n v="3.24"/>
    <x v="8"/>
    <n v="0.30111524163568776"/>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s v="Liberty Mutual Insurance Company"/>
    <s v="Fortune 100 Global P&amp;C Carrier"/>
    <s v="North America"/>
    <s v="Noida, India"/>
    <x v="2"/>
    <s v="NA"/>
    <n v="0"/>
    <x v="2"/>
    <x v="1"/>
    <x v="1"/>
    <s v="Claim Setup and assignment"/>
    <s v="LRU UPS"/>
    <s v="UPS Triage documents are received, reviewed and a claim is created assigned in Client applications"/>
    <s v="Commercial "/>
    <s v="Multi/ Combination"/>
    <s v="Auto_x000a_GL_x000a_Property_x000a_WC "/>
    <s v="All"/>
    <s v="Back Office"/>
    <s v="L2"/>
    <n v="1"/>
    <s v="2 to 4"/>
    <s v="Multiple as per sub activities"/>
    <s v="FTE Based"/>
    <s v="USD"/>
    <s v="NA"/>
    <n v="0"/>
    <n v="0"/>
    <n v="0"/>
    <n v="0"/>
    <x v="130"/>
    <e v="#DIV/0!"/>
    <n v="0"/>
    <n v="0"/>
    <s v="Volume is consistent through out year"/>
    <s v="Multiple as per sub activities"/>
    <s v="NA"/>
    <s v="NA"/>
    <s v="NA"/>
    <s v="NA"/>
    <s v="NA"/>
    <s v="NA"/>
    <s v="NA"/>
    <s v="NA"/>
    <s v="NA"/>
    <s v="NA"/>
    <s v="NA"/>
    <s v="NA"/>
    <s v="NA"/>
    <s v="NA"/>
    <s v="NA"/>
    <s v="NA"/>
    <s v="NA"/>
    <s v="NA"/>
    <s v="NA"/>
    <s v="NA"/>
    <s v="NA"/>
  </r>
  <r>
    <s v="Liberty Mutual Insurance Company"/>
    <s v="Fortune 100 Global P&amp;C Carrier"/>
    <s v="North America"/>
    <s v="Noida, India"/>
    <x v="2"/>
    <s v="NA"/>
    <n v="0"/>
    <x v="2"/>
    <x v="1"/>
    <x v="1"/>
    <s v="Indexing"/>
    <s v="PF Phoenix Upload"/>
    <s v="Requests received in inbox are routed to different work queue as per procedure (This is a work upload task for other teams)"/>
    <s v="Commercial "/>
    <s v="Multi/ Combination"/>
    <s v="Auto_x000a_GL_x000a_Property_x000a_WC "/>
    <s v="All"/>
    <s v="Back Office"/>
    <s v="L2"/>
    <n v="1"/>
    <s v="2 to 4"/>
    <s v="Multiple as per sub activities"/>
    <s v="FTE Based"/>
    <s v="USD"/>
    <s v="NA"/>
    <n v="0"/>
    <n v="0"/>
    <n v="0"/>
    <n v="0"/>
    <x v="130"/>
    <e v="#DIV/0!"/>
    <n v="0"/>
    <n v="0"/>
    <s v="Volume is consistent through out year"/>
    <s v="Multiple as per sub activities"/>
    <s v="NA"/>
    <s v="NA"/>
    <s v="NA"/>
    <s v="NA"/>
    <s v="NA"/>
    <s v="NA"/>
    <s v="NA"/>
    <s v="NA"/>
    <s v="NA"/>
    <s v="NA"/>
    <s v="NA"/>
    <s v="NA"/>
    <s v="NA"/>
    <s v="NA"/>
    <s v="NA"/>
    <s v="NA"/>
    <s v="NA"/>
    <s v="NA"/>
    <s v="NA"/>
    <s v="NA"/>
    <s v="NA"/>
  </r>
  <r>
    <s v="Liberty Mutual Insurance Company"/>
    <s v="Fortune 100 Global P&amp;C Carrier"/>
    <s v="North America"/>
    <s v="Noida, India"/>
    <x v="2"/>
    <s v="Bhuwan Dass"/>
    <n v="6"/>
    <x v="1"/>
    <x v="1"/>
    <x v="9"/>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s v="Commercial "/>
    <s v="Multi/ Combination"/>
    <s v="Auto_x000a_GL_x000a_Property_x000a_WC "/>
    <s v="All"/>
    <s v="Back Office"/>
    <s v="L2"/>
    <n v="1"/>
    <s v="2 to 4"/>
    <s v="Multiple as per sub activities"/>
    <s v="FTE Based"/>
    <s v="USD"/>
    <n v="23196"/>
    <n v="6.04"/>
    <n v="1"/>
    <n v="0"/>
    <n v="1.96"/>
    <x v="114"/>
    <n v="0.32450331125827814"/>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s v="Liberty Mutual Insurance Company"/>
    <s v="Fortune 100 Global P&amp;C Carrier"/>
    <s v="North America"/>
    <s v="Noida, India"/>
    <x v="2"/>
    <s v="Bhuwan Dass"/>
    <n v="6"/>
    <x v="1"/>
    <x v="1"/>
    <x v="8"/>
    <s v="Subpoena Reviews"/>
    <s v="Litigation management"/>
    <s v="Processing worker compensation claims pdfs, hearing notices pdfs and pre-authorization request for medicals and notify to case owner/claimant/attorney by processing applications/outlook"/>
    <s v="Commercial "/>
    <s v="Multi/ Combination"/>
    <s v="Auto_x000a_GL_x000a_Property_x000a_WC "/>
    <s v="All"/>
    <s v="Back Office"/>
    <s v="L2"/>
    <n v="1"/>
    <s v="2 to 4"/>
    <s v="Multiple as per sub activities"/>
    <s v="FTE Based"/>
    <s v="USD"/>
    <n v="23196"/>
    <n v="8.16"/>
    <n v="1"/>
    <n v="1"/>
    <n v="2.84"/>
    <x v="17"/>
    <n v="0.34803921568627449"/>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s v="Liberty Mutual Insurance Company"/>
    <s v="Fortune 100 Global P&amp;C Carrier"/>
    <s v="North America"/>
    <s v="Noida, India"/>
    <x v="2"/>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s v="Commercial "/>
    <s v="Multi/ Combination"/>
    <s v="WC"/>
    <s v="All"/>
    <s v="Back Office"/>
    <s v="L2"/>
    <n v="1"/>
    <s v="2 to 4"/>
    <s v="Multiple as per sub activities"/>
    <s v="FTE Based"/>
    <s v="USD"/>
    <n v="23196"/>
    <n v="4.8499999999999996"/>
    <n v="1"/>
    <n v="1"/>
    <n v="3.1500000000000004"/>
    <x v="114"/>
    <n v="0.6494845360824743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s v="Liberty Mutual Insurance Company"/>
    <s v="Fortune 100 Global P&amp;C Carrier"/>
    <s v="North America"/>
    <s v="Noida, India"/>
    <x v="2"/>
    <s v="Bhuwan Dass"/>
    <n v="5"/>
    <x v="1"/>
    <x v="1"/>
    <x v="8"/>
    <s v="Bill Payment (Medical Legal, Non Medical, Vendor)"/>
    <s v="SIF &amp; COLA"/>
    <s v="Request reimbursement from state for indemnity/medical cost by submitting proofs of payments made by Liberty mutual (Documents)."/>
    <s v="Commercial "/>
    <s v="Multi/ Combination"/>
    <s v="Auto_x000a_GL_x000a_Property_x000a_WC "/>
    <s v="All"/>
    <s v="Back Office"/>
    <s v="L2"/>
    <n v="1"/>
    <s v="2 to 4"/>
    <s v="Multiple as per sub activities"/>
    <s v="FTE Based"/>
    <s v="USD"/>
    <n v="23196"/>
    <n v="5"/>
    <n v="1"/>
    <n v="0"/>
    <n v="2"/>
    <x v="107"/>
    <n v="0.4"/>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s v="Liberty Mutual Insurance Company"/>
    <s v="Fortune 100 Global P&amp;C Carrier"/>
    <s v="North America"/>
    <s v="Noida, India"/>
    <x v="2"/>
    <s v="Bhuwan Dass"/>
    <n v="6"/>
    <x v="1"/>
    <x v="1"/>
    <x v="8"/>
    <s v="Bill Payment (Medical Legal, Non Medical, Vendor)"/>
    <s v="ExPRS WC Payment"/>
    <s v="Payments are issued to Injured workers, Medical providers or Vendors as per applicable procedure and State rules."/>
    <s v="Commercial "/>
    <s v="Multi/ Combination"/>
    <s v="WC"/>
    <s v="All"/>
    <s v="Back Office"/>
    <s v="L3"/>
    <n v="1"/>
    <s v="3 to 5"/>
    <s v="Multiple as per sub activities"/>
    <s v="FTE Based"/>
    <s v="USD"/>
    <n v="23196"/>
    <n v="8.19"/>
    <n v="1"/>
    <n v="1"/>
    <n v="3.8100000000000005"/>
    <x v="10"/>
    <n v="0.46520146520146527"/>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s v="Liberty Mutual Insurance Company"/>
    <s v="Fortune 100 Global P&amp;C Carrier"/>
    <s v="North America"/>
    <s v="Noida, India"/>
    <x v="2"/>
    <s v="Bhuwan Dass"/>
    <n v="6"/>
    <x v="1"/>
    <x v="1"/>
    <x v="8"/>
    <s v="Bill Payment (Medical Legal, Non Medical, Vendor)"/>
    <s v="VIA &amp; Bulk Payments"/>
    <s v="Payments are issued to Vendors and Attorney as per applicable procedure."/>
    <s v="Commercial "/>
    <s v="Multi/ Combination"/>
    <s v="Auto_x000a_GL_x000a_Property_x000a_WC "/>
    <s v="All"/>
    <s v="Back Office"/>
    <s v="L3"/>
    <n v="1"/>
    <s v="2 to 4"/>
    <s v="Multiple as per sub activities"/>
    <s v="FTE Based"/>
    <s v="USD"/>
    <n v="23196"/>
    <n v="10.76"/>
    <n v="1"/>
    <n v="0"/>
    <n v="4.24"/>
    <x v="9"/>
    <n v="0.39405204460966547"/>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s v="Liberty Mutual Insurance Company"/>
    <s v="Fortune 100 Global P&amp;C Carrier"/>
    <s v="North America"/>
    <s v="Noida, India"/>
    <x v="2"/>
    <s v="Bhuwan Dass"/>
    <n v="6"/>
    <x v="1"/>
    <x v="1"/>
    <x v="8"/>
    <s v="Bill Payment (Medical Legal, Non Medical, Vendor)"/>
    <s v="Receivable"/>
    <s v="Payments are received and applied in applicable systems as per remmitance."/>
    <s v="Commercial "/>
    <s v="Multi/ Combination"/>
    <s v="Auto_x000a_GL_x000a_Property_x000a_WC "/>
    <s v="All"/>
    <s v="Back Office"/>
    <s v="L3"/>
    <n v="1"/>
    <s v="3 to 5"/>
    <s v="Multiple as per sub activities"/>
    <s v="FTE Based"/>
    <s v="USD"/>
    <n v="23196"/>
    <n v="5.1100000000000003"/>
    <n v="1"/>
    <n v="1"/>
    <n v="3.8899999999999997"/>
    <x v="47"/>
    <n v="0.76125244618395294"/>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s v="Liberty Mutual Insurance Company"/>
    <s v="Fortune 100 Global P&amp;C Carrier"/>
    <s v="North America"/>
    <s v="Noida, India"/>
    <x v="2"/>
    <s v="Bhuwan Dass"/>
    <n v="6"/>
    <x v="1"/>
    <x v="1"/>
    <x v="8"/>
    <s v="Bill Payment (Medical Legal, Non Medical, Vendor)"/>
    <s v="Payments Support"/>
    <s v="Bank Details and providers are added in system so that payments team can issue payment as applicable."/>
    <s v="Commercial "/>
    <s v="Multi/ Combination"/>
    <s v="Auto_x000a_GL_x000a_Property_x000a_WC "/>
    <s v="All"/>
    <s v="Back Office"/>
    <s v="L3"/>
    <n v="1"/>
    <s v="2 to 4"/>
    <s v="Multiple as per sub activities"/>
    <s v="FTE Based"/>
    <s v="USD"/>
    <n v="23196"/>
    <n v="1.75"/>
    <n v="1"/>
    <n v="0"/>
    <n v="2.25"/>
    <x v="101"/>
    <n v="1.2857142857142858"/>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s v="Liberty Mutual Insurance Company"/>
    <s v="Fortune 100 Global P&amp;C Carrier"/>
    <s v="North America"/>
    <s v="Noida, India"/>
    <x v="2"/>
    <s v="Bhuwan Dass"/>
    <n v="6"/>
    <x v="1"/>
    <x v="1"/>
    <x v="9"/>
    <s v="Evidence gathering"/>
    <s v="Vendor Referral"/>
    <s v="Investigation (Social Media Investigation, Surveillance, Recorded Interview, Alive and Well check activity etc.) for WC claims as per claim adjuster requests"/>
    <s v="Commercial "/>
    <s v="Multi/ Combination"/>
    <s v="Auto_x000a_GL_x000a_Property_x000a_WC "/>
    <s v="All"/>
    <s v="Back Office"/>
    <s v="L2"/>
    <n v="1"/>
    <s v="2 to 4"/>
    <s v="Multiple as per sub activities"/>
    <s v="FTE Based"/>
    <s v="USD"/>
    <n v="23196"/>
    <n v="3.47"/>
    <n v="1"/>
    <n v="0"/>
    <n v="2.5299999999999998"/>
    <x v="103"/>
    <n v="0.72910662824207484"/>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s v="Liberty Mutual Insurance Company"/>
    <s v="Fortune 100 Global P&amp;C Carrier"/>
    <s v="North America"/>
    <s v="Noida, India"/>
    <x v="2"/>
    <s v="Bhuwan Dass"/>
    <n v="7"/>
    <x v="1"/>
    <x v="1"/>
    <x v="9"/>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s v="Commercial "/>
    <s v="Multi/ Combination"/>
    <s v="Auto_x000a_GL_x000a_Property_x000a_WC "/>
    <s v="All"/>
    <s v="Back Office"/>
    <s v="L2"/>
    <n v="1"/>
    <s v="2 to 4"/>
    <s v="Multiple as per sub activities"/>
    <s v="FTE Based"/>
    <s v="USD"/>
    <n v="21178"/>
    <n v="5.54"/>
    <n v="1"/>
    <n v="0"/>
    <n v="2.46"/>
    <x v="114"/>
    <n v="0.44404332129963897"/>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s v="Liberty Mutual Insurance Company"/>
    <s v="Fortune 100 Global P&amp;C Carrier"/>
    <s v="North America"/>
    <s v="Noida, India"/>
    <x v="2"/>
    <s v="Bhuwan Dass"/>
    <n v="4"/>
    <x v="1"/>
    <x v="1"/>
    <x v="9"/>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s v="Commercial "/>
    <s v="Multi/ Combination"/>
    <s v="Auto_x000a_GL_x000a_Property_x000a_WC "/>
    <s v="All"/>
    <s v="Back Office"/>
    <s v="L2"/>
    <n v="1"/>
    <s v="2 to 4"/>
    <n v="4"/>
    <s v="FTE Based"/>
    <s v="USD"/>
    <n v="23196"/>
    <n v="10.9"/>
    <n v="1"/>
    <n v="1"/>
    <n v="3.0999999999999996"/>
    <x v="8"/>
    <n v="0.2844036697247706"/>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s v="Liberty Mutual Insurance Company"/>
    <s v="Fortune 100 Global P&amp;C Carrier"/>
    <s v="North America"/>
    <s v="Noida, India"/>
    <x v="2"/>
    <s v="Bhuwan Dass"/>
    <n v="5"/>
    <x v="1"/>
    <x v="1"/>
    <x v="6"/>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s v="Commercial "/>
    <s v="Multi/ Combination"/>
    <s v="WC"/>
    <s v="All"/>
    <s v="Back Office"/>
    <s v="L2"/>
    <n v="1"/>
    <s v="2 to 4"/>
    <s v="Multiple as per sub activities"/>
    <s v="FTE Based"/>
    <s v="USD"/>
    <n v="23196"/>
    <n v="4.75"/>
    <n v="1"/>
    <n v="0"/>
    <n v="2.25"/>
    <x v="107"/>
    <n v="0.47368421052631576"/>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s v="Liberty Mutual Insurance Company"/>
    <s v="Fortune 100 Global P&amp;C Carrier"/>
    <s v="North America"/>
    <s v="Noida, India"/>
    <x v="2"/>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s v="Commercial "/>
    <s v="Auto"/>
    <s v="Auto_x000a_"/>
    <s v="Mid Size"/>
    <s v="Voice"/>
    <s v="L3"/>
    <n v="1"/>
    <s v="4 to 6"/>
    <n v="4"/>
    <s v="FTE Based"/>
    <s v="USD"/>
    <n v="27745"/>
    <n v="5.58"/>
    <n v="1"/>
    <n v="0"/>
    <n v="2.42"/>
    <x v="114"/>
    <n v="0.43369175627240142"/>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s v="Liberty Mutual Insurance Company"/>
    <s v="Fortune 100 Global P&amp;C Carrier"/>
    <s v="North America"/>
    <s v="Noida, India"/>
    <x v="2"/>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s v="Commercial "/>
    <s v="Multi/ Combination"/>
    <s v="Auto_x000a_GL_x000a_Property_x000a_WC "/>
    <s v="All"/>
    <s v="Back Office"/>
    <s v="L3"/>
    <n v="1"/>
    <s v="4 to 6"/>
    <s v="Multiple as per sub activities"/>
    <s v="FTE Based"/>
    <s v="USD"/>
    <n v="23196"/>
    <n v="5.09"/>
    <n v="1"/>
    <n v="0"/>
    <n v="2.91"/>
    <x v="114"/>
    <n v="0.57170923379174854"/>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s v="Liberty Mutual Insurance Company"/>
    <s v="Fortune 100 Global P&amp;C Carrier"/>
    <s v="North America"/>
    <s v="Noida, India"/>
    <x v="2"/>
    <s v="Bhuwan Dass"/>
    <n v="0.1"/>
    <x v="1"/>
    <x v="1"/>
    <x v="8"/>
    <s v="Bill Payment (Medical Legal, Non Medical, Vendor)"/>
    <s v="Attestation"/>
    <s v=" This process evaluates and verifies financial information to provide assurance on its accuracy and reliability."/>
    <s v="Commercial "/>
    <s v="Multi/ Combination"/>
    <s v="Auto_x000a_GL_x000a_Property_x000a_WC "/>
    <s v="All"/>
    <s v="Back Office"/>
    <s v="L3"/>
    <n v="1"/>
    <s v="4 to 6"/>
    <s v="Multiple as per sub activities"/>
    <s v="FTE Based"/>
    <s v="USD"/>
    <n v="23196"/>
    <n v="6.14"/>
    <n v="1"/>
    <n v="1"/>
    <n v="4.8600000000000003"/>
    <x v="17"/>
    <n v="0.7915309446254073"/>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s v="Liberty Mutual Insurance Company"/>
    <s v="Fortune 100 Global P&amp;C Carrier"/>
    <s v="North America"/>
    <s v="Noida, India"/>
    <x v="2"/>
    <s v="Bhuwan Dass"/>
    <n v="6"/>
    <x v="1"/>
    <x v="1"/>
    <x v="8"/>
    <s v="Non Medical Bill Review &amp; Approval"/>
    <s v="eReview"/>
    <s v="This is pre- bill processing review to validate the data with scanned image on exception thrown cases at the time of scanning for missing information  _x000a_"/>
    <s v="Commercial "/>
    <s v="WC"/>
    <s v="WC"/>
    <s v="All"/>
    <s v="Back Office"/>
    <s v="L2"/>
    <n v="1"/>
    <n v="4"/>
    <s v="8 WK"/>
    <s v="FTE Based"/>
    <s v="USD"/>
    <n v="27577"/>
    <n v="11.82"/>
    <n v="2"/>
    <n v="1"/>
    <n v="2.1799999999999997"/>
    <x v="9"/>
    <n v="0.18443316412859556"/>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s v="Liberty Mutual Insurance Company"/>
    <s v="Fortune 100 Global P&amp;C Carrier"/>
    <s v="North America"/>
    <s v="Noida, India"/>
    <x v="2"/>
    <s v="Bhuwan Dass"/>
    <n v="6"/>
    <x v="1"/>
    <x v="1"/>
    <x v="8"/>
    <s v="Non Medical Bill Review &amp; Approval"/>
    <s v="MSR Original"/>
    <s v="Decision to pay or deny a bill is taken basis State handling guidelines and Claim Adjuster’s recommendation after adjudication"/>
    <s v="Commercial "/>
    <s v="WC"/>
    <s v="WC"/>
    <s v="All"/>
    <s v="Back Office"/>
    <s v="L3"/>
    <n v="2"/>
    <n v="4"/>
    <s v="8 WK"/>
    <s v="FTE Based"/>
    <s v="USD"/>
    <n v="27577"/>
    <n v="37.43"/>
    <n v="5"/>
    <n v="3"/>
    <n v="8.57"/>
    <x v="5"/>
    <n v="0.2289607266898210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s v="Liberty Mutual Insurance Company"/>
    <s v="Fortune 100 Global P&amp;C Carrier"/>
    <s v="North America"/>
    <s v="Noida, India"/>
    <x v="2"/>
    <s v="Bhuwan Dass"/>
    <n v="4"/>
    <x v="1"/>
    <x v="1"/>
    <x v="8"/>
    <s v="Non Medical Bill Review &amp; Approval"/>
    <s v="MSR Recon"/>
    <s v="Team reviews the bill processed incorrectly in original submission &amp; resulted into under payment or incorrect denial"/>
    <s v="Commercial "/>
    <s v="WC"/>
    <s v="WC"/>
    <s v="All"/>
    <s v="Back Office"/>
    <s v="L4"/>
    <n v="2"/>
    <n v="6"/>
    <s v="8 WK"/>
    <s v="FTE Based"/>
    <s v="USD"/>
    <n v="30330"/>
    <n v="18.63"/>
    <n v="2"/>
    <n v="1"/>
    <n v="6.370000000000001"/>
    <x v="4"/>
    <n v="0.34192163177670432"/>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s v="Liberty Mutual Insurance Company"/>
    <s v="Fortune 100 Global P&amp;C Carrier"/>
    <s v="North America"/>
    <s v="Noida, India"/>
    <x v="2"/>
    <s v="Bhuwan Dass"/>
    <n v="4"/>
    <x v="1"/>
    <x v="1"/>
    <x v="8"/>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s v="Commercial "/>
    <s v="WC"/>
    <s v="WC"/>
    <s v="All"/>
    <s v="Back Office"/>
    <s v="L3"/>
    <n v="1"/>
    <n v="4"/>
    <s v="4 WK"/>
    <s v="FTE Based"/>
    <s v="USD"/>
    <n v="27577.483830000001"/>
    <n v="8.5"/>
    <n v="1"/>
    <n v="1"/>
    <n v="3.5"/>
    <x v="106"/>
    <n v="0.41176470588235292"/>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s v="Liberty Mutual Insurance Company"/>
    <s v="Fortune 100 Global P&amp;C Carrier"/>
    <s v="North America"/>
    <s v="Noida, India"/>
    <x v="2"/>
    <s v="Bhuwan Dass"/>
    <n v="4"/>
    <x v="1"/>
    <x v="1"/>
    <x v="8"/>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s v="Commercial "/>
    <s v="WC"/>
    <s v="WC"/>
    <s v="All"/>
    <s v="Back Office"/>
    <s v="L3"/>
    <n v="1"/>
    <n v="4"/>
    <s v="4 WK"/>
    <s v="FTE Based"/>
    <s v="USD"/>
    <n v="27577.483830000001"/>
    <n v="2.2999999999999998"/>
    <n v="1"/>
    <n v="1"/>
    <n v="0.70000000000000018"/>
    <x v="101"/>
    <n v="0.3043478260869566"/>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s v="Liberty Mutual Insurance Company"/>
    <s v="Fortune 100 Global P&amp;C Carrier"/>
    <s v="North America"/>
    <s v="Noida, India"/>
    <x v="2"/>
    <s v="Bhuwan Dass"/>
    <n v="4"/>
    <x v="1"/>
    <x v="1"/>
    <x v="8"/>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s v="Commercial "/>
    <s v="WC"/>
    <s v="WC"/>
    <s v="All"/>
    <s v="Back Office"/>
    <s v="L3"/>
    <n v="1"/>
    <n v="4"/>
    <s v="4 WK"/>
    <s v="FTE Based"/>
    <s v="USD"/>
    <n v="27577.483830000001"/>
    <n v="0.8"/>
    <m/>
    <m/>
    <n v="0.19999999999999996"/>
    <x v="77"/>
    <n v="0.24999999999999994"/>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s v="Liberty Mutual Insurance Company"/>
    <s v="Fortune 100 Global P&amp;C Carrier"/>
    <s v="North America"/>
    <s v="Noida, India"/>
    <x v="2"/>
    <s v="Bhuwan Dass"/>
    <n v="4"/>
    <x v="1"/>
    <x v="1"/>
    <x v="8"/>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s v="Commercial "/>
    <s v="WC"/>
    <s v="WC"/>
    <s v="All"/>
    <s v="Back Office"/>
    <s v="L1"/>
    <n v="1"/>
    <n v="4"/>
    <s v="4 WK"/>
    <s v="FTE Based"/>
    <s v="USD"/>
    <n v="20502"/>
    <n v="7.8"/>
    <m/>
    <m/>
    <n v="2.2000000000000002"/>
    <x v="17"/>
    <n v="0.2820512820512821"/>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s v="Liberty Mutual Insurance Company"/>
    <s v="Fortune 100 Global P&amp;C Carrier"/>
    <s v="North America"/>
    <s v="Noida, India"/>
    <x v="2"/>
    <s v="Bhuwan Dass"/>
    <n v="0.1"/>
    <x v="1"/>
    <x v="1"/>
    <x v="8"/>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s v="Commercial "/>
    <s v="WC"/>
    <s v="Single LOB - WC"/>
    <s v="All"/>
    <s v="Back Office"/>
    <s v="L4"/>
    <n v="2"/>
    <n v="12"/>
    <n v="10"/>
    <s v="FTE Based"/>
    <s v="USD"/>
    <n v="26460"/>
    <n v="10.53"/>
    <n v="0"/>
    <n v="1"/>
    <n v="5.47"/>
    <x v="105"/>
    <n v="1.70940170940170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s v="MAPFRE"/>
    <s v="Top 20 U&amp;S Private Passenger Auto"/>
    <s v="North America"/>
    <s v="Noida, India"/>
    <x v="2"/>
    <s v="Mark H II Bernacki "/>
    <n v="1"/>
    <x v="1"/>
    <x v="1"/>
    <x v="7"/>
    <s v="Negotiation/ Arbitration/ Resolution"/>
    <m/>
    <s v="Identification_x000a_Triage &amp; Demand Issuance_x000a_Negitiation &amp; Settlement_x000a_Arbitration Writing_x000a_Vendor Management"/>
    <s v="Personal "/>
    <s v="Auto"/>
    <s v="Auto"/>
    <s v="Large"/>
    <s v="Blended"/>
    <s v="L3"/>
    <n v="1"/>
    <n v="4"/>
    <n v="4"/>
    <s v="Outcome Based"/>
    <s v="USD"/>
    <s v="~2% contingency fee on $150M in recovery = ~$3M"/>
    <s v="NA"/>
    <n v="0"/>
    <n v="3"/>
    <n v="0"/>
    <x v="42"/>
    <s v="NA"/>
    <n v="4500"/>
    <m/>
    <m/>
    <m/>
    <s v="n/a"/>
    <m/>
    <s v="Others"/>
    <m/>
    <m/>
    <s v="Low recoveries &amp; expensive personnel"/>
    <s v="Recovery"/>
    <s v="EXL Platform"/>
    <s v="EXL Subrosource platform with rightshoring_x000a_"/>
    <s v="Recovery uplift_x000a_Lower cost of recovery"/>
    <s v="NA"/>
    <s v="NA"/>
    <s v="NA"/>
    <s v="NA"/>
    <s v="Client's claims department / adjusters"/>
    <s v="Multiple"/>
    <s v="Unstructured"/>
    <s v="NA"/>
    <s v="Multiple"/>
    <s v="Client  Recovery unit"/>
    <s v="Claim system - Guidewire"/>
  </r>
  <r>
    <s v="MAPFRE"/>
    <s v="Fortune 100 US P&amp;C Carrier"/>
    <s v="North America"/>
    <s v="Cape Town, South Africa"/>
    <x v="3"/>
    <s v="Bradley Somayi"/>
    <n v="1.5"/>
    <x v="1"/>
    <x v="1"/>
    <x v="1"/>
    <s v="First Notice of Loss Calls"/>
    <s v="FNOL"/>
    <s v="Handle FNOL calls for Auto and Property losses and setup claims on the system "/>
    <s v="Personal "/>
    <s v="Auto &amp; Property"/>
    <s v="Auto - 80-90%_x000a_Property - 10-20%"/>
    <s v="Large"/>
    <s v="Voice"/>
    <s v="L3"/>
    <n v="3"/>
    <n v="3"/>
    <n v="6"/>
    <s v="FTE Based"/>
    <s v="USD"/>
    <n v="36500"/>
    <n v="33"/>
    <n v="5"/>
    <n v="7"/>
    <n v="32"/>
    <x v="127"/>
    <n v="0.96969696969696972"/>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s v="MAPFRE"/>
    <s v="Fortune 100 US P&amp;C Carrier"/>
    <s v="North America"/>
    <s v="Bogota, COL"/>
    <x v="4"/>
    <s v="Bradley Somayi"/>
    <n v="1.5"/>
    <x v="1"/>
    <x v="1"/>
    <x v="1"/>
    <s v="First Notice of Loss Calls"/>
    <s v="FNOL"/>
    <s v="Handle FNOL calls for Auto and Property losses and setup claims on the system "/>
    <s v="Personal "/>
    <s v="Auto &amp; Property"/>
    <s v="Auto - 80-90%_x000a_Property - 10-20%"/>
    <s v="Large"/>
    <s v="Voice"/>
    <s v="L3"/>
    <n v="3"/>
    <n v="3"/>
    <n v="6"/>
    <s v="FTE Based"/>
    <s v="USD"/>
    <n v="41600"/>
    <n v="10"/>
    <n v="1"/>
    <n v="1"/>
    <n v="11"/>
    <x v="8"/>
    <n v="1.100000000000000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s v="MAPFRE"/>
    <s v="Fortune 100 US P&amp;C Carrier"/>
    <s v="North America"/>
    <s v="Cape Town, South Africa"/>
    <x v="3"/>
    <s v="Bradley Somayi"/>
    <n v="1.5"/>
    <x v="1"/>
    <x v="4"/>
    <x v="14"/>
    <s v="General Inquiry"/>
    <s v="General Inquiry"/>
    <s v="Answers incoming billing, payment telephone calls from agents, policyholders and other parties according to procedure"/>
    <s v="Personal "/>
    <s v="Auto &amp; Property"/>
    <s v="Auto - 80-90%_x000a_Property - 10-20%"/>
    <s v="Large"/>
    <s v="Voice"/>
    <s v="L3"/>
    <n v="3"/>
    <n v="2"/>
    <n v="2"/>
    <s v="FTE Based"/>
    <s v="USD"/>
    <n v="36500"/>
    <n v="14"/>
    <n v="3"/>
    <n v="1"/>
    <n v="16"/>
    <x v="124"/>
    <n v="1.1428571428571428"/>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General Inquiry"/>
    <s v="General Inquiry"/>
    <s v="Answers incoming billing, payment telephone calls from agents, policyholders and other parties according to procedure"/>
    <s v="Personal "/>
    <s v="Auto &amp; Property"/>
    <s v="Auto - 80-90%_x000a_Property - 10-20%"/>
    <s v="Large"/>
    <s v="Voice"/>
    <s v="L3"/>
    <n v="3"/>
    <n v="2"/>
    <n v="2"/>
    <s v="FTE Based"/>
    <s v="USD"/>
    <n v="41600"/>
    <n v="2"/>
    <n v="0"/>
    <n v="1"/>
    <n v="3"/>
    <x v="19"/>
    <n v="1.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Guidewire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12"/>
    <n v="3"/>
    <n v="3"/>
    <n v="14"/>
    <x v="124"/>
    <n v="1.1666666666666667"/>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Query Resolution"/>
    <s v="Guidewire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41600"/>
    <n v="4"/>
    <n v="1"/>
    <n v="1"/>
    <n v="7"/>
    <x v="115"/>
    <n v="1.75"/>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Tronweb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7"/>
    <n v="2"/>
    <n v="1"/>
    <n v="10"/>
    <x v="8"/>
    <n v="1.4285714285714286"/>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Query Resolution"/>
    <s v="Tronweb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41600"/>
    <n v="4"/>
    <n v="1"/>
    <n v="0"/>
    <n v="6"/>
    <x v="114"/>
    <n v="1.5"/>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V12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9"/>
    <n v="2"/>
    <n v="1"/>
    <n v="9"/>
    <x v="106"/>
    <n v="1"/>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x v="0"/>
    <s v="Free Text"/>
    <x v="0"/>
    <x v="0"/>
    <x v="0"/>
    <s v="Free Text"/>
    <s v="Free Text"/>
    <x v="0"/>
    <x v="0"/>
    <x v="0"/>
    <s v="Drop Down"/>
    <s v="Free Text"/>
    <s v="Free Text"/>
    <x v="0"/>
    <x v="0"/>
    <s v="Free Text"/>
    <s v="Drop Down"/>
    <x v="0"/>
    <s v="Drop Down"/>
    <s v="Free Text"/>
    <s v="Free Text"/>
    <s v="Free Text"/>
    <s v="Drop Down"/>
    <s v="Drop Down"/>
    <s v="Free Text"/>
    <s v="Free Text"/>
    <s v="Free Text"/>
    <s v="Free Text"/>
    <s v="Free Text"/>
    <s v="Free Text"/>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x v="1"/>
    <s v="Fortune 500 &amp; Large US Insurance carrier"/>
    <x v="1"/>
    <x v="1"/>
    <x v="1"/>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x v="1"/>
    <x v="1"/>
    <s v="Auto"/>
    <s v="All"/>
    <x v="1"/>
    <s v="L3"/>
    <n v="4"/>
    <n v="6"/>
    <n v="16"/>
    <s v="Transaction Based "/>
    <s v="USD"/>
    <n v="4372"/>
    <n v="30"/>
    <n v="10"/>
    <n v="4"/>
    <n v="30"/>
    <n v="74"/>
    <n v="0.40540540540540543"/>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2"/>
    <x v="1"/>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x v="1"/>
    <x v="1"/>
    <s v="Auto"/>
    <s v="All"/>
    <x v="1"/>
    <s v="L3"/>
    <n v="4"/>
    <n v="6"/>
    <n v="16"/>
    <s v="Transaction Based "/>
    <s v="USD"/>
    <n v="4372"/>
    <n v="75"/>
    <n v="10"/>
    <n v="7"/>
    <n v="30"/>
    <n v="122"/>
    <n v="0.24590163934426229"/>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1"/>
    <x v="1"/>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x v="1"/>
    <x v="2"/>
    <s v="Property"/>
    <s v="All"/>
    <x v="1"/>
    <s v="L3"/>
    <n v="4"/>
    <n v="6"/>
    <n v="11"/>
    <s v="Transaction Based "/>
    <s v="USD"/>
    <n v="4372"/>
    <n v="30"/>
    <n v="5"/>
    <n v="2"/>
    <n v="3"/>
    <n v="40"/>
    <n v="7.4999999999999997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2"/>
    <x v="1"/>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x v="1"/>
    <x v="2"/>
    <s v="Property"/>
    <s v="All"/>
    <x v="1"/>
    <s v="L3"/>
    <n v="4"/>
    <n v="6"/>
    <n v="11"/>
    <s v="Transaction Based "/>
    <s v="USD"/>
    <n v="4372"/>
    <n v="25"/>
    <n v="5"/>
    <n v="2"/>
    <n v="3"/>
    <n v="35"/>
    <n v="8.5714285714285715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1"/>
    <x v="1"/>
    <s v="Raymond Perez"/>
    <s v="1 year"/>
    <x v="1"/>
    <x v="1"/>
    <x v="1"/>
    <s v="First Notice of Loss Calls"/>
    <s v="Business inquiry calls"/>
    <s v="Receive calls from policyholders on FNOL inquiries and existing claims"/>
    <x v="2"/>
    <x v="3"/>
    <s v="Multiple"/>
    <s v="All"/>
    <x v="1"/>
    <s v="L3"/>
    <n v="4"/>
    <n v="6"/>
    <n v="11"/>
    <s v="Transaction Based "/>
    <s v="USD"/>
    <n v="5247"/>
    <n v="30"/>
    <n v="3"/>
    <n v="1"/>
    <n v="3"/>
    <n v="37"/>
    <n v="8.1081081081081086E-2"/>
    <m/>
    <m/>
    <m/>
    <s v="380"/>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x v="3"/>
    <x v="3"/>
    <s v="Auto, Property"/>
    <s v="All"/>
    <x v="1"/>
    <s v="L3"/>
    <n v="4"/>
    <n v="6"/>
    <n v="11"/>
    <s v="Transaction Based "/>
    <s v="USD"/>
    <n v="5247"/>
    <n v="30"/>
    <n v="2"/>
    <n v="1"/>
    <n v="3"/>
    <n v="36"/>
    <n v="8.3333333333333329E-2"/>
    <m/>
    <m/>
    <m/>
    <m/>
    <m/>
    <n v="0.9"/>
    <s v="DPU – Defect Per Unit"/>
    <m/>
    <m/>
    <s v="Quality methodology"/>
    <m/>
    <m/>
    <m/>
    <m/>
    <m/>
    <m/>
    <m/>
    <m/>
    <s v="Onshore clients"/>
    <s v="FNOL, Inquiry"/>
    <s v="Unstructured"/>
    <m/>
    <s v="Multiple"/>
    <s v="Policyholders, agent, 3rd party"/>
    <s v="Claims Center"/>
  </r>
  <r>
    <x v="1"/>
    <s v="Fortune 500 &amp; Large US Insurance carrier"/>
    <x v="2"/>
    <x v="1"/>
    <x v="1"/>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x v="3"/>
    <x v="3"/>
    <s v="Auto, Property"/>
    <s v="All"/>
    <x v="1"/>
    <s v="L3"/>
    <n v="4"/>
    <n v="6"/>
    <n v="11"/>
    <s v="Transaction Based "/>
    <s v="USD"/>
    <n v="5247"/>
    <n v="25"/>
    <n v="2"/>
    <n v="1"/>
    <n v="3"/>
    <n v="31"/>
    <n v="9.6774193548387094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David De Vera"/>
    <s v="1 year"/>
    <x v="2"/>
    <x v="1"/>
    <x v="1"/>
    <s v="First Notice of Loss Calls"/>
    <s v="FNOL, Inquiry calls"/>
    <s v="Receive first notice of loss calls for business auto and property loss - weather related, wind hail, hurricane, tornadoes etc._x000a_Receive calls from policyholders on FNOL incuiries and existing claims"/>
    <x v="1"/>
    <x v="3"/>
    <s v="Auto, Property"/>
    <s v="All"/>
    <x v="1"/>
    <s v="L3"/>
    <n v="4"/>
    <n v="6"/>
    <n v="20"/>
    <s v="Transaction Based "/>
    <s v="USD"/>
    <n v="5247"/>
    <n v="19"/>
    <n v="1"/>
    <n v="2"/>
    <n v="2"/>
    <n v="24"/>
    <n v="8.3333333333333329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John Pin Onrade"/>
    <s v="1 year"/>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x v="1"/>
    <x v="3"/>
    <s v="Auto"/>
    <s v="All"/>
    <x v="2"/>
    <s v="L2"/>
    <n v="2"/>
    <n v="5"/>
    <n v="6"/>
    <s v="FTE Based"/>
    <s v="USD"/>
    <n v="31927.5"/>
    <n v="28"/>
    <n v="3"/>
    <n v="2"/>
    <n v="13"/>
    <n v="46"/>
    <n v="0.28260869565217389"/>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x v="1"/>
    <s v="Fortune 500 &amp; Large US Insurance carrier"/>
    <x v="2"/>
    <x v="1"/>
    <x v="1"/>
    <s v="John Pin Onrade"/>
    <s v="1 year"/>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x v="1"/>
    <x v="3"/>
    <s v="Auto"/>
    <s v="All"/>
    <x v="3"/>
    <s v="L2"/>
    <n v="2"/>
    <n v="5"/>
    <n v="6"/>
    <s v="FTE Based"/>
    <s v="USD"/>
    <n v="31927.5"/>
    <n v="16"/>
    <n v="3"/>
    <n v="2"/>
    <n v="3"/>
    <n v="24"/>
    <n v="0.125"/>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x v="1"/>
    <s v="Fortune 500 &amp; Large US Insurance carrier"/>
    <x v="2"/>
    <x v="1"/>
    <x v="1"/>
    <s v="John Pin Onrade"/>
    <s v="1 year"/>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x v="1"/>
    <x v="3"/>
    <s v="Auto"/>
    <s v="All"/>
    <x v="2"/>
    <s v="L2"/>
    <n v="2"/>
    <n v="5"/>
    <n v="6"/>
    <s v="FTE Based"/>
    <s v="USD"/>
    <n v="31893.75"/>
    <n v="9"/>
    <n v="4"/>
    <n v="2"/>
    <n v="13"/>
    <n v="28"/>
    <n v="0.4642857142857143"/>
    <m/>
    <m/>
    <m/>
    <m/>
    <m/>
    <n v="0.9"/>
    <s v="DPU – Defect Per Unit"/>
    <m/>
    <m/>
    <s v="Quality methodology"/>
    <m/>
    <m/>
    <m/>
    <m/>
    <m/>
    <m/>
    <m/>
    <m/>
    <s v="Onshore clients"/>
    <s v="FNOL Processing"/>
    <s v="Unstructured"/>
    <m/>
    <s v="Multiple"/>
    <s v="Policyholders, agent, 3rd party"/>
    <s v="Claim center, Gateway, ISO, AWD"/>
  </r>
  <r>
    <x v="1"/>
    <s v="Fortune 500 &amp; Large US Insurance carrier"/>
    <x v="2"/>
    <x v="1"/>
    <x v="1"/>
    <s v="Cherree Anne Leones"/>
    <s v="1 year"/>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x v="3"/>
    <x v="3"/>
    <s v="Commercial"/>
    <s v="All"/>
    <x v="2"/>
    <s v="L2"/>
    <n v="2"/>
    <n v="7"/>
    <n v="4"/>
    <s v="FTE Based"/>
    <s v="USD"/>
    <n v="34115"/>
    <n v="7"/>
    <n v="2"/>
    <n v="1"/>
    <n v="3"/>
    <n v="13"/>
    <n v="0.23076923076923078"/>
    <m/>
    <m/>
    <m/>
    <m/>
    <m/>
    <n v="0.9"/>
    <s v="DPU – Defect Per Unit"/>
    <m/>
    <m/>
    <s v="Quality methodology"/>
    <m/>
    <m/>
    <m/>
    <m/>
    <m/>
    <m/>
    <m/>
    <m/>
    <s v="Onshore clients"/>
    <s v="Workers Compensation"/>
    <s v="Unstructured"/>
    <m/>
    <s v="Multiple"/>
    <s v="Business, agents, providers"/>
    <s v="Claim Center, Genesys, Outlook Mailbox, Fax Link, ISO, Private Client"/>
  </r>
  <r>
    <x v="1"/>
    <s v="Fortune 500 &amp; Large US Insurance carrier"/>
    <x v="2"/>
    <x v="1"/>
    <x v="1"/>
    <s v="Narissa Dela Rosa"/>
    <s v="1 year"/>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x v="3"/>
    <x v="3"/>
    <s v="Commercial"/>
    <s v="All"/>
    <x v="2"/>
    <s v="L2"/>
    <n v="2"/>
    <n v="5"/>
    <n v="6"/>
    <s v="FTE Based"/>
    <s v="USD"/>
    <n v="31910.625"/>
    <n v="8"/>
    <n v="2"/>
    <n v="1"/>
    <n v="3"/>
    <n v="14"/>
    <n v="0.21428571428571427"/>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x v="1"/>
    <s v="Fortune 500 &amp; Large US Insurance carrier"/>
    <x v="2"/>
    <x v="1"/>
    <x v="1"/>
    <s v="Narissa Dela Rosa"/>
    <s v="1 year"/>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x v="3"/>
    <x v="3"/>
    <s v="Commercial"/>
    <s v="All"/>
    <x v="2"/>
    <s v="L2"/>
    <n v="2"/>
    <n v="7"/>
    <n v="7"/>
    <s v="FTE Based"/>
    <s v="USD"/>
    <n v="32855.625"/>
    <n v="24"/>
    <n v="2"/>
    <n v="2"/>
    <n v="7"/>
    <n v="35"/>
    <n v="0.2"/>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x v="1"/>
    <s v="Fortune 500 &amp; Large US Insurance carrier"/>
    <x v="2"/>
    <x v="1"/>
    <x v="1"/>
    <s v="Narissa Dela Rosa"/>
    <s v="1 year"/>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x v="3"/>
    <x v="3"/>
    <s v="Commercial"/>
    <s v="All"/>
    <x v="2"/>
    <s v="L2"/>
    <n v="2"/>
    <n v="5"/>
    <n v="3"/>
    <s v="FTE Based"/>
    <s v="USD"/>
    <n v="34391.25"/>
    <n v="6"/>
    <n v="2"/>
    <n v="1"/>
    <n v="2"/>
    <n v="11"/>
    <n v="0.18181818181818182"/>
    <m/>
    <m/>
    <m/>
    <m/>
    <m/>
    <n v="0.98499999999999999"/>
    <s v="Weighted DPO – Weighted Defect Per Opportunity"/>
    <m/>
    <m/>
    <s v="Quality methodology"/>
    <m/>
    <m/>
    <m/>
    <m/>
    <m/>
    <m/>
    <m/>
    <m/>
    <s v="Onshore clients"/>
    <s v="Claims Processing"/>
    <s v="Unstructured"/>
    <m/>
    <s v="Multiple"/>
    <s v="Policyholders, agent, 3rd party"/>
    <s v="Claim center, Gateway, ISO, AWD"/>
  </r>
  <r>
    <x v="1"/>
    <s v="Fortune 500 &amp; Large US Insurance carrier"/>
    <x v="2"/>
    <x v="1"/>
    <x v="1"/>
    <s v="Narissa Dela Rosa"/>
    <s v="1 year"/>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x v="3"/>
    <x v="3"/>
    <s v="Commercial"/>
    <s v="All"/>
    <x v="2"/>
    <s v="L2"/>
    <n v="2"/>
    <n v="14"/>
    <n v="8"/>
    <s v="FTE Based"/>
    <s v="USD"/>
    <n v="32855.625"/>
    <n v="9"/>
    <n v="2"/>
    <n v="1"/>
    <n v="3"/>
    <n v="15"/>
    <n v="0.2"/>
    <m/>
    <m/>
    <m/>
    <m/>
    <m/>
    <n v="0.95"/>
    <s v="Weighted DPO – Weighted Defect Per Opportunity"/>
    <m/>
    <m/>
    <s v="Quality methodology"/>
    <m/>
    <m/>
    <m/>
    <m/>
    <m/>
    <m/>
    <m/>
    <m/>
    <s v="Onshore clients"/>
    <s v="Claims Support: ESS New Loss Back Office"/>
    <s v="Unstructured"/>
    <m/>
    <s v="Multiple"/>
    <s v="Policyholders, agent, 3rd party"/>
    <s v="Claim center, Gateway, ISO, AWD"/>
  </r>
  <r>
    <x v="2"/>
    <s v="US National Specialty Carrier"/>
    <x v="2"/>
    <x v="3"/>
    <x v="2"/>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x v="2"/>
    <x v="3"/>
    <s v="Auto, Home, Motor Cycle, Collector Vehicle, Watercraft, Manufactured/Mobile home"/>
    <s v="Small &amp; Mid Size"/>
    <x v="3"/>
    <s v="L3"/>
    <n v="1"/>
    <n v="8"/>
    <n v="8"/>
    <s v="FTE Based"/>
    <s v="USD"/>
    <n v="29825.983464999998"/>
    <n v="17"/>
    <n v="2"/>
    <n v="1"/>
    <n v="2"/>
    <n v="22"/>
    <n v="9.0909090909090912E-2"/>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x v="2"/>
    <s v="US National Specialty Carrier"/>
    <x v="2"/>
    <x v="3"/>
    <x v="2"/>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x v="2"/>
    <x v="3"/>
    <s v="Auto, Home, Motor Cycle, Collector Vehicle, Watercraft, Manufactured/Mobile home"/>
    <s v="Small &amp; Mid Size"/>
    <x v="3"/>
    <s v="L3"/>
    <n v="1"/>
    <n v="4"/>
    <n v="6"/>
    <s v="FTE Based"/>
    <s v="USD"/>
    <n v="29825.983465000001"/>
    <n v="27"/>
    <n v="2"/>
    <n v="1"/>
    <n v="3"/>
    <n v="33"/>
    <n v="9.0909090909090912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x v="2"/>
    <s v="US National Specialty Carrier"/>
    <x v="2"/>
    <x v="3"/>
    <x v="2"/>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x v="2"/>
    <x v="3"/>
    <s v="Auto, Home, Motor Cycle, Collector Vehicle, Watercraft, Manufactured/Mobile home"/>
    <s v="Small &amp; Mid Size"/>
    <x v="3"/>
    <s v="L3"/>
    <n v="1"/>
    <n v="2"/>
    <n v="2"/>
    <s v="FTE Based"/>
    <s v="USD"/>
    <n v="29825.983464999998"/>
    <n v="7"/>
    <n v="0"/>
    <n v="0.5"/>
    <n v="1"/>
    <n v="8.5"/>
    <n v="0.11764705882352941"/>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x v="2"/>
    <s v="US National Specialty Carrier"/>
    <x v="2"/>
    <x v="3"/>
    <x v="2"/>
    <s v="Souvick Paul"/>
    <n v="2.9"/>
    <x v="1"/>
    <x v="1"/>
    <x v="4"/>
    <s v="Requesting Police report"/>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x v="2"/>
    <x v="3"/>
    <s v="Auto, Home, Motor Cycle, Collector Vehicle, Watercraft, Manufactured/Mobile home"/>
    <s v="Small &amp; Mid Size"/>
    <x v="3"/>
    <s v="L3"/>
    <n v="1"/>
    <n v="3"/>
    <n v="3"/>
    <s v="FTE Based"/>
    <s v="USD"/>
    <n v="28113.85"/>
    <n v="4"/>
    <n v="0"/>
    <n v="0.5"/>
    <n v="1"/>
    <n v="5.5"/>
    <n v="0.18181818181818182"/>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x v="3"/>
    <s v="UK P&amp;C client"/>
    <x v="3"/>
    <x v="4"/>
    <x v="2"/>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x v="3"/>
    <x v="3"/>
    <s v="Auto,Property,Package"/>
    <s v="All"/>
    <x v="3"/>
    <s v="L5"/>
    <s v="1 weeks"/>
    <s v="4 weeks"/>
    <s v="2 weeks"/>
    <s v="FTE Based"/>
    <s v="GBP"/>
    <n v="25059"/>
    <n v="2"/>
    <n v="0"/>
    <n v="1"/>
    <n v="0"/>
    <n v="3"/>
    <n v="0"/>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x v="3"/>
    <s v="UK P&amp;C client"/>
    <x v="3"/>
    <x v="3"/>
    <x v="2"/>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x v="3"/>
    <x v="3"/>
    <s v="Auto,Property,Package"/>
    <s v="All"/>
    <x v="3"/>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x v="3"/>
    <x v="3"/>
    <s v="Auto,Property,Package"/>
    <s v="All"/>
    <x v="3"/>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3"/>
    <x v="2"/>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x v="3"/>
    <x v="3"/>
    <s v="Auto,Property,Package"/>
    <s v="All"/>
    <x v="3"/>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x v="3"/>
    <x v="3"/>
    <s v="Auto,Property,Package"/>
    <s v="All"/>
    <x v="3"/>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x v="3"/>
    <x v="3"/>
    <s v="Auto,Property,Package"/>
    <s v="All"/>
    <x v="3"/>
    <s v="L3"/>
    <s v="1 weeks"/>
    <s v="4 weeks"/>
    <s v="4 weeks"/>
    <s v="FTE Based"/>
    <s v="GBP"/>
    <n v="20183.240000000002"/>
    <n v="28"/>
    <n v="2"/>
    <n v="2"/>
    <n v="3"/>
    <n v="35"/>
    <n v="8.5714285714285715E-2"/>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x v="3"/>
    <x v="3"/>
    <s v="Auto,Property,Package"/>
    <s v="All"/>
    <x v="3"/>
    <s v="L4 - L7"/>
    <s v="1 weeks"/>
    <s v="12 weeks"/>
    <s v="8 weeks"/>
    <s v="FTE Based"/>
    <s v="GBP"/>
    <s v="L4 - £22803_x000a_L5 - £25059_x000a_L6 - £27994_x000a_L7 - £30043"/>
    <n v="104"/>
    <n v="0"/>
    <n v="5"/>
    <n v="25"/>
    <n v="134"/>
    <n v="0.18656716417910449"/>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x v="3"/>
    <s v="UK P&amp;C client"/>
    <x v="3"/>
    <x v="3"/>
    <x v="2"/>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x v="3"/>
    <x v="3"/>
    <s v="Auto,Property,Package"/>
    <s v="All"/>
    <x v="2"/>
    <s v="L2"/>
    <s v="1 weeks"/>
    <s v="4 weeks"/>
    <s v="4 weeks"/>
    <s v="FTE Based"/>
    <s v="GBP"/>
    <s v="Assistant Accountant - £28019.6_x000a_Broker Rec Manager - £41475.1"/>
    <n v="3"/>
    <n v="0"/>
    <n v="1"/>
    <n v="1"/>
    <n v="5"/>
    <n v="0.2"/>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4"/>
    <s v="Regional US P&amp;C Carrier"/>
    <x v="2"/>
    <x v="3"/>
    <x v="2"/>
    <s v="Gaurav Agarwal"/>
    <n v="10"/>
    <x v="1"/>
    <x v="1"/>
    <x v="1"/>
    <s v="After Hours Support"/>
    <s v="Claim File Copies"/>
    <s v="Claim file copy requests. "/>
    <x v="1"/>
    <x v="3"/>
    <s v="Auto/Property"/>
    <s v="Mid Size"/>
    <x v="3"/>
    <s v="L2"/>
    <n v="1"/>
    <n v="2"/>
    <n v="3"/>
    <s v="FTE Based"/>
    <s v="USD"/>
    <n v="24417.299117249997"/>
    <n v="2"/>
    <n v="0.1"/>
    <n v="0.04"/>
    <n v="1.1000000000000001"/>
    <n v="3.24"/>
    <n v="0.33950617283950618"/>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x v="4"/>
    <s v="Regional US P&amp;C Carrier"/>
    <x v="2"/>
    <x v="3"/>
    <x v="2"/>
    <s v="Gaurav Agarwal"/>
    <n v="10"/>
    <x v="1"/>
    <x v="1"/>
    <x v="1"/>
    <s v="After Hours Support"/>
    <s v="IA Supplement Messages"/>
    <s v="Send emails/voice mail messages received from repair facilities to regional dispatch mailboxes."/>
    <x v="1"/>
    <x v="3"/>
    <s v="Auto/Property"/>
    <s v="Mid Size"/>
    <x v="3"/>
    <s v="L1"/>
    <n v="1"/>
    <n v="1"/>
    <n v="2"/>
    <s v="FTE Based"/>
    <s v="USD"/>
    <n v="20576.695042124997"/>
    <n v="6"/>
    <n v="0.1"/>
    <n v="0.04"/>
    <n v="1.1000000000000001"/>
    <n v="7.24"/>
    <n v="0.15193370165745856"/>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x v="4"/>
    <s v="Regional US P&amp;C Carrier"/>
    <x v="2"/>
    <x v="3"/>
    <x v="2"/>
    <s v="Gaurav Agarwal"/>
    <n v="10"/>
    <x v="1"/>
    <x v="1"/>
    <x v="1"/>
    <s v="After Hours Support"/>
    <s v="Matter Setups &amp; Closures"/>
    <s v="Setup Matter on claim files for legal expenses to be paid and close Matters post payments"/>
    <x v="1"/>
    <x v="3"/>
    <s v="Auto/Property"/>
    <s v="Mid Size"/>
    <x v="3"/>
    <s v="L2"/>
    <n v="1"/>
    <n v="2"/>
    <n v="3"/>
    <s v="FTE Based"/>
    <s v="USD"/>
    <n v="24417.299117249997"/>
    <n v="2"/>
    <n v="0.1"/>
    <n v="0.04"/>
    <n v="1.1000000000000001"/>
    <n v="3.24"/>
    <n v="0.33950617283950618"/>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x v="4"/>
    <s v="Regional US P&amp;C Carrier"/>
    <x v="2"/>
    <x v="3"/>
    <x v="2"/>
    <s v="Gaurav Agarwal"/>
    <n v="10"/>
    <x v="1"/>
    <x v="1"/>
    <x v="7"/>
    <s v="Quality Management"/>
    <s v="QA Support"/>
    <s v="QA Support"/>
    <x v="1"/>
    <x v="3"/>
    <s v="Auto/Property"/>
    <s v="Mid Size"/>
    <x v="3"/>
    <s v="L4"/>
    <s v="NA"/>
    <s v="NA"/>
    <s v="NA"/>
    <s v="FTE Based"/>
    <s v="USD"/>
    <n v="33328.05932249999"/>
    <n v="3"/>
    <n v="0.1"/>
    <n v="0.04"/>
    <n v="1.1000000000000001"/>
    <n v="4.24"/>
    <n v="0.25943396226415094"/>
    <s v="NA"/>
    <s v="NA"/>
    <s v="NA"/>
    <s v="NA"/>
    <n v="0.95"/>
    <n v="0.95"/>
    <s v="DPO – Defect Per Opportunity"/>
    <s v="NA"/>
    <s v="NA"/>
    <s v="NA"/>
    <s v="NA"/>
    <s v="NA"/>
    <s v="NA"/>
    <s v="NA"/>
    <s v="NA"/>
    <s v="NA"/>
    <s v="NA"/>
    <s v="NA"/>
    <s v="NA"/>
    <s v="Multiple"/>
    <s v="Semi-Structured"/>
    <s v="NA"/>
    <s v="NA"/>
    <s v="NA"/>
    <s v="All Client Applications / Admin Systems"/>
  </r>
  <r>
    <x v="4"/>
    <s v="Regional US P&amp;C Carrier"/>
    <x v="2"/>
    <x v="3"/>
    <x v="2"/>
    <s v="Gaurav Agarwal"/>
    <n v="10"/>
    <x v="1"/>
    <x v="1"/>
    <x v="8"/>
    <s v="Salvage Settlement"/>
    <s v="Salvage Deficit Payments"/>
    <s v="Salvage deficit payments processed for invoices received via email from vendor. "/>
    <x v="1"/>
    <x v="3"/>
    <s v="Auto/Property"/>
    <s v="Mid Size"/>
    <x v="3"/>
    <s v="L2"/>
    <n v="1"/>
    <n v="2"/>
    <n v="3"/>
    <s v="FTE Based"/>
    <s v="USD"/>
    <n v="24417.299117249997"/>
    <n v="2"/>
    <n v="0.1"/>
    <n v="0.04"/>
    <n v="1.1000000000000001"/>
    <n v="3.24"/>
    <n v="0.33950617283950618"/>
    <n v="1088"/>
    <s v="NA"/>
    <s v="NA"/>
    <n v="5.86"/>
    <n v="0.95"/>
    <n v="0.95"/>
    <s v="DPO – Defect Per Opportunity"/>
    <s v="NA"/>
    <s v="NA"/>
    <s v="NA"/>
    <s v="NA"/>
    <s v="NA"/>
    <s v="NA"/>
    <s v="NA"/>
    <s v="NA"/>
    <s v="NA"/>
    <s v="NA"/>
    <s v="NA"/>
    <s v="Kemper"/>
    <s v="Emails"/>
    <s v="Unstructured"/>
    <n v="1"/>
    <s v="Payment/EFT issued to salvage vendor"/>
    <s v="Vendor"/>
    <s v="Claim Center"/>
  </r>
  <r>
    <x v="4"/>
    <s v="Regional US P&amp;C Carrier"/>
    <x v="2"/>
    <x v="3"/>
    <x v="2"/>
    <s v="Gaurav Agarwal"/>
    <n v="10"/>
    <x v="1"/>
    <x v="1"/>
    <x v="1"/>
    <s v="After Hours Support"/>
    <s v="Eschest Checks"/>
    <s v="Processing of returned escheat letters from customers. Confirm if money owed and reissue check as needed"/>
    <x v="1"/>
    <x v="3"/>
    <s v="Auto/Property"/>
    <s v="Mid Size"/>
    <x v="3"/>
    <s v="L2"/>
    <n v="1"/>
    <n v="2"/>
    <n v="3"/>
    <s v="FTE Based"/>
    <s v="USD"/>
    <n v="24417.299117249997"/>
    <n v="1"/>
    <n v="0.1"/>
    <n v="0.04"/>
    <n v="1.1000000000000001"/>
    <n v="2.2400000000000002"/>
    <n v="0.49107142857142855"/>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x v="4"/>
    <s v="Regional US P&amp;C Carrier"/>
    <x v="2"/>
    <x v="3"/>
    <x v="2"/>
    <s v="Gaurav Agarwal"/>
    <n v="10"/>
    <x v="1"/>
    <x v="1"/>
    <x v="1"/>
    <s v="Adjuster Onboarding/Off-boarding"/>
    <s v="KSG Claims System Access Request"/>
    <s v="Submitting system access request for new hires and/or existing employees."/>
    <x v="1"/>
    <x v="3"/>
    <s v="Auto/Property"/>
    <s v="Mid Size"/>
    <x v="3"/>
    <s v="L2"/>
    <n v="1"/>
    <n v="2"/>
    <n v="3"/>
    <s v="FTE Based"/>
    <s v="USD"/>
    <n v="24417.299117249997"/>
    <n v="1"/>
    <n v="0.1"/>
    <n v="0.04"/>
    <n v="1.1000000000000001"/>
    <n v="2.2400000000000002"/>
    <n v="0.49107142857142855"/>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x v="4"/>
    <s v="Regional US P&amp;C Carrier"/>
    <x v="2"/>
    <x v="3"/>
    <x v="2"/>
    <s v="Gaurav Agarwal"/>
    <n v="10"/>
    <x v="1"/>
    <x v="1"/>
    <x v="1"/>
    <s v="Indexing"/>
    <s v="Unidentified Mail Queues"/>
    <s v="Research unidentified documents received in Indexing systems so as to match them to the correct claim files.  "/>
    <x v="1"/>
    <x v="3"/>
    <s v="Auto/Property"/>
    <s v="Mid Size"/>
    <x v="3"/>
    <s v="L3"/>
    <n v="1"/>
    <n v="4"/>
    <n v="4"/>
    <s v="FTE Based"/>
    <s v="USD"/>
    <n v="29414.285223749994"/>
    <n v="8.4"/>
    <n v="0.1"/>
    <n v="0.04"/>
    <n v="1.1000000000000001"/>
    <n v="9.6399999999999988"/>
    <n v="0.11410788381742741"/>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x v="4"/>
    <s v="Regional US P&amp;C Carrier"/>
    <x v="2"/>
    <x v="3"/>
    <x v="2"/>
    <s v="Gaurav Agarwal"/>
    <n v="10"/>
    <x v="1"/>
    <x v="1"/>
    <x v="9"/>
    <s v="Bill Payment (Medical Legal, Non Medical, Vendor)"/>
    <s v="Vendor Payments and Legal Bill Invoice Payments"/>
    <s v="Issue payments to various vendors in claims systems.  Invoices are emailed. "/>
    <x v="1"/>
    <x v="3"/>
    <s v="Auto/Property"/>
    <s v="Mid Size"/>
    <x v="3"/>
    <s v="L2"/>
    <n v="1"/>
    <n v="2"/>
    <n v="3"/>
    <s v="FTE Based"/>
    <s v="USD"/>
    <n v="24417.299117249997"/>
    <n v="8.5"/>
    <n v="0.1"/>
    <n v="0.04"/>
    <n v="1.1000000000000001"/>
    <n v="9.7399999999999984"/>
    <n v="0.1129363449691992"/>
    <n v="6360"/>
    <s v="NA"/>
    <s v="NA"/>
    <n v="6"/>
    <n v="0.95"/>
    <n v="0.95"/>
    <s v="DPO – Defect Per Opportunity"/>
    <s v="NA"/>
    <s v="NA"/>
    <s v="NA"/>
    <s v="NA"/>
    <s v="NA"/>
    <s v="NA"/>
    <s v="NA"/>
    <s v="NA"/>
    <s v="NA"/>
    <s v="NA"/>
    <s v="NA"/>
    <s v="Vendor"/>
    <s v="Emails"/>
    <s v="Semi-Structured"/>
    <n v="1"/>
    <s v="Payment issued to vendor"/>
    <s v="Vendor"/>
    <s v="Claim Center, Bottemline Legal Exchange"/>
  </r>
  <r>
    <x v="4"/>
    <s v="Regional US P&amp;C Carrier"/>
    <x v="2"/>
    <x v="3"/>
    <x v="2"/>
    <s v="Gaurav Agarwal"/>
    <n v="10"/>
    <x v="1"/>
    <x v="1"/>
    <x v="8"/>
    <s v="Initiate Recovery Collection &amp; processing"/>
    <s v="Subro Recovery payments"/>
    <s v="Payments issuance in Kemper Claims Center (KCC) of demands with completed PD reviews"/>
    <x v="1"/>
    <x v="3"/>
    <s v="Auto/Property"/>
    <s v="Mid Size"/>
    <x v="3"/>
    <s v="L2"/>
    <n v="1"/>
    <n v="2"/>
    <n v="3"/>
    <s v="FTE Based"/>
    <s v="USD"/>
    <n v="24417.299117249997"/>
    <n v="5"/>
    <n v="0.1"/>
    <n v="0.04"/>
    <n v="1.1000000000000001"/>
    <n v="6.24"/>
    <n v="0.17628205128205129"/>
    <n v="2914"/>
    <s v="NA"/>
    <s v="NA"/>
    <n v="10.43"/>
    <n v="0.95"/>
    <n v="0.95"/>
    <s v="DPO – Defect Per Opportunity"/>
    <s v="NA"/>
    <s v="NA"/>
    <s v="NA"/>
    <s v="NA"/>
    <s v="NA"/>
    <s v="NA"/>
    <s v="NA"/>
    <s v="NA"/>
    <s v="NA"/>
    <s v="NA"/>
    <s v="NA"/>
    <s v="Kemper"/>
    <s v="Emails"/>
    <s v="Unstructured"/>
    <n v="1"/>
    <s v="Recovered amount posted in claims system"/>
    <s v="Claim Adjuster"/>
    <s v="Claim Center"/>
  </r>
  <r>
    <x v="4"/>
    <s v="Regional US P&amp;C Carrier"/>
    <x v="2"/>
    <x v="3"/>
    <x v="2"/>
    <s v="Gaurav Agarwal"/>
    <n v="10"/>
    <x v="1"/>
    <x v="1"/>
    <x v="8"/>
    <s v="Initiate Recovery Collection &amp; processing"/>
    <s v="Recovery Compliance Letters"/>
    <s v="Completion of NY/TX compliance letters"/>
    <x v="1"/>
    <x v="3"/>
    <s v="Auto/Property"/>
    <s v="Mid Size"/>
    <x v="3"/>
    <s v="L2"/>
    <n v="1"/>
    <n v="2"/>
    <n v="3"/>
    <s v="FTE Based"/>
    <s v="USD"/>
    <n v="24417.299117249997"/>
    <n v="1"/>
    <n v="0.1"/>
    <n v="0.04"/>
    <n v="1.1000000000000001"/>
    <n v="2.2400000000000002"/>
    <n v="0.49107142857142855"/>
    <n v="766"/>
    <s v="NA"/>
    <s v="NA"/>
    <n v="4.84"/>
    <n v="0.95"/>
    <n v="0.95"/>
    <s v="DPO – Defect Per Opportunity"/>
    <s v="NA"/>
    <s v="NA"/>
    <s v="NA"/>
    <s v="NA"/>
    <s v="NA"/>
    <s v="NA"/>
    <s v="NA"/>
    <s v="NA"/>
    <s v="NA"/>
    <s v="NA"/>
    <s v="NA"/>
    <s v="Kemper"/>
    <s v="Emails"/>
    <s v="Unstructured"/>
    <n v="1"/>
    <s v="Acknowledgement letter sent to insured"/>
    <s v="Insured"/>
    <s v="Claim Center"/>
  </r>
  <r>
    <x v="4"/>
    <s v="Regional US P&amp;C Carrier"/>
    <x v="2"/>
    <x v="3"/>
    <x v="2"/>
    <s v="Gaurav Agarwal"/>
    <n v="10"/>
    <x v="1"/>
    <x v="1"/>
    <x v="9"/>
    <s v="Bill Payment (Medical Legal, Non Medical, Vendor)"/>
    <s v="AACC Vendor Payments"/>
    <s v="Issue payments to various vendors in claims systems.  Invoices are emailed. "/>
    <x v="1"/>
    <x v="3"/>
    <s v="Auto/Property"/>
    <s v="Mid Size"/>
    <x v="3"/>
    <s v="L2"/>
    <n v="1"/>
    <n v="2"/>
    <n v="3"/>
    <s v="FTE Based"/>
    <s v="USD"/>
    <n v="24417.299117249997"/>
    <n v="1"/>
    <n v="0.1"/>
    <n v="0.04"/>
    <n v="1.1000000000000001"/>
    <n v="2.2400000000000002"/>
    <n v="0.49107142857142855"/>
    <n v="106"/>
    <s v="NA"/>
    <s v="NA"/>
    <n v="8"/>
    <n v="0.95"/>
    <n v="0.95"/>
    <s v="DPO – Defect Per Opportunity"/>
    <s v="NA"/>
    <s v="NA"/>
    <s v="NA"/>
    <s v="NA"/>
    <s v="NA"/>
    <s v="NA"/>
    <s v="NA"/>
    <s v="NA"/>
    <s v="NA"/>
    <s v="NA"/>
    <s v="NA"/>
    <s v="Vendor"/>
    <s v="Emails"/>
    <s v="Unstructured"/>
    <n v="1"/>
    <s v="Payment issued to vendor"/>
    <s v="Vendor"/>
    <s v="American Access Claims Center, CCC Portal"/>
  </r>
  <r>
    <x v="4"/>
    <s v="Regional US P&amp;C Carrier"/>
    <x v="2"/>
    <x v="3"/>
    <x v="2"/>
    <s v="Gaurav Agarwal"/>
    <n v="10"/>
    <x v="1"/>
    <x v="1"/>
    <x v="1"/>
    <s v="Claim Setup and assignment"/>
    <s v="FNOL Claim Setup"/>
    <s v="Reviews the FNOL document, set up a claim with available information and assign it to the claims adjuster"/>
    <x v="1"/>
    <x v="3"/>
    <s v="Auto/Property"/>
    <s v="Mid Size"/>
    <x v="3"/>
    <s v="L3"/>
    <n v="1"/>
    <n v="4"/>
    <n v="3"/>
    <s v="FTE Based"/>
    <s v="USD"/>
    <n v="29414.285223749994"/>
    <n v="5"/>
    <n v="0.1"/>
    <n v="0.04"/>
    <n v="1.1000000000000001"/>
    <n v="6.24"/>
    <n v="0.17628205128205129"/>
    <n v="779"/>
    <s v="NA"/>
    <s v="NA"/>
    <n v="15"/>
    <n v="0.95"/>
    <n v="0.95"/>
    <s v="DPO – Defect Per Opportunity"/>
    <s v="NA"/>
    <s v="NA"/>
    <s v="NA"/>
    <s v="NA"/>
    <s v="NA"/>
    <s v="NA"/>
    <s v="NA"/>
    <s v="NA"/>
    <s v="NA"/>
    <s v="NA"/>
    <s v="NA"/>
    <s v="Kemper"/>
    <s v="Images"/>
    <s v="Semi-Structured"/>
    <n v="1"/>
    <s v="Claim generated for a loss"/>
    <s v="Claim Adjuster"/>
    <s v="Claim Center"/>
  </r>
  <r>
    <x v="4"/>
    <s v="Regional US P&amp;C Carrier"/>
    <x v="2"/>
    <x v="3"/>
    <x v="2"/>
    <s v="Gaurav Agarwal"/>
    <n v="10"/>
    <x v="1"/>
    <x v="1"/>
    <x v="1"/>
    <s v="Indexing"/>
    <s v="AACC Mail Processing"/>
    <s v="Reviews the misrouted documents and index those to the correct claim file "/>
    <x v="1"/>
    <x v="3"/>
    <s v="Auto/Property"/>
    <s v="Mid Size"/>
    <x v="3"/>
    <s v="L3"/>
    <n v="1"/>
    <n v="4"/>
    <n v="3"/>
    <s v="FTE Based"/>
    <s v="USD"/>
    <n v="29414.285223749994"/>
    <n v="3"/>
    <n v="0.1"/>
    <n v="0.04"/>
    <n v="1.1000000000000001"/>
    <n v="4.24"/>
    <n v="0.25943396226415094"/>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x v="4"/>
    <s v="Regional US P&amp;C Carrier"/>
    <x v="2"/>
    <x v="3"/>
    <x v="2"/>
    <s v="Gaurav Agarwal"/>
    <n v="10"/>
    <x v="1"/>
    <x v="1"/>
    <x v="4"/>
    <s v="Requesting Police report"/>
    <s v="AACC Ordering Police Report"/>
    <s v="Draft requests to oder police report from an application basis adjuster's request"/>
    <x v="1"/>
    <x v="3"/>
    <s v="Auto/Property"/>
    <s v="Mid Size"/>
    <x v="3"/>
    <s v="L3"/>
    <n v="1"/>
    <n v="2"/>
    <n v="3"/>
    <s v="FTE Based"/>
    <s v="USD"/>
    <n v="29414.285223749994"/>
    <n v="1"/>
    <n v="0.1"/>
    <n v="0.04"/>
    <n v="1.1000000000000001"/>
    <n v="2.2400000000000002"/>
    <n v="0.49107142857142855"/>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x v="4"/>
    <s v="Regional US P&amp;C Carrier"/>
    <x v="2"/>
    <x v="5"/>
    <x v="3"/>
    <s v="Faeekah Cornelius"/>
    <n v="4"/>
    <x v="1"/>
    <x v="1"/>
    <x v="1"/>
    <s v="After Hours Support"/>
    <s v="TL Assignments"/>
    <s v="Assignment of claims and exposures to the total loss adjuster per the daily log sheet"/>
    <x v="1"/>
    <x v="3"/>
    <s v="Auto/Property"/>
    <s v="Mid Size"/>
    <x v="3"/>
    <s v="L1"/>
    <n v="1"/>
    <n v="2"/>
    <n v="2"/>
    <s v="FTE Based"/>
    <s v="USD"/>
    <n v="28463.005286999993"/>
    <n v="1.5"/>
    <n v="0.09"/>
    <n v="0.06"/>
    <n v="1.0900000000000001"/>
    <n v="2.74"/>
    <n v="0.3978102189781022"/>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x v="4"/>
    <s v="Regional US P&amp;C Carrier"/>
    <x v="2"/>
    <x v="5"/>
    <x v="3"/>
    <s v="Faeekah Cornelius"/>
    <n v="4"/>
    <x v="1"/>
    <x v="1"/>
    <x v="9"/>
    <s v="Bill Payment (Medical Legal, Non Medical, Vendor)"/>
    <s v="Vendor Payments / Legal Bill Invoice Payment"/>
    <s v="Issue payments to various vendors in claims systems.  Invoices are emailed. "/>
    <x v="1"/>
    <x v="3"/>
    <s v="Auto/Property"/>
    <s v="Mid Size"/>
    <x v="3"/>
    <s v="L2"/>
    <n v="1"/>
    <n v="2"/>
    <n v="2"/>
    <s v="FTE Based"/>
    <s v="USD"/>
    <n v="30143.821585499994"/>
    <n v="2"/>
    <n v="0.09"/>
    <n v="0.06"/>
    <n v="1.0900000000000001"/>
    <n v="3.24"/>
    <n v="0.33641975308641975"/>
    <n v="252"/>
    <s v="NA"/>
    <s v="NA"/>
    <n v="2.88"/>
    <n v="0.95"/>
    <n v="0.95"/>
    <s v="DPO – Defect Per Opportunity"/>
    <s v="NA"/>
    <s v="NA"/>
    <s v="NA"/>
    <s v="NA"/>
    <s v="NA"/>
    <s v="NA"/>
    <s v="NA"/>
    <s v="NA"/>
    <s v="NA"/>
    <s v="NA"/>
    <s v="NA"/>
    <s v="Claim Adjuster"/>
    <s v="Structured"/>
    <s v="Structured"/>
    <n v="1"/>
    <s v="Payment issued to vendor"/>
    <s v="Claim Adjuster"/>
    <s v="Claim Center"/>
  </r>
  <r>
    <x v="4"/>
    <s v="Regional US P&amp;C Carrier"/>
    <x v="2"/>
    <x v="5"/>
    <x v="3"/>
    <s v="Faeekah Cornelius"/>
    <n v="4"/>
    <x v="1"/>
    <x v="1"/>
    <x v="1"/>
    <s v="After Hours Support"/>
    <s v="IA Supplement Messages"/>
    <s v="Send emails/voice mail messages received from repair facilities to regional dispatch mailboxes."/>
    <x v="1"/>
    <x v="3"/>
    <s v="Auto/Property"/>
    <s v="Mid Size"/>
    <x v="3"/>
    <s v="L1"/>
    <n v="1"/>
    <n v="3"/>
    <n v="3"/>
    <s v="FTE Based"/>
    <s v="USD"/>
    <n v="28463.005286999993"/>
    <n v="5"/>
    <n v="0.09"/>
    <n v="0.06"/>
    <n v="1.0900000000000001"/>
    <n v="6.2399999999999993"/>
    <n v="0.1746794871794872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x v="4"/>
    <s v="Regional US P&amp;C Carrier"/>
    <x v="2"/>
    <x v="5"/>
    <x v="3"/>
    <s v="Faeekah Cornelius"/>
    <n v="4"/>
    <x v="1"/>
    <x v="1"/>
    <x v="8"/>
    <s v="Salvage Settlement"/>
    <s v="Subro - Post Salvage Proceeds"/>
    <s v="Salvage deficit payments processed for invoices received via email from vendor. "/>
    <x v="1"/>
    <x v="3"/>
    <s v="Auto/Property"/>
    <s v="Mid Size"/>
    <x v="3"/>
    <s v="L2"/>
    <n v="1"/>
    <n v="2"/>
    <n v="2"/>
    <s v="FTE Based"/>
    <s v="USD"/>
    <n v="30143.821585499994"/>
    <n v="1"/>
    <n v="0.09"/>
    <n v="0.06"/>
    <n v="1.0900000000000001"/>
    <n v="2.2400000000000002"/>
    <n v="0.48660714285714285"/>
    <n v="2450"/>
    <s v="NA"/>
    <s v="NA"/>
    <n v="3"/>
    <n v="0.95"/>
    <n v="0.95"/>
    <s v="DPO – Defect Per Opportunity"/>
    <s v="NA"/>
    <s v="NA"/>
    <s v="NA"/>
    <s v="NA"/>
    <s v="NA"/>
    <s v="NA"/>
    <s v="NA"/>
    <s v="NA"/>
    <s v="NA"/>
    <s v="NA"/>
    <s v="NA"/>
    <s v="Claim Adjuster"/>
    <s v="Emails"/>
    <s v="Semi-Structured"/>
    <n v="1"/>
    <s v="Recovered amount posted in claims system"/>
    <s v="Claim Adjuster"/>
    <s v="Claim Center"/>
  </r>
  <r>
    <x v="4"/>
    <s v="Regional US P&amp;C Carrier"/>
    <x v="2"/>
    <x v="5"/>
    <x v="3"/>
    <s v="Faeekah Cornelius"/>
    <n v="4"/>
    <x v="1"/>
    <x v="1"/>
    <x v="1"/>
    <s v="After Hours Support"/>
    <s v="Return Check"/>
    <s v="Review of outstanding checks to verify funds owed, and void &amp; reissue checks as needed."/>
    <x v="1"/>
    <x v="3"/>
    <s v="Auto/Property"/>
    <s v="Mid Size"/>
    <x v="3"/>
    <s v="L1"/>
    <n v="1"/>
    <n v="2"/>
    <n v="2"/>
    <s v="FTE Based"/>
    <s v="USD"/>
    <n v="28463.005286999993"/>
    <n v="1"/>
    <n v="0.09"/>
    <n v="0.06"/>
    <n v="1.0900000000000001"/>
    <n v="2.2400000000000002"/>
    <n v="0.48660714285714285"/>
    <n v="1010"/>
    <s v="NA"/>
    <s v="NA"/>
    <n v="4.59"/>
    <n v="0.95"/>
    <n v="0.95"/>
    <s v="DPO – Defect Per Opportunity"/>
    <s v="NA"/>
    <s v="NA"/>
    <s v="NA"/>
    <s v="NA"/>
    <s v="NA"/>
    <s v="NA"/>
    <s v="NA"/>
    <s v="NA"/>
    <s v="NA"/>
    <s v="NA"/>
    <s v="NA"/>
    <s v="Claim Adjuster"/>
    <s v="Emails"/>
    <s v="Semi-Structured"/>
    <n v="1"/>
    <s v="Checks voided "/>
    <s v="Claim Adjuster"/>
    <s v="Claim Center"/>
  </r>
  <r>
    <x v="4"/>
    <s v="Regional US P&amp;C Carrier"/>
    <x v="2"/>
    <x v="5"/>
    <x v="3"/>
    <s v="Faeekah Cornelius"/>
    <n v="4"/>
    <x v="1"/>
    <x v="1"/>
    <x v="1"/>
    <s v="After Hours Support"/>
    <s v="Transcription Request - Send"/>
    <s v="Locating recorded statements, identify wether recordings match, sending them to sysman folder to be transcribed. "/>
    <x v="1"/>
    <x v="3"/>
    <s v="Auto/Property"/>
    <s v="Mid Size"/>
    <x v="1"/>
    <s v="L2"/>
    <n v="1"/>
    <n v="2"/>
    <n v="2"/>
    <s v="FTE Based"/>
    <s v="USD"/>
    <n v="30143.821585499994"/>
    <n v="1.5"/>
    <n v="0.09"/>
    <n v="0.06"/>
    <n v="1.0900000000000001"/>
    <n v="2.74"/>
    <n v="0.3978102189781022"/>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x v="4"/>
    <s v="Regional US P&amp;C Carrier"/>
    <x v="2"/>
    <x v="5"/>
    <x v="3"/>
    <s v="Faeekah Cornelius"/>
    <n v="4"/>
    <x v="1"/>
    <x v="1"/>
    <x v="1"/>
    <s v="After Hours Support"/>
    <s v="Transcription Request - Receive"/>
    <s v="Locating transcribed statements in the sysman folder and uploading document to correct claim. "/>
    <x v="1"/>
    <x v="3"/>
    <s v="Auto/Property"/>
    <s v="Mid Size"/>
    <x v="1"/>
    <s v="L1"/>
    <n v="1"/>
    <n v="3"/>
    <n v="3"/>
    <s v="FTE Based"/>
    <s v="USD"/>
    <n v="28463.005286999993"/>
    <n v="0.5"/>
    <n v="0.09"/>
    <n v="0.06"/>
    <n v="1.0900000000000001"/>
    <n v="1.74"/>
    <n v="0.62643678160919547"/>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x v="4"/>
    <s v="Regional US P&amp;C Carrier"/>
    <x v="2"/>
    <x v="5"/>
    <x v="3"/>
    <s v="Faeekah Cornelius"/>
    <n v="4"/>
    <x v="1"/>
    <x v="1"/>
    <x v="1"/>
    <s v="After Hours Support"/>
    <s v="Claim File Copies - KCC/ICS"/>
    <s v="Claim file copy requests. "/>
    <x v="1"/>
    <x v="3"/>
    <s v="Auto/Property"/>
    <s v="Mid Size"/>
    <x v="3"/>
    <s v="L2"/>
    <n v="1"/>
    <n v="2"/>
    <n v="2"/>
    <s v="FTE Based"/>
    <s v="USD"/>
    <n v="30143.821585499994"/>
    <n v="6.75"/>
    <n v="0.09"/>
    <n v="0.06"/>
    <n v="1.0900000000000001"/>
    <n v="7.9899999999999993"/>
    <n v="0.13642052565707136"/>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x v="4"/>
    <s v="Regional US P&amp;C Carrier"/>
    <x v="2"/>
    <x v="5"/>
    <x v="3"/>
    <s v="Faeekah Cornelius"/>
    <n v="4"/>
    <x v="1"/>
    <x v="1"/>
    <x v="1"/>
    <s v="After Hours Support"/>
    <s v="Letter Print File"/>
    <s v="Assignment of requested letters and check."/>
    <x v="1"/>
    <x v="3"/>
    <s v="Auto/Property"/>
    <s v="Mid Size"/>
    <x v="3"/>
    <s v="L1"/>
    <n v="1"/>
    <n v="2"/>
    <n v="2"/>
    <s v="FTE Based"/>
    <s v="USD"/>
    <n v="28463.005286999993"/>
    <n v="0.25"/>
    <n v="0.09"/>
    <n v="0.06"/>
    <n v="1.0900000000000001"/>
    <n v="1.49"/>
    <n v="0.73154362416107388"/>
    <n v="105"/>
    <s v="NA"/>
    <s v="NA"/>
    <n v="4.1500000000000004"/>
    <n v="0.95"/>
    <n v="0.95"/>
    <s v="DPO – Defect Per Opportunity"/>
    <s v="NA"/>
    <s v="NA"/>
    <s v="NA"/>
    <s v="NA"/>
    <s v="NA"/>
    <s v="NA"/>
    <s v="NA"/>
    <s v="NA"/>
    <s v="NA"/>
    <s v="NA"/>
    <s v="NA"/>
    <s v="Claim Adjuster"/>
    <s v="Emails"/>
    <s v="Semi-Structured"/>
    <n v="1"/>
    <s v="Letters and Checks reissued "/>
    <s v="Claim Adjuster"/>
    <s v="Claim Center"/>
  </r>
  <r>
    <x v="4"/>
    <s v="Regional US P&amp;C Carrier"/>
    <x v="2"/>
    <x v="5"/>
    <x v="3"/>
    <s v="Faeekah Cornelius"/>
    <n v="4"/>
    <x v="1"/>
    <x v="1"/>
    <x v="1"/>
    <s v="Claim Setup and assignment"/>
    <s v="Arbitration Assignments"/>
    <s v="Assigning Claims to adjusters in order to litigate arbitration process"/>
    <x v="1"/>
    <x v="3"/>
    <s v="Auto/Property"/>
    <s v="Mid Size"/>
    <x v="3"/>
    <s v="L1"/>
    <n v="1"/>
    <n v="2"/>
    <n v="2"/>
    <s v="FTE Based"/>
    <s v="USD"/>
    <n v="28463.005286999993"/>
    <n v="1"/>
    <n v="0.09"/>
    <n v="0.06"/>
    <n v="1.0900000000000001"/>
    <n v="2.2400000000000002"/>
    <n v="0.48660714285714285"/>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x v="4"/>
    <s v="Regional US P&amp;C Carrier"/>
    <x v="2"/>
    <x v="5"/>
    <x v="3"/>
    <s v="Faeekah Cornelius"/>
    <n v="4"/>
    <x v="1"/>
    <x v="1"/>
    <x v="1"/>
    <s v="Claim Setup and assignment"/>
    <s v="Salvage Assignments"/>
    <s v="Assignment of requests added to Salvage Assignment Queue."/>
    <x v="1"/>
    <x v="3"/>
    <s v="Auto/Property"/>
    <s v="Mid Size"/>
    <x v="3"/>
    <s v="L1"/>
    <n v="1"/>
    <n v="2"/>
    <n v="2"/>
    <s v="FTE Based"/>
    <s v="USD"/>
    <n v="28463.005286999993"/>
    <n v="2"/>
    <n v="0.09"/>
    <n v="0.06"/>
    <n v="1.0900000000000001"/>
    <n v="3.24"/>
    <n v="0.33641975308641975"/>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x v="4"/>
    <s v="Regional US P&amp;C Carrier"/>
    <x v="2"/>
    <x v="5"/>
    <x v="3"/>
    <s v="Faeekah Cornelius"/>
    <n v="4"/>
    <x v="1"/>
    <x v="1"/>
    <x v="1"/>
    <s v="Claim Setup and assignment"/>
    <s v="PIP Assignments"/>
    <s v="Assignment and reassignment of claims and exposures to suitable adjusters according to live spreadsheet. "/>
    <x v="1"/>
    <x v="3"/>
    <s v="Auto/Property"/>
    <s v="Mid Size"/>
    <x v="3"/>
    <s v="L1"/>
    <n v="1"/>
    <n v="2"/>
    <n v="2"/>
    <s v="FTE Based"/>
    <s v="USD"/>
    <n v="28463.005286999993"/>
    <n v="1.5"/>
    <n v="0.09"/>
    <n v="0.06"/>
    <n v="1.0900000000000001"/>
    <n v="2.74"/>
    <n v="0.3978102189781022"/>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x v="4"/>
    <s v="Regional US P&amp;C Carrier"/>
    <x v="2"/>
    <x v="5"/>
    <x v="3"/>
    <s v="Faeekah Cornelius"/>
    <n v="4"/>
    <x v="1"/>
    <x v="1"/>
    <x v="1"/>
    <s v="After Hours Support"/>
    <s v="Property Document Import Mailbox"/>
    <s v="Uploads of Property documents."/>
    <x v="1"/>
    <x v="3"/>
    <s v="Auto/Property"/>
    <s v="Mid Size"/>
    <x v="3"/>
    <s v="L2"/>
    <n v="1"/>
    <n v="2"/>
    <n v="2"/>
    <s v="FTE Based"/>
    <s v="USD"/>
    <n v="30143.821585499994"/>
    <n v="1"/>
    <n v="0.09"/>
    <n v="0.06"/>
    <n v="1.0900000000000001"/>
    <n v="2.2400000000000002"/>
    <n v="0.48660714285714285"/>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x v="4"/>
    <s v="Regional US P&amp;C Carrier"/>
    <x v="2"/>
    <x v="5"/>
    <x v="3"/>
    <s v="Faeekah Cornelius"/>
    <n v="4"/>
    <x v="1"/>
    <x v="1"/>
    <x v="1"/>
    <s v="Indexing"/>
    <s v="Misrouted Documents Queue  "/>
    <s v="Routing/sending documents from incorrect claim file to the approriate claim file. "/>
    <x v="1"/>
    <x v="3"/>
    <s v="Auto/Property"/>
    <s v="Mid Size"/>
    <x v="3"/>
    <s v="L2"/>
    <n v="1"/>
    <n v="2"/>
    <n v="2"/>
    <s v="FTE Based"/>
    <s v="USD"/>
    <n v="30143.821585499994"/>
    <n v="0.5"/>
    <n v="0.09"/>
    <n v="0.06"/>
    <n v="1.0900000000000001"/>
    <n v="1.74"/>
    <n v="0.62643678160919547"/>
    <n v="354"/>
    <s v="NA"/>
    <s v="NA"/>
    <n v="5.04"/>
    <n v="0.95"/>
    <n v="0.95"/>
    <s v="DPO – Defect Per Opportunity"/>
    <s v="NA"/>
    <s v="NA"/>
    <s v="NA"/>
    <s v="NA"/>
    <s v="NA"/>
    <s v="NA"/>
    <s v="NA"/>
    <s v="NA"/>
    <s v="NA"/>
    <s v="NA"/>
    <s v="NA"/>
    <s v="Claim Adjuster"/>
    <s v="Images"/>
    <s v="Structured"/>
    <n v="1"/>
    <s v="documents routed to the correct claim "/>
    <s v="Claim Adjuster"/>
    <s v="Claim Center,D360"/>
  </r>
  <r>
    <x v="4"/>
    <s v="Regional US P&amp;C Carrier"/>
    <x v="2"/>
    <x v="5"/>
    <x v="3"/>
    <s v="Faeekah Cornelius"/>
    <n v="4"/>
    <x v="1"/>
    <x v="1"/>
    <x v="1"/>
    <s v="Indexing"/>
    <s v="New Document Queue "/>
    <s v="Reasigning an activity to a new adjuster due to to the the previous adjusters absence. "/>
    <x v="1"/>
    <x v="3"/>
    <s v="Auto/Property"/>
    <s v="Mid Size"/>
    <x v="3"/>
    <s v="L2"/>
    <n v="1"/>
    <n v="2"/>
    <n v="2"/>
    <s v="FTE Based"/>
    <s v="USD"/>
    <n v="30143.821585499994"/>
    <n v="0.5"/>
    <n v="0.09"/>
    <n v="0.06"/>
    <n v="1.0900000000000001"/>
    <n v="1.74"/>
    <n v="0.62643678160919547"/>
    <n v="731"/>
    <s v="NA"/>
    <s v="NA"/>
    <n v="5.04"/>
    <n v="0.95"/>
    <n v="0.95"/>
    <s v="DPO – Defect Per Opportunity"/>
    <s v="NA"/>
    <s v="NA"/>
    <s v="NA"/>
    <s v="NA"/>
    <s v="NA"/>
    <s v="NA"/>
    <s v="NA"/>
    <s v="NA"/>
    <s v="NA"/>
    <s v="NA"/>
    <s v="NA"/>
    <s v="Claim Adjuster"/>
    <s v="Images"/>
    <s v="Structured"/>
    <n v="1"/>
    <s v="claim assigned to alternate adjuster "/>
    <s v="Claim Adjuster"/>
    <s v="Claim Center"/>
  </r>
  <r>
    <x v="4"/>
    <s v="Regional US P&amp;C Carrier"/>
    <x v="2"/>
    <x v="5"/>
    <x v="3"/>
    <s v="Faeekah Cornelius"/>
    <n v="4"/>
    <x v="1"/>
    <x v="1"/>
    <x v="1"/>
    <s v="Claim Setup and assignment"/>
    <s v="CCO Requests"/>
    <s v="Policy update requests."/>
    <x v="1"/>
    <x v="3"/>
    <s v="Auto/Property"/>
    <s v="Mid Size"/>
    <x v="3"/>
    <s v="L2"/>
    <n v="1"/>
    <n v="2"/>
    <n v="2"/>
    <s v="FTE Based"/>
    <s v="USD"/>
    <n v="30143.821585499994"/>
    <n v="1"/>
    <n v="0.09"/>
    <n v="0.06"/>
    <n v="1.0900000000000001"/>
    <n v="2.2400000000000002"/>
    <n v="0.48660714285714285"/>
    <n v="246"/>
    <s v="NA"/>
    <s v="NA"/>
    <n v="5.18"/>
    <n v="0.95"/>
    <n v="0.95"/>
    <s v="DPO – Defect Per Opportunity"/>
    <s v="NA"/>
    <s v="NA"/>
    <s v="NA"/>
    <s v="NA"/>
    <s v="NA"/>
    <s v="NA"/>
    <s v="NA"/>
    <s v="NA"/>
    <s v="NA"/>
    <s v="NA"/>
    <s v="NA"/>
    <s v="Claim Adjuster"/>
    <s v="Instructions in Application"/>
    <s v="Structured"/>
    <n v="1"/>
    <s v="claim updates "/>
    <s v="Claim Adjuster"/>
    <s v="Claim Center"/>
  </r>
  <r>
    <x v="4"/>
    <s v="Regional US P&amp;C Carrier"/>
    <x v="2"/>
    <x v="5"/>
    <x v="3"/>
    <s v="Faeekah Cornelius"/>
    <n v="4"/>
    <x v="1"/>
    <x v="1"/>
    <x v="7"/>
    <s v="Quality Management"/>
    <s v="QA Support"/>
    <s v="QA Support"/>
    <x v="1"/>
    <x v="3"/>
    <s v="Auto/Property"/>
    <s v="Mid Size"/>
    <x v="3"/>
    <s v="L4"/>
    <s v="NA"/>
    <s v="NA"/>
    <s v="NA"/>
    <s v="FTE Based"/>
    <s v="USD"/>
    <n v="32906.960774999992"/>
    <n v="1"/>
    <n v="0.09"/>
    <n v="0.06"/>
    <n v="1.0900000000000001"/>
    <n v="2.2400000000000002"/>
    <n v="0.48660714285714285"/>
    <s v="N/A"/>
    <s v="NA"/>
    <s v="NA"/>
    <s v="NA"/>
    <n v="0.95"/>
    <n v="0.95"/>
    <s v="DPO – Defect Per Opportunity"/>
    <s v="NA"/>
    <s v="NA"/>
    <s v="NA"/>
    <s v="NA"/>
    <s v="NA"/>
    <s v="NA"/>
    <s v="NA"/>
    <s v="NA"/>
    <s v="NA"/>
    <s v="NA"/>
    <s v="NA"/>
    <s v="Claim Adjuster"/>
    <s v="Multiple"/>
    <s v="Semi-Structured"/>
    <n v="1"/>
    <s v="NA"/>
    <s v="NA"/>
    <s v="Claim Center, P8, NICE, MSTEAMS, INFINITY"/>
  </r>
  <r>
    <x v="4"/>
    <s v="Regional US P&amp;C Carrier"/>
    <x v="2"/>
    <x v="5"/>
    <x v="3"/>
    <s v="Faeekah Cornelius"/>
    <n v="4"/>
    <x v="1"/>
    <x v="1"/>
    <x v="1"/>
    <s v="After Hours Support"/>
    <s v="KPC Claims DD E-mail Return Mailbox"/>
    <s v="Downloading emails and audio/video files from KPC mailbox and upload them in D360"/>
    <x v="1"/>
    <x v="3"/>
    <s v="Auto/Property"/>
    <s v="Mid Size"/>
    <x v="3"/>
    <s v="L2"/>
    <n v="1"/>
    <n v="2"/>
    <n v="2"/>
    <s v="FTE Based"/>
    <s v="USD"/>
    <n v="30143.821585499994"/>
    <n v="0.5"/>
    <n v="0.09"/>
    <n v="0.06"/>
    <n v="1.0900000000000001"/>
    <n v="1.74"/>
    <n v="0.62643678160919547"/>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x v="4"/>
    <s v="Regional US P&amp;C Carrier"/>
    <x v="2"/>
    <x v="5"/>
    <x v="3"/>
    <s v="Faeekah Cornelius"/>
    <n v="4"/>
    <x v="1"/>
    <x v="1"/>
    <x v="8"/>
    <s v="Info Gathering &amp; Analysis"/>
    <s v="Subro Arb Act Tracker"/>
    <s v="Collating a spreadsheet for all the activites assigned to adjusters/groups on previous day and upload on OneDrive for the  managers to access and retrieve data for their respective teams"/>
    <x v="1"/>
    <x v="3"/>
    <s v="Auto/Property"/>
    <s v="Mid Size"/>
    <x v="3"/>
    <s v="L2"/>
    <n v="1"/>
    <n v="2"/>
    <n v="2"/>
    <s v="FTE Based"/>
    <s v="USD"/>
    <n v="30143.821585499994"/>
    <n v="0.5"/>
    <n v="0.09"/>
    <n v="0.06"/>
    <n v="1.0900000000000001"/>
    <n v="1.74"/>
    <n v="0.62643678160919547"/>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x v="4"/>
    <s v="Regional US P&amp;C Carrier"/>
    <x v="2"/>
    <x v="5"/>
    <x v="3"/>
    <s v="Faeekah Cornelius"/>
    <n v="4"/>
    <x v="1"/>
    <x v="1"/>
    <x v="9"/>
    <s v="Bill Payment (Medical Legal, Non Medical, Vendor)"/>
    <s v="AACC Vendor Payments"/>
    <s v="Issue payments to various vendors in claims systems.  Invoices are emailed. "/>
    <x v="1"/>
    <x v="3"/>
    <s v="Auto/Property"/>
    <s v="Mid Size"/>
    <x v="3"/>
    <s v="L2"/>
    <n v="1"/>
    <n v="3"/>
    <n v="3"/>
    <s v="FTE Based"/>
    <s v="USD"/>
    <n v="30143.821585499994"/>
    <n v="2"/>
    <n v="0.09"/>
    <n v="0.06"/>
    <n v="1.0900000000000001"/>
    <n v="3.24"/>
    <n v="0.33641975308641975"/>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x v="4"/>
    <s v="Regional US P&amp;C Carrier"/>
    <x v="2"/>
    <x v="5"/>
    <x v="3"/>
    <s v="Faeekah Cornelius"/>
    <n v="4"/>
    <x v="1"/>
    <x v="1"/>
    <x v="4"/>
    <s v="Requesting Police report"/>
    <s v="AACC Ordering Police Report"/>
    <s v="Draft requests to oder police report from an application basis adjuster's request"/>
    <x v="1"/>
    <x v="3"/>
    <s v="Auto/Property"/>
    <s v="Mid Size"/>
    <x v="3"/>
    <s v="L2"/>
    <n v="1"/>
    <n v="2"/>
    <n v="2"/>
    <s v="FTE Based"/>
    <s v="USD"/>
    <n v="30143.821585499994"/>
    <n v="0.5"/>
    <n v="0.09"/>
    <n v="0.06"/>
    <n v="1.0900000000000001"/>
    <n v="1.74"/>
    <n v="0.62643678160919547"/>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x v="4"/>
    <s v="Regional US P&amp;C Carrier"/>
    <x v="2"/>
    <x v="5"/>
    <x v="3"/>
    <s v="Faeekah Cornelius"/>
    <n v="4"/>
    <x v="1"/>
    <x v="1"/>
    <x v="1"/>
    <s v="Indexing"/>
    <s v="AACC Mail Processing"/>
    <s v="Reviews the misrouted documents and index those to the correct claim file "/>
    <x v="1"/>
    <x v="3"/>
    <s v="Auto/Property"/>
    <s v="Mid Size"/>
    <x v="3"/>
    <s v="L2"/>
    <n v="1"/>
    <n v="3"/>
    <n v="3"/>
    <s v="FTE Based"/>
    <s v="USD"/>
    <n v="30143.821585499994"/>
    <n v="2.5"/>
    <n v="0.09"/>
    <n v="0.06"/>
    <n v="1.0900000000000001"/>
    <n v="3.74"/>
    <n v="0.29144385026737968"/>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x v="5"/>
    <s v="Large US Multi-line Specialty Carrier"/>
    <x v="2"/>
    <x v="6"/>
    <x v="1"/>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x v="1"/>
    <x v="2"/>
    <s v="Property, Auto"/>
    <s v="All"/>
    <x v="1"/>
    <s v="L3"/>
    <n v="2"/>
    <n v="5"/>
    <n v="6"/>
    <s v="FTE Based"/>
    <s v="USD"/>
    <n v="30000"/>
    <n v="35"/>
    <n v="3"/>
    <n v="2"/>
    <n v="5"/>
    <n v="45"/>
    <n v="0.1111111111111111"/>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x v="5"/>
    <s v="Large US Multi-line Specialty Carrier"/>
    <x v="2"/>
    <x v="6"/>
    <x v="1"/>
    <s v="Mark Redondo"/>
    <n v="4"/>
    <x v="1"/>
    <x v="1"/>
    <x v="1"/>
    <s v="First Notice of Loss Calls"/>
    <s v="FNOL"/>
    <s v="Files FNOL for property and auto claims_x000a_Receives calls checking status of claim/payment"/>
    <x v="1"/>
    <x v="4"/>
    <s v="Property, Auto"/>
    <s v="All"/>
    <x v="1"/>
    <s v="L3"/>
    <n v="2"/>
    <n v="2"/>
    <n v="12"/>
    <s v="FTE Based"/>
    <s v="USD"/>
    <n v="29786.16"/>
    <n v="52"/>
    <n v="4"/>
    <n v="4"/>
    <n v="8"/>
    <n v="68"/>
    <n v="0.11764705882352941"/>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x v="6"/>
    <s v="Top-10 US Commercial &amp; Specialty Carrier"/>
    <x v="2"/>
    <x v="3"/>
    <x v="2"/>
    <s v="Arpan Pandey, Varunjesh"/>
    <n v="6"/>
    <x v="1"/>
    <x v="1"/>
    <x v="9"/>
    <s v="Send Closing Documents"/>
    <s v="File Closure"/>
    <s v="Closing the file and sending closure letter"/>
    <x v="3"/>
    <x v="3"/>
    <s v="Auto, Property, GL, Specialty lines, WC"/>
    <s v="Mid Size"/>
    <x v="3"/>
    <s v="L1"/>
    <n v="1"/>
    <n v="2"/>
    <n v="3"/>
    <s v="Transaction Based "/>
    <s v="USD"/>
    <n v="0.65854268132330507"/>
    <n v="3.49"/>
    <n v="0"/>
    <n v="8.3333333333333329E-2"/>
    <n v="4"/>
    <n v="7.5733333333333341"/>
    <n v="0.528169014084507"/>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x v="6"/>
    <s v="Top-10 US Commercial &amp; Specialty Carrier"/>
    <x v="2"/>
    <x v="3"/>
    <x v="2"/>
    <s v="Arpan Pandey, Varunjesh"/>
    <n v="6"/>
    <x v="1"/>
    <x v="1"/>
    <x v="7"/>
    <s v="Case Management of File "/>
    <s v="File Reloads"/>
    <s v="Team works on the Claims for which the payment history is closed in ACT. Once the claim gets reload then the payment history opens/active in ACT."/>
    <x v="3"/>
    <x v="3"/>
    <s v="Auto, Property, GL, Specialty lines, WC"/>
    <s v="Mid Size"/>
    <x v="3"/>
    <s v="L1"/>
    <n v="1"/>
    <n v="2"/>
    <n v="2"/>
    <s v="Transaction Based "/>
    <s v="USD"/>
    <n v="1.0867599598259121"/>
    <n v="0.26"/>
    <n v="0"/>
    <n v="8.3333333333333329E-2"/>
    <n v="1"/>
    <n v="1.3433333333333333"/>
    <n v="0.74441687344913154"/>
    <n v="527"/>
    <s v="NA"/>
    <s v="NA"/>
    <n v="5.2"/>
    <n v="0.98"/>
    <n v="0.97"/>
    <s v="DPU – Defect Per Unit"/>
    <s v="NA"/>
    <s v="NA"/>
    <s v="NA"/>
    <s v="NA"/>
    <s v="NA"/>
    <s v="NA"/>
    <s v="NA"/>
    <s v="NA"/>
    <s v="NA"/>
    <s v="NA"/>
    <s v="NA"/>
    <s v="Claim Adjuster"/>
    <s v="Email"/>
    <s v="Semi-Structured"/>
    <n v="100"/>
    <s v="Email"/>
    <s v="Claim Adjuster"/>
    <s v="ClaimCenter/ACT/MS Outlook"/>
  </r>
  <r>
    <x v="6"/>
    <s v="Top-10 US Commercial &amp; Specialty Carrier"/>
    <x v="2"/>
    <x v="3"/>
    <x v="2"/>
    <s v="Arpan Pandey, Varunjesh"/>
    <n v="6"/>
    <x v="1"/>
    <x v="1"/>
    <x v="4"/>
    <s v="Claim Coding"/>
    <s v="ICD 9/10 Coding"/>
    <s v="This is the process of updating and entering the ICD Event Code and the ICD Diagnosis Code in ClaimCenter for Specialty, Auto General Liability and General Liability claims."/>
    <x v="3"/>
    <x v="3"/>
    <s v="Auto, Property, GL, Specialty lines, WC"/>
    <s v="Mid Size"/>
    <x v="3"/>
    <s v="L2"/>
    <n v="1"/>
    <n v="2"/>
    <n v="3"/>
    <s v="Transaction Based "/>
    <s v="USD"/>
    <n v="3.4890596026490064"/>
    <n v="1.1499999999999999"/>
    <n v="0"/>
    <n v="8.3333333333333329E-2"/>
    <n v="1"/>
    <n v="2.2333333333333334"/>
    <n v="0.44776119402985076"/>
    <n v="276"/>
    <s v="NA"/>
    <s v="NA"/>
    <n v="20"/>
    <n v="1"/>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x v="3"/>
    <x v="3"/>
    <s v="Single LOB - WC"/>
    <s v="Mid Size"/>
    <x v="3"/>
    <s v="L2"/>
    <n v="1"/>
    <n v="2"/>
    <n v="3"/>
    <s v="Transaction Based "/>
    <s v="USD"/>
    <n v="0.99774389604841573"/>
    <n v="0.2"/>
    <n v="0"/>
    <n v="8.3333333333333329E-2"/>
    <n v="0.5"/>
    <n v="0.78333333333333333"/>
    <n v="0.63829787234042556"/>
    <n v="617.00000000000011"/>
    <s v="NA"/>
    <s v="NA"/>
    <n v="5.67"/>
    <n v="0.98"/>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4"/>
    <s v="Coverage Verification"/>
    <s v="CA Independent Medical Review"/>
    <s v="Team review the medical documents to ensure that documents belong to the policy holder (injured worker)."/>
    <x v="3"/>
    <x v="3"/>
    <s v="Single LOB - WC"/>
    <s v="Mid Size"/>
    <x v="3"/>
    <s v="L3"/>
    <n v="1"/>
    <n v="2"/>
    <n v="3"/>
    <s v="Transaction Based "/>
    <s v="USD"/>
    <n v="2.2709173675218102"/>
    <n v="0.24"/>
    <n v="0"/>
    <n v="8.3333333333333329E-2"/>
    <n v="0.5"/>
    <n v="0.82333333333333325"/>
    <n v="0.60728744939271262"/>
    <n v="40"/>
    <s v="NA"/>
    <s v="NA"/>
    <n v="20.6809150326797"/>
    <n v="0.97"/>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4"/>
    <s v="Coverage Verification"/>
    <s v="CA Independent Medical Reviews Download"/>
    <s v="Team review the medical documents to ensure that documents belong to the policy holder (injured worker)."/>
    <x v="3"/>
    <x v="3"/>
    <s v="Single LOB - WC"/>
    <s v="Mid Size"/>
    <x v="3"/>
    <s v="L3"/>
    <n v="1"/>
    <n v="2"/>
    <n v="3"/>
    <s v="Transaction Based "/>
    <s v="USD"/>
    <n v="2.2709173675218102"/>
    <n v="7.0000000000000007E-2"/>
    <n v="0"/>
    <n v="8.3333333333333329E-2"/>
    <n v="0.5"/>
    <n v="0.65333333333333332"/>
    <n v="0.76530612244897955"/>
    <n v="38"/>
    <s v="NA"/>
    <s v="NA"/>
    <n v="20.6809150326797"/>
    <n v="0.97"/>
    <n v="0.97"/>
    <s v="DPU – Defect Per Unit"/>
    <s v="NA"/>
    <s v="NA"/>
    <s v="NA"/>
    <s v="NA"/>
    <s v="NA"/>
    <s v="NA"/>
    <s v="NA"/>
    <s v="NA"/>
    <s v="NA"/>
    <s v="NA"/>
    <s v="NA"/>
    <s v="Claim Adjuster"/>
    <s v="Maximus"/>
    <s v="Semi-Structured"/>
    <n v="100"/>
    <s v="Maximus"/>
    <s v="Claim Adjuster"/>
    <s v="Maximus/ClaimCenter"/>
  </r>
  <r>
    <x v="6"/>
    <s v="Top-10 US Commercial &amp; Specialty Carrier"/>
    <x v="2"/>
    <x v="3"/>
    <x v="2"/>
    <s v="Arpan Pandey, Varunjesh"/>
    <n v="6"/>
    <x v="1"/>
    <x v="1"/>
    <x v="1"/>
    <s v="Data entry "/>
    <s v="CM Admin Fee Prep (Excel Log)"/>
    <s v="Transfer documents and notes from old claim to re-keyed claim. "/>
    <x v="1"/>
    <x v="3"/>
    <s v="Auto/Property"/>
    <s v="Mid Size"/>
    <x v="3"/>
    <s v="L1"/>
    <n v="1"/>
    <n v="2"/>
    <n v="2"/>
    <s v="Transaction Based "/>
    <s v="USD"/>
    <n v="0.43308703080413502"/>
    <n v="0"/>
    <n v="0"/>
    <n v="8.3333333333333329E-2"/>
    <n v="0.1"/>
    <n v="0.18333333333333335"/>
    <n v="0.54545454545454541"/>
    <n v="4"/>
    <s v="NA"/>
    <s v="NA"/>
    <n v="3.9440607632456501"/>
    <n v="0.97"/>
    <n v="0.97"/>
    <s v="DPU – Defect Per Unit"/>
    <s v="NA"/>
    <s v="NA"/>
    <s v="NA"/>
    <s v="NA"/>
    <s v="NA"/>
    <s v="NA"/>
    <s v="NA"/>
    <s v="NA"/>
    <s v="NA"/>
    <s v="NA"/>
    <s v="NA"/>
    <s v="Claim Adjuster"/>
    <s v="Email"/>
    <s v="Semi-Structured"/>
    <n v="100"/>
    <s v="Email"/>
    <s v="Claim Adjuster"/>
    <s v="MS Outlook"/>
  </r>
  <r>
    <x v="6"/>
    <s v="Top-10 US Commercial &amp; Specialty Carrier"/>
    <x v="2"/>
    <x v="3"/>
    <x v="2"/>
    <s v="Arpan Pandey, Varunjesh"/>
    <n v="6"/>
    <x v="1"/>
    <x v="1"/>
    <x v="8"/>
    <s v="Salvage Settlement"/>
    <s v="CM Admin Fee Entry (Pyramid Data Entry)"/>
    <s v="Salvage deficit payments processed for invoices received via email from vendor. "/>
    <x v="1"/>
    <x v="3"/>
    <s v="Auto/Property"/>
    <s v="Mid Size"/>
    <x v="3"/>
    <s v="L2"/>
    <n v="1"/>
    <n v="2"/>
    <n v="3"/>
    <s v="Transaction Based "/>
    <s v="USD"/>
    <n v="0.43308703080413502"/>
    <n v="0.13"/>
    <n v="0"/>
    <n v="8.3333333333333329E-2"/>
    <n v="0.9"/>
    <n v="1.1133333333333333"/>
    <n v="0.80838323353293418"/>
    <n v="422"/>
    <s v="NA"/>
    <s v="NA"/>
    <n v="3.9440607632456501"/>
    <n v="0.97"/>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8"/>
    <s v="Initiate Recovery Collection &amp; processing"/>
    <s v="Impairment"/>
    <s v="Subro recovery payments to be posted and daily check deposits to be processed.  "/>
    <x v="1"/>
    <x v="3"/>
    <s v="Auto/Property"/>
    <s v="Mid Size"/>
    <x v="3"/>
    <s v="L2"/>
    <n v="1"/>
    <n v="1"/>
    <n v="2"/>
    <s v="Transaction Based "/>
    <s v="USD"/>
    <n v="0.91206818181818183"/>
    <n v="0.05"/>
    <n v="0"/>
    <n v="8.3333333333333329E-2"/>
    <n v="0.5"/>
    <n v="0.6333333333333333"/>
    <n v="0.78947368421052633"/>
    <n v="42.000000000000007"/>
    <s v="NA"/>
    <s v="NA"/>
    <n v="4"/>
    <n v="1"/>
    <s v="NA"/>
    <s v="DPU – Defect Per Unit"/>
    <s v="NA"/>
    <s v="NA"/>
    <s v="NA"/>
    <s v="NA"/>
    <s v="NA"/>
    <s v="NA"/>
    <s v="NA"/>
    <s v="NA"/>
    <s v="NA"/>
    <s v="NA"/>
    <s v="NA"/>
    <s v="Claim Adjuster"/>
    <s v="ECE"/>
    <s v="Semi-Structured"/>
    <n v="100"/>
    <s v="Email"/>
    <s v="Claim Adjuster"/>
    <s v="ECE/MS Outlook"/>
  </r>
  <r>
    <x v="6"/>
    <s v="Top-10 US Commercial &amp; Specialty Carrier"/>
    <x v="2"/>
    <x v="3"/>
    <x v="2"/>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x v="3"/>
    <x v="3"/>
    <s v="Auto, Property, GL, Specialty lines, WC"/>
    <s v="Mid Size"/>
    <x v="3"/>
    <s v="L1"/>
    <n v="1"/>
    <n v="2"/>
    <n v="3"/>
    <s v="Transaction Based "/>
    <s v="USD"/>
    <n v="1.9127252401860217"/>
    <n v="6.51"/>
    <n v="0.6"/>
    <n v="8.3333333333333329E-2"/>
    <n v="7"/>
    <n v="14.193333333333332"/>
    <n v="0.49318929074682955"/>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x v="6"/>
    <s v="Top-10 US Commercial &amp; Specialty Carrier"/>
    <x v="2"/>
    <x v="4"/>
    <x v="2"/>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x v="3"/>
    <x v="3"/>
    <s v="Auto/Property/GL/WC"/>
    <s v="Mid Size &amp; Large"/>
    <x v="3"/>
    <s v="L3"/>
    <n v="1"/>
    <n v="4"/>
    <n v="4"/>
    <s v="Transaction Based "/>
    <s v="USD"/>
    <n v="6.8456070171474668"/>
    <n v="1"/>
    <n v="2.9815146094215862E-2"/>
    <n v="2.9815146094215862E-2"/>
    <n v="1.2224209898628504"/>
    <n v="2.2820512820512819"/>
    <n v="0.53566762477136143"/>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4"/>
    <x v="2"/>
    <s v="Arpan Pandey, Varunjesh"/>
    <n v="6"/>
    <x v="1"/>
    <x v="1"/>
    <x v="1"/>
    <s v="Indexing"/>
    <s v="Commercial Work Distribution &amp; Sorting"/>
    <s v="Review loss information and claims document to assess LOB and transfer claim to respective queue"/>
    <x v="3"/>
    <x v="3"/>
    <s v="Auto/Property/GL/WC/Specialty HP"/>
    <s v="Mid Size &amp; Large"/>
    <x v="3"/>
    <s v="L2"/>
    <n v="1"/>
    <n v="2"/>
    <n v="2"/>
    <s v="Transaction Based "/>
    <s v="USD"/>
    <n v="1.4447540771029352"/>
    <n v="1"/>
    <n v="2.9815146094215862E-2"/>
    <n v="2.9815146094215862E-2"/>
    <n v="1.2224209898628504"/>
    <n v="2.2820512820512819"/>
    <n v="0.53566762477136143"/>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x v="6"/>
    <s v="Top-10 US Commercial &amp; Specialty Carrier"/>
    <x v="2"/>
    <x v="4"/>
    <x v="2"/>
    <s v="Arpan Pandey, Varunjesh"/>
    <n v="6"/>
    <x v="1"/>
    <x v="1"/>
    <x v="1"/>
    <s v="Claim Setup and assignment"/>
    <s v="Specialty - HealthPro"/>
    <s v="Based on the loss information and documents set up a claim and assigned to adjuster"/>
    <x v="3"/>
    <x v="3"/>
    <s v="Auto/Property/GL/WC/Specialty HP/DBA/TPA Oversight/Crawford/WC Tier 3"/>
    <s v="Mid Size &amp; Large"/>
    <x v="3"/>
    <s v="L3"/>
    <n v="1"/>
    <n v="4"/>
    <n v="4"/>
    <s v="Transaction Based "/>
    <s v="USD"/>
    <n v="13.748152377553749"/>
    <n v="0"/>
    <n v="2.9815146094215862E-2"/>
    <n v="2.9815146094215862E-2"/>
    <n v="1.2224209898628504"/>
    <n v="1.2820512820512822"/>
    <n v="0.95348837209302328"/>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4"/>
    <x v="2"/>
    <s v="Arpan Pandey, Varunjesh"/>
    <n v="6"/>
    <x v="1"/>
    <x v="1"/>
    <x v="1"/>
    <s v="Indexing"/>
    <s v="Risktech and Specialty Policy Attachment"/>
    <s v="Request and attach policy document to the claim"/>
    <x v="3"/>
    <x v="3"/>
    <s v="Auto/Property/GL/WC/Specialty HP/DBA/TPA Oversight/Crawford/WC Tier 3"/>
    <s v="Mid Size &amp; Large"/>
    <x v="3"/>
    <s v="L2"/>
    <n v="1"/>
    <n v="1"/>
    <n v="2"/>
    <s v="Transaction Based "/>
    <s v="USD"/>
    <n v="4.2259056755260804"/>
    <n v="0.5"/>
    <n v="2.9815146094215862E-2"/>
    <n v="2.9815146094215862E-2"/>
    <n v="1.2224209898628504"/>
    <n v="1.7820512820512822"/>
    <n v="0.68596285762088005"/>
    <n v="970"/>
    <s v="NA"/>
    <s v="NA"/>
    <n v="11.7"/>
    <n v="1"/>
    <n v="0.97"/>
    <s v="DPU – Defect Per Unit"/>
    <s v="NA"/>
    <s v="NA"/>
    <s v="NA"/>
    <s v="NA"/>
    <s v="NA"/>
    <s v="NA"/>
    <s v="NA"/>
    <s v="NA"/>
    <s v="NA"/>
    <s v="NA"/>
    <s v="NA"/>
    <s v="Claim Adjuster"/>
    <s v="Emails"/>
    <s v="Semi-Structured"/>
    <n v="100"/>
    <s v="Instructions in Application"/>
    <s v="Claim Adjuster"/>
    <s v="Claim Center, ECE, MS Office"/>
  </r>
  <r>
    <x v="6"/>
    <s v="Top-10 US Commercial &amp; Specialty Carrier"/>
    <x v="2"/>
    <x v="4"/>
    <x v="2"/>
    <s v="Arpan Pandey, Varunjesh"/>
    <n v="6"/>
    <x v="1"/>
    <x v="1"/>
    <x v="7"/>
    <s v="Packet Prep, chronology summary"/>
    <s v="MOX Claim Set up"/>
    <s v="Audit all the fields and create medical summary for claim professionals"/>
    <x v="3"/>
    <x v="3"/>
    <s v="WC"/>
    <s v="Mid Size &amp; Large"/>
    <x v="3"/>
    <s v="L3"/>
    <n v="1"/>
    <n v="4"/>
    <n v="4"/>
    <s v="Transaction Based "/>
    <s v="USD"/>
    <n v="3.1836896212121211"/>
    <n v="2"/>
    <n v="2.9815146094215862E-2"/>
    <n v="2.9815146094215862E-2"/>
    <n v="1.2224209898628504"/>
    <n v="3.2820512820512824"/>
    <n v="0.37245639534883718"/>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x v="6"/>
    <s v="Top-10 US Commercial &amp; Specialty Carrier"/>
    <x v="2"/>
    <x v="3"/>
    <x v="2"/>
    <s v="Arpan Pandey, Varunjesh"/>
    <n v="6"/>
    <x v="1"/>
    <x v="1"/>
    <x v="9"/>
    <s v="Bill Payment (Medical Legal, Non Medical, Vendor)"/>
    <s v="Payment Transfer"/>
    <s v="purpose of this task is to assist claim field operations with the processes of making a payment transfer through claim center"/>
    <x v="3"/>
    <x v="3"/>
    <s v="Auto, Property, GL, Specialty lines, WC"/>
    <s v="Mid Size"/>
    <x v="3"/>
    <s v="L2"/>
    <n v="1"/>
    <n v="3"/>
    <n v="3"/>
    <s v="Transaction Based "/>
    <s v="USD"/>
    <n v="0.83822905982905949"/>
    <n v="1"/>
    <n v="2.9815146094215862E-2"/>
    <n v="2.9815146094215862E-2"/>
    <n v="1.2224209898628504"/>
    <n v="2.2820512820512819"/>
    <n v="0.53566762477136143"/>
    <n v="800"/>
    <s v="NA"/>
    <s v="NA"/>
    <n v="5.55"/>
    <n v="0.98"/>
    <n v="0.98"/>
    <s v="DPO – Defect Per Opportunity"/>
    <s v="NA"/>
    <s v="NA"/>
    <s v="NA"/>
    <s v="NA"/>
    <s v="NA"/>
    <s v="NA"/>
    <s v="NA"/>
    <s v="NA"/>
    <s v="NA"/>
    <s v="NA"/>
    <s v="NA"/>
    <m/>
    <s v="Instructions in Application"/>
    <s v="Structured"/>
    <n v="100"/>
    <s v="Multiple"/>
    <m/>
    <s v="Claim Center &amp; ACT"/>
  </r>
  <r>
    <x v="6"/>
    <s v="Top-10 US Commercial &amp; Specialty Carrier"/>
    <x v="2"/>
    <x v="3"/>
    <x v="2"/>
    <s v="Arpan Pandey, Varunjesh"/>
    <n v="6"/>
    <x v="1"/>
    <x v="1"/>
    <x v="9"/>
    <s v="Bill Payment (Medical Legal, Non Medical, Vendor)"/>
    <s v="Legal Bill Payment"/>
    <s v="In this task we make payments to Law firms, Vendors &amp; Insureds for any legal expense/cost involved"/>
    <x v="3"/>
    <x v="3"/>
    <s v="Auto, Property, GL, Specialty lines, WC"/>
    <s v="Mid Size"/>
    <x v="3"/>
    <s v="L1"/>
    <n v="1"/>
    <n v="4"/>
    <n v="4"/>
    <s v="Transaction Based "/>
    <s v="USD"/>
    <n v="1.0332730108114101"/>
    <n v="7"/>
    <n v="2.9815146094215862E-2"/>
    <n v="2.9815146094215862E-2"/>
    <n v="1.2224209898628504"/>
    <n v="8.2820512820512828"/>
    <n v="0.14759881920944631"/>
    <n v="9000"/>
    <s v="NA"/>
    <s v="NA"/>
    <n v="5.0207629291128004"/>
    <n v="0.98"/>
    <n v="0.98"/>
    <s v="DPO – Defect Per Opportunity"/>
    <s v="NA"/>
    <s v="NA"/>
    <s v="NA"/>
    <s v="NA"/>
    <s v="NA"/>
    <s v="NA"/>
    <s v="NA"/>
    <s v="NA"/>
    <s v="NA"/>
    <s v="NA"/>
    <s v="NA"/>
    <m/>
    <s v="Multiple"/>
    <s v="Structured"/>
    <n v="100"/>
    <s v="Multiple"/>
    <m/>
    <s v="Claim Center, Mobius, TeamConnect, T360 &amp; ACT"/>
  </r>
  <r>
    <x v="6"/>
    <s v="Top-10 US Commercial &amp; Specialty Carrier"/>
    <x v="2"/>
    <x v="3"/>
    <x v="2"/>
    <s v="Arpan Pandey, Varunjesh"/>
    <n v="6"/>
    <x v="1"/>
    <x v="1"/>
    <x v="1"/>
    <s v="Claim Setup and assignment"/>
    <s v="Reassign File Handler"/>
    <s v="Purpose of this task is to assign the claims/matters to the correct claim professional"/>
    <x v="3"/>
    <x v="3"/>
    <s v="Auto, Property, GL, Specialty lines, WC"/>
    <s v="Mid Size"/>
    <x v="3"/>
    <s v="L2"/>
    <n v="1"/>
    <n v="3"/>
    <n v="3"/>
    <s v="Transaction Based "/>
    <s v="USD"/>
    <n v="0.35"/>
    <n v="4"/>
    <n v="2.9815146094215862E-2"/>
    <n v="2.9815146094215862E-2"/>
    <n v="1.2224209898628504"/>
    <n v="5.2820512820512828"/>
    <n v="0.23142921652743281"/>
    <n v="900"/>
    <s v="NA"/>
    <s v="NA"/>
    <n v="1.6"/>
    <n v="0.98"/>
    <n v="0.98"/>
    <s v="DPO – Defect Per Opportunity"/>
    <s v="NA"/>
    <s v="NA"/>
    <s v="NA"/>
    <s v="NA"/>
    <s v="NA"/>
    <s v="NA"/>
    <s v="NA"/>
    <s v="NA"/>
    <s v="NA"/>
    <s v="NA"/>
    <s v="NA"/>
    <m/>
    <s v="ClaimCenter"/>
    <s v="Structured"/>
    <n v="100"/>
    <s v="ClaimCenter"/>
    <m/>
    <s v="Claim Center, TeamConnect &amp; T360"/>
  </r>
  <r>
    <x v="6"/>
    <s v="Top-10 US Commercial &amp; Specialty Carrier"/>
    <x v="2"/>
    <x v="3"/>
    <x v="2"/>
    <s v="Arpan Pandey, Varunjesh"/>
    <n v="6"/>
    <x v="1"/>
    <x v="1"/>
    <x v="9"/>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x v="3"/>
    <x v="3"/>
    <s v="Auto, Property, GL, Specialty lines, WC"/>
    <s v="Mid Size"/>
    <x v="3"/>
    <s v="L2"/>
    <n v="1"/>
    <n v="4"/>
    <n v="4"/>
    <s v="Transaction Based "/>
    <s v="USD"/>
    <n v="1.4266062991272288"/>
    <n v="2"/>
    <n v="2.9815146094215862E-2"/>
    <n v="2.9815146094215862E-2"/>
    <n v="1.2224209898628504"/>
    <n v="3.2820512820512824"/>
    <n v="0.37245639534883718"/>
    <n v="500"/>
    <s v="NA"/>
    <s v="NA"/>
    <n v="6.07"/>
    <n v="0.98"/>
    <n v="0.98"/>
    <s v="DPO – Defect Per Opportunity"/>
    <s v="NA"/>
    <s v="NA"/>
    <s v="NA"/>
    <s v="NA"/>
    <s v="NA"/>
    <s v="NA"/>
    <s v="NA"/>
    <s v="NA"/>
    <s v="NA"/>
    <s v="NA"/>
    <s v="NA"/>
    <m/>
    <s v="Emails"/>
    <s v="Structured"/>
    <n v="100"/>
    <s v="Folder"/>
    <m/>
    <s v="Claim Center, TeamConnect, T360 &amp; ACT"/>
  </r>
  <r>
    <x v="6"/>
    <s v="Top-10 US Commercial &amp; Specialty Carrier"/>
    <x v="2"/>
    <x v="3"/>
    <x v="2"/>
    <s v="Arpan Pandey, Varunjesh"/>
    <n v="6"/>
    <x v="1"/>
    <x v="1"/>
    <x v="9"/>
    <s v="Bill Payment (Medical Legal, Non Medical, Vendor)"/>
    <s v="Medical Bills Pending List"/>
    <s v="In this task we receive request to pay all the bills related to Medical on claim center"/>
    <x v="3"/>
    <x v="3"/>
    <s v="Auto, Property, GL, Specialty lines, WC"/>
    <s v="Mid Size"/>
    <x v="3"/>
    <s v="L2"/>
    <n v="1"/>
    <n v="4"/>
    <n v="4"/>
    <s v="Transaction Based "/>
    <s v="USD"/>
    <n v="1.9436601649132781"/>
    <n v="5"/>
    <n v="2.9815146094215862E-2"/>
    <n v="2.9815146094215862E-2"/>
    <n v="1.2224209898628504"/>
    <n v="6.2820512820512828"/>
    <n v="0.19458946369245372"/>
    <n v="4000"/>
    <s v="NA"/>
    <s v="NA"/>
    <n v="12.4"/>
    <n v="0.98"/>
    <n v="0.98"/>
    <s v="DPO – Defect Per Opportunity"/>
    <s v="NA"/>
    <s v="NA"/>
    <s v="NA"/>
    <s v="NA"/>
    <s v="NA"/>
    <s v="NA"/>
    <s v="NA"/>
    <s v="NA"/>
    <s v="NA"/>
    <s v="NA"/>
    <s v="NA"/>
    <m/>
    <s v="ClaimCenter"/>
    <s v="Structured"/>
    <n v="100"/>
    <s v="ClaimCenter"/>
    <m/>
    <s v="Claim Center,Conduent &amp; ACT"/>
  </r>
  <r>
    <x v="6"/>
    <s v="Top-10 US Commercial &amp; Specialty Carrier"/>
    <x v="2"/>
    <x v="3"/>
    <x v="2"/>
    <s v="Arpan Pandey, Varunjesh"/>
    <n v="6"/>
    <x v="1"/>
    <x v="1"/>
    <x v="9"/>
    <s v="Bill Payment (Medical Legal, Non Medical, Vendor)"/>
    <s v="Vehicle Registration Monthly Inquiry"/>
    <s v="This process describes the steps to review the vehicle registration monthly inquiry report and to identify the invoice and amounts for payment"/>
    <x v="3"/>
    <x v="3"/>
    <s v="Auto, Property, GL, Specialty lines, WC"/>
    <s v="Mid Size"/>
    <x v="3"/>
    <s v="L4"/>
    <s v="NA"/>
    <s v="NA"/>
    <s v="NA"/>
    <s v="Transaction Based "/>
    <s v="USD"/>
    <n v="1.1076664432029792"/>
    <n v="1"/>
    <n v="2.9815146094215862E-2"/>
    <n v="2.9815146094215862E-2"/>
    <n v="1.2224209898628504"/>
    <n v="2.2820512820512819"/>
    <n v="0.53566762477136143"/>
    <n v="21"/>
    <s v="NA"/>
    <s v="NA"/>
    <n v="4.09"/>
    <n v="0.98"/>
    <n v="0.98"/>
    <s v="DPO – Defect Per Opportunity"/>
    <s v="NA"/>
    <s v="NA"/>
    <s v="NA"/>
    <s v="NA"/>
    <s v="NA"/>
    <s v="NA"/>
    <s v="NA"/>
    <s v="NA"/>
    <s v="NA"/>
    <s v="NA"/>
    <s v="NA"/>
    <m/>
    <s v="Emails"/>
    <s v="Structured"/>
    <n v="100"/>
    <s v="Emails"/>
    <m/>
    <s v="Claim Center &amp; ACT"/>
  </r>
  <r>
    <x v="6"/>
    <s v="Top-10 US Commercial &amp; Specialty Carrier"/>
    <x v="2"/>
    <x v="3"/>
    <x v="2"/>
    <s v="Arpan Pandey, Varunjesh"/>
    <n v="6"/>
    <x v="1"/>
    <x v="1"/>
    <x v="8"/>
    <s v="Salvage Settlement"/>
    <s v="Close Recovery Indicator"/>
    <s v="In this task we need to close recovery portion in claimcenter and in ACT post recovery"/>
    <x v="3"/>
    <x v="3"/>
    <s v="Auto, Property, GL, Specialty lines, WC"/>
    <s v="Mid Size"/>
    <x v="3"/>
    <s v="L2"/>
    <n v="1"/>
    <n v="2"/>
    <n v="3"/>
    <s v="Transaction Based "/>
    <s v="USD"/>
    <n v="0.20710195674562304"/>
    <n v="2"/>
    <n v="2.9815146094215862E-2"/>
    <n v="2.9815146094215862E-2"/>
    <n v="1.2224209898628504"/>
    <n v="3.2820512820512824"/>
    <n v="0.37245639534883718"/>
    <n v="1250"/>
    <s v="NA"/>
    <s v="NA"/>
    <n v="1.08"/>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9"/>
    <s v="Non Medical Bill Review &amp; Approval"/>
    <s v="Wage Calculation"/>
    <s v="In this task team uses the wage calculator is used to eliminate the manual steps involved in validation and sanity checks "/>
    <x v="3"/>
    <x v="3"/>
    <s v="Auto, Property, GL, Specialty lines, WC"/>
    <s v="Mid Size"/>
    <x v="3"/>
    <s v="L3"/>
    <n v="1"/>
    <n v="4"/>
    <n v="4"/>
    <s v="Transaction Based "/>
    <s v="USD"/>
    <n v="6.488632362043794"/>
    <n v="1"/>
    <n v="2.9815146094215862E-2"/>
    <n v="2.9815146094215862E-2"/>
    <n v="1.2224209898628504"/>
    <n v="2.2820512820512819"/>
    <n v="0.53566762477136143"/>
    <n v="430"/>
    <s v="NA"/>
    <s v="NA"/>
    <n v="30.02"/>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4"/>
    <s v="Coverage Verification"/>
    <s v="Deductible Tracking"/>
    <s v="In this task team reviews the DT every 30 days until it's exausted"/>
    <x v="3"/>
    <x v="3"/>
    <s v="Auto, Property, GL, Specialty lines, WC"/>
    <s v="Mid Size"/>
    <x v="3"/>
    <s v="L2"/>
    <n v="1"/>
    <n v="2"/>
    <n v="3"/>
    <s v="Transaction Based "/>
    <s v="USD"/>
    <n v="2.54"/>
    <n v="3"/>
    <n v="2.9815146094215862E-2"/>
    <n v="2.9815146094215862E-2"/>
    <n v="1.2224209898628504"/>
    <n v="4.2820512820512828"/>
    <n v="0.28547556050689316"/>
    <n v="2500"/>
    <s v="NA"/>
    <s v="NA"/>
    <n v="11.25"/>
    <n v="0.97"/>
    <n v="0.97"/>
    <s v="DPO – Defect Per Opportunity"/>
    <s v="NA"/>
    <s v="NA"/>
    <s v="NA"/>
    <s v="NA"/>
    <s v="NA"/>
    <s v="NA"/>
    <s v="NA"/>
    <s v="NA"/>
    <s v="NA"/>
    <s v="NA"/>
    <s v="NA"/>
    <m/>
    <s v="ClaimCenter"/>
    <s v="Unstructured"/>
    <n v="100"/>
    <s v="ClaimCenter"/>
    <m/>
    <s v="Claim Center, TeamConnect, T360 &amp; ACT"/>
  </r>
  <r>
    <x v="6"/>
    <s v="Top-10 US Commercial &amp; Specialty Carrier"/>
    <x v="2"/>
    <x v="3"/>
    <x v="2"/>
    <s v="Arpan Pandey, Varunjesh"/>
    <n v="6"/>
    <x v="1"/>
    <x v="1"/>
    <x v="8"/>
    <s v="Initiate Recovery Collection &amp; processing"/>
    <s v="Second Injury Fund"/>
    <s v="Second Injury Fund is the dedicated fund for the purpose of reimbursing compensation payment made by th emmployers, insures or CP to their employees"/>
    <x v="3"/>
    <x v="3"/>
    <s v="Auto, Property, GL, Specialty lines, WC"/>
    <s v="Mid Size"/>
    <x v="3"/>
    <s v="L2"/>
    <n v="1"/>
    <n v="4"/>
    <n v="4"/>
    <s v="Transaction Based "/>
    <s v="USD"/>
    <n v="15.834927008447201"/>
    <n v="2"/>
    <n v="2.9815146094215862E-2"/>
    <n v="2.9815146094215862E-2"/>
    <n v="1.2224209898628504"/>
    <n v="3.2820512820512824"/>
    <n v="0.37245639534883718"/>
    <n v="250"/>
    <s v="NA"/>
    <s v="NA"/>
    <n v="72.27"/>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9"/>
    <s v="Duplicate Payment"/>
    <s v="Duplicate Payment"/>
    <s v="Identify Duplicate payments and initate recovery for the payments"/>
    <x v="3"/>
    <x v="3"/>
    <s v="Auto, Property, GL, Specialty lines, WC"/>
    <s v="Mid Size"/>
    <x v="3"/>
    <s v="L1"/>
    <n v="1"/>
    <n v="3"/>
    <n v="3"/>
    <s v="Transaction Based "/>
    <s v="USD"/>
    <n v="0.65228616666395833"/>
    <n v="1"/>
    <n v="2.9815146094215862E-2"/>
    <n v="2.9815146094215862E-2"/>
    <n v="1.2224209898628504"/>
    <n v="2.2820512820512819"/>
    <n v="0.53566762477136143"/>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x v="6"/>
    <s v="Top-10 US Commercial &amp; Specialty Carrier"/>
    <x v="2"/>
    <x v="3"/>
    <x v="2"/>
    <s v="Arpan Pandey, Varunjesh"/>
    <n v="6"/>
    <x v="1"/>
    <x v="1"/>
    <x v="9"/>
    <s v="Stop Payment"/>
    <s v="Stop Payment"/>
    <s v="Stop incorrect payments"/>
    <x v="3"/>
    <x v="3"/>
    <s v="Auto, Property, GL, Specialty lines, WC"/>
    <s v="Mid Size"/>
    <x v="3"/>
    <s v="L2"/>
    <n v="1"/>
    <n v="3"/>
    <n v="3"/>
    <s v="Transaction Based "/>
    <s v="USD"/>
    <n v="0.30012783471074367"/>
    <n v="1"/>
    <n v="2.9815146094215862E-2"/>
    <n v="2.9815146094215862E-2"/>
    <n v="1.2224209898628504"/>
    <n v="2.2820512820512819"/>
    <n v="0.53566762477136143"/>
    <n v="421"/>
    <s v="NA"/>
    <s v="Nov-Dec"/>
    <n v="1.41"/>
    <n v="0.98"/>
    <n v="0.98"/>
    <s v="DPU – Defect Per Unit"/>
    <s v="NA"/>
    <s v="NA"/>
    <s v="NA"/>
    <s v="NA"/>
    <s v="NA"/>
    <s v="NA"/>
    <s v="NA"/>
    <s v="NA"/>
    <s v="NA"/>
    <s v="NA"/>
    <s v="NA"/>
    <s v="Claim Adjuster"/>
    <s v="Instructions in Application"/>
    <s v="Semi-Structured"/>
    <n v="100"/>
    <s v="Multiple"/>
    <s v="Claim Adjuster"/>
    <s v="Claim Center, ACT, MS outlook,"/>
  </r>
  <r>
    <x v="6"/>
    <s v="Top-10 US Commercial &amp; Specialty Carrier"/>
    <x v="2"/>
    <x v="3"/>
    <x v="2"/>
    <s v="Arpan Pandey, Varunjesh"/>
    <n v="6"/>
    <x v="1"/>
    <x v="1"/>
    <x v="9"/>
    <s v="Bill Payment (Medical Legal, Non Medical, Vendor)"/>
    <s v="Manager Entry in ACT AZ and Check Release"/>
    <s v="Add AZ authority and release payment checks"/>
    <x v="3"/>
    <x v="3"/>
    <s v="Auto, Property, GL, Specialty lines, WC"/>
    <s v="Mid Size"/>
    <x v="3"/>
    <s v="L2"/>
    <n v="1"/>
    <n v="3"/>
    <n v="3"/>
    <s v="Transaction Based "/>
    <s v="USD"/>
    <n v="0.58512648617238017"/>
    <n v="2"/>
    <n v="2.9815146094215862E-2"/>
    <n v="2.9815146094215862E-2"/>
    <n v="1.2224209898628504"/>
    <n v="3.2820512820512824"/>
    <n v="0.37245639534883718"/>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x v="6"/>
    <s v="Top-10 US Commercial &amp; Specialty Carrier"/>
    <x v="2"/>
    <x v="3"/>
    <x v="2"/>
    <s v="Arpan Pandey, Varunjesh"/>
    <n v="6"/>
    <x v="1"/>
    <x v="1"/>
    <x v="9"/>
    <s v="Bill Payment (Medical Legal, Non Medical, Vendor)"/>
    <s v="Bill Payment - Non Workers Compensation, Bulk, Workers Compensation, Central Bill Pay Processing Unit"/>
    <s v="Paid Vendor invoices, Insured, Claimants, Injured workers"/>
    <x v="3"/>
    <x v="3"/>
    <s v="Auto, Property, GL, Specialty lines, WC"/>
    <s v="Mid Size"/>
    <x v="3"/>
    <s v="L2"/>
    <n v="1"/>
    <n v="3"/>
    <n v="3"/>
    <s v="Transaction Based "/>
    <s v="USD"/>
    <n v="1.3047727934174855"/>
    <n v="7.5"/>
    <n v="2.9815146094215862E-2"/>
    <n v="2.9815146094215862E-2"/>
    <n v="1.2224209898628504"/>
    <n v="8.7820512820512828"/>
    <n v="0.13919538278730267"/>
    <n v="11295"/>
    <s v="NA"/>
    <s v="Nov-Dec"/>
    <n v="6.9499387811524942"/>
    <n v="0.98"/>
    <n v="0.98"/>
    <s v="DPU – Defect Per Unit"/>
    <s v="NA"/>
    <s v="NA"/>
    <s v="NA"/>
    <s v="NA"/>
    <s v="NA"/>
    <s v="NA"/>
    <s v="NA"/>
    <s v="NA"/>
    <s v="NA"/>
    <s v="NA"/>
    <s v="NA"/>
    <s v="Claim Adjuster"/>
    <s v="Multiple"/>
    <s v="Semi-Structured"/>
    <n v="100"/>
    <s v="Multiple"/>
    <s v="Claim Adjuster"/>
    <s v="Claim Center, ACT, MS outlook, "/>
  </r>
  <r>
    <x v="6"/>
    <s v="Top-10 US Commercial &amp; Specialty Carrier"/>
    <x v="2"/>
    <x v="3"/>
    <x v="2"/>
    <s v="Arpan Pandey, Varunjesh"/>
    <n v="6"/>
    <x v="1"/>
    <x v="1"/>
    <x v="9"/>
    <s v="Bill Payment (Medical Legal, Non Medical, Vendor)"/>
    <s v="Bill Payment - Wilber Invoices, PIP Bills, Mitchell Bills, Glass (Geber) Invoices"/>
    <s v="Paid vendor invoices"/>
    <x v="3"/>
    <x v="3"/>
    <s v="Auto, Property, GL, Specialty lines, WC"/>
    <s v="Mid Size"/>
    <x v="3"/>
    <s v="L4"/>
    <n v="1"/>
    <n v="3"/>
    <n v="3"/>
    <s v="Transaction Based "/>
    <s v="USD"/>
    <n v="1.65"/>
    <n v="1.5"/>
    <n v="2.9815146094215862E-2"/>
    <n v="2.9815146094215862E-2"/>
    <n v="1.2224209898628504"/>
    <n v="2.7820512820512819"/>
    <n v="0.43939556317650846"/>
    <n v="577"/>
    <s v="NA"/>
    <s v="Nov-Dec"/>
    <n v="8"/>
    <n v="0.98"/>
    <n v="0.98"/>
    <s v="DPU – Defect Per Unit"/>
    <s v="NA"/>
    <s v="NA"/>
    <s v="NA"/>
    <s v="NA"/>
    <s v="NA"/>
    <s v="NA"/>
    <s v="NA"/>
    <s v="NA"/>
    <s v="NA"/>
    <s v="NA"/>
    <s v="NA"/>
    <s v="Claim Adjuster"/>
    <s v="Multiple"/>
    <s v="Semi-Structured"/>
    <n v="100"/>
    <s v="Multiple"/>
    <s v="Claim Adjuster"/>
    <s v="Claim Center, ACT, MS outlook, Michell Decision Point"/>
  </r>
  <r>
    <x v="6"/>
    <s v="Top-10 US Commercial &amp; Specialty Carrier"/>
    <x v="2"/>
    <x v="3"/>
    <x v="2"/>
    <s v="Arpan Pandey, Varunjesh"/>
    <n v="6"/>
    <x v="1"/>
    <x v="1"/>
    <x v="8"/>
    <s v="Initiate Recovery Collection &amp; processing"/>
    <s v="Recovery Vendor Bills Arbitration"/>
    <s v="Paid Recovery arbitration bills to vendor"/>
    <x v="3"/>
    <x v="3"/>
    <s v="Auto, Property, GL, Specialty lines, WC"/>
    <s v="Mid Size"/>
    <x v="3"/>
    <s v="L2"/>
    <n v="1"/>
    <n v="3"/>
    <n v="3"/>
    <s v="Transaction Based "/>
    <s v="USD"/>
    <n v="1.4393692162417371"/>
    <n v="0.25"/>
    <n v="2.9815146094215862E-2"/>
    <n v="2.9815146094215862E-2"/>
    <n v="1.2224209898628504"/>
    <n v="1.5320512820512822"/>
    <n v="0.79789821932470562"/>
    <n v="138"/>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8"/>
    <s v="Initiate Recovery Collection &amp; processing"/>
    <s v="SIU/Subrogation Bills Assign Pay"/>
    <s v="Paid SIU/Subrogation bills"/>
    <x v="3"/>
    <x v="3"/>
    <s v="Auto, Property, GL, Specialty lines, WC"/>
    <s v="Mid Size"/>
    <x v="3"/>
    <s v="L2"/>
    <n v="1"/>
    <n v="3"/>
    <n v="3"/>
    <s v="Transaction Based "/>
    <s v="USD"/>
    <n v="1.3043522102528782"/>
    <n v="0.25"/>
    <n v="2.9815146094215862E-2"/>
    <n v="2.9815146094215862E-2"/>
    <n v="1.2224209898628504"/>
    <n v="1.5320512820512822"/>
    <n v="0.79789821932470562"/>
    <n v="79"/>
    <s v="NA"/>
    <s v="Nov-Dec"/>
    <n v="7.03"/>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Crawford Cunningham Bill Payment"/>
    <s v="Indexing - This is a process of indexing for vendor Crawford Cunnigham Bills "/>
    <x v="3"/>
    <x v="3"/>
    <s v="Auto, Property, GL, Specialty lines, WC"/>
    <s v="Mid Size"/>
    <x v="3"/>
    <s v="L1"/>
    <n v="1"/>
    <n v="3"/>
    <n v="3"/>
    <s v="Transaction Based "/>
    <s v="USD"/>
    <n v="1.3425167416291901"/>
    <n v="0.25"/>
    <n v="2.9815146094215862E-2"/>
    <n v="2.9815146094215862E-2"/>
    <n v="1.2224209898628504"/>
    <n v="1.5320512820512822"/>
    <n v="0.79789821932470562"/>
    <n v="44"/>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Scheduled Payments Nearing Completion Report and Activity"/>
    <s v="Create activity to claim professional for notify scheduled payment nearing complition"/>
    <x v="3"/>
    <x v="3"/>
    <s v="Auto, Property, GL, Specialty lines, WC"/>
    <s v="Mid Size"/>
    <x v="3"/>
    <s v="L3"/>
    <n v="1"/>
    <n v="3"/>
    <n v="3"/>
    <s v="Transaction Based "/>
    <s v="USD"/>
    <n v="0.16550357919702599"/>
    <n v="1"/>
    <n v="2.9815146094215862E-2"/>
    <n v="2.9815146094215862E-2"/>
    <n v="1.2224209898628504"/>
    <n v="2.2820512820512819"/>
    <n v="0.53566762477136143"/>
    <n v="1200"/>
    <s v="NA"/>
    <s v="Nov-Dec"/>
    <n v="3.0141717706971298"/>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Oklahoma Settlement Tax Payments and Puerto Rico with Waivers "/>
    <s v="Indexing and Paid Oklahoma Settlement invoices, and paid Puerto Rico state invoices"/>
    <x v="3"/>
    <x v="3"/>
    <s v="Auto, Property, GL, Specialty lines, WC"/>
    <s v="Mid Size"/>
    <x v="3"/>
    <s v="L2"/>
    <n v="1"/>
    <n v="3"/>
    <n v="3"/>
    <s v="Transaction Based "/>
    <s v="USD"/>
    <n v="3.024318431372548"/>
    <n v="0.25"/>
    <n v="2.9815146094215862E-2"/>
    <n v="2.9815146094215862E-2"/>
    <n v="1.2224209898628504"/>
    <n v="1.5320512820512822"/>
    <n v="0.79789821932470562"/>
    <n v="18"/>
    <s v="NA"/>
    <s v="Nov-Dec"/>
    <n v="16.059999999999999"/>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7"/>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x v="3"/>
    <x v="3"/>
    <s v="Auto, Property, GL, Specialty lines, WC"/>
    <s v="Mid Size"/>
    <x v="3"/>
    <s v="L3"/>
    <n v="1"/>
    <n v="2"/>
    <n v="3"/>
    <s v="Transaction Based "/>
    <s v="USD"/>
    <n v="11.850603985045082"/>
    <n v="4.8600000000000003"/>
    <n v="0"/>
    <n v="8.3333333333333329E-2"/>
    <n v="5"/>
    <n v="9.9433333333333334"/>
    <n v="0.50284948038887023"/>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x v="6"/>
    <s v="Top-10 US Commercial &amp; Specialty Carrier"/>
    <x v="2"/>
    <x v="3"/>
    <x v="2"/>
    <s v="Arpan Pandey, Varunjesh"/>
    <n v="6"/>
    <x v="1"/>
    <x v="1"/>
    <x v="1"/>
    <s v="Claim Setup and assignment"/>
    <s v="Claim Activity Triage"/>
    <s v="This process is to assist with activity reassignments due to ALC changes. "/>
    <x v="3"/>
    <x v="3"/>
    <s v="Auto, Property, GL, Specialty lines, WC"/>
    <s v="Mid Size"/>
    <x v="3"/>
    <s v="L1"/>
    <n v="1"/>
    <n v="1"/>
    <n v="1"/>
    <s v="Transaction Based "/>
    <s v="USD"/>
    <n v="0.75850995112883368"/>
    <n v="1.97"/>
    <n v="0"/>
    <n v="8.3333333333333329E-2"/>
    <n v="2"/>
    <n v="4.0533333333333328"/>
    <n v="0.49342105263157904"/>
    <n v="4251"/>
    <s v="NA"/>
    <s v="NA"/>
    <n v="3"/>
    <n v="0.98"/>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1"/>
    <s v="Data entry "/>
    <s v="Statistical Coding Tasks"/>
    <s v="Statistical coding is the process of capturing claim data to apply existing policy information to a new claim at the suffix level."/>
    <x v="3"/>
    <x v="3"/>
    <s v="Auto, Specialty lines, WC"/>
    <s v="Mid Size"/>
    <x v="3"/>
    <s v="L2"/>
    <n v="1"/>
    <n v="2"/>
    <n v="3"/>
    <s v="Transaction Based "/>
    <s v="USD"/>
    <n v="1.3922597147073288"/>
    <n v="5"/>
    <n v="0"/>
    <n v="8.3333333333333329E-2"/>
    <n v="5"/>
    <n v="10.083333333333332"/>
    <n v="0.49586776859504139"/>
    <n v="6796"/>
    <s v="NA"/>
    <s v="NA"/>
    <n v="7"/>
    <n v="0.97"/>
    <n v="0.97"/>
    <s v="DPU – Defect Per Unit"/>
    <s v="NA"/>
    <s v="NA"/>
    <s v="NA"/>
    <s v="NA"/>
    <s v="NA"/>
    <s v="NA"/>
    <s v="NA"/>
    <s v="NA"/>
    <s v="NA"/>
    <s v="NA"/>
    <s v="NA"/>
    <s v="Claim Adjuster"/>
    <s v="ClaimCenter"/>
    <s v="Semi-Structured"/>
    <n v="100"/>
    <s v="ClaimCenter"/>
    <s v="Claim Adjuster"/>
    <s v="ClaimCenter/Covers"/>
  </r>
  <r>
    <x v="6"/>
    <s v="Top-10 US Commercial &amp; Specialty Carrier"/>
    <x v="2"/>
    <x v="3"/>
    <x v="2"/>
    <s v="Arpan Pandey, Varunjesh"/>
    <n v="6"/>
    <x v="1"/>
    <x v="1"/>
    <x v="9"/>
    <s v="Legal Document Review"/>
    <s v="Document Filing"/>
    <s v="Purpose of this task is to rename and upload legal documents in TeamConnect"/>
    <x v="3"/>
    <x v="3"/>
    <s v="N/A"/>
    <s v="Mid Size"/>
    <x v="3"/>
    <s v="L2"/>
    <n v="1"/>
    <n v="3"/>
    <n v="3"/>
    <s v="Transaction Based "/>
    <s v="USD"/>
    <n v="1.0866731707317074"/>
    <n v="5"/>
    <n v="0.3"/>
    <n v="0.11"/>
    <n v="5"/>
    <n v="10.41"/>
    <n v="0.48030739673390971"/>
    <n v="10000"/>
    <s v="NA"/>
    <s v="NA"/>
    <n v="5"/>
    <n v="0.97"/>
    <n v="0.97"/>
    <s v="DPU – Defect Per Unit"/>
    <s v="NA"/>
    <s v="NA"/>
    <s v="NA"/>
    <s v="NA"/>
    <s v="NA"/>
    <s v="NA"/>
    <s v="NA"/>
    <s v="NA"/>
    <s v="NA"/>
    <s v="NA"/>
    <s v="NA"/>
    <m/>
    <s v="Emails"/>
    <s v="Structured"/>
    <n v="100"/>
    <s v="TeamConnect"/>
    <m/>
    <s v="TeamConnect"/>
  </r>
  <r>
    <x v="6"/>
    <s v="Top-10 US Commercial &amp; Specialty Carrier"/>
    <x v="2"/>
    <x v="3"/>
    <x v="2"/>
    <s v="Arpan Pandey, Varunjesh"/>
    <n v="6"/>
    <x v="1"/>
    <x v="1"/>
    <x v="9"/>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x v="3"/>
    <x v="3"/>
    <s v="Mutiple LOBs like - Auto, Property, GL, Specialty lines, WC. Etc."/>
    <s v="Mid Size"/>
    <x v="3"/>
    <s v="L1"/>
    <n v="1"/>
    <n v="3"/>
    <n v="3"/>
    <s v="Transaction Based "/>
    <s v="USD"/>
    <n v="3.47"/>
    <n v="1"/>
    <n v="0.3"/>
    <n v="0.11"/>
    <n v="1"/>
    <n v="2.41"/>
    <n v="0.41493775933609955"/>
    <n v="70"/>
    <s v="NA"/>
    <s v="NA"/>
    <n v="15"/>
    <n v="0.97"/>
    <n v="0.97"/>
    <s v="DPU – Defect Per Unit"/>
    <s v="NA"/>
    <s v="NA"/>
    <s v="NA"/>
    <s v="NA"/>
    <s v="NA"/>
    <s v="NA"/>
    <s v="NA"/>
    <s v="NA"/>
    <s v="NA"/>
    <s v="NA"/>
    <s v="NA"/>
    <m/>
    <s v="ClaimCenter"/>
    <s v="Structured"/>
    <n v="100"/>
    <s v="ClaimCenter"/>
    <m/>
    <s v="Claim Center, TeamConnect"/>
  </r>
  <r>
    <x v="6"/>
    <s v="Top-10 US Commercial &amp; Specialty Carrier"/>
    <x v="2"/>
    <x v="3"/>
    <x v="2"/>
    <s v="Arpan Pandey, Varunjesh"/>
    <n v="6"/>
    <x v="1"/>
    <x v="1"/>
    <x v="9"/>
    <s v="Legal Document Review"/>
    <s v="CCG"/>
    <s v="Purpose of this task is to rename and file legal documents in TeamConnect. We also close, open and re-open the coverage matters in TeamConnect"/>
    <x v="3"/>
    <x v="3"/>
    <s v="N/A"/>
    <s v="Mid Size"/>
    <x v="3"/>
    <s v="L2"/>
    <n v="1"/>
    <n v="3"/>
    <n v="3"/>
    <s v="Transaction Based "/>
    <s v="USD"/>
    <n v="1.47"/>
    <n v="2"/>
    <n v="0.3"/>
    <n v="0.11"/>
    <n v="2"/>
    <n v="4.41"/>
    <n v="0.45351473922902491"/>
    <n v="1000"/>
    <s v="NA"/>
    <s v="NA"/>
    <n v="7.12"/>
    <n v="0.97"/>
    <n v="0.97"/>
    <s v="DPU – Defect Per Unit"/>
    <s v="NA"/>
    <s v="NA"/>
    <s v="NA"/>
    <s v="NA"/>
    <s v="NA"/>
    <s v="NA"/>
    <s v="NA"/>
    <s v="NA"/>
    <s v="NA"/>
    <s v="NA"/>
    <s v="NA"/>
    <m/>
    <s v="Emails"/>
    <s v="Structured"/>
    <n v="100"/>
    <s v="TeamConnect"/>
    <m/>
    <s v="Claim Center, TeamConnect"/>
  </r>
  <r>
    <x v="6"/>
    <s v="Top-10 US Commercial &amp; Specialty Carrier"/>
    <x v="2"/>
    <x v="3"/>
    <x v="2"/>
    <s v="Arpan Pandey, Varunjesh"/>
    <n v="6"/>
    <x v="1"/>
    <x v="1"/>
    <x v="9"/>
    <s v="Legal Referral"/>
    <s v="Legal Referral"/>
    <s v="In this task we set up matter in TeamConnect/T360, create litigation screen and send engagement letter to parties"/>
    <x v="3"/>
    <x v="3"/>
    <s v="Mutiple LOBs like - Auto, Property, GL, Specialty lines, WC. Etc."/>
    <s v="Mid Size"/>
    <x v="3"/>
    <s v="L3"/>
    <n v="1"/>
    <n v="3"/>
    <n v="3"/>
    <s v="Transaction Based "/>
    <s v="USD"/>
    <n v="7.2011102006897403"/>
    <n v="4"/>
    <n v="0.3"/>
    <n v="0.11"/>
    <n v="4"/>
    <n v="8.41"/>
    <n v="0.47562425683709869"/>
    <n v="1600"/>
    <s v="NA"/>
    <s v="NA"/>
    <n v="30"/>
    <n v="0.97"/>
    <n v="0.97"/>
    <s v="DPO – Defect Per Opportunity"/>
    <s v="NA"/>
    <s v="NA"/>
    <s v="NA"/>
    <s v="NA"/>
    <s v="NA"/>
    <s v="NA"/>
    <s v="NA"/>
    <s v="NA"/>
    <s v="NA"/>
    <s v="NA"/>
    <s v="NA"/>
    <m/>
    <s v="ClaimCenter"/>
    <s v="Structured"/>
    <n v="100"/>
    <s v="ClaimCenter"/>
    <m/>
    <s v="Claim Center, TeamConnect, T360 &amp; ACT"/>
  </r>
  <r>
    <x v="6"/>
    <s v="Top-10 US Commercial &amp; Specialty Carrier"/>
    <x v="2"/>
    <x v="3"/>
    <x v="2"/>
    <s v="Arpan Pandey, Varunjesh"/>
    <n v="6"/>
    <x v="1"/>
    <x v="1"/>
    <x v="9"/>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x v="3"/>
    <x v="3"/>
    <s v="Mutiple LOBs like - Auto, Property, GL, Specialty lines, WC. Etc."/>
    <s v="Mid Size"/>
    <x v="3"/>
    <s v="L3"/>
    <n v="1"/>
    <n v="3"/>
    <n v="3"/>
    <s v="Transaction Based "/>
    <s v="USD"/>
    <n v="6.02"/>
    <n v="1"/>
    <n v="0.3"/>
    <n v="0.11"/>
    <n v="1"/>
    <n v="2.41"/>
    <n v="0.41493775933609955"/>
    <n v="70"/>
    <s v="NA"/>
    <s v="NA"/>
    <n v="24"/>
    <n v="0.97"/>
    <n v="0.97"/>
    <s v="DPU – Defect Per Unit"/>
    <s v="NA"/>
    <s v="NA"/>
    <s v="NA"/>
    <s v="NA"/>
    <s v="NA"/>
    <s v="NA"/>
    <s v="NA"/>
    <s v="NA"/>
    <s v="NA"/>
    <s v="NA"/>
    <s v="NA"/>
    <m/>
    <s v="ClaimCenter/Email"/>
    <s v="Structured"/>
    <n v="100"/>
    <s v="ClaimCenter/Email"/>
    <m/>
    <s v="Claim Center, TeamConnect and T360"/>
  </r>
  <r>
    <x v="6"/>
    <s v="Top-10 US Commercial &amp; Specialty Carrier"/>
    <x v="2"/>
    <x v="3"/>
    <x v="2"/>
    <s v="Arpan Pandey, Varunjesh"/>
    <n v="6"/>
    <x v="1"/>
    <x v="1"/>
    <x v="9"/>
    <s v="Send Closing Documents"/>
    <s v="Legal Matter Update (Closing Request)"/>
    <s v="In this task we receive request to close the matter in T360"/>
    <x v="3"/>
    <x v="3"/>
    <s v="Mutiple LOBs like - Auto, Property, GL, Specialty lines, WC. Etc."/>
    <s v="Mid Size"/>
    <x v="3"/>
    <s v="L1"/>
    <n v="1"/>
    <n v="3"/>
    <n v="3"/>
    <s v="Transaction Based "/>
    <s v="USD"/>
    <n v="0.9"/>
    <n v="1"/>
    <n v="0.3"/>
    <n v="0.11"/>
    <n v="1"/>
    <n v="2.41"/>
    <n v="0.41493775933609955"/>
    <n v="60"/>
    <s v="NA"/>
    <s v="NA"/>
    <n v="2.04"/>
    <n v="0.97"/>
    <n v="0.97"/>
    <s v="DPU – Defect Per Unit"/>
    <s v="NA"/>
    <s v="NA"/>
    <s v="NA"/>
    <s v="NA"/>
    <s v="NA"/>
    <s v="NA"/>
    <s v="NA"/>
    <s v="NA"/>
    <s v="NA"/>
    <s v="NA"/>
    <s v="NA"/>
    <m/>
    <s v="ClaimCenter"/>
    <s v="Structured"/>
    <n v="100"/>
    <s v="ClaimCenter"/>
    <m/>
    <s v="Claim Center and T360"/>
  </r>
  <r>
    <x v="6"/>
    <s v="Top-10 US Commercial &amp; Specialty Carrier"/>
    <x v="2"/>
    <x v="3"/>
    <x v="2"/>
    <s v="Arpan Pandey, Varunjesh"/>
    <n v="0.2"/>
    <x v="1"/>
    <x v="1"/>
    <x v="9"/>
    <s v="Bill Payment (Medical Legal, Non Medical, Vendor)"/>
    <s v="Medical Bills Pending - First Script"/>
    <s v="EXL to receive monthly spreadsheet to process the First Script (Vendor) items, team to follow appropriate steps to issue payments and to update CNA comments on the spreadsheet."/>
    <x v="3"/>
    <x v="5"/>
    <s v="WC"/>
    <s v="Mid Size"/>
    <x v="3"/>
    <s v="L3"/>
    <n v="0.15"/>
    <n v="1"/>
    <n v="4"/>
    <s v="Transaction Based "/>
    <s v="USD"/>
    <n v="1.9436601649132781"/>
    <n v="1"/>
    <n v="0"/>
    <n v="0"/>
    <n v="0"/>
    <n v="1"/>
    <n v="0"/>
    <m/>
    <s v="NA"/>
    <s v="NA"/>
    <n v="8"/>
    <n v="0.97"/>
    <n v="0.98"/>
    <s v="DPU – Defect Per Unit"/>
    <s v="NA"/>
    <s v="NA"/>
    <s v="NA"/>
    <s v="NA"/>
    <s v="NA"/>
    <s v="NA"/>
    <s v="NA"/>
    <s v="NA"/>
    <s v="NA"/>
    <s v="NA"/>
    <s v="NA"/>
    <s v="CP"/>
    <s v="Individual Mailbox"/>
    <s v="Semi-Structured"/>
    <n v="100"/>
    <s v="ACT"/>
    <s v="Vendors"/>
    <s v="ACT, ClaimCenter, Mailbox"/>
  </r>
  <r>
    <x v="6"/>
    <s v="Top-10 US Commercial &amp; Specialty Carrier"/>
    <x v="2"/>
    <x v="3"/>
    <x v="2"/>
    <s v="Arpan Pandey, Varunjesh"/>
    <n v="0.2"/>
    <x v="1"/>
    <x v="1"/>
    <x v="9"/>
    <s v="Bill Payment (Medical Legal, Non Medical, Vendor)"/>
    <s v="Medical Bills Pending - EOR"/>
    <s v="EXL to issue payment on the bills as they appear on manual Database Payments application (PPT), EXL to receive bills on every Monday, Wednesday &amp; Friday."/>
    <x v="3"/>
    <x v="5"/>
    <s v="WC"/>
    <s v="Mid Size"/>
    <x v="3"/>
    <s v="L3"/>
    <n v="0.15"/>
    <n v="1"/>
    <n v="4"/>
    <s v="Transaction Based "/>
    <s v="USD"/>
    <n v="1.9436601649132781"/>
    <n v="4"/>
    <n v="0"/>
    <n v="0"/>
    <n v="0"/>
    <n v="4"/>
    <n v="0"/>
    <m/>
    <s v="NA"/>
    <s v="NA"/>
    <n v="8"/>
    <n v="0.97"/>
    <n v="0.98"/>
    <s v="DPU – Defect Per Unit"/>
    <s v="NA"/>
    <s v="NA"/>
    <s v="NA"/>
    <s v="NA"/>
    <s v="NA"/>
    <s v="NA"/>
    <s v="NA"/>
    <s v="NA"/>
    <s v="NA"/>
    <s v="NA"/>
    <s v="NA"/>
    <s v="CP"/>
    <s v="Manual Database Payments Application"/>
    <s v="Semi-Structured"/>
    <n v="100"/>
    <s v="ACT"/>
    <s v="Vendors"/>
    <s v="ACT, ClaimCenter, Mailbox"/>
  </r>
  <r>
    <x v="6"/>
    <s v="Top-10 US Commercial &amp; Specialty Carrier"/>
    <x v="2"/>
    <x v="3"/>
    <x v="2"/>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x v="3"/>
    <x v="5"/>
    <s v="WC"/>
    <s v="Mid Size"/>
    <x v="3"/>
    <s v="L3"/>
    <n v="1"/>
    <n v="2"/>
    <n v="3"/>
    <s v="Transaction Based "/>
    <s v="USD"/>
    <n v="10.701599999999999"/>
    <n v="7"/>
    <n v="0"/>
    <n v="8.3333333333333329E-2"/>
    <n v="0"/>
    <n v="7.083333333333333"/>
    <n v="0"/>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3"/>
    <x v="2"/>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x v="3"/>
    <x v="3"/>
    <s v="Mutiple LOBs like - Auto, Property, GL, WC. Etc."/>
    <s v="All"/>
    <x v="3"/>
    <s v="L3"/>
    <n v="1"/>
    <n v="2"/>
    <n v="3"/>
    <s v="Transaction Based "/>
    <s v="USD"/>
    <n v="2.75"/>
    <n v="1"/>
    <n v="0"/>
    <n v="8.3333333333333329E-2"/>
    <n v="0"/>
    <n v="1.0833333333333333"/>
    <n v="0"/>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3"/>
    <x v="2"/>
    <s v="Arpan Pandey, Varunjesh"/>
    <n v="1"/>
    <x v="1"/>
    <x v="1"/>
    <x v="1"/>
    <s v="Claim Setup and assignment"/>
    <s v="Crawford FNOL Follow Up"/>
    <s v="Follow up request on a pre filed loss is received which needs to be attached to the existing claim "/>
    <x v="3"/>
    <x v="3"/>
    <s v="Mutiple LOBs like - Auto, Property, GL, WC. Etc."/>
    <s v="Small"/>
    <x v="3"/>
    <s v="L3"/>
    <m/>
    <n v="1"/>
    <n v="1"/>
    <s v="Transaction Based "/>
    <s v="USD"/>
    <n v="3.44"/>
    <n v="3.9760638297872339E-2"/>
    <n v="0"/>
    <n v="0"/>
    <n v="0"/>
    <n v="3.9760638297872339E-2"/>
    <n v="0"/>
    <n v="25"/>
    <s v="NA"/>
    <s v="NA"/>
    <n v="14.95"/>
    <n v="1"/>
    <n v="0.97"/>
    <s v="DPU – Defect Per Unit"/>
    <s v="NA"/>
    <s v="NA"/>
    <s v="NA"/>
    <s v="NA"/>
    <s v="NA"/>
    <s v="NA"/>
    <s v="NA"/>
    <s v="NA"/>
    <s v="NA"/>
    <s v="NA"/>
    <s v="NA"/>
    <s v="C NA"/>
    <s v="Emails"/>
    <s v="Semi-Structured"/>
    <n v="100"/>
    <s v="ClaimCenter"/>
    <s v="Insureds / Agents"/>
    <s v="Claim center, ECE, MS Office, PDF, ECF, EPC"/>
  </r>
  <r>
    <x v="6"/>
    <s v="Top-10 US Commercial &amp; Specialty Carrier"/>
    <x v="2"/>
    <x v="3"/>
    <x v="2"/>
    <s v="Arpan Pandey, Varunjesh"/>
    <n v="1.5"/>
    <x v="1"/>
    <x v="1"/>
    <x v="9"/>
    <s v="Legal File Opening"/>
    <s v="T360 New User Set Up"/>
    <s v="We set up new user in T360 as per the IIQ requests we receive from onshore"/>
    <x v="3"/>
    <x v="3"/>
    <s v="N/A"/>
    <s v="All"/>
    <x v="3"/>
    <s v="L3"/>
    <n v="0"/>
    <n v="1"/>
    <n v="4"/>
    <s v="Transaction Based "/>
    <s v="USD"/>
    <n v="1.75"/>
    <n v="0.02"/>
    <n v="0"/>
    <n v="0"/>
    <n v="0"/>
    <n v="0.02"/>
    <n v="0"/>
    <n v="30"/>
    <s v="N/A"/>
    <s v="NA"/>
    <n v="7"/>
    <n v="0.97"/>
    <n v="0.97"/>
    <s v="DPU – Defect Per Unit"/>
    <s v="NA"/>
    <s v="NA"/>
    <s v="NA"/>
    <s v="NA"/>
    <s v="NA"/>
    <s v="NA"/>
    <s v="NA"/>
    <s v="NA"/>
    <s v="NA"/>
    <s v="NA"/>
    <s v="NA"/>
    <s v="NA"/>
    <s v="T360"/>
    <s v="Semi-Structured"/>
    <n v="100"/>
    <s v="T360"/>
    <s v="Claim Adjuster"/>
    <s v="T360"/>
  </r>
  <r>
    <x v="6"/>
    <s v="Top-10 US Commercial &amp; Specialty Carrier"/>
    <x v="2"/>
    <x v="3"/>
    <x v="2"/>
    <s v="Arpan Pandey, Varunjesh"/>
    <n v="3"/>
    <x v="1"/>
    <x v="1"/>
    <x v="7"/>
    <s v="Quality Management"/>
    <s v="Onshore Legal Referral QA"/>
    <s v="1. Complete transaction quality monitoring for tasks completed across Legal Referral, in accordance with the SOP_x000a_2. Complete QA sheet and report QA scores to onshore monthly, per the SOP"/>
    <x v="4"/>
    <x v="3"/>
    <s v="WC, Auto, PMT, CNP, CUP, CUE, Speciality"/>
    <s v="All"/>
    <x v="3"/>
    <s v="L3"/>
    <n v="1"/>
    <n v="5"/>
    <n v="5"/>
    <s v="Transaction Based "/>
    <s v="USD"/>
    <n v="7.529268292682926"/>
    <n v="5"/>
    <n v="0"/>
    <n v="0"/>
    <n v="1"/>
    <n v="6"/>
    <n v="0.16666666666666666"/>
    <n v="85"/>
    <n v="85"/>
    <s v="TBD"/>
    <n v="30"/>
    <n v="1"/>
    <n v="0.97"/>
    <s v="DPU – Defect Per Unit"/>
    <s v="DPU – Defect Per Unit"/>
    <s v="NA"/>
    <s v="NA"/>
    <s v="NA"/>
    <s v="NA"/>
    <s v="NA"/>
    <s v="NA"/>
    <s v="NA"/>
    <s v="NA"/>
    <s v="NA"/>
    <s v="NA"/>
    <s v="NA"/>
    <s v="Outside Counsel"/>
    <s v="Semi-Structured"/>
    <s v="Semi-Structured"/>
    <n v="0.5"/>
    <s v="Instructions in Application"/>
    <s v="ClaimCenter, T360, Outlook"/>
  </r>
  <r>
    <x v="6"/>
    <s v="Top-10 US Commercial &amp; Specialty Carrier"/>
    <x v="2"/>
    <x v="3"/>
    <x v="2"/>
    <s v="Arpan Pandey, Varunjesh"/>
    <n v="0.1"/>
    <x v="1"/>
    <x v="1"/>
    <x v="9"/>
    <s v="Indexing &amp; Scanning Non Medical bills"/>
    <s v="Court Docket and TeamConnect Uploads (LCGR)"/>
    <s v="We re-name and upload documents in TeamConnect as per the request receive from onshore team"/>
    <x v="3"/>
    <x v="3"/>
    <s v="N/A"/>
    <s v="All"/>
    <x v="3"/>
    <s v="L3"/>
    <n v="0"/>
    <n v="1"/>
    <n v="4"/>
    <s v="Transaction Based "/>
    <s v="USD"/>
    <n v="1.66"/>
    <n v="0.33"/>
    <n v="0"/>
    <n v="0"/>
    <n v="0"/>
    <n v="0.33"/>
    <n v="0"/>
    <n v="425"/>
    <s v="N/A"/>
    <s v="NA"/>
    <n v="7.23"/>
    <n v="0.97"/>
    <n v="0.97"/>
    <s v="DPU – Defect Per Unit"/>
    <s v="NA"/>
    <s v="NA"/>
    <s v="NA"/>
    <s v="NA"/>
    <s v="NA"/>
    <s v="NA"/>
    <s v="NA"/>
    <s v="NA"/>
    <s v="NA"/>
    <s v="NA"/>
    <s v="NA"/>
    <s v="NA"/>
    <s v="Email"/>
    <s v="Semi-Structured"/>
    <n v="100"/>
    <s v="TeamConnect"/>
    <s v="Attorneys"/>
    <s v="TeamConnect"/>
  </r>
  <r>
    <x v="6"/>
    <s v="Top-10 US Commercial &amp; Specialty Carrier"/>
    <x v="2"/>
    <x v="3"/>
    <x v="2"/>
    <s v="Arpan Pandey, Varunjesh"/>
    <n v="0.5"/>
    <x v="1"/>
    <x v="1"/>
    <x v="9"/>
    <s v="Indexing &amp; Scanning Non Medical bills"/>
    <s v="Legal Matter Update (Missing Information)"/>
    <s v="We update litigation screen as per the information provided in the activity"/>
    <x v="3"/>
    <x v="3"/>
    <s v="Mutiple LOBs like - Auto, Property, GL, Specialty lines, WC. Etc."/>
    <s v="All"/>
    <x v="3"/>
    <s v="L3"/>
    <n v="0"/>
    <n v="1"/>
    <n v="4"/>
    <s v="Transaction Based "/>
    <s v="USD"/>
    <n v="2.82"/>
    <n v="0.11"/>
    <n v="0"/>
    <n v="0"/>
    <n v="0"/>
    <n v="0.11"/>
    <n v="0"/>
    <n v="180"/>
    <s v="N/A"/>
    <s v="NA"/>
    <n v="6"/>
    <n v="0.97"/>
    <n v="0.97"/>
    <s v="DPU – Defect Per Unit"/>
    <s v="NA"/>
    <s v="NA"/>
    <s v="NA"/>
    <s v="NA"/>
    <s v="NA"/>
    <s v="NA"/>
    <s v="NA"/>
    <s v="NA"/>
    <s v="NA"/>
    <s v="NA"/>
    <s v="NA"/>
    <s v="NA"/>
    <s v="ClaimCenter"/>
    <s v="Semi-Structured"/>
    <n v="100"/>
    <s v="ClaimCenter"/>
    <s v="Claim Adjuster"/>
    <s v="ClaimCenter"/>
  </r>
  <r>
    <x v="6"/>
    <s v="Top-10 US Commercial &amp; Specialty Carrier"/>
    <x v="2"/>
    <x v="3"/>
    <x v="2"/>
    <s v="Arpan Pandey, Varunjesh"/>
    <n v="1.9"/>
    <x v="1"/>
    <x v="1"/>
    <x v="8"/>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x v="3"/>
    <x v="1"/>
    <s v="Auto"/>
    <s v="Mid Size"/>
    <x v="3"/>
    <s v="L3"/>
    <n v="0.3"/>
    <n v="2"/>
    <n v="2"/>
    <s v="Transaction Based "/>
    <s v="USD"/>
    <n v="7"/>
    <n v="0.5"/>
    <n v="0"/>
    <n v="0"/>
    <n v="0"/>
    <n v="0.5"/>
    <n v="0"/>
    <n v="257"/>
    <s v="N/A"/>
    <s v="NA"/>
    <n v="31.04"/>
    <n v="1"/>
    <n v="0.97"/>
    <s v="DPU – Defect Per Unit"/>
    <s v="NA"/>
    <s v="NA"/>
    <s v="NA"/>
    <s v="NA"/>
    <s v="NA"/>
    <s v="NA"/>
    <s v="NA"/>
    <s v="NA"/>
    <s v="NA"/>
    <s v="NA"/>
    <s v="NA"/>
    <s v="NA"/>
    <s v="Email"/>
    <s v="Semi-Structured"/>
    <s v="Semi-Structured"/>
    <s v="ClaimCenter"/>
    <s v="Claim Adjuster"/>
    <s v="ACT, ClaimCenter, Alacrity Solutions"/>
  </r>
  <r>
    <x v="6"/>
    <s v="Top-10 US Commercial &amp; Specialty Carrier"/>
    <x v="2"/>
    <x v="3"/>
    <x v="2"/>
    <s v="Arpan Pandey, Varunjesh"/>
    <n v="1.3"/>
    <x v="1"/>
    <x v="1"/>
    <x v="8"/>
    <s v="Initiate Recovery Collection &amp; processing"/>
    <s v="Spartan Referral"/>
    <s v="Objective is to prepare and send the Spartan referral sheet on Auto, Property &amp; WC claims - Where recovery is referred to Spartan (Recovery Vendor)"/>
    <x v="3"/>
    <x v="6"/>
    <s v="Auto, WC &amp; Property"/>
    <s v="Mid Size"/>
    <x v="3"/>
    <s v="L3"/>
    <n v="0.15"/>
    <n v="0.15"/>
    <n v="0.5"/>
    <s v="Transaction Based "/>
    <s v="USD"/>
    <n v="20.3"/>
    <n v="0.5"/>
    <n v="0"/>
    <n v="0"/>
    <n v="0"/>
    <n v="0.5"/>
    <n v="0"/>
    <n v="21"/>
    <s v="N/A"/>
    <s v="NA"/>
    <n v="90"/>
    <n v="1"/>
    <n v="0.97"/>
    <s v="DPU – Defect Per Unit"/>
    <s v="NA"/>
    <s v="NA"/>
    <s v="NA"/>
    <s v="NA"/>
    <s v="NA"/>
    <s v="NA"/>
    <s v="NA"/>
    <s v="NA"/>
    <s v="NA"/>
    <s v="NA"/>
    <s v="NA"/>
    <s v="NA"/>
    <s v="ClaimCenter"/>
    <s v="Semi-Structured"/>
    <n v="100"/>
    <s v="ClaimCenter"/>
    <s v="Spartan"/>
    <s v="ClaimCenter"/>
  </r>
  <r>
    <x v="6"/>
    <s v="Top-10 US Commercial &amp; Specialty Carrier"/>
    <x v="2"/>
    <x v="3"/>
    <x v="2"/>
    <s v="Arpan Pandey, Varunjesh"/>
    <n v="1.6"/>
    <x v="1"/>
    <x v="1"/>
    <x v="8"/>
    <s v="Initiate Recovery Collection &amp; processing"/>
    <s v="Cisco Referral"/>
    <s v="In this task team assigns to claims from spartan (Recovery Vendor) to Cisco (Collection Vendor) for further pursuit"/>
    <x v="3"/>
    <x v="6"/>
    <s v="Auto, WC &amp; Property"/>
    <s v="Mid Size"/>
    <x v="3"/>
    <s v="L3"/>
    <n v="0.15"/>
    <n v="0.15"/>
    <n v="1"/>
    <s v="Transaction Based "/>
    <s v="USD"/>
    <n v="1.1299999999999999"/>
    <n v="0.5"/>
    <n v="0"/>
    <n v="0"/>
    <n v="0"/>
    <n v="0.5"/>
    <n v="0"/>
    <n v="61"/>
    <s v="N/A"/>
    <s v="NA"/>
    <n v="5"/>
    <n v="1"/>
    <n v="0.97"/>
    <s v="DPU – Defect Per Unit"/>
    <s v="NA"/>
    <s v="NA"/>
    <s v="NA"/>
    <s v="NA"/>
    <s v="NA"/>
    <s v="NA"/>
    <s v="NA"/>
    <s v="NA"/>
    <s v="NA"/>
    <s v="NA"/>
    <s v="NA"/>
    <s v="NA"/>
    <s v="Email"/>
    <s v="Semi-Structured"/>
    <n v="100"/>
    <s v="ClaimCenter"/>
    <s v="Cisco"/>
    <s v="ClaimCenter"/>
  </r>
  <r>
    <x v="6"/>
    <s v="Top-10 US Commercial &amp; Specialty Carrier"/>
    <x v="2"/>
    <x v="3"/>
    <x v="2"/>
    <s v="Arpan Pandey, Varunjesh"/>
    <n v="8"/>
    <x v="1"/>
    <x v="2"/>
    <x v="6"/>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x v="3"/>
    <x v="3"/>
    <s v="WC, Auto, PMT, CNP, CUP, CUE"/>
    <s v="All"/>
    <x v="3"/>
    <s v="L3"/>
    <n v="2"/>
    <s v="2 to 4"/>
    <s v="6 to 8"/>
    <s v="Transaction Based "/>
    <s v="USD"/>
    <n v="22014.800000000003"/>
    <n v="4"/>
    <n v="0.1"/>
    <n v="0.2"/>
    <n v="1"/>
    <n v="5.3"/>
    <n v="0.18867924528301888"/>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x v="6"/>
    <s v="Top-10 US Commercial &amp; Specialty Carrier"/>
    <x v="2"/>
    <x v="3"/>
    <x v="2"/>
    <s v="Arpan Pandey, Varunjesh"/>
    <n v="8"/>
    <x v="1"/>
    <x v="2"/>
    <x v="6"/>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x v="3"/>
    <x v="3"/>
    <s v="WC, Auto, PMT, CNP, CUP, CUE"/>
    <s v="All"/>
    <x v="3"/>
    <s v="L3"/>
    <n v="2"/>
    <s v="2 to 4"/>
    <s v="6 to 8"/>
    <s v="Transaction Based "/>
    <s v="USD"/>
    <n v="22014.800000000003"/>
    <n v="6.42"/>
    <n v="0.4"/>
    <n v="0.3"/>
    <n v="1.22"/>
    <n v="8.34"/>
    <n v="0.14628297362110312"/>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x v="6"/>
    <s v="Top-10 US Commercial &amp; Specialty Carrier"/>
    <x v="2"/>
    <x v="3"/>
    <x v="2"/>
    <s v="Arpan Pandey, Varunjesh"/>
    <n v="8"/>
    <x v="1"/>
    <x v="2"/>
    <x v="10"/>
    <s v="Audit Scheduling"/>
    <s v="Audit Scheduling"/>
    <s v="Prepare Premium Audit schedule and communicate"/>
    <x v="3"/>
    <x v="3"/>
    <s v="Package lines, Auto, Specialty lines, WC "/>
    <s v="All"/>
    <x v="3"/>
    <s v="L3"/>
    <n v="1"/>
    <s v="2 to 4"/>
    <s v="2 to 4"/>
    <s v="Transaction Based "/>
    <s v="USD"/>
    <n v="23594"/>
    <n v="1"/>
    <n v="0"/>
    <n v="0.1"/>
    <n v="1"/>
    <n v="2.1"/>
    <n v="0.47619047619047616"/>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x v="6"/>
    <s v="Top-10 US Commercial &amp; Specialty Carrier"/>
    <x v="2"/>
    <x v="3"/>
    <x v="2"/>
    <s v="Arpan Pandey, Varunjesh"/>
    <n v="8"/>
    <x v="1"/>
    <x v="2"/>
    <x v="10"/>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x v="3"/>
    <x v="3"/>
    <s v="Package lines, Auto, Specialty lines, WC "/>
    <s v="All"/>
    <x v="3"/>
    <s v="L3"/>
    <n v="1"/>
    <s v="2 to 4"/>
    <s v="2 to 4"/>
    <s v="Transaction Based "/>
    <s v="USD"/>
    <n v="22014.800000000003"/>
    <n v="1.5"/>
    <n v="0"/>
    <n v="0.1"/>
    <n v="1.33"/>
    <n v="2.93"/>
    <n v="0.4539249146757679"/>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x v="6"/>
    <s v="Top-10 US Commercial &amp; Specialty Carrier"/>
    <x v="2"/>
    <x v="3"/>
    <x v="2"/>
    <s v="Arpan Pandey, Varunjesh"/>
    <n v="8"/>
    <x v="1"/>
    <x v="2"/>
    <x v="10"/>
    <s v="Field Audit"/>
    <s v="Physical Audit"/>
    <s v="The Premium Audit reviewers are responsible for reviewing policyholder records at the end of the policy period to determine the final, audited premium for coverage provided basis the Physical audit report"/>
    <x v="3"/>
    <x v="3"/>
    <s v="Package lines, Auto, Specialty lines, WC "/>
    <s v="All"/>
    <x v="3"/>
    <s v="L3"/>
    <n v="2"/>
    <s v="4 to 6"/>
    <s v="2 to 4"/>
    <s v="Transaction Based "/>
    <s v="USD"/>
    <n v="23594"/>
    <n v="1"/>
    <n v="0"/>
    <n v="0.1"/>
    <n v="1"/>
    <n v="2.1"/>
    <n v="0.47619047619047616"/>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Internet Audit"/>
    <s v="Internet Audit"/>
    <s v="The Premium Audit reviewers are responsible for reviewing policyholder records at the end of the policy period to determine the final, audited premium for coverage provided basis the Internet audit report"/>
    <x v="3"/>
    <x v="3"/>
    <s v="Package lines, Auto, Specialty lines, WC "/>
    <s v="All"/>
    <x v="3"/>
    <s v="L3"/>
    <n v="1"/>
    <s v="2 to 4"/>
    <s v="2 to 4"/>
    <s v="Transaction Based "/>
    <s v="USD"/>
    <n v="23594"/>
    <n v="1"/>
    <n v="0"/>
    <n v="0.1"/>
    <n v="1"/>
    <n v="2.1"/>
    <n v="0.47619047619047616"/>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Phone Audit"/>
    <s v="Telephone Audit"/>
    <s v="The Premium Audit reviewers are responsible for reviewing policyholder records at the end of the policy period to determine the final, audited premium for coverage provided basis the Telephone Audit report"/>
    <x v="3"/>
    <x v="3"/>
    <s v="Package lines, Auto, Specialty lines, WC "/>
    <s v="All"/>
    <x v="3"/>
    <s v="L3"/>
    <n v="1"/>
    <s v="2 to 4"/>
    <s v="2 to 4"/>
    <s v="Transaction Based "/>
    <s v="USD"/>
    <n v="23594"/>
    <n v="0.5"/>
    <n v="0"/>
    <n v="0.1"/>
    <n v="2"/>
    <n v="2.6"/>
    <n v="0.76923076923076916"/>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Premium Audit Endorsements"/>
    <s v="Premium Audit Endorsements"/>
    <s v="Adding States &amp; Codes into the policy basis Audit reports_x000a__x000a_Processing Endorsement if Automation Fails"/>
    <x v="3"/>
    <x v="5"/>
    <s v="WC"/>
    <s v="All"/>
    <x v="3"/>
    <s v="L3"/>
    <n v="1"/>
    <s v="4 to 6"/>
    <s v="2 to 4"/>
    <s v="Transaction Based "/>
    <s v="USD"/>
    <n v="23594"/>
    <n v="4"/>
    <n v="0"/>
    <n v="0.1"/>
    <n v="1"/>
    <n v="5.0999999999999996"/>
    <n v="0.19607843137254904"/>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x v="6"/>
    <s v="Top-10 US Commercial &amp; Specialty Carrier"/>
    <x v="2"/>
    <x v="3"/>
    <x v="2"/>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x v="3"/>
    <x v="3"/>
    <s v="Auto, WC, CUP, Package Lines"/>
    <s v="All"/>
    <x v="3"/>
    <s v="L3"/>
    <n v="1"/>
    <s v="4 to 6"/>
    <s v="2 to 4"/>
    <s v="Transaction Based "/>
    <s v="USD"/>
    <n v="22221.600000000002"/>
    <n v="9"/>
    <n v="1"/>
    <n v="0.4"/>
    <n v="1.1100000000000001"/>
    <n v="11.51"/>
    <n v="9.6437880104257176E-2"/>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x v="6"/>
    <s v="Top-10 US Commercial &amp; Specialty Carrier"/>
    <x v="2"/>
    <x v="3"/>
    <x v="2"/>
    <s v="Arpan Pandey, Varunjesh"/>
    <n v="8"/>
    <x v="1"/>
    <x v="2"/>
    <x v="5"/>
    <s v="Broker Correspondence"/>
    <s v="Solicitation - 45 Days, 90 Days, Financial Institution, Life Science, Non Standard"/>
    <s v="Solicitation letter is sent to Broker and Agent 45/90 Days prior to renewal of a policy. "/>
    <x v="3"/>
    <x v="3"/>
    <s v="Auto, WC, CUP, Package Lines"/>
    <s v="All"/>
    <x v="3"/>
    <s v="L3"/>
    <n v="1"/>
    <s v="4 to 6"/>
    <s v="4 to 6"/>
    <s v="Transaction Based "/>
    <s v="USD"/>
    <n v="22014.800000000003"/>
    <n v="3.5"/>
    <n v="0"/>
    <n v="0.5"/>
    <n v="1.05"/>
    <n v="5.05"/>
    <n v="0.20792079207920794"/>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x v="6"/>
    <s v="Top-10 US Commercial &amp; Specialty Carrier"/>
    <x v="2"/>
    <x v="3"/>
    <x v="2"/>
    <s v="Arpan Pandey, Varunjesh"/>
    <n v="8"/>
    <x v="1"/>
    <x v="2"/>
    <x v="6"/>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x v="3"/>
    <x v="3"/>
    <s v="Auto, WC, CUP, Package Lines"/>
    <s v="Small"/>
    <x v="3"/>
    <s v="L3"/>
    <n v="1"/>
    <s v="4 to 6"/>
    <s v="4 to 6"/>
    <s v="Transaction Based "/>
    <s v="USD"/>
    <n v="22014.800000000003"/>
    <n v="8"/>
    <n v="0"/>
    <n v="0.25"/>
    <n v="1.27"/>
    <n v="9.52"/>
    <n v="0.13340336134453781"/>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x v="6"/>
    <s v="Top-10 US Commercial &amp; Specialty Carrier"/>
    <x v="2"/>
    <x v="3"/>
    <x v="2"/>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x v="3"/>
    <x v="3"/>
    <s v="Auto, WC, CUP, Package Lines"/>
    <s v="All"/>
    <x v="3"/>
    <s v="L2"/>
    <n v="1"/>
    <s v="2 to 4"/>
    <s v="2 to 4"/>
    <s v="Transaction Based "/>
    <s v="USD"/>
    <n v="0.84"/>
    <n v="1"/>
    <n v="0"/>
    <n v="0.05"/>
    <n v="1"/>
    <n v="2.0499999999999998"/>
    <n v="0.48780487804878053"/>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x v="6"/>
    <s v="Top-10 US Commercial &amp; Specialty Carrier"/>
    <x v="2"/>
    <x v="3"/>
    <x v="2"/>
    <s v="Arpan Pandey, Varunjesh"/>
    <n v="8"/>
    <x v="1"/>
    <x v="2"/>
    <x v="3"/>
    <s v="Indexing"/>
    <s v="Indexing"/>
    <s v="Indexing - This is a process of creating tasks received in Endorsement Portal and routing them to appropriate teams based on request types."/>
    <x v="3"/>
    <x v="3"/>
    <s v="Auto, WC, CUP, Package Lines"/>
    <s v="All"/>
    <x v="3"/>
    <s v="L2"/>
    <n v="1"/>
    <s v="2 to 4"/>
    <s v="2 to 4"/>
    <s v="Transaction Based "/>
    <s v="USD"/>
    <n v="22014.800000000003"/>
    <n v="3"/>
    <n v="0"/>
    <n v="0.1"/>
    <n v="1"/>
    <n v="4.0999999999999996"/>
    <n v="0.24390243902439027"/>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x v="6"/>
    <s v="Top-10 US Commercial &amp; Specialty Carrier"/>
    <x v="2"/>
    <x v="3"/>
    <x v="2"/>
    <s v="Arpan Pandey, Varunjesh"/>
    <n v="8"/>
    <x v="1"/>
    <x v="2"/>
    <x v="11"/>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x v="3"/>
    <x v="7"/>
    <s v="NA"/>
    <s v="All"/>
    <x v="3"/>
    <s v="L3"/>
    <n v="2"/>
    <s v="4 to 6"/>
    <s v="4 to 6"/>
    <s v="Transaction Based "/>
    <s v="USD"/>
    <n v="22014.800000000003"/>
    <n v="0.75"/>
    <n v="0"/>
    <n v="0.05"/>
    <n v="1.33"/>
    <n v="2.13"/>
    <n v="0.62441314553990612"/>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x v="6"/>
    <s v="Top-10 US Commercial &amp; Specialty Carrier"/>
    <x v="2"/>
    <x v="3"/>
    <x v="2"/>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x v="3"/>
    <x v="3"/>
    <s v="NA"/>
    <s v="All"/>
    <x v="3"/>
    <s v="L3"/>
    <n v="2"/>
    <s v="4 to 6"/>
    <s v="6 to 8"/>
    <s v="Transaction Based "/>
    <s v="USD"/>
    <n v="385560"/>
    <n v="28"/>
    <n v="0"/>
    <n v="0.05"/>
    <n v="1.33"/>
    <n v="29.380000000000003"/>
    <n v="4.526889040163376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x v="6"/>
    <s v="Top-10 US Commercial &amp; Specialty Carrier"/>
    <x v="2"/>
    <x v="3"/>
    <x v="2"/>
    <s v="Arpan Pandey, Varunjesh"/>
    <n v="8"/>
    <x v="1"/>
    <x v="2"/>
    <x v="5"/>
    <s v="D&amp;B Scores"/>
    <s v="D&amp;B / Flood Map"/>
    <s v="D&amp;B / Flood Map - This is a process to find the D&amp;B financial credit score and Flood Map risk category of locations. The information gathered is updated in EPC and UWS for further handling by Underwriter. "/>
    <x v="3"/>
    <x v="7"/>
    <s v="NA"/>
    <s v="All"/>
    <x v="3"/>
    <s v="L3"/>
    <n v="2"/>
    <s v="4 to 6"/>
    <s v="4 to 6"/>
    <s v="Transaction Based "/>
    <s v="USD"/>
    <n v="22014.800000000003"/>
    <n v="0.9"/>
    <n v="0"/>
    <n v="0.05"/>
    <n v="1"/>
    <n v="1.9500000000000002"/>
    <n v="0.51282051282051277"/>
    <n v="1281"/>
    <s v="NA"/>
    <s v="NA"/>
    <n v="5"/>
    <s v="95% (3 Business Days)"/>
    <n v="0.98"/>
    <s v="DPU – Defect Per Unit"/>
    <s v="NA"/>
    <s v="NA"/>
    <s v="NA"/>
    <s v="NA"/>
    <s v="NA"/>
    <s v="NA"/>
    <s v="NA"/>
    <s v="NA"/>
    <s v="NA"/>
    <s v="NA"/>
    <s v="NA"/>
    <s v="Underwriter"/>
    <s v="Multiple"/>
    <s v="Structured"/>
    <s v="Client Application - 100% "/>
    <s v="Others"/>
    <s v="Others"/>
    <s v="Aspire, UWS, EPC, Swiss Re"/>
  </r>
  <r>
    <x v="6"/>
    <s v="Top-10 US Commercial &amp; Specialty Carrier"/>
    <x v="2"/>
    <x v="3"/>
    <x v="2"/>
    <s v="Arpan Pandey, Varunjesh"/>
    <n v="8"/>
    <x v="1"/>
    <x v="2"/>
    <x v="3"/>
    <s v="Customer service"/>
    <s v="SBSC Egain COI, Policy update,  Audit Queue,SBSC Endt"/>
    <s v="Address customer issues related to Audit submitted via message in applicable call center portal. "/>
    <x v="3"/>
    <x v="7"/>
    <s v="NA"/>
    <s v="All"/>
    <x v="3"/>
    <s v="L3"/>
    <n v="2"/>
    <s v="4 to 6"/>
    <s v="4 to 6"/>
    <s v="Transaction Based "/>
    <s v="USD"/>
    <n v="126359.99999999999"/>
    <n v="6.79"/>
    <n v="0"/>
    <n v="0.05"/>
    <n v="1"/>
    <n v="7.84"/>
    <n v="0.12755102040816327"/>
    <n v="3000"/>
    <s v="NA"/>
    <s v="NA"/>
    <n v="15"/>
    <s v="98% (2 Business days (48 hours))"/>
    <n v="0.98"/>
    <s v="DPU – Defect Per Unit"/>
    <s v="NA"/>
    <s v="NA"/>
    <s v="NA"/>
    <s v="NA"/>
    <s v="NA"/>
    <s v="NA"/>
    <s v="NA"/>
    <s v="NA"/>
    <s v="NA"/>
    <s v="NA"/>
    <s v="NA"/>
    <s v="Underwriter"/>
    <s v="Multiple"/>
    <s v="Structured"/>
    <s v="Client Application - 100% "/>
    <s v="Others"/>
    <s v="Others"/>
    <s v="Aspire, UWS, EPC, ECE"/>
  </r>
  <r>
    <x v="6"/>
    <s v="Top-10 US Commercial &amp; Specialty Carrier"/>
    <x v="2"/>
    <x v="3"/>
    <x v="2"/>
    <s v="Arpan Pandey, Varunjesh"/>
    <n v="8"/>
    <x v="1"/>
    <x v="2"/>
    <x v="5"/>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x v="3"/>
    <x v="7"/>
    <s v="NA"/>
    <s v="All"/>
    <x v="3"/>
    <s v="L3"/>
    <n v="2"/>
    <s v="4 to 6"/>
    <s v="4 to 6"/>
    <s v="Transaction Based "/>
    <s v="USD"/>
    <n v="302400"/>
    <n v="4.2"/>
    <n v="0"/>
    <n v="0.05"/>
    <n v="1"/>
    <n v="5.25"/>
    <n v="0.19047619047619047"/>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x v="6"/>
    <s v="Top-10 US Commercial &amp; Specialty Carrier"/>
    <x v="2"/>
    <x v="3"/>
    <x v="2"/>
    <s v="Arpan Pandey, Varunjesh"/>
    <n v="8"/>
    <x v="1"/>
    <x v="2"/>
    <x v="5"/>
    <s v="Loss Runs"/>
    <s v="CPC and PSS Loss Run"/>
    <s v="Team process Loss Runs post validating all required details."/>
    <x v="3"/>
    <x v="3"/>
    <s v="Auto, Property, GL, Specialty lines, WC"/>
    <s v="All"/>
    <x v="3"/>
    <s v="L3"/>
    <n v="2"/>
    <s v="6 to 8"/>
    <s v="4 to 6"/>
    <s v="Transaction Based "/>
    <s v="USD"/>
    <n v="22014.800000000003"/>
    <n v="4.4000000000000004"/>
    <n v="0.2"/>
    <n v="0.2"/>
    <n v="1.25"/>
    <n v="6.0500000000000007"/>
    <n v="0.2066115702479338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x v="6"/>
    <s v="Top-10 US Commercial &amp; Specialty Carrier"/>
    <x v="2"/>
    <x v="3"/>
    <x v="2"/>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x v="3"/>
    <x v="1"/>
    <s v="Auto"/>
    <s v="All"/>
    <x v="3"/>
    <s v="L3"/>
    <n v="2"/>
    <s v="6 to 8"/>
    <s v="6 to 8"/>
    <s v="Transaction Based "/>
    <s v="USD"/>
    <n v="22014.800000000003"/>
    <n v="1.86"/>
    <n v="0.2"/>
    <n v="0.2"/>
    <n v="1.08"/>
    <n v="3.3400000000000003"/>
    <n v="0.32335329341317365"/>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x v="2"/>
    <x v="3"/>
    <x v="2"/>
    <s v="Arpan Pandey, Varunjesh"/>
    <n v="8"/>
    <x v="1"/>
    <x v="2"/>
    <x v="3"/>
    <s v="DMV and MVR"/>
    <s v="MVR"/>
    <s v="MVR team validate all required details and add/delete order drivers in MVR web or handle it as an exception case"/>
    <x v="3"/>
    <x v="1"/>
    <s v="Auto"/>
    <s v="All"/>
    <x v="3"/>
    <s v="L3"/>
    <n v="2"/>
    <s v="6 to 8"/>
    <s v="4 to 6"/>
    <s v="Transaction Based "/>
    <s v="USD"/>
    <n v="22014.800000000003"/>
    <n v="2"/>
    <n v="0.2"/>
    <n v="0.2"/>
    <n v="1.5"/>
    <n v="3.9000000000000004"/>
    <n v="0.38461538461538458"/>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x v="2"/>
    <x v="3"/>
    <x v="2"/>
    <s v="Arpan Pandey, Varunjesh"/>
    <n v="8"/>
    <x v="1"/>
    <x v="2"/>
    <x v="3"/>
    <s v="Cancellation &amp; Reinstatement"/>
    <s v="Reinstatement"/>
    <s v="Team process reinstatement/cancellation in TAP, EPC or PC as per policy source and sends notification and notice to requester and multimedia"/>
    <x v="3"/>
    <x v="3"/>
    <s v="Auto, Property, GL, Specialty lines, WC"/>
    <s v="All"/>
    <x v="3"/>
    <s v="L3"/>
    <n v="2"/>
    <s v="6 to 8"/>
    <s v="4 to 6"/>
    <s v="Transaction Based "/>
    <s v="USD"/>
    <n v="22014.800000000003"/>
    <n v="5"/>
    <n v="0.2"/>
    <n v="0.2"/>
    <n v="2"/>
    <n v="7.4"/>
    <n v="0.27027027027027023"/>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x v="2"/>
    <x v="3"/>
    <x v="2"/>
    <s v="Arpan Pandey, Varunjesh"/>
    <n v="8"/>
    <x v="1"/>
    <x v="2"/>
    <x v="5"/>
    <s v="WC Filings/ CRITS"/>
    <s v="WC Crits"/>
    <s v="Process requires the team to access state websites to extract Bureau CRIT reports and post triaging assign to appropriate queues for further handling by onshore"/>
    <x v="3"/>
    <x v="5"/>
    <s v="WC"/>
    <s v="All"/>
    <x v="3"/>
    <s v="L3"/>
    <n v="2"/>
    <s v="6 to 8"/>
    <s v="4 to 6"/>
    <s v="Transaction Based "/>
    <s v="USD"/>
    <n v="22014.800000000003"/>
    <n v="1"/>
    <n v="0.2"/>
    <n v="0.1"/>
    <n v="1"/>
    <n v="2.2999999999999998"/>
    <n v="0.43478260869565222"/>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x v="6"/>
    <s v="Top-10 US Commercial &amp; Specialty Carrier"/>
    <x v="2"/>
    <x v="3"/>
    <x v="2"/>
    <s v="Arpan Pandey, Varunjesh"/>
    <n v="8"/>
    <x v="1"/>
    <x v="2"/>
    <x v="3"/>
    <s v="Cancellation &amp; Reinstatement"/>
    <s v="General Blend &amp; Cancellations"/>
    <s v="Team process reinstatement/cancellation in TAP, EPC or PC as per policy source and sends notification and notice to requester and multimedia"/>
    <x v="3"/>
    <x v="3"/>
    <s v="Auto, Property, GL, Specialty lines, WC"/>
    <s v="All"/>
    <x v="3"/>
    <s v="L3"/>
    <n v="2"/>
    <s v="6 to 8"/>
    <s v="4 to 6"/>
    <s v="Transaction Based "/>
    <s v="USD"/>
    <n v="22014.800000000003"/>
    <n v="2.5"/>
    <n v="0"/>
    <n v="0.1"/>
    <n v="1.2"/>
    <n v="3.8"/>
    <n v="0.31578947368421051"/>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x v="2"/>
    <x v="3"/>
    <x v="2"/>
    <s v="Arpan Pandey, Varunjesh"/>
    <n v="8"/>
    <x v="1"/>
    <x v="2"/>
    <x v="5"/>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x v="3"/>
    <x v="3"/>
    <s v="Auto, WC, CUP, Package Lines"/>
    <s v="All"/>
    <x v="3"/>
    <s v="L3"/>
    <n v="2"/>
    <s v="4 to 6"/>
    <s v="2 to 4"/>
    <s v="Transaction Based "/>
    <s v="USD"/>
    <n v="22014.800000000003"/>
    <n v="20"/>
    <n v="1"/>
    <n v="1"/>
    <n v="1.1000000000000001"/>
    <n v="23.1"/>
    <n v="4.7619047619047623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x v="6"/>
    <s v="Top-10 US Commercial &amp; Specialty Carrier"/>
    <x v="2"/>
    <x v="3"/>
    <x v="2"/>
    <s v="Arpan Pandey, Varunjesh"/>
    <n v="8"/>
    <x v="1"/>
    <x v="2"/>
    <x v="6"/>
    <s v="Renewal Issuance"/>
    <s v="Small Business Renewal - Non-legacy &amp; Mailbox"/>
    <s v="Making requested changes in the policy, including agency code change and issue the renewal"/>
    <x v="3"/>
    <x v="8"/>
    <s v="Auto, WC, CUP, Package Lines"/>
    <s v="Small"/>
    <x v="3"/>
    <s v="L3"/>
    <n v="1"/>
    <s v="4 to 6"/>
    <s v="4 to 6"/>
    <s v="Transaction Based "/>
    <s v="USD"/>
    <n v="2.61"/>
    <n v="4.5"/>
    <n v="0.5"/>
    <n v="0.1"/>
    <n v="1"/>
    <n v="6.1"/>
    <n v="0.163934426229508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x v="6"/>
    <s v="Top-10 US Commercial &amp; Specialty Carrier"/>
    <x v="2"/>
    <x v="3"/>
    <x v="2"/>
    <s v="Arpan Pandey, Varunjesh"/>
    <n v="2"/>
    <x v="1"/>
    <x v="2"/>
    <x v="6"/>
    <s v="Renewal Issuance"/>
    <s v="Small Business Renewal - Legacy lines"/>
    <s v="Making requested changes in the policy, including agency code change and issue the renewal"/>
    <x v="3"/>
    <x v="8"/>
    <s v="Auto, WC, CUP, Package Lines"/>
    <s v="Small"/>
    <x v="3"/>
    <s v="L3"/>
    <n v="1"/>
    <s v="4 to 6"/>
    <s v="4 to 6"/>
    <s v="Transaction Based "/>
    <s v="USD"/>
    <n v="3.11"/>
    <n v="2"/>
    <n v="0.5"/>
    <n v="0.1"/>
    <n v="1"/>
    <n v="3.6"/>
    <n v="0.27777777777777779"/>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x v="6"/>
    <s v="Top-10 US Commercial &amp; Specialty Carrier"/>
    <x v="2"/>
    <x v="3"/>
    <x v="2"/>
    <s v="Arpan Pandey, Varunjesh"/>
    <n v="2"/>
    <x v="1"/>
    <x v="2"/>
    <x v="3"/>
    <s v="Indexing"/>
    <s v="UT_ Doc attachment"/>
    <s v="We receive mails with in mail box from UT to update policies document to efile application"/>
    <x v="3"/>
    <x v="3"/>
    <s v="D&amp;O , EPL , FDLS , CRIME ,IMS, FI BOND ,ICPL,DOAS , PEFS,ERISA"/>
    <s v="All"/>
    <x v="3"/>
    <s v="L3"/>
    <n v="2"/>
    <s v="2 to 4"/>
    <s v="6 to 8"/>
    <s v="Transaction Based "/>
    <s v="USD"/>
    <n v="7.7"/>
    <n v="2.5"/>
    <n v="1"/>
    <n v="0.5"/>
    <n v="1"/>
    <n v="5"/>
    <n v="0.2"/>
    <n v="600"/>
    <n v="600"/>
    <s v="NA"/>
    <n v="30"/>
    <s v="100% (0+2)"/>
    <n v="0.99"/>
    <s v="DPU – Defect Per Unit"/>
    <s v="NA"/>
    <s v="NA"/>
    <s v="NA"/>
    <s v="NA"/>
    <s v="NA"/>
    <s v="NA"/>
    <s v="NA"/>
    <s v="NA"/>
    <s v="NA"/>
    <s v="NA"/>
    <s v="NA"/>
    <s v="UT/UW"/>
    <s v="Multiple"/>
    <s v="Unstructured"/>
    <s v="Shared mailbox:100%"/>
    <s v="Multiple"/>
    <s v="UT/UW"/>
    <s v="Efile application ,shared mail box, Share drive access"/>
  </r>
  <r>
    <x v="6"/>
    <s v="Top-10 US Commercial &amp; Specialty Carrier"/>
    <x v="2"/>
    <x v="3"/>
    <x v="2"/>
    <s v="Arpan Pandey, Varunjesh"/>
    <n v="2"/>
    <x v="1"/>
    <x v="2"/>
    <x v="5"/>
    <s v="Renewal Prep"/>
    <s v="Renewal Prep UWC"/>
    <s v="Renewal Prep is the task we do on account level and this processed once rollover has been completed. In this task we upddate UW checklist in RST based on our workflow"/>
    <x v="3"/>
    <x v="3"/>
    <s v="WC, Auto, PMT, CNP, CUP, CUE"/>
    <s v="All"/>
    <x v="3"/>
    <s v="L3"/>
    <n v="2"/>
    <s v="2 to 4"/>
    <s v="6 to 8"/>
    <s v="Transaction Based "/>
    <s v="USD"/>
    <n v="7.83"/>
    <n v="2"/>
    <n v="1"/>
    <n v="0.5"/>
    <n v="1"/>
    <n v="4.5"/>
    <n v="0.22222222222222221"/>
    <n v="400"/>
    <n v="400"/>
    <s v="NA"/>
    <n v="30"/>
    <s v="90 days"/>
    <n v="0.98"/>
    <s v="DPU – Defect Per Unit"/>
    <s v="NA"/>
    <s v="NA"/>
    <s v="NA"/>
    <s v="NA"/>
    <s v="NA"/>
    <s v="NA"/>
    <s v="NA"/>
    <s v="NA"/>
    <s v="NA"/>
    <s v="NA"/>
    <s v="NA"/>
    <s v="NA"/>
    <s v="Multiple"/>
    <s v="Structured"/>
    <s v="Aspire : 100%"/>
    <s v="Multiple"/>
    <s v="UT/UW"/>
    <s v="Aspire, UWS, EPC, TAP, Dashboard, DMF, RST and Mobius"/>
  </r>
  <r>
    <x v="6"/>
    <s v="Top-10 US Commercial &amp; Specialty Carrier"/>
    <x v="4"/>
    <x v="3"/>
    <x v="2"/>
    <s v="Arpan Pandey, Varunjesh"/>
    <n v="2"/>
    <x v="1"/>
    <x v="2"/>
    <x v="3"/>
    <s v="Endorsements intake and setup"/>
    <s v="Submission, Policy Support, Bill Payment, Booking, Premium Accounting"/>
    <s v="Submission, Policy Support, Bill Payment, Booking, Premium Accounting"/>
    <x v="3"/>
    <x v="3"/>
    <s v="WC, Auto, Property, GL, Specialty"/>
    <s v="All"/>
    <x v="3"/>
    <s v="L3"/>
    <n v="2"/>
    <s v="2 to 4"/>
    <s v="6 to 8"/>
    <s v="FTE Based"/>
    <s v="USD"/>
    <n v="28000"/>
    <n v="22.45"/>
    <n v="2"/>
    <n v="0"/>
    <n v="2.5499999999999998"/>
    <n v="27"/>
    <n v="9.4444444444444442E-2"/>
    <n v="4600"/>
    <n v="4600"/>
    <s v="NA"/>
    <s v="30"/>
    <s v="1 Day"/>
    <n v="0.97"/>
    <s v="Weighted DPU – Weighted Defect Per Unit"/>
    <s v="NA"/>
    <s v="NA"/>
    <s v="NA"/>
    <s v="NA"/>
    <s v="NA"/>
    <s v="NA"/>
    <s v="NA"/>
    <s v="NA"/>
    <s v="NA"/>
    <s v="NA"/>
    <s v="NA"/>
    <s v="CNA"/>
    <s v="Claim adjusters/ Claim case owner"/>
    <s v="Unstructured"/>
    <s v="NA"/>
    <s v="Multiple"/>
    <s v="UT/UW"/>
    <s v="CCIS, Efile, Senator, CCIS"/>
  </r>
  <r>
    <x v="6"/>
    <s v="Top-10 US Commercial &amp; Specialty Carrier"/>
    <x v="4"/>
    <x v="3"/>
    <x v="2"/>
    <s v="Arpan Pandey, Varunjesh"/>
    <n v="2"/>
    <x v="1"/>
    <x v="1"/>
    <x v="1"/>
    <s v="Claim Setup and assignment"/>
    <s v="FNOL"/>
    <s v="Renewal Prep is the task we do on account level and this processed once rollover has been completed. In this task we upddate UW checklist in RST based on our workflow"/>
    <x v="3"/>
    <x v="3"/>
    <s v="WC, Auto, Property, GL, Specialty"/>
    <s v="All"/>
    <x v="3"/>
    <s v="L3"/>
    <n v="2"/>
    <s v="2 to 4"/>
    <s v="6 to 8"/>
    <s v="FTE Based"/>
    <s v="USD"/>
    <n v="28000"/>
    <n v="2"/>
    <n v="1"/>
    <n v="0"/>
    <n v="1"/>
    <n v="4"/>
    <n v="0.25"/>
    <n v="300"/>
    <n v="300"/>
    <s v="NA"/>
    <s v="15"/>
    <s v="Same Day"/>
    <n v="0.97"/>
    <s v="Weighted DPU – Weighted Defect Per Unit"/>
    <s v="NA"/>
    <s v="NA"/>
    <s v="NA"/>
    <s v="NA"/>
    <s v="NA"/>
    <s v="NA"/>
    <s v="NA"/>
    <s v="NA"/>
    <s v="NA"/>
    <s v="NA"/>
    <s v="NA"/>
    <s v="CNA"/>
    <s v="Multiple"/>
    <s v="Unstructured"/>
    <s v="NA"/>
    <s v="Multiple"/>
    <s v="Claim Handlers, Adjusters"/>
    <s v="CCIS, Efile, Senator, CCIS"/>
  </r>
  <r>
    <x v="6"/>
    <s v="Top-10 US Commercial &amp; Specialty Carrier"/>
    <x v="2"/>
    <x v="3"/>
    <x v="2"/>
    <s v="Arpan Pandey, Varunjesh"/>
    <n v="1"/>
    <x v="1"/>
    <x v="2"/>
    <x v="3"/>
    <s v="Endorsements intake and setup"/>
    <s v="Hardy, Multinational, CSC"/>
    <s v="Allocation, Booking, Submission, Renewal, Filing"/>
    <x v="2"/>
    <x v="3"/>
    <s v="Marine, Aviation, FS,, PS"/>
    <s v="All"/>
    <x v="3"/>
    <s v="L3"/>
    <n v="2"/>
    <s v="2 to 4"/>
    <s v="6 to 8"/>
    <s v="FTE Based"/>
    <s v="GBP"/>
    <n v="21526"/>
    <n v="20"/>
    <n v="3"/>
    <n v="2"/>
    <n v="8"/>
    <n v="33"/>
    <n v="0.24242424242424243"/>
    <n v="2800"/>
    <n v="2800"/>
    <s v="NA"/>
    <s v="45"/>
    <s v="5 Day"/>
    <n v="0.98"/>
    <s v="Weighted DPU – Weighted Defect Per Unit"/>
    <s v="NA"/>
    <s v="NA"/>
    <s v="NA"/>
    <s v="NA"/>
    <s v="NA"/>
    <s v="NA"/>
    <s v="NA"/>
    <s v="NA"/>
    <s v="NA"/>
    <s v="NA"/>
    <s v="NA"/>
    <s v="CNA"/>
    <s v="Multiple"/>
    <s v="Unstructured"/>
    <s v="NA"/>
    <s v="Multiple"/>
    <s v="UT/UW"/>
    <s v="Jitbit, Senator Efile, Sharefile"/>
  </r>
  <r>
    <x v="6"/>
    <s v="Top-10 US Commercial &amp; Specialty Carrier"/>
    <x v="2"/>
    <x v="3"/>
    <x v="2"/>
    <s v="Arpan Pandey, Varunjesh"/>
    <n v="1"/>
    <x v="1"/>
    <x v="1"/>
    <x v="1"/>
    <s v="Claim Setup and assignment"/>
    <s v="FNOL, Payment"/>
    <s v="Claims Set Up and Payments"/>
    <x v="2"/>
    <x v="3"/>
    <s v="Marine, Aviation, FS,, PS"/>
    <s v="All"/>
    <x v="3"/>
    <s v="L3"/>
    <n v="2"/>
    <s v="2 to 4"/>
    <s v="6 to 8"/>
    <s v="FTE Based"/>
    <s v="GBP"/>
    <n v="21526"/>
    <n v="5"/>
    <n v="1"/>
    <n v="1"/>
    <n v="1"/>
    <n v="8"/>
    <n v="0.125"/>
    <n v="300"/>
    <n v="300"/>
    <s v="NA"/>
    <s v="30"/>
    <s v="1 Day"/>
    <n v="0.98"/>
    <s v="Weighted DPU – Weighted Defect Per Unit"/>
    <s v="NA"/>
    <s v="NA"/>
    <s v="NA"/>
    <s v="NA"/>
    <s v="NA"/>
    <s v="NA"/>
    <s v="NA"/>
    <s v="NA"/>
    <s v="NA"/>
    <s v="NA"/>
    <s v="NA"/>
    <s v="CNA"/>
    <s v="Multiple"/>
    <s v="Unstructured"/>
    <s v="NA"/>
    <s v="Multiple"/>
    <s v="Claim Handlers, Adjusters"/>
    <s v="Jitbit, Senator Efile, Sharefile"/>
  </r>
  <r>
    <x v="6"/>
    <s v="Top-10 US Commercial &amp; Specialty Carrier"/>
    <x v="2"/>
    <x v="1"/>
    <x v="1"/>
    <s v="Mark Redondo"/>
    <n v="10"/>
    <x v="1"/>
    <x v="1"/>
    <x v="7"/>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x v="3"/>
    <x v="5"/>
    <s v="WC"/>
    <s v="All"/>
    <x v="2"/>
    <s v="L1"/>
    <n v="2"/>
    <n v="3"/>
    <n v="3"/>
    <s v="Transaction Based "/>
    <s v="USD"/>
    <n v="27497.519999999997"/>
    <n v="1"/>
    <n v="0"/>
    <n v="0"/>
    <n v="0"/>
    <n v="1"/>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x v="6"/>
    <s v="Top-10 US Commercial &amp; Specialty Carrier"/>
    <x v="2"/>
    <x v="1"/>
    <x v="1"/>
    <s v="Mark Redondo"/>
    <n v="10"/>
    <x v="1"/>
    <x v="1"/>
    <x v="7"/>
    <s v="Packet Prep, chronology summary"/>
    <s v="VP Regular, Extended, RX Summary, VP Tasks"/>
    <s v="Support Medical Case Managers (MCM) - Prepare the case before MCM handles them. Create clinical summaries and various adhoc tasks prior assigning to MCM. "/>
    <x v="3"/>
    <x v="5"/>
    <s v="WC"/>
    <s v="All"/>
    <x v="3"/>
    <s v="L3"/>
    <n v="2"/>
    <n v="3"/>
    <n v="5"/>
    <s v="Transaction Based "/>
    <s v="USD"/>
    <n v="31363.039999999997"/>
    <n v="3"/>
    <n v="1"/>
    <n v="1"/>
    <n v="0"/>
    <n v="5"/>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x v="6"/>
    <s v="Top-10 US Commercial &amp; Specialty Carrier"/>
    <x v="2"/>
    <x v="1"/>
    <x v="1"/>
    <s v="Mark Redondo"/>
    <n v="10"/>
    <x v="1"/>
    <x v="1"/>
    <x v="7"/>
    <s v="Determine assignment"/>
    <s v="NCM Screener"/>
    <s v="Review the treatment/ referral request based on injury guidelines, state specific rules and assign them to onshore Nurse case manager. Determine if assignment is going to internal or external case manager."/>
    <x v="3"/>
    <x v="5"/>
    <s v="WC"/>
    <s v="All"/>
    <x v="3"/>
    <s v="L3"/>
    <n v="2"/>
    <n v="3"/>
    <n v="3"/>
    <s v="Transaction Based "/>
    <s v="USD"/>
    <n v="31363.039999999997"/>
    <n v="2"/>
    <n v="1"/>
    <n v="0"/>
    <n v="0"/>
    <n v="3"/>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x v="6"/>
    <s v="Top-10 US Commercial &amp; Specialty Carrier"/>
    <x v="2"/>
    <x v="1"/>
    <x v="1"/>
    <s v="Mark Redondo"/>
    <n v="10"/>
    <x v="1"/>
    <x v="1"/>
    <x v="9"/>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x v="3"/>
    <x v="5"/>
    <s v="WC"/>
    <s v="All"/>
    <x v="3"/>
    <s v="L3"/>
    <n v="2"/>
    <n v="2"/>
    <n v="2"/>
    <s v="Transaction Based "/>
    <s v="USD"/>
    <n v="27497.519999999997"/>
    <n v="1"/>
    <n v="0"/>
    <n v="0"/>
    <n v="0"/>
    <n v="1"/>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x v="6"/>
    <s v="Top-10 US Commercial &amp; Specialty Carrier"/>
    <x v="2"/>
    <x v="1"/>
    <x v="1"/>
    <s v="Mark Redondo"/>
    <n v="8"/>
    <x v="1"/>
    <x v="1"/>
    <x v="9"/>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x v="3"/>
    <x v="5"/>
    <s v="WC"/>
    <s v="All"/>
    <x v="3"/>
    <s v="L3"/>
    <n v="2"/>
    <n v="4"/>
    <n v="4"/>
    <s v="Transaction Based "/>
    <s v="USD"/>
    <n v="29016.720000000001"/>
    <n v="14"/>
    <n v="1"/>
    <n v="1"/>
    <n v="0"/>
    <n v="16"/>
    <n v="0"/>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x v="6"/>
    <s v="Top-10 US Commercial &amp; Specialty Carrier"/>
    <x v="2"/>
    <x v="1"/>
    <x v="1"/>
    <s v="Mark Redondo"/>
    <n v="8"/>
    <x v="1"/>
    <x v="1"/>
    <x v="7"/>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x v="3"/>
    <x v="5"/>
    <s v="WC"/>
    <s v="All"/>
    <x v="2"/>
    <s v="L3"/>
    <n v="2"/>
    <n v="4"/>
    <n v="2"/>
    <s v="Transaction Based "/>
    <s v="USD"/>
    <n v="37338.560000000005"/>
    <n v="2"/>
    <n v="0"/>
    <n v="0"/>
    <n v="0"/>
    <n v="2"/>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x v="6"/>
    <s v="Top-10 US Commercial &amp; Specialty Carrier"/>
    <x v="2"/>
    <x v="1"/>
    <x v="1"/>
    <s v="Mark Redondo"/>
    <n v="8"/>
    <x v="1"/>
    <x v="2"/>
    <x v="12"/>
    <s v="Account Service and Coordination"/>
    <s v="Risk Control Review"/>
    <s v="Reviewing Closed Claims to identify the necessary data for Claim Studies."/>
    <x v="3"/>
    <x v="5"/>
    <s v="WC"/>
    <s v="All"/>
    <x v="3"/>
    <s v="L4"/>
    <n v="2"/>
    <n v="3"/>
    <n v="3"/>
    <s v="Transaction Based "/>
    <s v="USD"/>
    <n v="27497.519999999997"/>
    <n v="1"/>
    <n v="0"/>
    <n v="0"/>
    <n v="0"/>
    <n v="1"/>
    <n v="0"/>
    <n v="50"/>
    <n v="50"/>
    <s v="TBD"/>
    <s v="NA"/>
    <s v="N/A"/>
    <s v="N/A"/>
    <s v="Others"/>
    <s v="NA"/>
    <s v="NA"/>
    <s v="NA"/>
    <s v="NA"/>
    <s v="NA"/>
    <s v="NA"/>
    <s v="NA"/>
    <s v="NA"/>
    <s v="NA"/>
    <s v="NA"/>
    <s v="NA"/>
    <s v="NA"/>
    <s v="CNA "/>
    <s v="Semi-Structured"/>
    <s v="Semi-Structured"/>
    <s v="Instructions in Application"/>
    <s v="Risk Control Nurse, Injured workers, CN_A"/>
    <s v="Claim center, MS Access"/>
  </r>
  <r>
    <x v="6"/>
    <s v="Top-10 US Commercial &amp; Specialty Carrier"/>
    <x v="2"/>
    <x v="1"/>
    <x v="1"/>
    <s v="Mark Redondo"/>
    <n v="7"/>
    <x v="1"/>
    <x v="2"/>
    <x v="3"/>
    <s v="Mailroom Ops and Scanning"/>
    <s v="Return Mail"/>
    <s v="Obtain correct mailing addresses for returned mails"/>
    <x v="3"/>
    <x v="3"/>
    <s v="WC, Auto, PMT, CNP, CUP, CUE"/>
    <s v="All"/>
    <x v="1"/>
    <s v="L1"/>
    <n v="2"/>
    <n v="5"/>
    <n v="6"/>
    <s v="Transaction Based "/>
    <s v="USD"/>
    <n v="27497.519999999997"/>
    <n v="4"/>
    <n v="1"/>
    <n v="0"/>
    <n v="1"/>
    <n v="6"/>
    <n v="0.16666666666666666"/>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x v="6"/>
    <s v="Top-10 US Commercial &amp; Specialty Carrier"/>
    <x v="2"/>
    <x v="1"/>
    <x v="1"/>
    <s v="Mark Redondo"/>
    <n v="6"/>
    <x v="1"/>
    <x v="1"/>
    <x v="9"/>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x v="3"/>
    <x v="3"/>
    <s v="WC, Auto, PMT, CNP, CUP, CUE"/>
    <s v="All"/>
    <x v="3"/>
    <s v="L3"/>
    <n v="2"/>
    <n v="2"/>
    <n v="2"/>
    <s v="Transaction Based "/>
    <s v="USD"/>
    <n v="1.06"/>
    <n v="3"/>
    <n v="0"/>
    <n v="1"/>
    <n v="1"/>
    <n v="5"/>
    <n v="0.2"/>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x v="6"/>
    <s v="Top-10 US Commercial &amp; Specialty Carrier"/>
    <x v="2"/>
    <x v="1"/>
    <x v="1"/>
    <s v="Mark Redondo"/>
    <n v="8"/>
    <x v="1"/>
    <x v="1"/>
    <x v="7"/>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x v="3"/>
    <x v="3"/>
    <s v="WC, Auto, PMT, CNP, CUP, CUE"/>
    <s v="All"/>
    <x v="3"/>
    <s v="L3"/>
    <n v="2"/>
    <n v="1"/>
    <n v="4"/>
    <s v="Transaction Based "/>
    <s v="USD"/>
    <n v="1.06"/>
    <n v="1"/>
    <n v="0"/>
    <n v="0"/>
    <n v="0"/>
    <n v="1"/>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x v="7"/>
    <s v="Fortune 500 Global P&amp;C Carrier"/>
    <x v="5"/>
    <x v="4"/>
    <x v="2"/>
    <s v="Teresa Aldea"/>
    <n v="8"/>
    <x v="1"/>
    <x v="1"/>
    <x v="1"/>
    <s v="Indexing"/>
    <s v="Indexing"/>
    <s v="Documents received are indexed: either get attached to existing claim or moved to New Claims Queue to create a new claim"/>
    <x v="3"/>
    <x v="1"/>
    <s v="Auto/Motor"/>
    <s v="Mid Size"/>
    <x v="3"/>
    <s v="L2"/>
    <n v="1"/>
    <n v="2"/>
    <n v="4"/>
    <s v="FTE Based"/>
    <s v="AUD"/>
    <s v="AUD 31478"/>
    <n v="3"/>
    <n v="1"/>
    <n v="1"/>
    <n v="0"/>
    <n v="5"/>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x v="7"/>
    <s v="Fortune 500 Global P&amp;C Carrier"/>
    <x v="5"/>
    <x v="4"/>
    <x v="2"/>
    <s v="Teresa Aldea"/>
    <n v="8"/>
    <x v="1"/>
    <x v="1"/>
    <x v="1"/>
    <s v="Claim Setup and assignment"/>
    <s v="Motor Claims"/>
    <s v="New or existing claims are settled basis claims form, assessment report and repairer invoices submitted by the broker"/>
    <x v="3"/>
    <x v="1"/>
    <s v="Auto/Motor"/>
    <s v="Mid Size"/>
    <x v="3"/>
    <s v="L3"/>
    <n v="1"/>
    <n v="4"/>
    <n v="6"/>
    <s v="FTE Based"/>
    <s v="AUD"/>
    <s v="AUD 42534"/>
    <n v="11"/>
    <n v="1"/>
    <n v="1"/>
    <n v="5"/>
    <n v="18"/>
    <n v="0.27777777777777779"/>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x v="7"/>
    <s v="Fortune 500 Global P&amp;C Carrier"/>
    <x v="5"/>
    <x v="4"/>
    <x v="2"/>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x v="3"/>
    <x v="3"/>
    <s v="Motor and Marine"/>
    <s v="Mid Size &amp; Large"/>
    <x v="3"/>
    <s v="L3"/>
    <n v="1"/>
    <n v="4"/>
    <n v="8"/>
    <s v="FTE Based"/>
    <s v="AUD"/>
    <s v="AUD 42534"/>
    <n v="12"/>
    <n v="1"/>
    <n v="1"/>
    <n v="2"/>
    <n v="16"/>
    <n v="0.125"/>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6"/>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x v="3"/>
    <x v="3"/>
    <s v="Property, Construction and Engineering"/>
    <s v="Mid Size &amp; Large"/>
    <x v="3"/>
    <s v="L3"/>
    <n v="1"/>
    <n v="4"/>
    <n v="8"/>
    <s v="FTE Based"/>
    <s v="AUD"/>
    <s v="AUD 42534"/>
    <n v="8"/>
    <n v="2"/>
    <n v="1"/>
    <n v="1"/>
    <n v="12"/>
    <n v="8.3333333333333329E-2"/>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x v="3"/>
    <x v="3"/>
    <s v="Accident &amp; Health, Financial Lines and Liability"/>
    <s v="Mid Size &amp; Large"/>
    <x v="3"/>
    <s v="L3"/>
    <n v="1"/>
    <n v="4"/>
    <n v="8"/>
    <s v="FTE Based"/>
    <s v="AUD"/>
    <s v="AUD 42534"/>
    <n v="8"/>
    <n v="2"/>
    <n v="0"/>
    <n v="1"/>
    <n v="11"/>
    <n v="9.0909090909090912E-2"/>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x v="3"/>
    <x v="3"/>
    <s v="IPZ"/>
    <s v="Mid Size &amp; Large"/>
    <x v="3"/>
    <s v="L3"/>
    <n v="1"/>
    <n v="4"/>
    <n v="8"/>
    <s v="FTE Based"/>
    <s v="AUD"/>
    <s v="AUD 42534"/>
    <n v="4"/>
    <n v="1"/>
    <n v="0"/>
    <n v="1"/>
    <n v="6"/>
    <n v="0.16666666666666666"/>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x v="7"/>
    <s v="Fortune 500 Global P&amp;C Carrier"/>
    <x v="5"/>
    <x v="4"/>
    <x v="2"/>
    <s v="Teresa Aldea"/>
    <n v="8"/>
    <x v="1"/>
    <x v="2"/>
    <x v="5"/>
    <s v="New Business setup"/>
    <s v="Policy Servicing"/>
    <s v="Assisting Underwriters for processing of sendoing qutes , Bimnding of the policy ,  Endorsement, Renewal , CH, COC , LOA "/>
    <x v="3"/>
    <x v="9"/>
    <s v="SME Packages"/>
    <s v="Small &amp; Mid Size"/>
    <x v="3"/>
    <s v="L3"/>
    <n v="1"/>
    <n v="4"/>
    <n v="8"/>
    <s v="FTE Based"/>
    <s v="AUD"/>
    <s v="AUD 42534"/>
    <n v="10"/>
    <n v="1"/>
    <n v="1"/>
    <n v="2"/>
    <n v="14"/>
    <n v="0.14285714285714285"/>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x v="7"/>
    <s v="Fortune 500 Global P&amp;C Carrier"/>
    <x v="5"/>
    <x v="4"/>
    <x v="2"/>
    <s v="Teresa Aldea"/>
    <n v="8"/>
    <x v="1"/>
    <x v="2"/>
    <x v="2"/>
    <s v="Account Reconciliation"/>
    <s v="Packages Unmatched Cash"/>
    <s v="Reconcilation of unmatched Cash and tagging the cash received from broker onto the policies"/>
    <x v="3"/>
    <x v="9"/>
    <s v="SME Packages"/>
    <s v="Small &amp; Mid Size"/>
    <x v="3"/>
    <s v="L3"/>
    <n v="1"/>
    <n v="4"/>
    <n v="8"/>
    <s v="FTE Based"/>
    <s v="AUD"/>
    <s v="AUD 42534"/>
    <n v="4"/>
    <n v="1"/>
    <n v="0"/>
    <n v="1"/>
    <n v="6"/>
    <n v="0.16666666666666666"/>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x v="8"/>
    <s v="Large US Multi-Regional P&amp;C Carrier"/>
    <x v="2"/>
    <x v="5"/>
    <x v="3"/>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x v="1"/>
    <x v="3"/>
    <s v="Personal lines - Billing "/>
    <s v="Small &amp; Mid Size"/>
    <x v="1"/>
    <s v="L1"/>
    <n v="4"/>
    <s v="4 to 8"/>
    <n v="4"/>
    <s v="FTE Based"/>
    <s v="USD"/>
    <n v="35000"/>
    <n v="14"/>
    <n v="1"/>
    <n v="1"/>
    <n v="5"/>
    <n v="21"/>
    <n v="0.23809523809523808"/>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x v="8"/>
    <s v="Large US Multi-Regional P&amp;C Carrier"/>
    <x v="2"/>
    <x v="5"/>
    <x v="3"/>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x v="1"/>
    <x v="1"/>
    <s v="Auto"/>
    <s v="All"/>
    <x v="1"/>
    <s v="L2"/>
    <n v="3"/>
    <n v="5"/>
    <n v="8"/>
    <s v="FTE Based"/>
    <s v="USD"/>
    <n v="35000"/>
    <n v="10"/>
    <n v="1"/>
    <n v="1"/>
    <n v="5"/>
    <n v="17"/>
    <n v="0.29411764705882354"/>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x v="8"/>
    <s v="Large US Multi-Regional P&amp;C Carrier"/>
    <x v="2"/>
    <x v="5"/>
    <x v="3"/>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x v="3"/>
    <x v="3"/>
    <s v="Commercial, Agency Billing"/>
    <s v="All"/>
    <x v="1"/>
    <s v="L2"/>
    <n v="3"/>
    <n v="5"/>
    <n v="8"/>
    <s v="FTE Based"/>
    <s v="USD"/>
    <n v="35000"/>
    <n v="18"/>
    <n v="1"/>
    <n v="1"/>
    <n v="5"/>
    <n v="25"/>
    <n v="0.2"/>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x v="9"/>
    <s v="Leading specialist (Re)insurance group of UK"/>
    <x v="3"/>
    <x v="4"/>
    <x v="2"/>
    <s v="Deepak Pardeshi/Pranabendu Barman"/>
    <n v="2"/>
    <x v="1"/>
    <x v="2"/>
    <x v="5"/>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x v="5"/>
    <x v="3"/>
    <s v="Property and Casualty, Marine, Aviation and Aerospace, Credit and Political Risk, Property D&amp;F Reinsurance, Kidnap and Ransom, War Breach and Yacht"/>
    <s v="All"/>
    <x v="3"/>
    <s v="L3"/>
    <n v="1"/>
    <n v="3"/>
    <n v="5"/>
    <s v="FTE Based"/>
    <s v="GBP"/>
    <s v="(FTE) : GBP 23473,(SME) : GBP 28295       (Supervisor) : GBP 37579"/>
    <n v="55.5"/>
    <n v="9"/>
    <n v="6"/>
    <n v="19.5"/>
    <n v="90"/>
    <n v="0.21666666666666667"/>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x v="10"/>
    <s v="Fortune 100 APAC P&amp;C Carrier"/>
    <x v="5"/>
    <x v="7"/>
    <x v="1"/>
    <s v="Jerome Estares"/>
    <s v="9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x v="1"/>
    <x v="3"/>
    <s v="• Lodgments_x000a_•  Motor &amp; Home Claims Enquiry_x000a_•  Fast Track Claims Management_x000a_•  Digital Lodgments_x000a_•  Supplier Payments"/>
    <s v="Mid Size"/>
    <x v="1"/>
    <s v="L2"/>
    <s v="1 week"/>
    <s v="5 weeks"/>
    <s v="2 week"/>
    <s v="FTE Based"/>
    <s v="AUD"/>
    <n v="22.64"/>
    <n v="113"/>
    <n v="11"/>
    <n v="9"/>
    <n v="11"/>
    <n v="144"/>
    <n v="7.6388888888888895E-2"/>
    <n v="14970"/>
    <s v="Home Lodgments - 892_x000a_Motor Claims - 8495_x000a_Home Claims - 5583"/>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0"/>
    <s v="Fortune 100 APAC P&amp;C Carrier"/>
    <x v="5"/>
    <x v="5"/>
    <x v="3"/>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x v="1"/>
    <x v="3"/>
    <s v="• Lodgments_x000a_•  Motor &amp; Home Claims Enquiry_x000a_•  Broker Lodgments_x000a_•  Digital Lodgments_x000a_•  Supplier Payments_x000a_•  Mailbox Management"/>
    <s v="Mid Size"/>
    <x v="1"/>
    <s v="L2"/>
    <s v="1 week"/>
    <s v="5 weeks"/>
    <s v="1 week"/>
    <s v="FTE Based"/>
    <s v="AUD"/>
    <s v="22.64 per hour"/>
    <n v="131"/>
    <n v="14"/>
    <n v="17"/>
    <n v="47"/>
    <n v="209"/>
    <n v="0.22488038277511962"/>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1"/>
    <s v="International speciality Insurance and Reinsurance"/>
    <x v="3"/>
    <x v="4"/>
    <x v="2"/>
    <s v="Aghraja Bhatia, Deepak Bansal"/>
    <n v="1"/>
    <x v="1"/>
    <x v="2"/>
    <x v="5"/>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x v="5"/>
    <x v="3"/>
    <s v="Property and Casualty, Marine, Aviation and Aerospace, Credit and Political Risk, Property D&amp;F Reinsurance, Kidnap and Ransom, War Breach and Yatch"/>
    <s v="All"/>
    <x v="3"/>
    <s v="L4"/>
    <n v="1"/>
    <n v="6"/>
    <n v="4"/>
    <s v="FTE Based"/>
    <s v="USD"/>
    <s v="$184,652.1 - Including all bands "/>
    <n v="49"/>
    <n v="14"/>
    <n v="6"/>
    <n v="4"/>
    <n v="73"/>
    <n v="5.4794520547945202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x v="11"/>
    <s v="International speciality Insurance and Reinsurance"/>
    <x v="3"/>
    <x v="4"/>
    <x v="2"/>
    <s v="Aghraja Bhatia, Deepak Bansal"/>
    <n v="1"/>
    <x v="1"/>
    <x v="1"/>
    <x v="4"/>
    <s v="Claim Coding"/>
    <s v="Bureau and Non-Bureau Claim coding "/>
    <s v="Claim Coding "/>
    <x v="5"/>
    <x v="3"/>
    <s v="Property and Casualty, Marine, Aviation and Aerospace, Credit and Political Risk, Property D&amp;F Reinsurance, Kidnap and Ransom, War Breach and Yatch"/>
    <s v="All"/>
    <x v="3"/>
    <s v="L4"/>
    <n v="1"/>
    <n v="6"/>
    <n v="4"/>
    <s v="FTE Based"/>
    <s v="USD"/>
    <s v="53715.10 - Including all bands "/>
    <n v="11"/>
    <n v="1"/>
    <n v="1"/>
    <n v="2"/>
    <n v="15"/>
    <n v="0.13333333333333333"/>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x v="12"/>
    <s v="Fortune 100 US P&amp;C Carrier"/>
    <x v="2"/>
    <x v="5"/>
    <x v="3"/>
    <s v="Bradley Somayi"/>
    <n v="1.5"/>
    <x v="1"/>
    <x v="1"/>
    <x v="1"/>
    <s v="First Notice of Loss Calls"/>
    <s v="FNOL"/>
    <s v="Handle FNOL calls for Auto and Property losses and setup claims on the system "/>
    <x v="1"/>
    <x v="4"/>
    <s v="Auto - 80-90%_x000a_Property - 10-20%"/>
    <s v="Large"/>
    <x v="1"/>
    <s v="L3"/>
    <n v="3"/>
    <n v="3"/>
    <n v="6"/>
    <s v="FTE Based"/>
    <s v="USD"/>
    <n v="36500"/>
    <n v="33"/>
    <n v="5"/>
    <n v="7"/>
    <n v="32"/>
    <n v="77"/>
    <n v="0.41558441558441561"/>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x v="2"/>
    <x v="8"/>
    <x v="4"/>
    <s v="Bradley Somayi"/>
    <n v="1.5"/>
    <x v="1"/>
    <x v="1"/>
    <x v="1"/>
    <s v="First Notice of Loss Calls"/>
    <s v="FNOL"/>
    <s v="Handle FNOL calls for Auto and Property losses and setup claims on the system "/>
    <x v="1"/>
    <x v="4"/>
    <s v="Auto - 80-90%_x000a_Property - 10-20%"/>
    <s v="Large"/>
    <x v="1"/>
    <s v="L3"/>
    <n v="3"/>
    <n v="3"/>
    <n v="6"/>
    <s v="FTE Based"/>
    <s v="USD"/>
    <n v="41600"/>
    <n v="10"/>
    <n v="1"/>
    <n v="1"/>
    <n v="11"/>
    <n v="23"/>
    <n v="0.4782608695652174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x v="2"/>
    <x v="5"/>
    <x v="3"/>
    <s v="Bradley Somayi"/>
    <n v="1.5"/>
    <x v="1"/>
    <x v="3"/>
    <x v="13"/>
    <s v="General Inquiry"/>
    <s v="General Inquiry"/>
    <s v="Answers incoming billing, payment telephone calls from agents, policyholders and other parties according to procedure"/>
    <x v="1"/>
    <x v="4"/>
    <s v="Auto - 80-90%_x000a_Property - 10-20%"/>
    <s v="Large"/>
    <x v="1"/>
    <s v="L3"/>
    <n v="3"/>
    <n v="2"/>
    <n v="2"/>
    <s v="FTE Based"/>
    <s v="USD"/>
    <n v="36500"/>
    <n v="14"/>
    <n v="3"/>
    <n v="1"/>
    <n v="16"/>
    <n v="34"/>
    <n v="0.47058823529411764"/>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General Inquiry"/>
    <s v="General Inquiry"/>
    <s v="Answers incoming billing, payment telephone calls from agents, policyholders and other parties according to procedure"/>
    <x v="1"/>
    <x v="4"/>
    <s v="Auto - 80-90%_x000a_Property - 10-20%"/>
    <s v="Large"/>
    <x v="1"/>
    <s v="L3"/>
    <n v="3"/>
    <n v="2"/>
    <n v="2"/>
    <s v="FTE Based"/>
    <s v="USD"/>
    <n v="41600"/>
    <n v="2"/>
    <n v="0"/>
    <n v="1"/>
    <n v="3"/>
    <n v="6"/>
    <n v="0.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Guidewire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12"/>
    <n v="3"/>
    <n v="3"/>
    <n v="14"/>
    <n v="32"/>
    <n v="0.437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Query Resolution"/>
    <s v="Guidewire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41600"/>
    <n v="4"/>
    <n v="1"/>
    <n v="1"/>
    <n v="7"/>
    <n v="13"/>
    <n v="0.53846153846153844"/>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Tronweb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7"/>
    <n v="2"/>
    <n v="1"/>
    <n v="10"/>
    <n v="20"/>
    <n v="0.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Query Resolution"/>
    <s v="Tronweb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41600"/>
    <n v="4"/>
    <n v="1"/>
    <n v="0"/>
    <n v="6"/>
    <n v="11"/>
    <n v="0.54545454545454541"/>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V12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9"/>
    <n v="2"/>
    <n v="1"/>
    <n v="9"/>
    <n v="21"/>
    <n v="0.4285714285714285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3"/>
    <x v="2"/>
    <s v="Anurag Kumar Gupta"/>
    <n v="1"/>
    <x v="1"/>
    <x v="2"/>
    <x v="3"/>
    <s v="Indexing"/>
    <s v="Support Services"/>
    <s v="Team is responsible to index the policies and claims for UW and Return to sender"/>
    <x v="1"/>
    <x v="4"/>
    <s v="Auto - 80-90%_x000a_Property - 10-20%"/>
    <s v="Large"/>
    <x v="3"/>
    <s v="L3"/>
    <n v="3"/>
    <n v="2"/>
    <n v="8"/>
    <s v="FTE Based"/>
    <s v="USD"/>
    <n v="36500"/>
    <n v="5"/>
    <n v="0"/>
    <n v="0.5"/>
    <n v="9"/>
    <n v="14.5"/>
    <n v="0.62068965517241381"/>
    <n v="75077"/>
    <s v="NA"/>
    <s v="November - February"/>
    <s v="1 - 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14"/>
    <s v="Prep Pricing"/>
    <s v="PL Validation"/>
    <s v="Process auto Endorsement/Cancellation/Reinstatement and policy related adjustments, Loss Runs, Inspections and quotes."/>
    <x v="1"/>
    <x v="4"/>
    <s v="Auto - 100%"/>
    <s v="Large"/>
    <x v="3"/>
    <s v="L3"/>
    <n v="3"/>
    <n v="4"/>
    <n v="8"/>
    <s v="FTE Based"/>
    <s v="USD"/>
    <n v="36500"/>
    <n v="9"/>
    <n v="1"/>
    <n v="0.5"/>
    <n v="12"/>
    <n v="22.5"/>
    <n v="0.53333333333333333"/>
    <n v="21541"/>
    <s v="NA"/>
    <s v="November - February"/>
    <s v="3 - 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Endorsements intake and setup"/>
    <s v="PL Auto"/>
    <s v="Process endorsement on current and renewal term on Home policy"/>
    <x v="1"/>
    <x v="1"/>
    <s v="Auto - 100%"/>
    <s v="Large"/>
    <x v="3"/>
    <s v="L3"/>
    <n v="3"/>
    <n v="4"/>
    <n v="8"/>
    <s v="FTE Based"/>
    <s v="USD"/>
    <n v="36500"/>
    <n v="10"/>
    <n v="0"/>
    <n v="1"/>
    <n v="15"/>
    <n v="26"/>
    <n v="0.57692307692307687"/>
    <n v="18860"/>
    <s v="NA"/>
    <s v="November - February"/>
    <s v="5 - 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Endorsements intake and setup"/>
    <s v="PL Property"/>
    <s v="Team review the eligibility criteria to giving the discount on premium prior to renewal basis historical trend"/>
    <x v="1"/>
    <x v="2"/>
    <s v="Property - 100%"/>
    <s v="Large"/>
    <x v="3"/>
    <s v="L3"/>
    <n v="3"/>
    <n v="4"/>
    <n v="8"/>
    <s v="FTE Based"/>
    <s v="USD"/>
    <n v="36500"/>
    <n v="16"/>
    <n v="0"/>
    <n v="1"/>
    <n v="21"/>
    <n v="38"/>
    <n v="0.55263157894736847"/>
    <n v="5587"/>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CL Property"/>
    <s v="Commercial lines property endorsement is an optional addition to a commercial property insurance policy that provides mid-term changes to supplemental coverages and modifications to the standard policy. We also handles inspection, loss runs and quotes."/>
    <x v="3"/>
    <x v="2"/>
    <s v="Property - 100%"/>
    <s v="Large"/>
    <x v="3"/>
    <s v="L3"/>
    <n v="3"/>
    <n v="4"/>
    <n v="8"/>
    <s v="FTE Based"/>
    <s v="USD"/>
    <n v="36500"/>
    <n v="2"/>
    <n v="0"/>
    <n v="0.7"/>
    <n v="3"/>
    <n v="5.7"/>
    <n v="0.52631578947368418"/>
    <n v="1073"/>
    <s v="NA"/>
    <s v="November - February"/>
    <s v="10 - 1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CL Auto"/>
    <s v="Commercial lines auto endorsement is an optional addition to a commercial auto insurance policy that provides mid-term changes to supplemental coverages and modifications to the standard policy"/>
    <x v="3"/>
    <x v="1"/>
    <s v="Auto - 100%"/>
    <s v="Large"/>
    <x v="3"/>
    <s v="L3"/>
    <n v="3"/>
    <n v="4"/>
    <n v="8"/>
    <s v="FTE Based"/>
    <s v="USD"/>
    <n v="36500"/>
    <n v="9"/>
    <n v="0"/>
    <n v="0.3"/>
    <n v="12"/>
    <n v="21.3"/>
    <n v="0.56338028169014087"/>
    <n v="2708"/>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3"/>
    <x v="13"/>
    <s v="Quotes"/>
    <s v="Bookroll"/>
    <s v="Team is handling the quote to the agent as per the dec pages of the prior carrier of the insured"/>
    <x v="1"/>
    <x v="4"/>
    <s v="Auto - 80-90%_x000a_Property - 10-20%"/>
    <s v="Large"/>
    <x v="3"/>
    <s v="L3"/>
    <n v="3"/>
    <n v="4"/>
    <n v="8"/>
    <s v="FTE Based"/>
    <s v="USD"/>
    <n v="36500"/>
    <n v="6"/>
    <n v="1"/>
    <n v="0.8"/>
    <n v="7"/>
    <n v="14.8"/>
    <n v="0.47297297297297297"/>
    <n v="390"/>
    <s v="NA"/>
    <s v="November - February"/>
    <s v="20 - 4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Tronweb"/>
    <s v="Team is handling the endorsement through tronweb application"/>
    <x v="1"/>
    <x v="4"/>
    <s v="Auto - 80-90%_x000a_Property - 10-20%"/>
    <s v="Large"/>
    <x v="3"/>
    <s v="L3"/>
    <n v="3"/>
    <n v="4"/>
    <n v="8"/>
    <s v="FTE Based"/>
    <s v="USD"/>
    <n v="36500"/>
    <n v="2"/>
    <n v="0"/>
    <n v="0.2"/>
    <n v="4"/>
    <n v="6.2"/>
    <n v="0.64516129032258063"/>
    <n v="437"/>
    <s v="NA"/>
    <s v="November - February"/>
    <s v="13 - 1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V12"/>
    <s v="Team manages Insurance Premiums, Endorsement, Cancellation, Waive Fees, Reinstatement and policy related adjustments on legacy"/>
    <x v="1"/>
    <x v="4"/>
    <s v="Auto - 80-90%_x000a_Property - 10-20%"/>
    <s v="Large"/>
    <x v="3"/>
    <s v="L3"/>
    <n v="3"/>
    <n v="4"/>
    <n v="8"/>
    <s v="FTE Based"/>
    <s v="USD"/>
    <n v="36500"/>
    <n v="9"/>
    <n v="0"/>
    <n v="0.5"/>
    <n v="11"/>
    <n v="20.5"/>
    <n v="0.53658536585365857"/>
    <n v="6352"/>
    <s v="NA"/>
    <s v="November - February"/>
    <s v="9 - 1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Premium Billing and Collections"/>
    <s v="Premium Accounting"/>
    <s v="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
    <x v="1"/>
    <x v="4"/>
    <s v="Auto - 80-90%_x000a_Property - 10-20%"/>
    <s v="Large"/>
    <x v="3"/>
    <s v="L3"/>
    <n v="3"/>
    <n v="4"/>
    <n v="8"/>
    <s v="FTE Based"/>
    <s v="USD"/>
    <n v="36500"/>
    <n v="9"/>
    <n v="0"/>
    <n v="0.5"/>
    <n v="11"/>
    <n v="20.5"/>
    <n v="0.53658536585365857"/>
    <n v="9692"/>
    <s v="NA"/>
    <s v="November - February"/>
    <s v="7 - 8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
    <s v="Fortune 500 &amp; Large US Insurance carrier"/>
    <x v="2"/>
    <x v="3"/>
    <x v="2"/>
    <s v="Saurabh Sharma "/>
    <s v="9 months "/>
    <x v="1"/>
    <x v="1"/>
    <x v="8"/>
    <s v="Initiate Recovery Collection &amp; processing"/>
    <s v="Collision Recovery Specialist - Issuing Demand/Deductible"/>
    <s v="In this activity we issue demans to recover our insured vehicle repaired cost from adverse carrier and also issue deductible for both insured and third parties"/>
    <x v="1"/>
    <x v="1"/>
    <s v="Auto"/>
    <s v="All"/>
    <x v="3"/>
    <s v="L2"/>
    <n v="2"/>
    <n v="1"/>
    <n v="8"/>
    <s v="FTE Based"/>
    <s v="USD"/>
    <s v="$26,838"/>
    <n v="4"/>
    <n v="0.5"/>
    <n v="0.25"/>
    <n v="2"/>
    <n v="6.75"/>
    <n v="0.29629629629629628"/>
    <n v="3695"/>
    <s v="NA"/>
    <s v="NA"/>
    <n v="1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E-Subro hub, Agero, Copart, CCS,CCC, Collect One "/>
  </r>
  <r>
    <x v="1"/>
    <s v="Fortune 500 &amp; Large US Insurance carrier"/>
    <x v="2"/>
    <x v="3"/>
    <x v="2"/>
    <s v="Saurabh Sharma "/>
    <s v="9 months "/>
    <x v="1"/>
    <x v="1"/>
    <x v="8"/>
    <s v="Initiate Recovery Collection &amp; processing"/>
    <s v="First Party Medical - Issuing Demand"/>
    <s v="In FPM, we issue demands to the adverse carriers for all the medical expenses we have incurred while treating our insured's injuries. We attached proofs and medical expenses and send the demands through mail, email or fax. We also send letters to attorneys and  law firms  if required"/>
    <x v="1"/>
    <x v="1"/>
    <s v="Auto"/>
    <s v="All"/>
    <x v="3"/>
    <s v="L2"/>
    <n v="2"/>
    <n v="1"/>
    <n v="8"/>
    <s v="FTE Based"/>
    <s v="USD"/>
    <s v="$26,838"/>
    <n v="1.1100000000000001"/>
    <n v="0.5"/>
    <n v="0.25"/>
    <n v="2"/>
    <n v="3.8600000000000003"/>
    <n v="0.51813471502590669"/>
    <n v="591.66666666666663"/>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8"/>
    <s v="Initiate Recovery Collection &amp; processing"/>
    <s v="Property Damage Specialist - Issuing Check"/>
    <s v="In this activity, we issue checks to the other parties for property damages via checks only after confirming all the details of the payee are correct and matches with the activity"/>
    <x v="1"/>
    <x v="1"/>
    <s v="Auto"/>
    <s v="All"/>
    <x v="3"/>
    <s v="L2"/>
    <n v="2"/>
    <n v="1"/>
    <n v="8"/>
    <s v="FTE Based"/>
    <s v="USD"/>
    <s v="$26,838"/>
    <n v="0.68"/>
    <n v="0.5"/>
    <n v="0.25"/>
    <n v="2"/>
    <n v="3.43"/>
    <n v="0.58309037900874627"/>
    <n v="1648.3333333333333"/>
    <s v="NA"/>
    <s v="NA"/>
    <n v="4.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8"/>
    <s v="Initiate Recovery Collection &amp; processing"/>
    <s v="Vendor - Manual List Review &amp; Issuing Deductible"/>
    <s v="In vendor, we check if we have recovered enough money which is higher than the insured's deductible. If we have recovered more than the insured's deductible amount, we go ahead and issue the deductible of the insured after making sure the insured is yet to recieve the deductible "/>
    <x v="1"/>
    <x v="1"/>
    <s v="Auto"/>
    <s v="All"/>
    <x v="3"/>
    <s v="L2"/>
    <n v="2"/>
    <n v="1"/>
    <n v="8"/>
    <s v="FTE Based"/>
    <s v="USD"/>
    <s v="$26,838"/>
    <n v="0.21"/>
    <n v="0.5"/>
    <n v="0.25"/>
    <n v="2"/>
    <n v="2.96"/>
    <n v="0.67567567567567566"/>
    <n v="347.33333333333331"/>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Upload Litigations Documents"/>
    <s v="Receive an email in outlook from adjuster wherein we have to  check the subject line with claim number and upload the documents on claim center and then activity assign to the adjuster."/>
    <x v="1"/>
    <x v="3"/>
    <s v="GL"/>
    <s v="All"/>
    <x v="3"/>
    <s v="L3"/>
    <n v="2"/>
    <n v="2"/>
    <n v="14"/>
    <s v="FTE Based"/>
    <s v="USD"/>
    <s v="$30600"/>
    <n v="0.39"/>
    <n v="0.18181818181818182"/>
    <n v="9.0909090909090912E-2"/>
    <n v="0.5"/>
    <n v="1.1627272727272726"/>
    <n v="0.43002345582486323"/>
    <n v="619"/>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Outlook and CMS"/>
  </r>
  <r>
    <x v="1"/>
    <s v="Fortune 500 &amp; Large US Insurance carrier"/>
    <x v="2"/>
    <x v="3"/>
    <x v="2"/>
    <s v="Saurabh Sharma "/>
    <s v="9 months "/>
    <x v="1"/>
    <x v="1"/>
    <x v="4"/>
    <s v="Gathering relevant reports"/>
    <s v="Medicare Welcome Packet"/>
    <s v="Receive an activity in claim center with letter number - (99801/101188) in which, we have to generate the letter to attorney or Injured party via mail or email."/>
    <x v="1"/>
    <x v="3"/>
    <s v="GL"/>
    <s v="All"/>
    <x v="3"/>
    <s v="L3"/>
    <n v="2"/>
    <n v="2"/>
    <n v="14"/>
    <s v="FTE Based"/>
    <s v="USD"/>
    <s v="$30600"/>
    <n v="0.28000000000000003"/>
    <n v="0.18181818181818182"/>
    <n v="9.0909090909090912E-2"/>
    <n v="0.5"/>
    <n v="1.0527272727272727"/>
    <n v="0.47495682210708118"/>
    <n v="368.33333333333331"/>
    <s v="NA"/>
    <s v="NA"/>
    <n v="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Initiating Medicare case reporting"/>
    <s v="We find the beneficiary on government portal i.e CMS WEBSITE in which we put the details of beneficiary such as: DOB, LAST NAME, DOL, SSN number and add the Diagnosis Code (ICD CODE) and create Case ID. After that we assign the activity to the adjuster."/>
    <x v="1"/>
    <x v="3"/>
    <s v="GL"/>
    <s v="All"/>
    <x v="3"/>
    <s v="L3"/>
    <n v="2"/>
    <n v="2"/>
    <n v="14"/>
    <s v="FTE Based"/>
    <s v="USD"/>
    <s v="$30600"/>
    <n v="0.23"/>
    <n v="0.18181818181818182"/>
    <n v="9.0909090909090912E-2"/>
    <n v="0.5"/>
    <n v="1.0027272727272729"/>
    <n v="0.49864007252946502"/>
    <n v="330.66666666666669"/>
    <s v="NA"/>
    <s v="NA"/>
    <n v="2.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MAP/PDP"/>
    <s v="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
    <x v="1"/>
    <x v="3"/>
    <s v="GL"/>
    <s v="All"/>
    <x v="3"/>
    <s v="L3"/>
    <n v="2"/>
    <n v="2"/>
    <n v="14"/>
    <s v="FTE Based"/>
    <s v="USD"/>
    <s v="$30600"/>
    <n v="5.82"/>
    <n v="0.18181818181818182"/>
    <n v="9.0909090909090912E-2"/>
    <n v="5"/>
    <n v="11.092727272727274"/>
    <n v="0.45074577938042942"/>
    <n v="1639.3333333333333"/>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Release Follow-Up"/>
    <s v="In this activity, we share the email with the claimant to complete the signing process per the instructions on the document"/>
    <x v="1"/>
    <x v="3"/>
    <s v="GL"/>
    <s v="All"/>
    <x v="3"/>
    <s v="L3"/>
    <n v="2"/>
    <n v="2"/>
    <n v="14"/>
    <s v="FTE Based"/>
    <s v="USD"/>
    <s v="$30600"/>
    <n v="0.01"/>
    <n v="0.18181818181818182"/>
    <n v="9.0909090909090912E-2"/>
    <n v="1"/>
    <n v="1.2827272727272727"/>
    <n v="0.77958894401133949"/>
    <n v="8.6666666666666661"/>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NY Checks"/>
    <s v="Docs are provided in the claim, according to which we issue the checks to provider and attorney."/>
    <x v="1"/>
    <x v="3"/>
    <s v="GL"/>
    <s v="All"/>
    <x v="3"/>
    <s v="L3"/>
    <n v="2"/>
    <n v="2"/>
    <n v="14"/>
    <s v="FTE Based"/>
    <s v="USD"/>
    <s v="$30600"/>
    <n v="1.03"/>
    <n v="0.18181818181818182"/>
    <n v="9.0909090909090912E-2"/>
    <n v="1"/>
    <n v="2.3027272727272727"/>
    <n v="0.43426766679826295"/>
    <n v="521.33333333333337"/>
    <s v="NA"/>
    <s v="NA"/>
    <n v="11.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Expert Issue Payment"/>
    <s v="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
    <x v="1"/>
    <x v="3"/>
    <s v="GL"/>
    <s v="All"/>
    <x v="3"/>
    <s v="L3"/>
    <n v="2"/>
    <n v="2"/>
    <n v="14"/>
    <s v="FTE Based"/>
    <s v="USD"/>
    <s v="$30600"/>
    <n v="0.34"/>
    <n v="0.18181818181818182"/>
    <n v="9.0909090909090912E-2"/>
    <n v="0.5"/>
    <n v="1.1127272727272728"/>
    <n v="0.44934640522875813"/>
    <n v="242.33333333333334"/>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FPM Packages"/>
    <s v="In this activity, letter is created via using related template, in which injured party's Medpay limit is mentioned. Thereafter it is send via Esign/Mail/Email."/>
    <x v="1"/>
    <x v="3"/>
    <s v="GL"/>
    <s v="All"/>
    <x v="3"/>
    <s v="L3"/>
    <n v="2"/>
    <n v="2"/>
    <n v="14"/>
    <s v="FTE Based"/>
    <s v="USD"/>
    <s v="$30600"/>
    <n v="0.9"/>
    <n v="0.18181818181818182"/>
    <n v="9.0909090909090912E-2"/>
    <n v="1"/>
    <n v="2.1727272727272728"/>
    <n v="0.46025104602510458"/>
    <n v="1135"/>
    <s v="NA"/>
    <s v="NA"/>
    <n v="2"/>
    <s v="1 business day "/>
    <s v="Compliance% - 98.50%, Handling% -  95%"/>
    <s v="Weighted DPO – Weighted Defect Per Opportunity"/>
    <s v="NA"/>
    <s v="NA"/>
    <s v="Manual Data retrieval  and reporting "/>
    <s v="NA"/>
    <s v="NA"/>
    <s v="NA"/>
    <s v="NA"/>
    <s v="NA"/>
    <s v=")"/>
    <s v="NA"/>
    <s v="NA"/>
    <s v="Client's claims department / adjusters"/>
    <s v="Multiple"/>
    <s v="Structured"/>
    <s v="NA"/>
    <s v="Multiple"/>
    <m/>
    <m/>
  </r>
  <r>
    <x v="1"/>
    <s v="Fortune 500 &amp; Large US Insurance carrier"/>
    <x v="2"/>
    <x v="3"/>
    <x v="2"/>
    <s v="Saurabh Sharma "/>
    <s v="9 months "/>
    <x v="1"/>
    <x v="1"/>
    <x v="4"/>
    <s v="Gathering relevant reports"/>
    <s v="NILC"/>
    <s v="In this activity, we update the profiles of the adjusters by adding Personal Standard Auto/English"/>
    <x v="1"/>
    <x v="3"/>
    <s v="GL"/>
    <s v="All"/>
    <x v="3"/>
    <s v="L3"/>
    <n v="2"/>
    <n v="2"/>
    <n v="14"/>
    <s v="FTE Based"/>
    <s v="USD"/>
    <s v="$30600"/>
    <n v="2"/>
    <n v="0.18181818181818182"/>
    <n v="9.0909090909090912E-2"/>
    <n v="2"/>
    <n v="4.2727272727272725"/>
    <n v="0.46808510638297873"/>
    <n v="719.33333333333337"/>
    <s v="NA"/>
    <s v="NA"/>
    <s v="60-90 seconds/profile update "/>
    <s v="1 hour"/>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Captiva Claims Indexing – Physical Paper/Faxes"/>
    <s v="When a document is received in captiva application we check for alignment, then review the document and upload to the releavant policy and claims as necessary. In case of invalid documents exception is mentioned on the cases as invalid documents and assignment is closed"/>
    <x v="2"/>
    <x v="7"/>
    <s v="ES&amp;S"/>
    <s v="All"/>
    <x v="3"/>
    <s v="L3"/>
    <n v="2"/>
    <n v="9"/>
    <n v="7"/>
    <s v="FTE Based"/>
    <s v="USD"/>
    <s v="$25476"/>
    <n v="0.24"/>
    <n v="0.5"/>
    <n v="0.25"/>
    <n v="1"/>
    <n v="1.99"/>
    <n v="0.50251256281407031"/>
    <n v="662"/>
    <s v="NA"/>
    <s v="NA"/>
    <n v="1.88"/>
    <s v="1 business day "/>
    <s v="Handling% - 95%"/>
    <s v="DPU – Defect Per Unit"/>
    <s v="NA"/>
    <s v="NA"/>
    <s v="Manual Data retrieval  and reporting "/>
    <s v="NA"/>
    <s v="NA"/>
    <s v="NA"/>
    <s v="NA"/>
    <s v="NA"/>
    <s v="NA"/>
    <s v="NA"/>
    <s v="NA"/>
    <s v="Client's claims department / adjusters"/>
    <s v="Multiple"/>
    <s v="Semi-Structured"/>
    <s v="NA"/>
    <s v="Multiple"/>
    <m/>
    <s v="Guidewire_x000a_WP Macro_x000a_ODEI_x000a_Inbox_x000a_Omniview_x000a_Compex_x000a_LSI"/>
  </r>
  <r>
    <x v="1"/>
    <s v="Fortune 500 &amp; Large US Insurance carrier"/>
    <x v="2"/>
    <x v="3"/>
    <x v="2"/>
    <s v="Saurabh Sharma "/>
    <s v="9 months "/>
    <x v="1"/>
    <x v="1"/>
    <x v="4"/>
    <s v="Gathering relevant reports"/>
    <s v="Medical Records (Compex, LSI, MCS)"/>
    <s v=" In this activity we review all 3 inboxes for medical records and upload documents to the relevant claim, review and remove all blank pages and align docs in right direction and then ingested to the appropriate claim file in OmniView Claims workflow."/>
    <x v="2"/>
    <x v="7"/>
    <s v="ES&amp;S"/>
    <s v="All"/>
    <x v="3"/>
    <s v="L3"/>
    <n v="2"/>
    <n v="9"/>
    <n v="7"/>
    <s v="FTE Based"/>
    <s v="USD"/>
    <s v="$25476"/>
    <n v="0"/>
    <n v="0"/>
    <n v="0"/>
    <n v="0"/>
    <n v="0"/>
    <e v="#DIV/0!"/>
    <n v="0"/>
    <s v="NA"/>
    <s v="NA"/>
    <n v="2.6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ODEI ingestion of claims correspondence (Claims Inboxes) - Reports/Legal/Property"/>
    <s v="Emails are ingested into Omniview by selecting an Outlook &quot;button&quot; called ODEI that will send to Omniview for ingestion into the claim file correspondence after verifying notes &amp; Instructions on the email"/>
    <x v="2"/>
    <x v="7"/>
    <s v="ES&amp;S"/>
    <s v="All"/>
    <x v="3"/>
    <s v="L3"/>
    <n v="2"/>
    <n v="9"/>
    <n v="7"/>
    <s v="FTE Based"/>
    <s v="USD"/>
    <s v="$25476"/>
    <n v="7.85"/>
    <n v="0.5"/>
    <n v="0.25"/>
    <n v="1"/>
    <n v="9.6"/>
    <n v="0.10416666666666667"/>
    <n v="26202.333333333332"/>
    <s v="NA"/>
    <s v="NA"/>
    <n v="0.67"/>
    <s v="3 hours"/>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Restitution Letters"/>
    <s v="In Claim center,when activity is received we check for restitution instructions, loss description.Create restitution letter using template and then format it with stationery requirement. Then send the letter and ingest in Omniview"/>
    <x v="2"/>
    <x v="7"/>
    <s v="ES&amp;S"/>
    <s v="All"/>
    <x v="3"/>
    <s v="L3"/>
    <n v="2"/>
    <n v="9"/>
    <n v="7"/>
    <s v="FTE Based"/>
    <s v="USD"/>
    <s v="$25476"/>
    <n v="0"/>
    <n v="0"/>
    <n v="0"/>
    <n v="0"/>
    <n v="0"/>
    <e v="#DIV/0!"/>
    <n v="0"/>
    <s v="NA"/>
    <s v="NA"/>
    <n v="6.4"/>
    <s v="3 days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ESS Claims File Copy Requests (Copy Center)"/>
    <s v="Open letter and check for Police report and Indeminity amount, Then create letter as per police report and indeminity with address mentioned.Send the leter and ingest in Omniview"/>
    <x v="2"/>
    <x v="7"/>
    <s v="ES&amp;S"/>
    <s v="All"/>
    <x v="3"/>
    <s v="L3"/>
    <n v="2"/>
    <n v="9"/>
    <n v="7"/>
    <s v="FTE Based"/>
    <s v="USD"/>
    <s v="$25476"/>
    <n v="0.33"/>
    <n v="0.5"/>
    <n v="0.25"/>
    <n v="1"/>
    <n v="2.08"/>
    <n v="0.48076923076923073"/>
    <n v="295.66666666666669"/>
    <s v="NA"/>
    <s v="NA"/>
    <n v="3"/>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ESS Claims Word Processing Letters (Claims Handling Letters)"/>
    <s v="Create letters as per the instructions and required templates. Send the letter via email and cc claim processors.Same to be uploaded on releavent claims through Omniview"/>
    <x v="2"/>
    <x v="7"/>
    <s v="ES&amp;S"/>
    <s v="All"/>
    <x v="3"/>
    <s v="L3"/>
    <n v="2"/>
    <n v="9"/>
    <n v="7"/>
    <s v="FTE Based"/>
    <s v="USD"/>
    <s v="$25476"/>
    <n v="5.15"/>
    <n v="0.5"/>
    <n v="0.25"/>
    <n v="1"/>
    <n v="6.9"/>
    <n v="0.14492753623188406"/>
    <n v="1852.6666666666667"/>
    <s v="NA"/>
    <s v="NA"/>
    <n v="9"/>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Medical Records &amp; Bills"/>
    <s v="We have to obtain the authorization from Claim Center, in COMPEX click on - Order and then Start new order and update the required fields (DOL, SSN/DOB, Claim#) and update the Providers address and upload the Auth form in Compex. We will receive the report on NW Outlook"/>
    <x v="2"/>
    <x v="7"/>
    <s v="ESS​​"/>
    <s v="All"/>
    <x v="3"/>
    <s v="L3"/>
    <n v="2"/>
    <n v="3"/>
    <n v="4"/>
    <s v="FTE Based"/>
    <s v="USD"/>
    <s v="$33084"/>
    <n v="2"/>
    <n v="0.2"/>
    <n v="0.1"/>
    <n v="0.4"/>
    <n v="2.7"/>
    <n v="0.14814814814814814"/>
    <n v="13.8"/>
    <s v="NA"/>
    <s v="NA"/>
    <n v="5"/>
    <s v="1 business day "/>
    <s v="Handling% - 95%"/>
    <s v="DPU – Defect Per Unit"/>
    <s v="NA"/>
    <s v="NA"/>
    <s v="Manual Data retrieval  and reporting "/>
    <s v="NA"/>
    <s v="NA"/>
    <s v="NA"/>
    <s v="NA"/>
    <s v="NA"/>
    <s v="NA"/>
    <s v="NA"/>
    <s v="NA"/>
    <s v="Client's claims department / adjusters"/>
    <s v="Multiple"/>
    <s v="Semi-Structured"/>
    <s v="NA"/>
    <s v="Multiple"/>
    <m/>
    <s v="Outlook, Claims centre, KA Pages, Carfax, Compex, Core Logic, Ethos, CAB, Accurint, Mitchell, ISO claims, Jury verdict, Metropolitian,ISG"/>
  </r>
  <r>
    <x v="1"/>
    <s v="Fortune 500 &amp; Large US Insurance carrier"/>
    <x v="2"/>
    <x v="3"/>
    <x v="2"/>
    <s v="Saurabh Sharma "/>
    <s v="9 months "/>
    <x v="1"/>
    <x v="1"/>
    <x v="4"/>
    <s v="Evidence gathering"/>
    <s v="Mitchell Referral &amp; Report"/>
    <s v="We have to obtain the medical records/bills from Claim Center/Omniview, Login to Mitchell._x000a_Update the required fields (Claim#, DOL). On the next page upload the medical records and bills &amp; select the package asked by the adjuster."/>
    <x v="2"/>
    <x v="7"/>
    <s v="ESS &amp; CL​​"/>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Fire Report/Police Report"/>
    <s v="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
    <x v="2"/>
    <x v="7"/>
    <s v="ESS &amp; CL​​"/>
    <s v="All"/>
    <x v="3"/>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Weather report"/>
    <s v="After receiving the activity in Claim Center. Login to Core logic. Select Wind/Hail and update the required fields (DOL, Claim#, Loss loc). Select submit and add to cart then place the order for weather report."/>
    <x v="2"/>
    <x v="7"/>
    <s v="ESS &amp; CL​​"/>
    <s v="All"/>
    <x v="3"/>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Accurint/ISO/Jury Verdict  Research"/>
    <s v="In this activity We search for Carrier,VIN,Vehicle Registration &amp; Handling procedures,Ower search and other details through accurint application and raise the request for the required information as a report which is received through NW outlook_x000a_In ISOreaserch  we search for all prior losses associated with VIN and persons mentioned on the request.Same is optained as a PDF and the documet is uploaded to claim_x000a_ center_x000a_In Jury Verdict Rteaserch  we search for jury verdict information with the injuries and other accident related information."/>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ISG /Ethos (Surveillance/social media/Medical Canvass)"/>
    <s v="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Onboarding /System Access Requests"/>
    <s v="This is the process where we are creating request for access for NW new joiners and also the existing employees any request for application , New laptop issue &amp; any other system access requests_x000a_ "/>
    <x v="2"/>
    <x v="7"/>
    <s v="ESS &amp; CL​​"/>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Carfax"/>
    <s v="This activity is processed through Claim Center. Login to CARFAX.  We Update the required fields (Claim#, VIN, DOL).  And look for details related to Vehicles involved in the accident .We can order Vehicle history report, Vehicle title report and total loss report."/>
    <x v="2"/>
    <x v="7"/>
    <s v="ESS​​"/>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Central Analysis Bureau"/>
    <s v="This activity is processed through Claim Center. Login to CAB. Select carrier central. Update the company name, driver name, party involved (Loss state) and click on search"/>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Distribute Claim Development Reports (CDRs)"/>
    <s v="1.  This is a report prepared when reserves reach a specified threshold, or a claim meets specific criteria. Criteria varies based on the line of business_x000a_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_x000a__x000a_"/>
    <x v="2"/>
    <x v="7"/>
    <s v="ESS &amp; CL​​"/>
    <s v="All"/>
    <x v="3"/>
    <s v="L3"/>
    <n v="2"/>
    <n v="3"/>
    <n v="4"/>
    <s v="FTE Based"/>
    <s v="USD"/>
    <s v="$33084"/>
    <n v="2"/>
    <n v="0.2"/>
    <n v="0.1"/>
    <n v="0.4"/>
    <n v="2.7"/>
    <n v="0.14814814814814814"/>
    <n v="13.8"/>
    <s v="NA"/>
    <s v="NA"/>
    <n v="25"/>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xternal Distribution"/>
    <s v="ACS-Repair Monitoring"/>
    <s v="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
    <x v="1"/>
    <x v="2"/>
    <s v="Property"/>
    <s v="All"/>
    <x v="3"/>
    <s v="L3"/>
    <n v="2"/>
    <n v="4"/>
    <n v="4"/>
    <s v="FTE Based"/>
    <s v="USD"/>
    <s v="$26442"/>
    <n v="5.3"/>
    <n v="0.4"/>
    <n v="0.2"/>
    <n v="1"/>
    <n v="6.9"/>
    <n v="0.14492753623188406"/>
    <n v="5323.25"/>
    <s v="NA"/>
    <s v="NA"/>
    <n v="10"/>
    <s v="NA"/>
    <s v="Compliance% - 98.50%, Handling% -  95%"/>
    <s v="Weighted DPO – Weighted Defect Per Opportunity"/>
    <s v="NA"/>
    <s v="NA"/>
    <s v="Manual Data retrieval  and reporting "/>
    <s v="NA"/>
    <s v="NA"/>
    <s v="NA"/>
    <s v="NA"/>
    <s v="NA"/>
    <s v="NA"/>
    <s v="NA"/>
    <s v="NA"/>
    <s v="Client's claims department / adjusters"/>
    <s v="Multiple"/>
    <s v="Unstructured"/>
    <s v="NA"/>
    <s v="Multiple"/>
    <m/>
    <s v="Claims centre, KA pages, Xact Analysis, Xactimate, Seek now, Mica, CRS, My ALE, Outlook"/>
  </r>
  <r>
    <x v="1"/>
    <s v="Fortune 500 &amp; Large US Insurance carrier"/>
    <x v="2"/>
    <x v="3"/>
    <x v="2"/>
    <s v="Saurabh Sharma "/>
    <s v="9 months "/>
    <x v="1"/>
    <x v="1"/>
    <x v="9"/>
    <s v="Non Medical Bill Review &amp; Approval"/>
    <s v="ACS-ALE Processing"/>
    <s v="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
    <x v="1"/>
    <x v="2"/>
    <s v="Property"/>
    <s v="All"/>
    <x v="3"/>
    <s v="L3"/>
    <n v="2"/>
    <n v="4"/>
    <n v="4"/>
    <s v="FTE Based"/>
    <s v="USD"/>
    <s v="$26442"/>
    <n v="5.2"/>
    <n v="0.4"/>
    <n v="0.2"/>
    <n v="1"/>
    <n v="6.8000000000000007"/>
    <n v="0.14705882352941174"/>
    <n v="1771.4166666666667"/>
    <s v="NA"/>
    <s v="NA"/>
    <n v="5"/>
    <s v="5 days "/>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x v="2"/>
    <x v="3"/>
    <x v="2"/>
    <s v="Saurabh Sharma "/>
    <s v="9 months "/>
    <x v="1"/>
    <x v="1"/>
    <x v="9"/>
    <s v="Bill Payment (Medical Legal, Non Medical, Vendor)"/>
    <s v="ACS-Match Receipts "/>
    <s v="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
    <x v="1"/>
    <x v="2"/>
    <s v="Property"/>
    <s v="All"/>
    <x v="3"/>
    <s v="L3"/>
    <n v="2"/>
    <n v="4"/>
    <n v="4"/>
    <s v="FTE Based"/>
    <s v="USD"/>
    <s v="$26442"/>
    <n v="2.25"/>
    <n v="0.4"/>
    <n v="0.2"/>
    <n v="1"/>
    <n v="3.85"/>
    <n v="0.25974025974025972"/>
    <n v="20.25"/>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x v="2"/>
    <x v="3"/>
    <x v="2"/>
    <s v="Saurabh Sharma "/>
    <s v="9 months "/>
    <x v="1"/>
    <x v="1"/>
    <x v="4"/>
    <s v="Evidence gathering"/>
    <s v="ACS-Match Receipts"/>
    <s v="ACS-Match Receipts - Building structure"/>
    <x v="1"/>
    <x v="2"/>
    <s v="Property"/>
    <s v="All"/>
    <x v="3"/>
    <s v="L3"/>
    <n v="2"/>
    <n v="4"/>
    <n v="4"/>
    <s v="FTE Based"/>
    <s v="USD"/>
    <s v="$26442"/>
    <n v="0.38"/>
    <n v="0.4"/>
    <n v="0.2"/>
    <n v="1"/>
    <n v="1.98"/>
    <n v="0.50505050505050508"/>
    <n v="11.583333333333334"/>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x v="2"/>
    <x v="3"/>
    <x v="2"/>
    <s v="Saurabh Sharma "/>
    <s v="9 months "/>
    <x v="1"/>
    <x v="1"/>
    <x v="7"/>
    <s v="Case Management of File "/>
    <s v="ACS-REM"/>
    <s v="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
    <x v="1"/>
    <x v="2"/>
    <s v="Property"/>
    <s v="All"/>
    <x v="3"/>
    <s v="L3"/>
    <n v="2"/>
    <n v="4"/>
    <n v="4"/>
    <s v="FTE Based"/>
    <s v="USD"/>
    <s v="$26442"/>
    <n v="1.87"/>
    <n v="0.4"/>
    <n v="0.2"/>
    <n v="1"/>
    <n v="3.47"/>
    <n v="0.28818443804034583"/>
    <n v="1529.1666666666667"/>
    <s v="NA"/>
    <s v="NA"/>
    <n v="3"/>
    <s v="4 hours"/>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x v="2"/>
    <x v="3"/>
    <x v="2"/>
    <s v="Saurabh Sharma "/>
    <s v="2 months "/>
    <x v="1"/>
    <x v="1"/>
    <x v="9"/>
    <s v="Legal Document Review"/>
    <s v="Dispatch"/>
    <s v="Dispatching suits and arbs to the associates received in shared mailbox"/>
    <x v="1"/>
    <x v="3"/>
    <s v="Multi/ Combination"/>
    <s v="All"/>
    <x v="3"/>
    <s v="L3"/>
    <n v="2"/>
    <n v="4"/>
    <n v="4"/>
    <s v="FTE Based"/>
    <s v="USD"/>
    <s v="$30600"/>
    <n v="2"/>
    <n v="0.33"/>
    <n v="0.33"/>
    <n v="3"/>
    <n v="5.66"/>
    <n v="0.53003533568904593"/>
    <s v="Not defined"/>
    <s v="Not defined"/>
    <s v="Not defined"/>
    <s v="Not defined"/>
    <s v="Same business day_x000a_(Cut off 3:30 PM EST)"/>
    <s v="-"/>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x v="2"/>
    <x v="3"/>
    <x v="2"/>
    <s v="Saurabh Sharma "/>
    <s v="2 months "/>
    <x v="1"/>
    <x v="1"/>
    <x v="9"/>
    <s v="Legal Document Review"/>
    <s v="Input"/>
    <s v="Intake of new suits and arbitrations from process servers and opening new legal matters in Claim Center with state-specific field requirements and standards"/>
    <x v="1"/>
    <x v="3"/>
    <s v="Multi/ Combination"/>
    <s v="All"/>
    <x v="3"/>
    <s v="L3"/>
    <n v="2"/>
    <n v="4"/>
    <n v="4"/>
    <s v="FTE Based"/>
    <s v="USD"/>
    <s v="$30600"/>
    <n v="2"/>
    <n v="0.33"/>
    <n v="0.33"/>
    <n v="3"/>
    <n v="5.66"/>
    <n v="0.53003533568904593"/>
    <s v="1412 (Input and Prep)"/>
    <s v="1412 (Input and Prep)"/>
    <s v="Not defined"/>
    <n v="6"/>
    <s v="24 hours"/>
    <s v="Compliance% - (Input) - 98%_x000a_Handling% - (Input)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x v="2"/>
    <x v="3"/>
    <x v="2"/>
    <s v="Saurabh Sharma "/>
    <s v="2 months "/>
    <x v="1"/>
    <x v="1"/>
    <x v="9"/>
    <s v="Legal Document Review"/>
    <s v="Prep"/>
    <s v="Reviewing suit and arbitration papers and preparing defense documents"/>
    <x v="1"/>
    <x v="3"/>
    <s v="Multi/ Combination"/>
    <s v="All"/>
    <x v="3"/>
    <s v="L3"/>
    <n v="2"/>
    <n v="4"/>
    <n v="4"/>
    <s v="FTE Based"/>
    <s v="USD"/>
    <s v="$30600"/>
    <n v="2"/>
    <n v="0.33"/>
    <n v="0.33"/>
    <n v="3"/>
    <n v="5.66"/>
    <n v="0.53003533568904593"/>
    <s v="1412 (Input and Prep)"/>
    <s v="1412 (Input and Prep)"/>
    <s v="Not defined"/>
    <n v="35"/>
    <s v="48 hours"/>
    <s v="Compliance% - (Prep) - 98%_x000a_Handling% - (Prep)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3"/>
    <s v="Fortune 100 US P&amp;C Carrier"/>
    <x v="2"/>
    <x v="1"/>
    <x v="1"/>
    <s v="Mark Pabon"/>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316"/>
    <n v="58"/>
    <n v="23"/>
    <n v="9"/>
    <n v="20"/>
    <n v="110"/>
    <n v="0.18181818181818182"/>
    <n v="43186.857142857145"/>
    <n v="23385.31650449522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2"/>
    <x v="1"/>
    <s v="Mark Pabon"/>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316"/>
    <n v="50"/>
    <n v="19"/>
    <n v="7"/>
    <n v="0"/>
    <n v="76"/>
    <n v="0"/>
    <n v="43186.857142857145"/>
    <n v="19801.54063836191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5"/>
    <x v="3"/>
    <s v="Rhoda Singh"/>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700"/>
    <n v="36"/>
    <n v="19"/>
    <n v="3"/>
    <n v="16"/>
    <n v="74"/>
    <n v="0.21621621621621623"/>
    <n v="37336.285714285717"/>
    <n v="15238.412021872995"/>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9"/>
    <x v="3"/>
    <s v="Rhoda Singh"/>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700"/>
    <n v="53"/>
    <n v="16"/>
    <n v="7"/>
    <n v="13"/>
    <n v="89"/>
    <n v="0.14606741573033707"/>
    <n v="37336.285714285717"/>
    <n v="22097.873692412719"/>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5"/>
    <s v="Large US Multi-line Specialty Carrier"/>
    <x v="2"/>
    <x v="3"/>
    <x v="2"/>
    <s v="Ramesh Kumar, Devashish Dhingra"/>
    <n v="5"/>
    <x v="1"/>
    <x v="4"/>
    <x v="15"/>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x v="3"/>
    <x v="3"/>
    <s v="Auto, WC, CUP, Package Lines"/>
    <s v="Large"/>
    <x v="3"/>
    <s v="L4"/>
    <n v="2"/>
    <n v="4"/>
    <n v="4"/>
    <s v="FTE Based"/>
    <s v="USD"/>
    <s v="Analysts - $41955.36/ annum  Supervisor - $47994.6/ annum"/>
    <n v="5"/>
    <s v="NA"/>
    <n v="1"/>
    <n v="3"/>
    <n v="9"/>
    <n v="0.33333333333333331"/>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x v="5"/>
    <s v="Large US Multi-line Specialty Carrier"/>
    <x v="2"/>
    <x v="4"/>
    <x v="2"/>
    <s v="Ruchika,, Yusuf Bhavnagarwala"/>
    <n v="6"/>
    <x v="2"/>
    <x v="1"/>
    <x v="4"/>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x v="1"/>
    <x v="2"/>
    <s v="NA"/>
    <s v="All"/>
    <x v="3"/>
    <s v="L2"/>
    <n v="2"/>
    <n v="6"/>
    <n v="6"/>
    <s v="FTE Based"/>
    <s v="USD"/>
    <n v="21057.798279999995"/>
    <n v="14"/>
    <n v="0"/>
    <n v="1"/>
    <n v="2"/>
    <n v="17"/>
    <n v="0.11764705882352941"/>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x v="7"/>
    <s v="Fortune 500 Global P&amp;C Carrier"/>
    <x v="5"/>
    <x v="6"/>
    <x v="1"/>
    <s v="Teresa Aldea"/>
    <n v="1"/>
    <x v="1"/>
    <x v="1"/>
    <x v="8"/>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x v="3"/>
    <x v="1"/>
    <s v="Auto/Motor"/>
    <s v="Small &amp; Mid Size"/>
    <x v="3"/>
    <s v="L4"/>
    <n v="1"/>
    <n v="4"/>
    <n v="4"/>
    <s v="FTE Based"/>
    <s v="AUD"/>
    <n v="47983"/>
    <n v="7"/>
    <n v="2"/>
    <n v="1"/>
    <n v="2"/>
    <n v="12"/>
    <n v="0.16666666666666666"/>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x v="7"/>
    <s v="Fortune 500 Global P&amp;C Carrier"/>
    <x v="5"/>
    <x v="7"/>
    <x v="1"/>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x v="3"/>
    <x v="1"/>
    <s v="Auto/Motor"/>
    <s v="Mid Size &amp; Large"/>
    <x v="1"/>
    <s v="L3"/>
    <n v="1"/>
    <n v="1"/>
    <n v="2"/>
    <s v="FTE Based"/>
    <s v="AUD"/>
    <n v="46500"/>
    <n v="15"/>
    <n v="1"/>
    <n v="2"/>
    <n v="4"/>
    <n v="22"/>
    <n v="0.18181818181818182"/>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x v="14"/>
    <s v="Top-3 UK P&amp;C Carrier"/>
    <x v="3"/>
    <x v="3"/>
    <x v="2"/>
    <s v="Gauri Jain Sharma"/>
    <n v="9"/>
    <x v="1"/>
    <x v="3"/>
    <x v="13"/>
    <s v="Webchat - Query resolution, General Inquiry"/>
    <s v="Webchat"/>
    <s v="Motor Policy new business support, servicing, cancellation, renewal  and upselling of breakdown cover"/>
    <x v="1"/>
    <x v="10"/>
    <s v="Motor"/>
    <s v="Large"/>
    <x v="1"/>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x v="3"/>
    <x v="4"/>
    <x v="2"/>
    <s v="Gauri Jain Sharma"/>
    <n v="9"/>
    <x v="1"/>
    <x v="3"/>
    <x v="13"/>
    <s v="Webchat - Query resolution, General Inquiry"/>
    <s v="Webchat"/>
    <s v="Motor Policy new business support, servicing, cancellation, renewal  and upselling of breakdown cover"/>
    <x v="1"/>
    <x v="10"/>
    <s v="Motor"/>
    <s v="Large"/>
    <x v="1"/>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x v="3"/>
    <x v="3"/>
    <x v="2"/>
    <s v="Gauri Jain Sharma"/>
    <n v="14"/>
    <x v="1"/>
    <x v="3"/>
    <x v="13"/>
    <s v="MTA Processing"/>
    <s v="Business Support"/>
    <s v="Indexing, Midterm amendments,issuing COC,Chase of documents and outstanding premium, Renewal,Cancellation and Correspondance "/>
    <x v="1"/>
    <x v="3"/>
    <s v="Motor, Home, Pet, Travel and Premium Collections"/>
    <s v="Large"/>
    <x v="3"/>
    <s v="L3"/>
    <n v="1"/>
    <n v="4"/>
    <n v="8"/>
    <s v="FTE Based"/>
    <s v="GBP"/>
    <n v="19728.674435945301"/>
    <n v="51"/>
    <n v="0"/>
    <n v="4"/>
    <n v="3"/>
    <n v="58"/>
    <n v="5.1724137931034482E-2"/>
    <n v="55891"/>
    <s v="Home, Pet and Travel - 10,000_x000a_Motor - 30,000_x000a_Collection - 8,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x v="3"/>
    <x v="4"/>
    <x v="2"/>
    <s v="Gauri Jain Sharma"/>
    <n v="12"/>
    <x v="1"/>
    <x v="3"/>
    <x v="13"/>
    <s v="MTA Processing"/>
    <s v="Business Support"/>
    <s v="Indexing, Midterm amendments,issuing COC,Chase of documents and outstanding premium, Renewal,Cancellation and Correspondance "/>
    <x v="1"/>
    <x v="3"/>
    <s v="Motor, Home, Pet, Travel and Premium Collections"/>
    <s v="Large"/>
    <x v="3"/>
    <s v="L3"/>
    <n v="1"/>
    <n v="4"/>
    <n v="8"/>
    <s v="FTE Based"/>
    <s v="GBP"/>
    <n v="19728.674435945301"/>
    <n v="22"/>
    <n v="0"/>
    <n v="1"/>
    <n v="4"/>
    <n v="27"/>
    <n v="0.14814814814814814"/>
    <n v="24110"/>
    <s v="Home, Pet and Travel - 10,000_x000a_Motor - 15,000_x000a_Collection - 7,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x v="3"/>
    <x v="3"/>
    <x v="2"/>
    <s v="Gauri Jain Sharma"/>
    <n v="12"/>
    <x v="1"/>
    <x v="3"/>
    <x v="13"/>
    <s v="General Inquiry"/>
    <s v="Customer Assurance"/>
    <s v="Conducting risk assessments for Business Support, Webchat &amp; Telephony"/>
    <x v="1"/>
    <x v="3"/>
    <s v="Motor, Home, Pet, Travel ,Premium Collections &amp; Webchat"/>
    <s v="Large"/>
    <x v="2"/>
    <s v="L3"/>
    <n v="1"/>
    <n v="5"/>
    <n v="8"/>
    <s v="FTE Based"/>
    <s v="GBP"/>
    <n v="26331.005396191202"/>
    <n v="9"/>
    <n v="0"/>
    <n v="1"/>
    <n v="3"/>
    <n v="13"/>
    <n v="0.23076923076923078"/>
    <n v="6000"/>
    <s v="N/A"/>
    <s v="NA"/>
    <s v="AHT ranging from 2 minutes to 30 minutes"/>
    <s v="Weekly and Monthly"/>
    <n v="0.95"/>
    <s v="Others"/>
    <s v="Challenges"/>
    <s v="TAT"/>
    <s v="NA"/>
    <s v="NA"/>
    <s v="NA"/>
    <s v="N/A"/>
    <s v="N/A"/>
    <s v="NA"/>
    <s v="NA"/>
    <s v="NA"/>
    <s v="Now 100% of the calls are being audited by machines Vs a sample that was done by human_x000a_Implementation of Genesys to replace Salesforce"/>
    <s v="Onshore"/>
    <s v="Multiple"/>
    <s v="Structured"/>
    <s v="Genesys -48%                                 Sheet-52%"/>
    <s v="Multiple"/>
    <s v="Operations Team"/>
    <s v="AVD Based Applications_x000a_MS Office_x000a_Chrome_x000a_AVAYA_x000a_Khronos"/>
  </r>
  <r>
    <x v="14"/>
    <s v="Top-3 UK P&amp;C Carrier"/>
    <x v="3"/>
    <x v="4"/>
    <x v="2"/>
    <s v="Meeta Sarkar"/>
    <n v="8"/>
    <x v="1"/>
    <x v="1"/>
    <x v="9"/>
    <s v="Bill Payment (Medical Legal, Non Medical, Vendor)"/>
    <s v="Commercial Claims"/>
    <s v="Claim progression towards closure, Payments to PH/TP/Sols, update to PH via brokers, Recovery from TPI"/>
    <x v="3"/>
    <x v="11"/>
    <s v="Motor, Property &amp; Liability"/>
    <s v="Large"/>
    <x v="2"/>
    <s v="L2 &amp; L3"/>
    <n v="3"/>
    <n v="4"/>
    <n v="12"/>
    <s v="FTE Based"/>
    <s v="GBP"/>
    <s v="£26300 £21300"/>
    <n v="24"/>
    <n v="5"/>
    <n v="2"/>
    <n v="1"/>
    <n v="32"/>
    <n v="3.1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x v="14"/>
    <s v="Top-3 UK P&amp;C Carrier"/>
    <x v="3"/>
    <x v="3"/>
    <x v="2"/>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x v="1"/>
    <x v="1"/>
    <s v="Motor"/>
    <s v="Large"/>
    <x v="2"/>
    <s v="L2"/>
    <n v="1"/>
    <n v="4"/>
    <n v="8"/>
    <s v="FTE Based"/>
    <s v="GBP"/>
    <n v="20190"/>
    <n v="45"/>
    <n v="8"/>
    <n v="5"/>
    <n v="8"/>
    <n v="66"/>
    <n v="0.12121212121212122"/>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x v="3"/>
    <x v="4"/>
    <x v="2"/>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x v="1"/>
    <x v="1"/>
    <s v="Motor"/>
    <s v="Large"/>
    <x v="2"/>
    <s v="L2"/>
    <n v="1"/>
    <n v="4"/>
    <n v="8"/>
    <s v="FTE Based"/>
    <s v="GBP"/>
    <n v="20190"/>
    <n v="35"/>
    <n v="8"/>
    <n v="5"/>
    <n v="8"/>
    <n v="56"/>
    <n v="0.14285714285714285"/>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x v="3"/>
    <x v="3"/>
    <x v="2"/>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x v="1"/>
    <x v="1"/>
    <s v="Auto"/>
    <s v="Large"/>
    <x v="1"/>
    <s v="L3"/>
    <n v="2"/>
    <n v="4"/>
    <n v="8"/>
    <s v="FTE Based"/>
    <s v="GBP"/>
    <n v="26300"/>
    <n v="89"/>
    <n v="30"/>
    <n v="23"/>
    <n v="20"/>
    <n v="162"/>
    <n v="0.12345679012345678"/>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x v="3"/>
    <x v="4"/>
    <x v="2"/>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x v="1"/>
    <x v="1"/>
    <s v="Auto"/>
    <s v="Large"/>
    <x v="1"/>
    <s v="L3"/>
    <n v="2"/>
    <n v="4"/>
    <n v="8"/>
    <s v="FTE Based"/>
    <s v="GBP"/>
    <n v="26300"/>
    <n v="88"/>
    <n v="30"/>
    <n v="23"/>
    <n v="20"/>
    <n v="161"/>
    <n v="0.12422360248447205"/>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x v="3"/>
    <x v="3"/>
    <x v="2"/>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x v="1"/>
    <x v="1"/>
    <s v="Auto"/>
    <s v="Large"/>
    <x v="3"/>
    <s v="L1 &amp; L2"/>
    <n v="2"/>
    <n v="1"/>
    <n v="4"/>
    <s v="FTE Based"/>
    <s v="GBP"/>
    <s v="£13,100/ £14,300"/>
    <n v="13"/>
    <n v="3"/>
    <n v="2"/>
    <n v="2"/>
    <n v="20"/>
    <n v="0.1"/>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x v="3"/>
    <x v="3"/>
    <x v="2"/>
    <s v="Meeta Sarkar"/>
    <n v="12.2"/>
    <x v="1"/>
    <x v="1"/>
    <x v="9"/>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x v="1"/>
    <x v="2"/>
    <s v="Property"/>
    <s v="Mid Size"/>
    <x v="2"/>
    <s v="L2"/>
    <n v="1"/>
    <n v="3"/>
    <n v="8"/>
    <s v="FTE Based"/>
    <s v="USD/GBP"/>
    <s v="Home VO -  £19700_x000a_Home BO - £13,400"/>
    <n v="5"/>
    <n v="0.5"/>
    <n v="0.5"/>
    <n v="2"/>
    <n v="8"/>
    <n v="0.25"/>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x v="14"/>
    <s v="Top-3 UK P&amp;C Carrier"/>
    <x v="3"/>
    <x v="3"/>
    <x v="2"/>
    <s v="Meeta Sarkar"/>
    <n v="11"/>
    <x v="1"/>
    <x v="1"/>
    <x v="8"/>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x v="1"/>
    <x v="2"/>
    <s v="Property"/>
    <s v="Mid Size"/>
    <x v="2"/>
    <s v="L2"/>
    <n v="1"/>
    <n v="2"/>
    <n v="8"/>
    <s v="FTE Based"/>
    <s v="GBP"/>
    <n v="19700"/>
    <n v="5"/>
    <n v="0.5"/>
    <n v="0.5"/>
    <n v="2"/>
    <n v="8"/>
    <n v="0.25"/>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x v="14"/>
    <s v="Top-3 UK P&amp;C Carrier"/>
    <x v="3"/>
    <x v="3"/>
    <x v="2"/>
    <s v="Meeta Sarkar"/>
    <n v="12.3"/>
    <x v="1"/>
    <x v="1"/>
    <x v="9"/>
    <s v="Bill Payment (Medical Legal, Non Medical, Vendor)"/>
    <s v="Invoicing VO and Invoicing BO"/>
    <s v="The process involves making payments to motor suppliers and repairers once the invoice is received. Each invoice needs to be reviewed as per the process map."/>
    <x v="1"/>
    <x v="1"/>
    <s v="Auto"/>
    <s v="Large"/>
    <x v="2"/>
    <s v="L2"/>
    <n v="1"/>
    <n v="1.6"/>
    <n v="4"/>
    <s v="FTE Based"/>
    <s v="GBP"/>
    <s v="Invoicing VO - £19700_x000a_Invoicing BO - £13900"/>
    <n v="42"/>
    <n v="2.5"/>
    <n v="2.5"/>
    <n v="4"/>
    <n v="51"/>
    <n v="7.8431372549019607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x v="14"/>
    <s v="Top-3 UK P&amp;C Carrier"/>
    <x v="3"/>
    <x v="3"/>
    <x v="2"/>
    <s v="Meeta Sarkar"/>
    <n v="14"/>
    <x v="1"/>
    <x v="1"/>
    <x v="9"/>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x v="1"/>
    <x v="1"/>
    <s v="Auto"/>
    <s v="Large"/>
    <x v="3"/>
    <s v="L2"/>
    <n v="1"/>
    <n v="1"/>
    <n v="4"/>
    <s v="FTE Based"/>
    <s v="GBP"/>
    <s v=" £13900"/>
    <n v="3"/>
    <n v="0.5"/>
    <n v="0.5"/>
    <n v="1"/>
    <n v="5"/>
    <n v="0.2"/>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x v="14"/>
    <s v="Top-3 UK P&amp;C Carrier"/>
    <x v="3"/>
    <x v="4"/>
    <x v="2"/>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x v="1"/>
    <x v="1"/>
    <s v="Auto"/>
    <s v="Large"/>
    <x v="3"/>
    <s v="L1 &amp; L2"/>
    <n v="2"/>
    <n v="1"/>
    <n v="4"/>
    <s v="FTE Based"/>
    <s v="GBP"/>
    <s v="£13,100/ £14,300"/>
    <n v="14"/>
    <n v="3"/>
    <n v="2"/>
    <n v="2"/>
    <n v="21"/>
    <n v="9.5238095238095233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x v="3"/>
    <x v="3"/>
    <x v="2"/>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x v="1"/>
    <x v="1"/>
    <s v="Auto"/>
    <s v="Large"/>
    <x v="2"/>
    <s v="L3"/>
    <n v="2"/>
    <n v="3"/>
    <n v="8"/>
    <s v="FTE Based"/>
    <s v="GBP"/>
    <n v="21300"/>
    <n v="8"/>
    <n v="3"/>
    <n v="3"/>
    <n v="3"/>
    <n v="17"/>
    <n v="0.17647058823529413"/>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4"/>
    <s v="Top-3 UK P&amp;C Carrier"/>
    <x v="3"/>
    <x v="4"/>
    <x v="2"/>
    <s v="Meeta Sarkar"/>
    <n v="1.7"/>
    <x v="1"/>
    <x v="1"/>
    <x v="4"/>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x v="1"/>
    <x v="1"/>
    <s v="Auto"/>
    <s v="Large"/>
    <x v="2"/>
    <s v="L3"/>
    <n v="2"/>
    <n v="3"/>
    <n v="8"/>
    <s v="FTE Based"/>
    <s v="GBP"/>
    <n v="21300"/>
    <n v="10"/>
    <n v="1"/>
    <n v="1"/>
    <n v="1"/>
    <n v="13"/>
    <n v="7.6923076923076927E-2"/>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x v="14"/>
    <s v="Top-3 UK P&amp;C Carrier"/>
    <x v="3"/>
    <x v="4"/>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x v="3"/>
    <x v="12"/>
    <s v="Landlord, VAN,  Trades Person, Bread and Breakfast , Hair and Beauty,Motor,Property,Churchill , VW,Shop,Hotel,SME,"/>
    <s v="Large"/>
    <x v="3"/>
    <s v="L2 to L3"/>
    <n v="4"/>
    <n v="10"/>
    <n v="13"/>
    <s v="FTE Based"/>
    <s v="GBP"/>
    <n v="20122.969076575031"/>
    <n v="34"/>
    <m/>
    <n v="2"/>
    <n v="3"/>
    <n v="39"/>
    <n v="7.6923076923076927E-2"/>
    <n v="65000"/>
    <s v="Finance-60,000,Business Support- 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x v="3"/>
    <x v="3"/>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x v="3"/>
    <x v="12"/>
    <s v="Landlord, VAN,  Trades Person, Bread and Breakfast , Hair and Beauty,Motor,Property,Churchill , VW,Shop,Hotel,SME,"/>
    <s v="Large"/>
    <x v="3"/>
    <s v="L2 to L3"/>
    <n v="4"/>
    <n v="10"/>
    <n v="13"/>
    <s v="FTE Based"/>
    <s v="GBP"/>
    <n v="20122.969076575031"/>
    <n v="14"/>
    <m/>
    <n v="1"/>
    <n v="1"/>
    <n v="16"/>
    <n v="6.25E-2"/>
    <n v="25000"/>
    <s v="Finance-10,000,Business Support- 1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x v="3"/>
    <x v="4"/>
    <x v="2"/>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x v="3"/>
    <x v="3"/>
    <s v="Landlord, VAN,  Trades Person, Bread and Breakfast , Hair and Beauty,Motor,Property,Churchill , VW,Shop,Hotel,SME,"/>
    <s v="Large"/>
    <x v="1"/>
    <s v="L3"/>
    <n v="4"/>
    <n v="10"/>
    <n v="13"/>
    <s v="FTE Based"/>
    <s v="GBP"/>
    <n v="26331.00539619122"/>
    <n v="6"/>
    <n v="0"/>
    <n v="1"/>
    <n v="3"/>
    <n v="10"/>
    <n v="0.3"/>
    <n v="640"/>
    <s v="BCTU-150, Telephony- 50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x v="14"/>
    <s v="Top-3 UK P&amp;C Carrier"/>
    <x v="3"/>
    <x v="4"/>
    <x v="2"/>
    <s v="Gauri Jain Sharma"/>
    <s v="1.5 months"/>
    <x v="1"/>
    <x v="2"/>
    <x v="5"/>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x v="3"/>
    <x v="12"/>
    <s v="Landlord, Tradesman,Shops"/>
    <s v="Large"/>
    <x v="3"/>
    <s v="L4"/>
    <n v="4"/>
    <n v="9"/>
    <n v="12"/>
    <s v="FTE Based"/>
    <s v="GBP"/>
    <n v="22734.691262692486"/>
    <n v="1"/>
    <n v="0"/>
    <n v="0"/>
    <n v="1"/>
    <n v="2"/>
    <n v="0.5"/>
    <n v="800"/>
    <n v="800"/>
    <s v="Jan, Feb,Mar"/>
    <s v="30 Min"/>
    <s v="24 hours"/>
    <s v="N/A"/>
    <s v="Others"/>
    <s v="N/A"/>
    <s v="N/A"/>
    <s v="System issues"/>
    <s v="N/A"/>
    <s v="N/A"/>
    <s v="N/A"/>
    <s v="N/A"/>
    <s v="NA"/>
    <s v="NA"/>
    <s v="NA"/>
    <s v="NA"/>
    <s v="NA"/>
    <s v="Emails"/>
    <s v="Structured"/>
    <n v="1"/>
    <s v="Emails, Vlog"/>
    <s v="Brokers"/>
    <s v="MS Outlook, Chrome,MS offoce, Experian,Claim Centre, Geo Sphere"/>
  </r>
  <r>
    <x v="14"/>
    <s v="Top-3 UK P&amp;C Carrier"/>
    <x v="3"/>
    <x v="5"/>
    <x v="3"/>
    <s v="Meeta Sarkar/ Pierre De Villiers"/>
    <n v="9"/>
    <x v="1"/>
    <x v="1"/>
    <x v="1"/>
    <s v="Claim Setup and assignment"/>
    <s v="FNOL"/>
    <s v="Capturing the details of the claim, processing of all details on the system"/>
    <x v="1"/>
    <x v="12"/>
    <s v="Motor Insurance"/>
    <s v="Large"/>
    <x v="1"/>
    <s v="L2"/>
    <n v="1"/>
    <n v="5"/>
    <n v="12"/>
    <s v="FTE Based"/>
    <s v="GBP"/>
    <s v="27580 GBP (16 GBP per hour per FTE)"/>
    <n v="65"/>
    <n v="9"/>
    <n v="10"/>
    <n v="20"/>
    <n v="104"/>
    <n v="0.1923076923076923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x v="14"/>
    <s v="Top-3 UK P&amp;C Carrier"/>
    <x v="3"/>
    <x v="5"/>
    <x v="3"/>
    <s v="Pierre De Villiers / Sodiqa Karlie"/>
    <n v="10"/>
    <x v="1"/>
    <x v="3"/>
    <x v="16"/>
    <s v="General Inquiry"/>
    <s v="Sales &amp; Service"/>
    <s v="Sales and Servicing all customers and supporting with general information's and any mid-term changes to their policy. Also support on the renewal and retentions of customers"/>
    <x v="1"/>
    <x v="12"/>
    <s v="Motor Insurance"/>
    <s v="Large"/>
    <x v="1"/>
    <s v="L2"/>
    <n v="1"/>
    <n v="6"/>
    <n v="12"/>
    <s v="FTE Based"/>
    <s v="GBP"/>
    <s v="27250 GBP (16 GBP per hour per FTE)"/>
    <n v="250"/>
    <n v="22"/>
    <n v="30"/>
    <n v="30"/>
    <n v="332"/>
    <n v="9.036144578313253E-2"/>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x v="14"/>
    <s v="Top-3 UK P&amp;C Carrier"/>
    <x v="3"/>
    <x v="4"/>
    <x v="2"/>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x v="1"/>
    <x v="1"/>
    <s v="Auto"/>
    <s v="Large"/>
    <x v="2"/>
    <s v="L3"/>
    <n v="2"/>
    <n v="3"/>
    <n v="8"/>
    <s v="FTE Based"/>
    <s v="GBP"/>
    <n v="21300"/>
    <n v="12"/>
    <n v="3"/>
    <n v="3"/>
    <n v="3"/>
    <n v="21"/>
    <n v="0.14285714285714285"/>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5"/>
    <s v="Leading Global Insurer and Reinsurer"/>
    <x v="2"/>
    <x v="5"/>
    <x v="3"/>
    <s v="Faeekah Cornelius"/>
    <n v="4"/>
    <x v="1"/>
    <x v="1"/>
    <x v="1"/>
    <s v="Claim Setup and assignment"/>
    <s v="FNOL"/>
    <s v="New claim set up or existing claim inquiry search"/>
    <x v="3"/>
    <x v="3"/>
    <s v="Auto, WC, Property, GL, Excess Casualty"/>
    <s v="All"/>
    <x v="1"/>
    <s v="L1"/>
    <n v="4"/>
    <n v="2"/>
    <n v="8"/>
    <s v="FTE Based"/>
    <s v="USD"/>
    <n v="37648.21"/>
    <n v="8"/>
    <n v="1"/>
    <n v="1"/>
    <n v="4"/>
    <n v="14"/>
    <n v="0.2857142857142857"/>
    <n v="400"/>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x v="15"/>
    <s v="Leading Global Insurer and Reinsurer"/>
    <x v="2"/>
    <x v="3"/>
    <x v="2"/>
    <s v="Bir"/>
    <n v="5"/>
    <x v="1"/>
    <x v="2"/>
    <x v="3"/>
    <s v="Endorsements intake and setup"/>
    <s v="Draft and Final Endorsement"/>
    <s v="Perform rating, issue endorsement, update Agent, insured &amp; home office copy for the change processed_x000a_"/>
    <x v="3"/>
    <x v="3"/>
    <s v="Auto, WC, Umbrella, GL, IM, Property, Energy, Wholesale"/>
    <s v="All"/>
    <x v="3"/>
    <s v="L3"/>
    <n v="2"/>
    <s v="2 to 4"/>
    <s v="8 to 10"/>
    <s v="FTE Based"/>
    <s v="USD"/>
    <n v="29608"/>
    <n v="18"/>
    <n v="1"/>
    <n v="1"/>
    <n v="2"/>
    <n v="22"/>
    <n v="9.0909090909090912E-2"/>
    <n v="1755"/>
    <s v="NA"/>
    <n v="0"/>
    <n v="30"/>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5"/>
    <s v="Validate and Update Policy info (Limits, Exposure State, Exposure, FEIN, Address, Name Insured, Employers Liability etc.)"/>
    <s v="Specimen Forms"/>
    <s v="Budling of Forms "/>
    <x v="3"/>
    <x v="3"/>
    <s v="Auto, WC, Umbrella, GL, IM, Property, Energy, Wholesale"/>
    <s v="All"/>
    <x v="3"/>
    <s v="L3"/>
    <n v="2"/>
    <s v="2 to 4"/>
    <s v="8 to 10"/>
    <s v="FTE Based"/>
    <s v="USD"/>
    <n v="29608"/>
    <n v="1"/>
    <n v="0"/>
    <n v="0"/>
    <n v="1"/>
    <n v="2"/>
    <n v="0.5"/>
    <n v="15"/>
    <s v="NA"/>
    <s v="NA"/>
    <n v="60"/>
    <s v="2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2"/>
    <s v="Unpaid items and written premiums"/>
    <s v="Payment Dues Reminder"/>
    <s v="Sending reminder when payments are due"/>
    <x v="3"/>
    <x v="3"/>
    <s v="Auto, WC, Umbrella, GL, IM, Property, Energy, Wholesale"/>
    <s v="All"/>
    <x v="3"/>
    <s v="L3"/>
    <n v="2"/>
    <s v="2 to 4"/>
    <s v="8 to 10"/>
    <s v="FTE Based"/>
    <s v="USD"/>
    <n v="29608"/>
    <n v="2"/>
    <n v="0"/>
    <n v="0"/>
    <n v="0"/>
    <n v="2"/>
    <n v="0"/>
    <n v="400"/>
    <s v="NA"/>
    <s v="NA"/>
    <n v="15"/>
    <s v="8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3"/>
    <s v="Non Renewals/Renewal notice"/>
    <s v="Conditional Renewal Notices"/>
    <s v="Review the conditions for policy to be renewed"/>
    <x v="3"/>
    <x v="3"/>
    <s v="Auto, WC, Umbrella, GL, IM, Property, Energy, Wholesale"/>
    <s v="All"/>
    <x v="3"/>
    <s v="L3"/>
    <n v="2"/>
    <s v="2 to 4"/>
    <s v="8 to 10"/>
    <s v="FTE Based"/>
    <s v="USD"/>
    <n v="29608"/>
    <n v="3"/>
    <n v="0"/>
    <n v="0"/>
    <n v="1"/>
    <n v="4"/>
    <n v="0.25"/>
    <n v="550"/>
    <s v="NA"/>
    <s v="NA"/>
    <n v="20"/>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3"/>
    <s v="Cancellation notice"/>
    <s v="Notices of Cancellation/ Notices of Reinstatement"/>
    <s v="Create the notice of cancellation due to non-payment of premium_x000a_Create the reinstatement notice after Insured pays the premium"/>
    <x v="3"/>
    <x v="3"/>
    <s v="Auto, WC, Umbrella, GL, IM, Property, Energy, Wholesale"/>
    <s v="All"/>
    <x v="3"/>
    <s v="L3"/>
    <n v="2"/>
    <s v="2 to 4"/>
    <s v="8 to 10"/>
    <s v="FTE Based"/>
    <s v="USD"/>
    <n v="29608"/>
    <n v="1"/>
    <n v="0"/>
    <n v="0"/>
    <n v="0"/>
    <n v="1"/>
    <n v="0"/>
    <n v="40"/>
    <s v="NA"/>
    <s v="NA"/>
    <n v="15"/>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5"/>
    <s v="Renewal Prep"/>
    <s v="Bind"/>
    <s v="Review the specific booking/binding instructions in RBI sheet and launch the rating workbook to complete the transmittal to send the booking information to Policy Management_x000a__x000a_"/>
    <x v="3"/>
    <x v="3"/>
    <s v="Auto, WC, Umbrella, GL, IM, Property, Energy, Wholesale"/>
    <s v="All"/>
    <x v="3"/>
    <s v="L3"/>
    <n v="2"/>
    <s v="2 to 4"/>
    <s v="8 to 10"/>
    <s v="FTE Based"/>
    <s v="USD"/>
    <n v="29608"/>
    <n v="7"/>
    <n v="1"/>
    <n v="1"/>
    <n v="0"/>
    <n v="9"/>
    <n v="0"/>
    <n v="412"/>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6"/>
    <s v="Renewal Issuance"/>
    <s v="Draft and Final Issuance"/>
    <s v="Verify/update policy information &amp; Issuing information per Acord App_x000a_"/>
    <x v="3"/>
    <x v="3"/>
    <s v="Auto, WC, Umbrella, GL, IM, Property, Energy, Wholesale"/>
    <s v="All"/>
    <x v="3"/>
    <s v="L3"/>
    <n v="2"/>
    <s v="2 to 4"/>
    <s v="8 to 10"/>
    <s v="FTE Based"/>
    <s v="USD"/>
    <n v="29608"/>
    <n v="11"/>
    <n v="1"/>
    <n v="1"/>
    <n v="1"/>
    <n v="14"/>
    <n v="7.1428571428571425E-2"/>
    <n v="657"/>
    <s v="NA"/>
    <s v="NA"/>
    <n v="69"/>
    <s v="3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x v="2"/>
    <x v="3"/>
    <x v="2"/>
    <s v="Bir"/>
    <n v="5"/>
    <x v="1"/>
    <x v="2"/>
    <x v="11"/>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x v="3"/>
    <x v="3"/>
    <s v="Auto, WC, Umbrella, GL, IM, Property, Energy, Wholesale"/>
    <s v="All"/>
    <x v="3"/>
    <s v="L3"/>
    <n v="2"/>
    <s v="2 to 4"/>
    <s v="8 to 10"/>
    <s v="FTE Based"/>
    <s v="USD"/>
    <n v="29608"/>
    <n v="17"/>
    <n v="1"/>
    <n v="0"/>
    <n v="3"/>
    <n v="21"/>
    <n v="0.14285714285714285"/>
    <n v="746"/>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x v="2"/>
    <x v="3"/>
    <x v="2"/>
    <s v="Bir"/>
    <n v="5"/>
    <x v="1"/>
    <x v="2"/>
    <x v="11"/>
    <s v="Prepare Written Quote/ Proposal"/>
    <s v="Clearance and Submission"/>
    <s v="Initial submission task has been received in the intake box in the image right application, we set up all the files as per the procedure and working on the escape application as per the submission request"/>
    <x v="3"/>
    <x v="3"/>
    <s v="Auto, WC, Umbrella, GL, IM, Property, Energy, Wholesale"/>
    <s v="All"/>
    <x v="3"/>
    <s v="L3"/>
    <n v="2"/>
    <s v="2 to 4"/>
    <s v="8 to 10"/>
    <s v="FTE Based"/>
    <s v="USD"/>
    <n v="27255"/>
    <n v="53"/>
    <n v="1"/>
    <n v="3"/>
    <n v="2"/>
    <n v="59"/>
    <n v="3.3898305084745763E-2"/>
    <n v="11718"/>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x v="15"/>
    <s v="Leading Global Insurer and Reinsurer"/>
    <x v="2"/>
    <x v="3"/>
    <x v="2"/>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x v="3"/>
    <x v="3"/>
    <s v="Auto, Property, GL, Financial lines"/>
    <s v="All"/>
    <x v="3"/>
    <s v="L3"/>
    <n v="2"/>
    <s v="2 to 4"/>
    <s v="8 to 10"/>
    <s v="FTE Based"/>
    <s v="USD"/>
    <n v="35028.25"/>
    <n v="11"/>
    <n v="1"/>
    <n v="1"/>
    <n v="2"/>
    <n v="15"/>
    <n v="0.13333333333333333"/>
    <n v="2050"/>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x v="15"/>
    <s v="Leading Global Insurer and Reinsurer"/>
    <x v="2"/>
    <x v="3"/>
    <x v="2"/>
    <s v="Bir"/>
    <n v="5"/>
    <x v="1"/>
    <x v="1"/>
    <x v="9"/>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x v="3"/>
    <x v="3"/>
    <s v="Auto, Property, GL, Financial lines"/>
    <s v="All"/>
    <x v="3"/>
    <s v="L3"/>
    <n v="2"/>
    <n v="2"/>
    <n v="2"/>
    <s v="FTE Based"/>
    <s v="USD"/>
    <n v="35028"/>
    <n v="2"/>
    <n v="0"/>
    <n v="1"/>
    <n v="1"/>
    <n v="4"/>
    <n v="0.25"/>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x v="8"/>
    <s v="Large US Multi-Regional P&amp;C Carrier"/>
    <x v="2"/>
    <x v="3"/>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x v="3"/>
    <x v="3"/>
    <s v="GL, Auto, Umbrella, Package, WC, BOP, Inland Marine and Specialty"/>
    <s v="Small &amp; Mid Size"/>
    <x v="3"/>
    <s v="L1"/>
    <n v="1"/>
    <s v="4 to 6"/>
    <n v="4"/>
    <s v="FTE Based"/>
    <s v="USD"/>
    <n v="31000"/>
    <n v="20"/>
    <n v="1"/>
    <n v="1"/>
    <n v="1"/>
    <n v="23"/>
    <n v="4.3478260869565216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x v="2"/>
    <x v="4"/>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x v="3"/>
    <x v="3"/>
    <s v="GL, Auto, Umbrella, Package, WC, BOP, Inland Marine and Specialty"/>
    <s v="Small &amp; Mid Size"/>
    <x v="3"/>
    <s v="L1"/>
    <n v="1"/>
    <s v="4 to 6"/>
    <n v="4"/>
    <s v="FTE Based"/>
    <s v="USD"/>
    <n v="31000"/>
    <n v="20"/>
    <n v="2"/>
    <n v="1"/>
    <n v="1"/>
    <n v="24"/>
    <n v="4.1666666666666664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x v="2"/>
    <x v="3"/>
    <x v="2"/>
    <s v="Rajesh Kodath"/>
    <n v="12"/>
    <x v="1"/>
    <x v="2"/>
    <x v="6"/>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x v="3"/>
    <x v="3"/>
    <s v="GL, Auto, Umbrella, Package, WC, BOP, Inland Marine and Specialty"/>
    <s v="Small &amp; Mid Size"/>
    <x v="3"/>
    <s v="L3"/>
    <n v="1"/>
    <s v="4 to 6"/>
    <n v="4"/>
    <s v="FTE Based"/>
    <s v="USD"/>
    <n v="32000"/>
    <n v="67"/>
    <n v="8"/>
    <n v="1"/>
    <n v="20"/>
    <n v="96"/>
    <n v="0.2083333333333333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x v="8"/>
    <s v="Large US Multi-Regional P&amp;C Carrier"/>
    <x v="2"/>
    <x v="3"/>
    <x v="2"/>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x v="3"/>
    <x v="3"/>
    <s v="Bond"/>
    <s v="All"/>
    <x v="3"/>
    <s v="L1"/>
    <n v="1"/>
    <s v="4 to 6"/>
    <n v="4"/>
    <s v="FTE Based"/>
    <s v="USD"/>
    <n v="33000"/>
    <n v="2"/>
    <n v="1"/>
    <n v="0"/>
    <n v="1"/>
    <n v="4"/>
    <n v="0.25"/>
    <n v="250"/>
    <s v="NA"/>
    <s v="Jan &amp; July"/>
    <n v="6"/>
    <s v="90% (0+1 working days)"/>
    <n v="0.92"/>
    <s v="DPU – Defect Per Unit"/>
    <s v="NA"/>
    <s v="NA"/>
    <s v="NA"/>
    <s v="NA"/>
    <s v="NA"/>
    <s v="NA"/>
    <s v="NA"/>
    <s v="NA"/>
    <s v="NA"/>
    <s v="NA"/>
    <s v="NA"/>
    <s v="UW/Agency"/>
    <s v="Multiple"/>
    <s v="Semi-Structured"/>
    <s v="NA"/>
    <s v="Others"/>
    <s v="UW/Raters"/>
    <s v="Citrix, CAAMS, IPS, APEX, "/>
  </r>
  <r>
    <x v="8"/>
    <s v="Large US Multi-Regional P&amp;C Carrier"/>
    <x v="2"/>
    <x v="4"/>
    <x v="2"/>
    <s v="Rajesh Kodath"/>
    <n v="13"/>
    <x v="1"/>
    <x v="2"/>
    <x v="6"/>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x v="4"/>
    <x v="3"/>
    <s v="Auto, WC, Commercial Package Policies, Umbrella , Inland Marine &amp; Specialty"/>
    <s v="All"/>
    <x v="3"/>
    <s v="L3"/>
    <n v="2"/>
    <n v="4"/>
    <n v="4"/>
    <s v="FTE Based"/>
    <s v="USD"/>
    <n v="33000"/>
    <n v="45"/>
    <n v="12"/>
    <n v="8"/>
    <n v="7"/>
    <n v="72"/>
    <n v="9.7222222222222224E-2"/>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x v="4"/>
    <x v="3"/>
    <s v="Auto, WC, Commercial Package Policies, Umbrella , Inland Marine &amp; Specialty"/>
    <s v="Small"/>
    <x v="3"/>
    <s v="L3"/>
    <n v="2"/>
    <n v="4"/>
    <n v="4"/>
    <s v="FTE Based"/>
    <s v="USD"/>
    <n v="33000"/>
    <n v="45"/>
    <n v="12"/>
    <n v="8"/>
    <n v="7"/>
    <n v="72"/>
    <n v="9.7222222222222224E-2"/>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x v="8"/>
    <s v="Large US Multi-Regional P&amp;C Carrier"/>
    <x v="2"/>
    <x v="4"/>
    <x v="2"/>
    <s v="Rajesh Kodath"/>
    <n v="14"/>
    <x v="1"/>
    <x v="2"/>
    <x v="6"/>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x v="4"/>
    <x v="3"/>
    <s v="Auto, WC, Commercial Package Policies, Umbrella  &amp; Specialty"/>
    <s v="Small"/>
    <x v="3"/>
    <s v="L3"/>
    <n v="2"/>
    <n v="4"/>
    <n v="4"/>
    <s v="FTE Based"/>
    <s v="USD"/>
    <n v="33000"/>
    <n v="13"/>
    <n v="10"/>
    <n v="1"/>
    <n v="5"/>
    <n v="29"/>
    <n v="0.17241379310344829"/>
    <n v="3154.3333333333335"/>
    <s v="ALL LOBs"/>
    <s v="NA"/>
    <n v="30"/>
    <s v="TAT -24 Hrs._x000a_"/>
    <n v="0.92"/>
    <s v="DPU – Defect Per Unit"/>
    <s v="NA"/>
    <s v="NA"/>
    <s v="NA"/>
    <s v="NA"/>
    <s v="NA"/>
    <s v="NA"/>
    <s v="NA"/>
    <s v="NA"/>
    <s v="NA"/>
    <s v="NA"/>
    <s v="NA"/>
    <s v="Agent, TP"/>
    <s v="Multiple"/>
    <s v="Semi-Structured"/>
    <s v="NA"/>
    <s v="NA"/>
    <s v="Agent, TP"/>
    <s v="Citrix, CAAMS, IPS, APEX, "/>
  </r>
  <r>
    <x v="8"/>
    <s v="Large US Multi-Regional P&amp;C Carrier"/>
    <x v="2"/>
    <x v="4"/>
    <x v="2"/>
    <s v="Rajesh Kodath"/>
    <n v="14"/>
    <x v="1"/>
    <x v="2"/>
    <x v="5"/>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x v="4"/>
    <x v="3"/>
    <s v="Auto, WC, Commercial Package Policies, Umbrella  &amp; Specialty"/>
    <s v="All"/>
    <x v="3"/>
    <s v="L3"/>
    <n v="2"/>
    <n v="4"/>
    <n v="4"/>
    <s v="FTE Based"/>
    <s v="USD"/>
    <n v="33000"/>
    <n v="13"/>
    <n v="10"/>
    <n v="1"/>
    <n v="5"/>
    <n v="29"/>
    <n v="0.17241379310344829"/>
    <n v="1493.1666666666667"/>
    <s v="ALL LOBs"/>
    <s v="NA"/>
    <n v="30"/>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3"/>
    <x v="1"/>
    <x v="2"/>
    <x v="11"/>
    <s v="Record Keeping"/>
    <s v="NAICS Validation"/>
    <s v="Identify and record accurate classifications for all businesses flowing through the Small Commercial Consolidation process."/>
    <x v="4"/>
    <x v="3"/>
    <s v="Auto, WC, Commercial Package Policies, Umbrella _x000a_Business Owners’ Policy"/>
    <s v="All"/>
    <x v="3"/>
    <s v="L4"/>
    <n v="2"/>
    <n v="4"/>
    <n v="4"/>
    <s v="FTE Based"/>
    <s v="USD"/>
    <n v="36000"/>
    <n v="6"/>
    <n v="2"/>
    <n v="1"/>
    <n v="1"/>
    <n v="10"/>
    <n v="0.1"/>
    <n v="1050.5"/>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11"/>
    <s v="New Business Quotes/ Rating"/>
    <s v="Uderwriting Assistant"/>
    <s v="Prep the account and provide the Quote information to Rating and  UW when referred to UW"/>
    <x v="4"/>
    <x v="3"/>
    <s v="Auto, WC, Commercial Package Policies, Umbrella  &amp; Business Owners’ Policy"/>
    <s v="All"/>
    <x v="3"/>
    <s v="L4"/>
    <n v="2"/>
    <n v="4"/>
    <n v="4"/>
    <s v="FTE Based"/>
    <s v="USD"/>
    <n v="36000"/>
    <n v="20"/>
    <n v="2"/>
    <n v="1"/>
    <n v="1"/>
    <n v="24"/>
    <n v="4.1666666666666664E-2"/>
    <n v="247.33333333333334"/>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3"/>
    <s v="Quality Audit"/>
    <s v="NA"/>
    <s v="The process involves auditing of policies processed onshore by Hanover"/>
    <x v="4"/>
    <x v="3"/>
    <s v="Auto, WC, Commercial Package Policies, Umbrella  &amp; Business Owners’ Policy"/>
    <s v="All"/>
    <x v="3"/>
    <s v="L4"/>
    <n v="2"/>
    <n v="4"/>
    <n v="4"/>
    <s v="FTE Based"/>
    <s v="USD"/>
    <n v="45000"/>
    <n v="13"/>
    <n v="0"/>
    <n v="1"/>
    <n v="1"/>
    <n v="15"/>
    <n v="6.6666666666666666E-2"/>
    <n v="1984.3333333333333"/>
    <s v="ALL LOBs"/>
    <s v="NA"/>
    <n v="30"/>
    <s v="NA"/>
    <n v="0.92"/>
    <s v="DPU – Defect Per Unit"/>
    <s v="NA"/>
    <s v="NA"/>
    <s v="NA"/>
    <s v="NA"/>
    <s v="NA"/>
    <s v="NA"/>
    <s v="NA"/>
    <s v="NA"/>
    <s v="NA"/>
    <s v="NA"/>
    <s v="NA"/>
    <s v="Hanover"/>
    <s v="Multiple"/>
    <s v="Semi-Structured"/>
    <s v="NA"/>
    <s v="NA"/>
    <s v="Internal"/>
    <s v="Citrix, CAAMS, IPS, APEX, "/>
  </r>
  <r>
    <x v="8"/>
    <s v="Large US Multi-Regional P&amp;C Carrier"/>
    <x v="2"/>
    <x v="4"/>
    <x v="2"/>
    <s v="Rajesh Kodath"/>
    <n v="14"/>
    <x v="1"/>
    <x v="2"/>
    <x v="5"/>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x v="4"/>
    <x v="1"/>
    <s v="Motor"/>
    <s v="Small &amp; Mid Size"/>
    <x v="3"/>
    <s v="L3"/>
    <n v="2"/>
    <n v="4"/>
    <n v="4"/>
    <s v="FTE Based"/>
    <s v="USD"/>
    <n v="31000"/>
    <n v="3"/>
    <n v="0"/>
    <n v="0"/>
    <n v="2"/>
    <n v="5"/>
    <n v="0.4"/>
    <n v="2625.75"/>
    <s v="ALL LOBs"/>
    <s v="NA"/>
    <n v="12"/>
    <s v="TAT -24 Hrs._x000a_"/>
    <n v="0.92"/>
    <s v="DPU – Defect Per Unit"/>
    <s v="NA"/>
    <s v="NA"/>
    <s v="NA"/>
    <s v="NA"/>
    <s v="NA"/>
    <s v="NA"/>
    <s v="NA"/>
    <s v="NA"/>
    <s v="NA"/>
    <s v="NA"/>
    <s v="NA"/>
    <s v="DMV"/>
    <s v="Multiple"/>
    <s v="Semi-Structured"/>
    <s v="NA"/>
    <s v="NA"/>
    <s v="Internal - DMV"/>
    <s v="Citrix, CAAMS, IPS, APEX, "/>
  </r>
  <r>
    <x v="8"/>
    <s v="Large US Multi-Regional P&amp;C Carrier"/>
    <x v="2"/>
    <x v="3"/>
    <x v="2"/>
    <s v="Rajesh Kodath"/>
    <n v="14"/>
    <x v="1"/>
    <x v="2"/>
    <x v="3"/>
    <s v="Non Renewals/Renewal notice"/>
    <s v="Oden"/>
    <s v="This task includes generating legal notices using ODEN system. Some of the possible notices are cancellation, reinstatement, non-renewal, conditional cancellation, conditional renewal etc."/>
    <x v="1"/>
    <x v="3"/>
    <s v="Auto, Property, Umbrella, Watercraft"/>
    <s v="Small, Mid Size &amp; Large"/>
    <x v="3"/>
    <s v="L2"/>
    <n v="1"/>
    <n v="4"/>
    <n v="8"/>
    <s v="FTE Based"/>
    <s v="USD"/>
    <n v="31773.37"/>
    <n v="0.7126892902754971"/>
    <n v="0"/>
    <n v="0"/>
    <n v="0"/>
    <n v="0.7126892902754971"/>
    <n v="0"/>
    <n v="1250"/>
    <s v="NA"/>
    <s v="NA"/>
    <n v="5"/>
    <s v="4 Hours"/>
    <n v="0.95"/>
    <s v="DPU – Defect Per Unit"/>
    <s v="NA"/>
    <s v="NA"/>
    <s v="NA"/>
    <s v="NA"/>
    <s v="NA"/>
    <s v="NA"/>
    <s v="NA"/>
    <s v="NA"/>
    <s v="NA"/>
    <s v="NA"/>
    <s v="NA"/>
    <s v="UW"/>
    <s v="Instructions in Application"/>
    <s v="Semi-Structured"/>
    <s v="NA"/>
    <s v="Emails"/>
    <s v="Agent, TP"/>
    <s v="Edge, PMS, POS, TAP Sales, Oden tool"/>
  </r>
  <r>
    <x v="8"/>
    <s v="Large US Multi-Regional P&amp;C Carrier"/>
    <x v="2"/>
    <x v="3"/>
    <x v="2"/>
    <s v="Souvick Paul"/>
    <n v="16"/>
    <x v="1"/>
    <x v="2"/>
    <x v="6"/>
    <s v="New Business Issuance"/>
    <s v="Quoting"/>
    <s v="Validate prior information and enter that information in TAP Sale Creating Quotation behalf of Hanover"/>
    <x v="1"/>
    <x v="13"/>
    <s v="Auto, Home, Motorcycle, Umbrella, Watercraft"/>
    <s v="Small, Mid Size &amp; Large"/>
    <x v="3"/>
    <s v="L2"/>
    <n v="1"/>
    <n v="4"/>
    <n v="12"/>
    <s v="FTE Based"/>
    <s v="USD"/>
    <n v="33093"/>
    <n v="34"/>
    <n v="1"/>
    <n v="1"/>
    <n v="2"/>
    <n v="38"/>
    <n v="5.2631578947368418E-2"/>
    <n v="10000"/>
    <s v="NA"/>
    <s v="NA"/>
    <n v="22"/>
    <s v="24 Hrs"/>
    <n v="0.92"/>
    <s v="DPU – Defect Per Unit"/>
    <s v="NA"/>
    <s v="NA"/>
    <s v="NA"/>
    <s v="NA"/>
    <s v="NA"/>
    <s v="NA"/>
    <s v="NA"/>
    <s v="NA"/>
    <s v="NA"/>
    <s v="NA"/>
    <s v="NA"/>
    <s v="Agent"/>
    <s v="Multiple"/>
    <s v="Unstructured"/>
    <n v="1"/>
    <s v="PDFs"/>
    <s v="Agents"/>
    <s v="PACE,SharePoint, EDGE, McOps"/>
  </r>
  <r>
    <x v="8"/>
    <s v="Large US Multi-Regional P&amp;C Carrier"/>
    <x v="2"/>
    <x v="3"/>
    <x v="2"/>
    <s v="Souvick Paul"/>
    <n v="16"/>
    <x v="1"/>
    <x v="2"/>
    <x v="6"/>
    <s v="Finalize Issuance of policies"/>
    <s v="Non-Quoting"/>
    <s v="Validate prior information and enter that information in Excel spreadsheet and creating letters (Prequote &amp; Issuance)"/>
    <x v="1"/>
    <x v="13"/>
    <s v="Auto, Home, Motorcycle, Umbrella, Watercraft"/>
    <s v="Small, Mid Size &amp; Large"/>
    <x v="3"/>
    <s v="L1"/>
    <n v="1"/>
    <n v="1"/>
    <n v="4"/>
    <s v="FTE Based"/>
    <s v="USD"/>
    <n v="33093"/>
    <n v="3"/>
    <n v="0.25"/>
    <n v="0.1"/>
    <n v="1"/>
    <n v="4.3499999999999996"/>
    <n v="0.22988505747126439"/>
    <n v="15000"/>
    <s v="NA"/>
    <s v="NA"/>
    <n v="2"/>
    <s v="24 Hrs"/>
    <n v="0.95"/>
    <s v="DPU – Defect Per Unit"/>
    <s v="NA"/>
    <s v="NA"/>
    <s v="NA"/>
    <s v="NA"/>
    <s v="NA"/>
    <s v="NA"/>
    <s v="NA"/>
    <s v="NA"/>
    <s v="NA"/>
    <s v="NA"/>
    <s v="NA"/>
    <s v="Agent"/>
    <s v="Multiple"/>
    <s v="Unstructured"/>
    <n v="1"/>
    <s v="PDFs"/>
    <s v="Agents"/>
    <s v="PACE,SharePoint, EDGE"/>
  </r>
  <r>
    <x v="8"/>
    <s v="Large US Multi-Regional P&amp;C Carrier"/>
    <x v="2"/>
    <x v="3"/>
    <x v="2"/>
    <s v="Souvick Paul"/>
    <n v="16"/>
    <x v="1"/>
    <x v="2"/>
    <x v="3"/>
    <s v="Quality Audit"/>
    <s v="COE"/>
    <s v="Validate prior information and enter that information in TAP Sale Creating Quotation behalf of Hanover"/>
    <x v="1"/>
    <x v="13"/>
    <s v="Auto, Home, Motorcycle, Umbrella, Watercraft"/>
    <s v="Small, Mid Size &amp; Large"/>
    <x v="3"/>
    <s v="L2"/>
    <n v="1"/>
    <n v="4"/>
    <n v="12"/>
    <s v="FTE Based"/>
    <s v="USD"/>
    <n v="45694"/>
    <n v="17"/>
    <n v="0.25"/>
    <n v="0.9"/>
    <n v="0"/>
    <n v="18.149999999999999"/>
    <n v="0"/>
    <n v="10000"/>
    <s v="NA"/>
    <s v="NA"/>
    <n v="15"/>
    <s v="24 Hrs"/>
    <n v="0.92"/>
    <s v="DPU – Defect Per Unit"/>
    <s v="NA"/>
    <s v="NA"/>
    <s v="NA"/>
    <s v="NA"/>
    <s v="NA"/>
    <s v="NA"/>
    <s v="NA"/>
    <s v="NA"/>
    <s v="NA"/>
    <s v="NA"/>
    <s v="NA"/>
    <s v="Agent"/>
    <s v="Multiple"/>
    <s v="Unstructured"/>
    <n v="1"/>
    <s v="PDFs"/>
    <s v="Agents"/>
    <s v="PACE,SharePoint, EDGE, McOps"/>
  </r>
  <r>
    <x v="8"/>
    <s v="Large US Multi-Regional P&amp;C Carrier"/>
    <x v="2"/>
    <x v="3"/>
    <x v="2"/>
    <s v="Souvick Paul"/>
    <n v="16"/>
    <x v="1"/>
    <x v="2"/>
    <x v="3"/>
    <s v="Customer service"/>
    <s v="PMT"/>
    <s v="EXL is assisting Hanover on multiple request type, like new business quote, policy verification, endorsement, cancellation &amp; reinstatement as per the request via inform to requestor and update the policy if needed."/>
    <x v="1"/>
    <x v="13"/>
    <s v="Auto, Home, Motorcycle, Umbrella, Watercraft"/>
    <s v="Small &amp; Mid Size"/>
    <x v="3"/>
    <s v="L3"/>
    <n v="2"/>
    <n v="4"/>
    <n v="12"/>
    <s v="FTE Based"/>
    <s v="USD"/>
    <n v="31773"/>
    <n v="49"/>
    <n v="3"/>
    <n v="1"/>
    <n v="1"/>
    <n v="54"/>
    <n v="1.8518518518518517E-2"/>
    <n v="83514"/>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6"/>
    <x v="1"/>
    <x v="2"/>
    <x v="3"/>
    <s v="Customer service"/>
    <s v="UW"/>
    <s v="EXL is assisting underwriting departments in verifying their risks by review the inspection &amp; losses via validation replacement cost, identify hazards &amp; underwriting concerns, and offer loss control recommendations when appropriate."/>
    <x v="1"/>
    <x v="13"/>
    <s v="Auto, Home, Motorcycle, Umbrella, Watercraft"/>
    <s v="Small &amp; Mid Size"/>
    <x v="3"/>
    <s v="L3"/>
    <n v="2"/>
    <n v="4"/>
    <n v="12"/>
    <s v="FTE Based"/>
    <s v="USD"/>
    <n v="31773"/>
    <n v="8"/>
    <n v="2"/>
    <n v="1"/>
    <n v="1"/>
    <n v="12"/>
    <n v="8.3333333333333329E-2"/>
    <n v="3823"/>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6"/>
    <x v="1"/>
    <x v="2"/>
    <x v="3"/>
    <s v="Customer service"/>
    <s v="Margin"/>
    <s v="EXL is assisting Hanover on temporary or short-term margin work by validating the changes, inform to agent and update the policy if needed."/>
    <x v="1"/>
    <x v="13"/>
    <s v="Auto, Home, Motorcycle, Umbrella, Watercraft"/>
    <s v="Small &amp; Mid Size"/>
    <x v="3"/>
    <s v="L3"/>
    <n v="2"/>
    <n v="4"/>
    <n v="12"/>
    <s v="FTE Based"/>
    <s v="USD"/>
    <n v="31773"/>
    <n v="1"/>
    <n v="1"/>
    <n v="0"/>
    <n v="0"/>
    <n v="2"/>
    <n v="0"/>
    <n v="650"/>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4"/>
    <x v="1"/>
    <x v="1"/>
    <x v="1"/>
    <s v="Indexing"/>
    <s v="Indexing"/>
    <s v="&gt; Document management team working through Kofax to tag incoming documents with existing claims_x000a_&gt; Upload &amp; download the documents as per the request from onshore"/>
    <x v="1"/>
    <x v="13"/>
    <s v="GL, Auto, Property"/>
    <s v="Small &amp; Mid Size"/>
    <x v="3"/>
    <s v="L1"/>
    <n v="1"/>
    <n v="4"/>
    <n v="2"/>
    <s v="FTE Based"/>
    <s v="USD"/>
    <n v="31773.37"/>
    <n v="4"/>
    <n v="0"/>
    <n v="0"/>
    <n v="0"/>
    <n v="4"/>
    <n v="0"/>
    <n v="30500"/>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x v="8"/>
    <s v="Large US Multi-Regional P&amp;C Carrier"/>
    <x v="2"/>
    <x v="3"/>
    <x v="2"/>
    <s v="Souvick Paul"/>
    <n v="14"/>
    <x v="1"/>
    <x v="1"/>
    <x v="1"/>
    <s v="Indexing"/>
    <s v="Indexing"/>
    <s v="&gt; Document management team working through Kofax to tag incoming documents with existing claims_x000a_&gt; Upload &amp; download the documents as per the request from onshore"/>
    <x v="3"/>
    <x v="13"/>
    <s v="GL, Auto, Property"/>
    <s v="Small &amp; Mid Size"/>
    <x v="3"/>
    <s v="L1"/>
    <n v="1"/>
    <n v="4"/>
    <n v="2"/>
    <s v="FTE Based"/>
    <s v="USD"/>
    <n v="31773.37"/>
    <n v="1"/>
    <n v="0"/>
    <n v="0"/>
    <n v="0"/>
    <n v="1"/>
    <n v="0"/>
    <n v="7600"/>
    <s v="NA"/>
    <s v="NA"/>
    <n v="2"/>
    <s v="2 Hours"/>
    <n v="0.95"/>
    <s v="DPU – Defect Per Unit"/>
    <s v="NA"/>
    <s v="NA"/>
    <s v="NA"/>
    <s v="NA"/>
    <s v="NA"/>
    <s v="NA"/>
    <s v="NA"/>
    <s v="NA"/>
    <s v="NA"/>
    <s v="NA"/>
    <s v="NA"/>
    <s v="Agent, Adjuster, Vendor"/>
    <s v="Multiple"/>
    <s v="Semi-Structured"/>
    <s v="NA"/>
    <s v="Emails"/>
    <s v="Agent, Adjuster, Vendor"/>
    <s v="CMX, Kofax, Excel"/>
  </r>
  <r>
    <x v="8"/>
    <s v="Large US Multi-Regional P&amp;C Carrier"/>
    <x v="2"/>
    <x v="3"/>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x v="1"/>
    <x v="13"/>
    <s v="GL, Auto, Property"/>
    <s v="Small &amp; Mid Size"/>
    <x v="3"/>
    <s v="L1"/>
    <n v="1"/>
    <n v="4"/>
    <n v="8"/>
    <s v="FTE Based"/>
    <s v="USD"/>
    <n v="31773.37"/>
    <n v="7"/>
    <n v="1"/>
    <n v="1"/>
    <n v="0"/>
    <n v="9"/>
    <n v="0"/>
    <n v="6650"/>
    <s v="NA"/>
    <s v="NA"/>
    <n v="10"/>
    <s v="2 Hours"/>
    <n v="0.94"/>
    <s v="DPU – Defect Per Unit"/>
    <s v="NA"/>
    <s v="NA"/>
    <s v="NA"/>
    <s v="NA"/>
    <s v="NA"/>
    <s v="NA"/>
    <s v="NA"/>
    <s v="NA"/>
    <s v="NA"/>
    <s v="NA"/>
    <s v="NA"/>
    <s v="Agent, TP"/>
    <s v="Multiple"/>
    <s v="Semi-Structured"/>
    <s v="NA"/>
    <s v="Emails"/>
    <s v="Agent, TP"/>
    <s v="CMX, Outlook, Excel"/>
  </r>
  <r>
    <x v="8"/>
    <s v="Large US Multi-Regional P&amp;C Carrier"/>
    <x v="2"/>
    <x v="3"/>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x v="3"/>
    <x v="13"/>
    <s v="GL, Auto, Property"/>
    <s v="Small &amp; Mid Size"/>
    <x v="3"/>
    <s v="L1"/>
    <n v="1"/>
    <n v="4"/>
    <n v="8"/>
    <s v="FTE Based"/>
    <s v="USD"/>
    <n v="31773.37"/>
    <n v="2"/>
    <n v="0"/>
    <n v="0"/>
    <n v="1"/>
    <n v="3"/>
    <n v="0.33333333333333331"/>
    <n v="1650"/>
    <s v="NA"/>
    <s v="NA"/>
    <n v="10"/>
    <s v="2 Hours"/>
    <n v="0.94"/>
    <s v="DPU – Defect Per Unit"/>
    <s v="NA"/>
    <s v="NA"/>
    <s v="NA"/>
    <s v="NA"/>
    <s v="NA"/>
    <s v="NA"/>
    <s v="NA"/>
    <s v="NA"/>
    <s v="NA"/>
    <s v="NA"/>
    <s v="NA"/>
    <s v="Agent, TP"/>
    <s v="Multiple"/>
    <s v="Semi-Structured"/>
    <s v="NA"/>
    <s v="Emails"/>
    <s v="Agent, TP"/>
    <s v="CMX, Outlook, Excel"/>
  </r>
  <r>
    <x v="8"/>
    <s v="Large US Multi-Regional P&amp;C Carrier"/>
    <x v="2"/>
    <x v="3"/>
    <x v="2"/>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x v="1"/>
    <x v="13"/>
    <s v="GL, Auto, Property"/>
    <s v="Small &amp; Mid Size"/>
    <x v="3"/>
    <s v="L1"/>
    <n v="1"/>
    <n v="4"/>
    <n v="4"/>
    <s v="FTE Based"/>
    <s v="USD"/>
    <n v="31773.37"/>
    <n v="30"/>
    <n v="2"/>
    <n v="0"/>
    <n v="1"/>
    <n v="33"/>
    <n v="3.0303030303030304E-2"/>
    <n v="305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x v="2"/>
    <x v="3"/>
    <x v="2"/>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x v="3"/>
    <x v="13"/>
    <s v="GL, Auto, Property"/>
    <s v="Small &amp; Mid Size"/>
    <x v="3"/>
    <s v="L1"/>
    <n v="1"/>
    <n v="4"/>
    <n v="4"/>
    <s v="FTE Based"/>
    <s v="USD"/>
    <n v="31773.37"/>
    <n v="3"/>
    <n v="1"/>
    <n v="0"/>
    <n v="0"/>
    <n v="4"/>
    <n v="0"/>
    <n v="76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x v="2"/>
    <x v="3"/>
    <x v="2"/>
    <s v="Souvick Paul"/>
    <n v="14"/>
    <x v="1"/>
    <x v="1"/>
    <x v="1"/>
    <s v="Claim Setup and assignment"/>
    <s v="Utilities"/>
    <s v="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
    <x v="1"/>
    <x v="13"/>
    <s v="GL, Auto, Property"/>
    <s v="Small &amp; Mid Size"/>
    <x v="3"/>
    <s v="L1"/>
    <n v="1"/>
    <n v="4"/>
    <n v="8"/>
    <s v="FTE Based"/>
    <s v="USD"/>
    <n v="31773.37"/>
    <n v="5"/>
    <n v="1"/>
    <n v="1"/>
    <n v="0"/>
    <n v="7"/>
    <n v="0"/>
    <n v="6650"/>
    <s v="NA"/>
    <s v="NA"/>
    <n v="20"/>
    <s v="48 Hours"/>
    <n v="0.92"/>
    <s v="DPU – Defect Per Unit"/>
    <s v="NA"/>
    <s v="NA"/>
    <s v="NA"/>
    <s v="NA"/>
    <s v="NA"/>
    <s v="NA"/>
    <s v="NA"/>
    <s v="NA"/>
    <s v="NA"/>
    <s v="NA"/>
    <s v="NA"/>
    <s v="Agent, TP"/>
    <s v="Multiple"/>
    <s v="Semi-Structured"/>
    <s v="NA"/>
    <s v="Emails"/>
    <s v="Agent, TP"/>
    <s v="CMX, Outlook, Excel"/>
  </r>
  <r>
    <x v="8"/>
    <s v="Large US Multi-Regional P&amp;C Carrier"/>
    <x v="2"/>
    <x v="3"/>
    <x v="2"/>
    <s v="Souvick Paul"/>
    <n v="16"/>
    <x v="1"/>
    <x v="2"/>
    <x v="2"/>
    <s v="New Agent Set-up"/>
    <s v="Agency Licensing"/>
    <s v="Setting up New agency code and giving access for downloads to agencies. Validating authorities, license and all, for producers prior to appointing"/>
    <x v="1"/>
    <x v="13"/>
    <s v="Auto, Home, Motorcycle, Umbrella, Watercraft"/>
    <s v="Small &amp; Mid Size"/>
    <x v="3"/>
    <s v="L2"/>
    <n v="2"/>
    <n v="8"/>
    <n v="12"/>
    <s v="FTE Based"/>
    <s v="USD"/>
    <n v="31773"/>
    <n v="4"/>
    <n v="1"/>
    <n v="0"/>
    <n v="0"/>
    <n v="5"/>
    <n v="0"/>
    <n v="7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x v="2"/>
    <x v="3"/>
    <x v="2"/>
    <s v="Souvick Paul"/>
    <n v="16"/>
    <x v="1"/>
    <x v="2"/>
    <x v="2"/>
    <s v="New Agent Set-up"/>
    <s v="Agency Licensing"/>
    <s v="Setting up New agency code and giving access for downloads to agencies. Validating authorities, license and all, for producers prior to appointing"/>
    <x v="3"/>
    <x v="13"/>
    <s v="Auto, Home, Motorcycle, Umbrella, Watercraft"/>
    <s v="Small &amp; Mid Size"/>
    <x v="3"/>
    <s v="L2"/>
    <n v="2"/>
    <n v="8"/>
    <n v="12"/>
    <s v="FTE Based"/>
    <s v="USD"/>
    <n v="31773"/>
    <n v="1"/>
    <n v="0"/>
    <n v="0"/>
    <n v="1"/>
    <n v="2"/>
    <n v="0.5"/>
    <n v="2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x v="2"/>
    <x v="3"/>
    <x v="2"/>
    <s v="Souvick Paul"/>
    <n v="16"/>
    <x v="1"/>
    <x v="2"/>
    <x v="3"/>
    <s v="Premium Billing and Collections"/>
    <s v="Financial Operations"/>
    <s v="Premium checks along with agent/policy details are received and Posting payment on the policies. Approving the reimbursement based on the request from business."/>
    <x v="1"/>
    <x v="13"/>
    <s v="Auto, Home, Motorcycle, Umbrella, Watercraft"/>
    <s v="Small &amp; Mid Size"/>
    <x v="3"/>
    <s v="L2"/>
    <n v="2"/>
    <n v="4"/>
    <n v="12"/>
    <s v="FTE Based"/>
    <s v="USD"/>
    <n v="31773"/>
    <n v="9"/>
    <n v="1"/>
    <n v="1"/>
    <n v="1"/>
    <n v="12"/>
    <n v="8.3333333333333329E-2"/>
    <n v="300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8"/>
    <s v="Large US Multi-Regional P&amp;C Carrier"/>
    <x v="2"/>
    <x v="3"/>
    <x v="2"/>
    <s v="Souvick Paul"/>
    <n v="16"/>
    <x v="1"/>
    <x v="2"/>
    <x v="3"/>
    <s v="Premium Billing and Collections"/>
    <s v="Financial Operations"/>
    <s v="Premium checks along with agent/policy details are received and Posting payment on the policies. Approving the reimbursement based on the request from business."/>
    <x v="3"/>
    <x v="13"/>
    <s v="Auto, Home, Motorcycle, Umbrella, Watercraft"/>
    <s v="Small &amp; Mid Size"/>
    <x v="3"/>
    <s v="L2"/>
    <n v="2"/>
    <n v="4"/>
    <n v="12"/>
    <s v="FTE Based"/>
    <s v="USD"/>
    <n v="31773"/>
    <n v="1.7"/>
    <n v="0"/>
    <n v="0"/>
    <n v="0"/>
    <n v="1.7"/>
    <n v="0"/>
    <n v="125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16"/>
    <s v="Fortune 100 APAC P&amp;C Carrier"/>
    <x v="5"/>
    <x v="5"/>
    <x v="3"/>
    <s v="Phenyo Nong / Yunus Bayat "/>
    <n v="5"/>
    <x v="2"/>
    <x v="2"/>
    <x v="5"/>
    <s v="New Business setup"/>
    <s v="New Business setup"/>
    <s v="We service customers in the AUTO/Property, we set up policy, amend, cancel and renew policies"/>
    <x v="1"/>
    <x v="3"/>
    <s v="Auto / Property "/>
    <s v="Small"/>
    <x v="1"/>
    <s v="L3"/>
    <n v="2"/>
    <s v="6 to 7"/>
    <n v="8"/>
    <s v="FTE Based"/>
    <s v="AUD"/>
    <s v="23.70/Hour"/>
    <n v="125"/>
    <n v="10"/>
    <n v="12"/>
    <n v="24"/>
    <n v="171"/>
    <n v="0.14035087719298245"/>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x v="16"/>
    <s v="Fortune 100 APAC P&amp;C Carrier"/>
    <x v="5"/>
    <x v="1"/>
    <x v="1"/>
    <s v="Red Dayao / Verna Arzadon"/>
    <n v="7"/>
    <x v="1"/>
    <x v="1"/>
    <x v="1"/>
    <s v="Data entry "/>
    <s v="Claims Management"/>
    <s v="Manage Claims from validation to finalization"/>
    <x v="1"/>
    <x v="3"/>
    <s v="Property"/>
    <s v="Small, Mid Size &amp; Large"/>
    <x v="2"/>
    <s v="L2"/>
    <n v="2"/>
    <n v="4"/>
    <n v="4"/>
    <s v="FTE Based"/>
    <s v="AUD"/>
    <s v="22.70/Hour"/>
    <n v="70"/>
    <n v="4"/>
    <n v="4"/>
    <n v="8"/>
    <n v="86"/>
    <n v="9.3023255813953487E-2"/>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x v="16"/>
    <s v="Fortune 100 APAC P&amp;C Carrier"/>
    <x v="5"/>
    <x v="3"/>
    <x v="2"/>
    <s v="Red Dayao / Verna Arzadon"/>
    <n v="7"/>
    <x v="1"/>
    <x v="1"/>
    <x v="1"/>
    <s v="Indexing"/>
    <s v="Classification of documents"/>
    <s v="Staff classify the documents related to claims &amp; Policy received thourgh Email/Fax/Post"/>
    <x v="1"/>
    <x v="3"/>
    <s v="DCT AUS &amp; NZ"/>
    <s v="Small &amp; Mid Size"/>
    <x v="3"/>
    <s v="L2"/>
    <n v="1"/>
    <n v="4"/>
    <n v="4"/>
    <s v="FTE Based"/>
    <s v="AUD"/>
    <n v="23436"/>
    <n v="13"/>
    <n v="2"/>
    <n v="1"/>
    <n v="1"/>
    <n v="17"/>
    <n v="5.882352941176470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6"/>
    <s v="Fortune 100 APAC P&amp;C Carrier"/>
    <x v="5"/>
    <x v="3"/>
    <x v="2"/>
    <s v="Red Dayao / Verna Arzadon"/>
    <n v="7"/>
    <x v="1"/>
    <x v="1"/>
    <x v="1"/>
    <s v="Indexing"/>
    <s v="Classification of documents"/>
    <s v="Staff classify the documents related to claims &amp; Policy received thourgh Email/Fax/Post"/>
    <x v="3"/>
    <x v="3"/>
    <s v="DCT AUS &amp; NZ"/>
    <s v="Small &amp; Mid Size"/>
    <x v="3"/>
    <s v="L2"/>
    <n v="1"/>
    <n v="4"/>
    <n v="4"/>
    <s v="FTE Based"/>
    <s v="AUD"/>
    <n v="23436"/>
    <n v="13"/>
    <n v="1"/>
    <n v="1"/>
    <n v="1"/>
    <n v="16"/>
    <n v="6.2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7"/>
    <s v="Fortune 500 Global P&amp;C Carrier"/>
    <x v="2"/>
    <x v="1"/>
    <x v="1"/>
    <s v="Michelle Fontamillas"/>
    <n v="9"/>
    <x v="1"/>
    <x v="1"/>
    <x v="7"/>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x v="3"/>
    <x v="5"/>
    <s v="WC"/>
    <s v="Large"/>
    <x v="2"/>
    <s v="L3"/>
    <n v="1"/>
    <n v="5"/>
    <n v="6"/>
    <s v="FTE Based"/>
    <s v="USD"/>
    <n v="24490.33"/>
    <n v="42.66"/>
    <n v="6"/>
    <n v="1"/>
    <n v="7.34"/>
    <n v="57"/>
    <n v="0.1287719298245614"/>
    <n v="22134"/>
    <n v="32000"/>
    <s v="January &amp; October"/>
    <s v="8 Minutes"/>
    <n v="0.98"/>
    <n v="0.98"/>
    <s v="DPO – Defect Per Opportunity"/>
    <s v="NA"/>
    <s v="NA"/>
    <s v="Attrition"/>
    <s v="TAT &amp; QA"/>
    <s v="Multi/ Combination"/>
    <s v="SWM, Other automation tool,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Time and Billing, Claims Connect, Medwise, SWM/Smart Work Management Dashboard, MS Outlook, MS Teams, Concentra Portal"/>
  </r>
  <r>
    <x v="17"/>
    <s v="Fortune 500 Global P&amp;C Carrier"/>
    <x v="2"/>
    <x v="1"/>
    <x v="1"/>
    <s v="Michelle Fontamillas"/>
    <n v="8"/>
    <x v="1"/>
    <x v="1"/>
    <x v="1"/>
    <s v="Claim Setup and assignment"/>
    <s v="Referral and Triage"/>
    <s v="Assignment of NCMs or Client Integrated Nurses on claims as necessary. Requests can be from an automated system or adjusters/other nurses and reviewed using a list of client-approved criteria._x000a_"/>
    <x v="3"/>
    <x v="5"/>
    <s v="WC"/>
    <s v="Mid Size"/>
    <x v="3"/>
    <s v="L3"/>
    <n v="1"/>
    <n v="3"/>
    <n v="4"/>
    <s v="FTE Based"/>
    <s v="USD"/>
    <n v="24490.33"/>
    <n v="6.37"/>
    <n v="1"/>
    <n v="0.5"/>
    <n v="1.63"/>
    <n v="9.5"/>
    <n v="0.17157894736842105"/>
    <n v="3543"/>
    <n v="4700"/>
    <s v="January &amp; October"/>
    <s v="24.24 minutes"/>
    <n v="0.98"/>
    <n v="0.98"/>
    <s v="DPO – Defect Per Opportunity"/>
    <s v="NA"/>
    <s v="NA"/>
    <s v="Attrition"/>
    <s v="QA"/>
    <s v="Multi/ Combination"/>
    <s v="SWM, Other automation tool,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Claims Connect,  SWM/Smart Work Management Dashboard, MS Outlook, MS Teams, Share Point, Serrela, "/>
  </r>
  <r>
    <x v="17"/>
    <s v="Fortune 500 Global P&amp;C Carrier"/>
    <x v="2"/>
    <x v="1"/>
    <x v="1"/>
    <s v="Michelle Fontamillas"/>
    <n v="6"/>
    <x v="2"/>
    <x v="1"/>
    <x v="7"/>
    <s v="Identify claims for closing"/>
    <s v="Return to Work Coordinator"/>
    <s v="Nurse associates review and classify claims based on current work status parameters.  If it is determined, the claim will be sent to RTW nurses onshore for further review._x000a_"/>
    <x v="3"/>
    <x v="5"/>
    <s v="WC"/>
    <s v="Small"/>
    <x v="3"/>
    <s v="L3"/>
    <n v="1"/>
    <n v="4"/>
    <n v="6"/>
    <s v="FTE Based"/>
    <s v="USD"/>
    <n v="24490.33"/>
    <n v="2"/>
    <n v="0"/>
    <n v="0"/>
    <n v="0"/>
    <n v="2"/>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x v="17"/>
    <s v="Fortune 500 Global P&amp;C Carrier"/>
    <x v="2"/>
    <x v="1"/>
    <x v="1"/>
    <s v="Michelle Fontamillas"/>
    <n v="9"/>
    <x v="1"/>
    <x v="1"/>
    <x v="7"/>
    <s v="Utilization Review"/>
    <s v="Intake and Closure"/>
    <s v="Intake Unit is responsible to  receive the request, review it for completeness and assign it to the USRN at EXL for complete Clinical Review. Closure Unit is responsible of sending out decision letters _x000a__x000a_"/>
    <x v="3"/>
    <x v="5"/>
    <s v="WC"/>
    <s v="Specialized"/>
    <x v="2"/>
    <s v="L2"/>
    <n v="1"/>
    <n v="3"/>
    <n v="6"/>
    <s v="FTE Based"/>
    <s v="USD"/>
    <n v="24490.33"/>
    <n v="33.29"/>
    <n v="1"/>
    <n v="2.5"/>
    <n v="8.7100000000000009"/>
    <n v="45.5"/>
    <n v="0.19142857142857145"/>
    <n v="17677"/>
    <n v="15000"/>
    <s v="January &amp; October"/>
    <s v="Intake: 18.75 min_x000a_Closure NY: 5.06 min._x000a_Closure Non - NY: 6.68 min."/>
    <s v="TAT 1: 70%_x000a_TAT 2: 99.6%_x000a_TAT 3: 99. 9%"/>
    <s v="Quality: 95%"/>
    <s v="DPO – Defect Per Opportunity"/>
    <s v="NA"/>
    <s v="NA"/>
    <s v="1. Attrition_x000a_2. Backlogs_x000a_3. MEI"/>
    <s v="UR TAT"/>
    <s v="Robotics"/>
    <s v="1. SWM _x000a_2. AIM Implemented Ideas"/>
    <s v="Productivity gains"/>
    <s v="Extraction Tool"/>
    <s v="UR Extraction Tool"/>
    <s v="Increased Efficiency"/>
    <s v="NA"/>
    <s v="Requests received by fax and  worked by EXL nurse"/>
    <s v="Multiple"/>
    <s v="Structured"/>
    <s v="30% PDF &amp; 70% MS Office Document Imaging_x000a_"/>
    <s v="Instructions in Application"/>
    <s v="Injured Workers, Claims Professionals, providers, Facility, Atty., NCM"/>
    <s v="Review Stat,  Claims Connect, MS Teams, AWS, Share point, MS Outook, SWM"/>
  </r>
  <r>
    <x v="17"/>
    <s v="Fortune 500 Global P&amp;C Carrier"/>
    <x v="2"/>
    <x v="1"/>
    <x v="1"/>
    <s v="Michelle Fontamillas"/>
    <n v="9"/>
    <x v="1"/>
    <x v="1"/>
    <x v="7"/>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x v="3"/>
    <x v="5"/>
    <s v="WC"/>
    <s v="Specialized"/>
    <x v="2"/>
    <s v="L3"/>
    <n v="1"/>
    <n v="6"/>
    <n v="10"/>
    <s v="FTE Based"/>
    <s v="USD"/>
    <n v="24490.33"/>
    <n v="29.32"/>
    <n v="4"/>
    <n v="3"/>
    <n v="21.68"/>
    <n v="58"/>
    <n v="0.37379310344827588"/>
    <n v="8359"/>
    <n v="7200"/>
    <s v="January &amp; October"/>
    <s v="32.4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Review Stat"/>
    <s v="Instructions in Application"/>
    <s v="Injured Workers, Claims Professionals, providers, Facility, Atty., NCM"/>
    <s v="Review Stat,  Claims Connect, MS Teams, AWS, Share point, MS Outook, SWM"/>
  </r>
  <r>
    <x v="17"/>
    <s v="Fortune 500 Global P&amp;C Carrier"/>
    <x v="2"/>
    <x v="1"/>
    <x v="1"/>
    <s v="Michelle Fontamillas"/>
    <n v="7"/>
    <x v="1"/>
    <x v="1"/>
    <x v="7"/>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x v="3"/>
    <x v="5"/>
    <s v="WC"/>
    <s v="Specialized"/>
    <x v="1"/>
    <s v="L2"/>
    <n v="1"/>
    <n v="2"/>
    <n v="10"/>
    <s v="FTE Based"/>
    <s v="USD"/>
    <n v="24490.33"/>
    <n v="7"/>
    <n v="1"/>
    <n v="0.5"/>
    <n v="1"/>
    <n v="9.5"/>
    <n v="0.10526315789473684"/>
    <n v="2428"/>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WS"/>
    <s v="Instructions in Application"/>
    <s v="Injured Workers, Claims Professionals, providers, Facility, Atty., NCM"/>
    <s v="Review Stat,  Claims Connect, MS Teams, AWS, Share point, MS Outook, SWM"/>
  </r>
  <r>
    <x v="17"/>
    <s v="Fortune 500 Global P&amp;C Carrier"/>
    <x v="2"/>
    <x v="1"/>
    <x v="1"/>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x v="3"/>
    <x v="5"/>
    <s v="WC Claims (except requests from Staff Legal   **Liability Claims (for vendor physician review requests only)_x000a_"/>
    <s v="Specialized"/>
    <x v="3"/>
    <s v="L2"/>
    <n v="1"/>
    <n v="4"/>
    <n v="8"/>
    <s v="FTE Based"/>
    <s v="USD"/>
    <n v="24490.33"/>
    <n v="0.5"/>
    <n v="1"/>
    <n v="0"/>
    <n v="0.5"/>
    <n v="2"/>
    <n v="0.25"/>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7"/>
    <s v="Fortune 500 Global P&amp;C Carrier"/>
    <x v="2"/>
    <x v="1"/>
    <x v="1"/>
    <s v="Michelle Fontamillas"/>
    <n v="3"/>
    <x v="1"/>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x v="3"/>
    <x v="5"/>
    <s v="WC"/>
    <s v="Specialized"/>
    <x v="3"/>
    <s v="L1"/>
    <n v="1"/>
    <n v="1"/>
    <n v="4"/>
    <s v="FTE Based"/>
    <s v="USD"/>
    <n v="24490.33"/>
    <n v="7.67"/>
    <n v="1"/>
    <n v="0.5"/>
    <n v="5.83"/>
    <n v="15"/>
    <n v="0.38866666666666666"/>
    <n v="21846"/>
    <n v="20000"/>
    <s v="January &amp; October"/>
    <s v="7.67 minutes"/>
    <n v="0.95"/>
    <n v="0.98"/>
    <s v="DPO – Defect Per Opportunity"/>
    <s v="NA"/>
    <s v="NA"/>
    <s v="Attrition"/>
    <s v="Service Levels"/>
    <s v="Multi/ Combination"/>
    <s v="SWM, Other automation tool, etc."/>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x v="17"/>
    <s v="Fortune 500 Global P&amp;C Carrier"/>
    <x v="2"/>
    <x v="1"/>
    <x v="1"/>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x v="3"/>
    <x v="5"/>
    <s v="WC"/>
    <s v="Specialized"/>
    <x v="3"/>
    <s v="L2"/>
    <n v="1"/>
    <n v="1"/>
    <n v="4"/>
    <s v="FTE Based"/>
    <s v="USD"/>
    <n v="24490.33"/>
    <n v="0.5"/>
    <n v="0"/>
    <n v="0"/>
    <n v="1.5"/>
    <n v="2"/>
    <n v="0.75"/>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8"/>
    <s v="Large APAC P&amp;C Carrier"/>
    <x v="5"/>
    <x v="6"/>
    <x v="1"/>
    <s v="Verna  Arzadon"/>
    <n v="5.9"/>
    <x v="1"/>
    <x v="3"/>
    <x v="13"/>
    <s v="General Inquiry"/>
    <s v="Voice Policy enquiries, endorsements, payment, online support "/>
    <s v="Policy Servicing Contact Center for Personal insurance handling Queries, Changes to policy, Documents, Payments/direct debit, Password Reset walkthrough, Self-servce Support "/>
    <x v="1"/>
    <x v="3"/>
    <s v="Motor and Home "/>
    <s v="All"/>
    <x v="1"/>
    <s v="L2"/>
    <n v="1"/>
    <n v="4"/>
    <n v="2"/>
    <s v="FTE Based"/>
    <s v="AUD"/>
    <n v="35409.32"/>
    <n v="197"/>
    <n v="9"/>
    <n v="7"/>
    <n v="30"/>
    <n v="243"/>
    <n v="0.12345679012345678"/>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AHT/Compliancxe"/>
    <s v="NPS/OSAT"/>
    <s v="NA"/>
    <s v="NA"/>
    <s v="NA"/>
    <s v="1.A demonstration of the AI Coach solution and an accompanying discussion on Point Automation are in the process of being scheduled with the new leadership team at Suncorp_x000a__x000a_."/>
    <s v="1- AI Coach (OPS Sponsored) - AI Solution that will provide coaching nudges and gamified performance management and PKTs)_x000a_2 - Assess potential automation opportunities across all solutions and processes running within Citrix, regardless of platform or application.. _x000a_"/>
    <s v="TBD"/>
    <s v="NA"/>
    <s v="Customer"/>
    <s v="Calls"/>
    <s v="Semi-Structured"/>
    <s v="100% Calls"/>
    <s v="NA"/>
    <s v="Customer, Sales"/>
    <s v="Mainframe,Protect and Customer Workbench"/>
  </r>
  <r>
    <x v="18"/>
    <s v="Large APAC P&amp;C Carrier"/>
    <x v="5"/>
    <x v="6"/>
    <x v="1"/>
    <s v="Verna  Arzadon"/>
    <n v="2.6"/>
    <x v="1"/>
    <x v="3"/>
    <x v="13"/>
    <s v="Webchat - Query resolution, General Inquiry"/>
    <s v="Chat, Email Support Policy enquiries, endorsements, payment"/>
    <s v="Policy Servicing through Chat and Email Support, Personal insurance handling Queries, Changes to policy, Documents, Payments/direct debit, Password Reset, Self-servce Support "/>
    <x v="1"/>
    <x v="3"/>
    <s v="Motor and Home "/>
    <s v="All"/>
    <x v="1"/>
    <s v="L2"/>
    <n v="1"/>
    <n v="6"/>
    <n v="4"/>
    <s v="FTE Based"/>
    <s v="AUD"/>
    <n v="34545.68"/>
    <n v="90"/>
    <n v="5"/>
    <n v="3"/>
    <n v="14"/>
    <n v="112"/>
    <n v="0.125"/>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SYNC GOS/Live chat ASA/HD Required"/>
    <s v="NPS/OSAT"/>
    <s v="NA"/>
    <s v="NA"/>
    <s v="NA"/>
    <s v="1.A demonstration of the AI Coach solution and an accompanying discussion on Point Automation are in the process of being scheduled with the new leadership team at Suncorp_x000a_2- Presented Chat AI - With the current leadership re-ogranization will be pushed to Reset."/>
    <s v="1- Deploy AI Coach (OPS Sponsored)_x000a_Assess opportunity to Automate inside Suncorp_x000a_2- Chat AI (Smart Chat AI) Tool "/>
    <s v="1- TBD _x000a_2- 6.6 (Original Calculation)"/>
    <s v="NA"/>
    <s v="Customer"/>
    <s v="EMAIL and CHAT"/>
    <s v="Semi-Structured"/>
    <s v="100% CHAT/Email"/>
    <s v="NA"/>
    <s v="Customer, Sales"/>
    <s v="Mainframe,Protect and Customer Workbench"/>
  </r>
  <r>
    <x v="19"/>
    <s v="UK General Insurance Carrier"/>
    <x v="3"/>
    <x v="5"/>
    <x v="3"/>
    <s v="Denver Vieira, Nontobeko Mfeka"/>
    <n v="2"/>
    <x v="1"/>
    <x v="3"/>
    <x v="16"/>
    <s v="Renewal Processing and Issuance"/>
    <s v="Webchat and Inbound Calls"/>
    <s v="Handling incoming calls and chats from customers regarding various querries like mid-term amendments, renewals cancellations, complaints, payments, billing, general queries, etc. "/>
    <x v="1"/>
    <x v="4"/>
    <s v="Personal Auto"/>
    <s v="All"/>
    <x v="4"/>
    <s v="L3"/>
    <n v="2"/>
    <n v="4"/>
    <n v="4"/>
    <s v="FTE Based"/>
    <s v="GBP"/>
    <n v="1244988"/>
    <n v="60"/>
    <n v="7"/>
    <n v="4"/>
    <n v="12"/>
    <n v="83"/>
    <n v="0.14457831325301204"/>
    <n v="55000"/>
    <s v="Calls: 20000_x000a_Chats: 35000"/>
    <s v="Oct - Dec"/>
    <s v="Calls: 540 to 570 sec_x000a_Chats: 900 to 950 sec"/>
    <s v="NA"/>
    <n v="0.9"/>
    <s v="DPO – Defect Per Opportunity"/>
    <s v="Net Lock Down (staffing delivery per interval): 100%"/>
    <s v="Compliance: 95%"/>
    <s v="Quality - following all regulatory / compliance scripts _x000a_Net Lock Down Delivery - 100% delivery can be challenging with spikes in absences, etc."/>
    <s v="CSAT (Target 70%)"/>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x v="20"/>
    <s v="Fortune 100 Global P&amp;C Carrier"/>
    <x v="2"/>
    <x v="4"/>
    <x v="2"/>
    <s v="Rashmi Arora"/>
    <s v="12 months"/>
    <x v="1"/>
    <x v="2"/>
    <x v="11"/>
    <s v="Renewal Quotes/ Rating"/>
    <s v="Generating Quotes"/>
    <s v="Generating quotes for Auto policies by following instructions"/>
    <x v="3"/>
    <x v="1"/>
    <s v="AUTO"/>
    <s v="Mid Size"/>
    <x v="3"/>
    <s v="L3"/>
    <n v="1"/>
    <n v="6"/>
    <n v="7"/>
    <s v="FTE Based"/>
    <s v="USD"/>
    <n v="22264"/>
    <n v="8"/>
    <n v="0"/>
    <n v="1"/>
    <n v="1"/>
    <n v="10"/>
    <n v="0.1"/>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x v="20"/>
    <s v="Fortune 100 Global P&amp;C Carrier"/>
    <x v="2"/>
    <x v="4"/>
    <x v="2"/>
    <s v="Rashmi Arora"/>
    <s v="12 months"/>
    <x v="1"/>
    <x v="2"/>
    <x v="6"/>
    <s v="Finalize Issuance of policies"/>
    <s v="Issuing Policy"/>
    <s v="Issuance policies for finalised quotes by updating forms and fill-ins as per AA instructions"/>
    <x v="3"/>
    <x v="1"/>
    <s v="AUTO"/>
    <s v="Mid Size"/>
    <x v="3"/>
    <s v="L3"/>
    <n v="1"/>
    <n v="3"/>
    <n v="8"/>
    <s v="FTE Based"/>
    <s v="USD"/>
    <n v="22264"/>
    <n v="7"/>
    <n v="0"/>
    <n v="0.5"/>
    <n v="1"/>
    <n v="8.5"/>
    <n v="0.11764705882352941"/>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x v="20"/>
    <s v="Fortune 100 Global P&amp;C Carrier"/>
    <x v="2"/>
    <x v="4"/>
    <x v="2"/>
    <s v="Rashmi Arora"/>
    <s v="12 months"/>
    <x v="1"/>
    <x v="2"/>
    <x v="11"/>
    <s v="Renewal Quotes/ Rating"/>
    <s v="Comparing Forms "/>
    <s v="Comparing forms of renewal quotes and old quote to match and finalize forms"/>
    <x v="3"/>
    <x v="1"/>
    <s v="AUTO"/>
    <s v="Mid Size &amp; Large"/>
    <x v="3"/>
    <s v="L3"/>
    <n v="1"/>
    <n v="3"/>
    <n v="5"/>
    <s v="FTE Based"/>
    <s v="USD"/>
    <n v="22264"/>
    <n v="7"/>
    <n v="0"/>
    <n v="0.5"/>
    <n v="2"/>
    <n v="9.5"/>
    <n v="0.21052631578947367"/>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x v="20"/>
    <s v="Fortune 100 Global P&amp;C Carrier"/>
    <x v="2"/>
    <x v="4"/>
    <x v="2"/>
    <s v="Rashmi Arora"/>
    <s v="12 months"/>
    <x v="1"/>
    <x v="2"/>
    <x v="11"/>
    <s v="New Business Quotes/ Rating"/>
    <s v="Generating Quotes"/>
    <s v="Generating quotes for WC policies by following AA instructions"/>
    <x v="3"/>
    <x v="5"/>
    <s v="WC"/>
    <s v="Mid Size &amp; Large"/>
    <x v="3"/>
    <s v="L3"/>
    <n v="1"/>
    <n v="5"/>
    <n v="8"/>
    <s v="FTE Based"/>
    <s v="USD"/>
    <n v="22264"/>
    <n v="11"/>
    <n v="0"/>
    <n v="1"/>
    <n v="2"/>
    <n v="14"/>
    <n v="0.1428571428571428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x v="20"/>
    <s v="Fortune 100 Global P&amp;C Carrier"/>
    <x v="2"/>
    <x v="4"/>
    <x v="2"/>
    <s v="Rashmi Arora"/>
    <s v="12 months"/>
    <x v="1"/>
    <x v="2"/>
    <x v="10"/>
    <s v="Premium Audit Endorsements"/>
    <s v="Premium Audit"/>
    <s v="Auditing finalized premium after the renewal / new business issuance for every policy"/>
    <x v="3"/>
    <x v="5"/>
    <s v="WC"/>
    <s v="Mid Size &amp; Large"/>
    <x v="3"/>
    <s v="L3"/>
    <n v="1"/>
    <n v="4"/>
    <n v="6"/>
    <s v="FTE Based"/>
    <s v="USD"/>
    <n v="22264"/>
    <n v="10"/>
    <n v="0"/>
    <n v="1"/>
    <n v="2"/>
    <n v="13"/>
    <n v="0.1538461538461538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x v="20"/>
    <s v="Fortune 100 Global P&amp;C Carrier"/>
    <x v="2"/>
    <x v="4"/>
    <x v="2"/>
    <s v="Rashmi Arora"/>
    <s v="12 months"/>
    <x v="1"/>
    <x v="2"/>
    <x v="6"/>
    <s v="Finalize Issuance of policies"/>
    <s v="Issuing Policy"/>
    <s v="Issuance policies for finalised quotes by updating forms and fill-ins as per AA instructions. Updating Experience mods for midterms."/>
    <x v="3"/>
    <x v="5"/>
    <s v="WC"/>
    <s v="Mid Size &amp; Large"/>
    <x v="3"/>
    <s v="L3"/>
    <n v="1"/>
    <n v="4"/>
    <n v="8"/>
    <s v="FTE Based"/>
    <s v="USD"/>
    <n v="22264"/>
    <n v="8"/>
    <n v="0"/>
    <n v="1"/>
    <n v="1"/>
    <n v="10"/>
    <n v="0.1"/>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x v="20"/>
    <s v="Fortune 100 Global P&amp;C Carrier"/>
    <x v="2"/>
    <x v="4"/>
    <x v="2"/>
    <s v="Rashmi Arora"/>
    <s v="12 months"/>
    <x v="1"/>
    <x v="2"/>
    <x v="6"/>
    <s v="Finalize Issuance of policies"/>
    <s v="Issuing Policy"/>
    <s v="Issuance policies for finalised quotes by updating forms and fill-ins as per AA instructions. Updating Experience mods for midterms."/>
    <x v="3"/>
    <x v="5"/>
    <s v="WC"/>
    <s v="Mid Size &amp; Large"/>
    <x v="3"/>
    <s v="L3"/>
    <n v="1"/>
    <n v="3"/>
    <n v="4"/>
    <s v="FTE Based"/>
    <s v="USD"/>
    <n v="22264"/>
    <n v="3"/>
    <n v="0"/>
    <n v="0"/>
    <n v="2"/>
    <n v="5"/>
    <n v="0.4"/>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x v="20"/>
    <s v="Fortune 100 Global P&amp;C Carrier"/>
    <x v="2"/>
    <x v="4"/>
    <x v="2"/>
    <s v="Rashmi Arora"/>
    <s v="12 months"/>
    <x v="1"/>
    <x v="2"/>
    <x v="5"/>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x v="3"/>
    <x v="3"/>
    <s v="Auto_x000a_GL_x000a_Property_x000a_WC _x000a_Inland Marine"/>
    <s v="All"/>
    <x v="3"/>
    <s v="L3"/>
    <n v="1"/>
    <n v="7"/>
    <n v="6"/>
    <s v="FTE Based"/>
    <s v="USD"/>
    <n v="22264"/>
    <n v="3"/>
    <n v="0"/>
    <n v="0"/>
    <n v="1"/>
    <n v="4"/>
    <n v="0.2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x v="20"/>
    <s v="Fortune 100 Global P&amp;C Carrier"/>
    <x v="2"/>
    <x v="4"/>
    <x v="2"/>
    <s v="Rashmi Arora"/>
    <s v="12 months"/>
    <x v="1"/>
    <x v="2"/>
    <x v="5"/>
    <s v="Validate and Update Policy info (Limits, Exposure State, Exposure, FEIN, Address, Name Insured, Employers Liability etc.)"/>
    <s v="Policy Assembly"/>
    <s v="Updating forms of the GL policies as per broker instruction and finalizing the policy"/>
    <x v="3"/>
    <x v="14"/>
    <s v="GL"/>
    <s v="Mid Size &amp; Large"/>
    <x v="3"/>
    <s v="L3"/>
    <n v="1"/>
    <n v="5"/>
    <n v="4"/>
    <s v="FTE Based"/>
    <s v="USD"/>
    <n v="22264"/>
    <n v="1"/>
    <n v="0"/>
    <n v="0"/>
    <n v="1"/>
    <n v="2"/>
    <n v="0.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x v="2"/>
    <x v="4"/>
    <x v="2"/>
    <s v="Rashmi Arora"/>
    <s v="12 months"/>
    <x v="1"/>
    <x v="2"/>
    <x v="6"/>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x v="3"/>
    <x v="2"/>
    <s v="Property"/>
    <s v="Mid Size &amp; Large"/>
    <x v="3"/>
    <s v="L3"/>
    <n v="1"/>
    <n v="9"/>
    <n v="7"/>
    <s v="FTE Based"/>
    <s v="USD"/>
    <n v="22264"/>
    <n v="4"/>
    <n v="0"/>
    <n v="0.5"/>
    <n v="2"/>
    <n v="6.5"/>
    <n v="0.30769230769230771"/>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x v="20"/>
    <s v="Fortune 100 Global P&amp;C Carrier"/>
    <x v="2"/>
    <x v="4"/>
    <x v="2"/>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x v="3"/>
    <x v="15"/>
    <s v="General Liability"/>
    <s v="Mid Size"/>
    <x v="3"/>
    <s v="L3"/>
    <n v="1"/>
    <n v="8"/>
    <n v="11"/>
    <s v="FTE Based"/>
    <s v="USD"/>
    <n v="22264"/>
    <n v="9"/>
    <n v="0"/>
    <n v="0.5"/>
    <n v="0"/>
    <n v="9.5"/>
    <n v="0"/>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x v="20"/>
    <s v="Fortune 100 Global P&amp;C Carrier"/>
    <x v="2"/>
    <x v="4"/>
    <x v="2"/>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x v="3"/>
    <x v="15"/>
    <s v="General Liability"/>
    <s v="Large"/>
    <x v="3"/>
    <s v="L3"/>
    <n v="1"/>
    <n v="8"/>
    <n v="11"/>
    <s v="FTE Based"/>
    <s v="USD"/>
    <n v="22264"/>
    <n v="5"/>
    <n v="0"/>
    <n v="0.5"/>
    <n v="1"/>
    <n v="6.5"/>
    <n v="0.1538461538461538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x v="20"/>
    <s v="Fortune 100 Global P&amp;C Carrier"/>
    <x v="2"/>
    <x v="4"/>
    <x v="2"/>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x v="3"/>
    <x v="5"/>
    <s v="WC"/>
    <s v="Mid Size &amp; Large"/>
    <x v="3"/>
    <s v="L3"/>
    <n v="1"/>
    <n v="5"/>
    <n v="4"/>
    <s v="FTE Based"/>
    <s v="USD"/>
    <n v="22264"/>
    <n v="1"/>
    <n v="0"/>
    <n v="0"/>
    <n v="1"/>
    <n v="2"/>
    <n v="0.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x v="20"/>
    <s v="Fortune 100 Global P&amp;C Carrier"/>
    <x v="2"/>
    <x v="4"/>
    <x v="2"/>
    <s v="Rashmi Arora"/>
    <s v="12 months"/>
    <x v="1"/>
    <x v="2"/>
    <x v="3"/>
    <s v="Endorsements intake and setup"/>
    <s v="Policy Maintainance/Amendments"/>
    <s v="Work received post Issuance where team need to update add delete named insured, forms, exposure, class code and add/amend location address "/>
    <x v="3"/>
    <x v="5"/>
    <s v="WC"/>
    <s v="Mid Size &amp; Large"/>
    <x v="3"/>
    <s v="L3"/>
    <n v="1"/>
    <n v="8"/>
    <n v="9"/>
    <s v="FTE Based"/>
    <s v="USD"/>
    <n v="24300"/>
    <n v="6"/>
    <n v="0"/>
    <n v="1"/>
    <n v="2"/>
    <n v="9"/>
    <n v="0.22222222222222221"/>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x v="20"/>
    <s v="Fortune 100 Global P&amp;C Carrier"/>
    <x v="2"/>
    <x v="4"/>
    <x v="2"/>
    <s v="Rashmi Arora"/>
    <s v="12 months"/>
    <x v="1"/>
    <x v="2"/>
    <x v="11"/>
    <s v="Endorsements Quotes/ Rating"/>
    <s v="Rate Validation"/>
    <s v="&gt;Work received post Issuance, Request generated due to new information added in the midterm, original document is updated to include changes., Rater completes an excel template with account information &amp; Premium details"/>
    <x v="3"/>
    <x v="5"/>
    <s v="WC"/>
    <s v="Mid Size"/>
    <x v="3"/>
    <s v="L3"/>
    <n v="1"/>
    <n v="3"/>
    <n v="2"/>
    <s v="FTE Based"/>
    <s v="USD"/>
    <n v="22264"/>
    <n v="3"/>
    <n v="0"/>
    <n v="0"/>
    <n v="1"/>
    <n v="4"/>
    <n v="0.2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x v="20"/>
    <s v="Fortune 100 Global P&amp;C Carrier"/>
    <x v="2"/>
    <x v="4"/>
    <x v="2"/>
    <s v="Rashmi Arora"/>
    <s v="6 months"/>
    <x v="1"/>
    <x v="2"/>
    <x v="11"/>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x v="3"/>
    <x v="16"/>
    <s v="Auto, GL, Prop, WC, Crime"/>
    <s v="Mid Size"/>
    <x v="3"/>
    <s v="L3"/>
    <n v="1"/>
    <n v="6"/>
    <n v="6"/>
    <s v="FTE Based"/>
    <s v="USD"/>
    <n v="22264"/>
    <n v="4"/>
    <n v="0"/>
    <n v="0.5"/>
    <n v="2"/>
    <n v="6.5"/>
    <n v="0.30769230769230771"/>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x v="20"/>
    <s v="Fortune 100 Global P&amp;C Carrier"/>
    <x v="2"/>
    <x v="4"/>
    <x v="2"/>
    <s v="Rashmi Arora"/>
    <s v="6 months"/>
    <x v="1"/>
    <x v="2"/>
    <x v="6"/>
    <s v="New Business Issuance"/>
    <s v="Issuing Policy"/>
    <s v="Issuance policies for finalised quotes by updating forms and fill-ins as per AA instructions"/>
    <x v="3"/>
    <x v="1"/>
    <s v="AUTO"/>
    <s v="Large"/>
    <x v="3"/>
    <s v="L3"/>
    <n v="1"/>
    <n v="6"/>
    <n v="16"/>
    <s v="FTE Based"/>
    <s v="USD"/>
    <n v="22264"/>
    <n v="3"/>
    <n v="0"/>
    <n v="0.5"/>
    <n v="2"/>
    <n v="5.5"/>
    <n v="0.3636363636363636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x v="20"/>
    <s v="Fortune 100 Global P&amp;C Carrier"/>
    <x v="2"/>
    <x v="4"/>
    <x v="2"/>
    <s v="Rashmi Arora"/>
    <s v="6 months"/>
    <x v="1"/>
    <x v="2"/>
    <x v="11"/>
    <s v="New Business Quotes/ Rating"/>
    <s v="Generating Quotes"/>
    <s v="Generating quotes for Auto policies by following AA instructions"/>
    <x v="3"/>
    <x v="1"/>
    <s v="AUTO"/>
    <s v="Large"/>
    <x v="3"/>
    <s v="L3"/>
    <n v="1"/>
    <n v="6"/>
    <n v="7"/>
    <s v="FTE Based"/>
    <s v="USD"/>
    <n v="22264"/>
    <n v="4"/>
    <n v="0"/>
    <n v="0.5"/>
    <n v="2"/>
    <n v="6.5"/>
    <n v="0.30769230769230771"/>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14"/>
    <s v="General Liability"/>
    <s v="Mid Size &amp; Large"/>
    <x v="3"/>
    <s v="L3"/>
    <n v="1"/>
    <n v="10"/>
    <n v="11"/>
    <s v="FTE Based"/>
    <s v="USD"/>
    <n v="24300"/>
    <n v="7"/>
    <n v="0"/>
    <n v="0.5"/>
    <n v="4"/>
    <n v="11.5"/>
    <n v="0.34782608695652173"/>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x v="20"/>
    <s v="Fortune 100 Global P&amp;C Carrier"/>
    <x v="2"/>
    <x v="4"/>
    <x v="2"/>
    <s v="Rashmi Arora"/>
    <s v="6 months"/>
    <x v="1"/>
    <x v="2"/>
    <x v="5"/>
    <s v="Validate and Update Policy info (Limits, Exposure State, Exposure, FEIN, Address, Name Insured, Employers Liability etc.)"/>
    <s v="Policy Assembly"/>
    <s v="Updating forms of the GL policies as per broker instruction and finalizing the policy"/>
    <x v="3"/>
    <x v="14"/>
    <s v="GL"/>
    <s v="Mid Size &amp; Large"/>
    <x v="3"/>
    <s v="L3"/>
    <n v="1"/>
    <n v="5"/>
    <n v="4"/>
    <s v="FTE Based"/>
    <s v="USD"/>
    <n v="22264"/>
    <n v="3"/>
    <n v="0"/>
    <n v="0.5"/>
    <n v="2"/>
    <n v="5.5"/>
    <n v="0.3636363636363636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2"/>
    <s v="Property"/>
    <s v="Large"/>
    <x v="3"/>
    <s v="L3"/>
    <n v="1"/>
    <n v="4"/>
    <n v="12"/>
    <s v="FTE Based"/>
    <s v="USD"/>
    <n v="24300"/>
    <n v="7"/>
    <n v="0"/>
    <n v="0"/>
    <n v="3"/>
    <n v="10"/>
    <n v="0.3"/>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2"/>
    <s v="Property"/>
    <s v="Mid Size &amp; Large"/>
    <x v="3"/>
    <s v="L3"/>
    <n v="1"/>
    <n v="4"/>
    <n v="12"/>
    <s v="FTE Based"/>
    <s v="USD"/>
    <n v="24300"/>
    <n v="2"/>
    <n v="0"/>
    <n v="0"/>
    <n v="2"/>
    <n v="4"/>
    <n v="0.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x v="2"/>
    <x v="4"/>
    <x v="2"/>
    <s v="Rashmi Arora"/>
    <s v="6 months"/>
    <x v="1"/>
    <x v="2"/>
    <x v="11"/>
    <s v="New Business Quotes/ Rating"/>
    <s v="Policy Assignment"/>
    <s v="Assigning policy numbers for all LOB which has come to us as submission"/>
    <x v="3"/>
    <x v="16"/>
    <s v="Auto, GL, Prop, WC"/>
    <s v="All"/>
    <x v="3"/>
    <s v="L3"/>
    <n v="1"/>
    <n v="3"/>
    <n v="4"/>
    <s v="FTE Based"/>
    <s v="USD"/>
    <n v="22264"/>
    <n v="1"/>
    <n v="0"/>
    <n v="0"/>
    <n v="0"/>
    <n v="1"/>
    <n v="0"/>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x v="20"/>
    <s v="Fortune 100 Global P&amp;C Carrier"/>
    <x v="2"/>
    <x v="4"/>
    <x v="2"/>
    <s v="Rashmi Arora"/>
    <s v="6 months"/>
    <x v="1"/>
    <x v="2"/>
    <x v="5"/>
    <s v="Renewal Prep"/>
    <s v="Process UW Pre-Renewal"/>
    <s v="Pre renewal of existing policies according to eligibility criterias, Losses, TIV, Premium limits etc"/>
    <x v="3"/>
    <x v="3"/>
    <s v="MA Excess Casualty, E-Breakdown, In. Marine &amp; Property"/>
    <s v="Large"/>
    <x v="3"/>
    <s v="L3"/>
    <n v="1"/>
    <n v="7"/>
    <n v="8"/>
    <s v="FTE Based"/>
    <s v="USD"/>
    <n v="22264"/>
    <n v="7"/>
    <n v="0"/>
    <n v="1"/>
    <n v="4"/>
    <n v="12"/>
    <n v="0.33333333333333331"/>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x v="20"/>
    <s v="Fortune 100 Global P&amp;C Carrier"/>
    <x v="2"/>
    <x v="4"/>
    <x v="2"/>
    <s v="Rashmi Arora"/>
    <s v="6 months"/>
    <x v="1"/>
    <x v="2"/>
    <x v="5"/>
    <s v="Renewal Prep"/>
    <s v="Process UW Pre-Renewal"/>
    <s v="Pre renewal according to exping accounts"/>
    <x v="3"/>
    <x v="16"/>
    <s v="Auto, GL, Prop, WC, Government Line and School Lines, Crime, Liquor Liability"/>
    <s v="Mid Size"/>
    <x v="3"/>
    <s v="L3"/>
    <n v="1"/>
    <n v="6"/>
    <n v="4"/>
    <s v="FTE Based"/>
    <s v="USD"/>
    <n v="22264"/>
    <n v="1"/>
    <n v="0"/>
    <n v="0"/>
    <n v="0"/>
    <n v="1"/>
    <n v="0"/>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x v="20"/>
    <s v="Fortune 100 Global P&amp;C Carrier"/>
    <x v="2"/>
    <x v="4"/>
    <x v="2"/>
    <s v="Rashmi Arora"/>
    <s v="6 months"/>
    <x v="1"/>
    <x v="2"/>
    <x v="5"/>
    <s v="Renewal Prep"/>
    <s v="Process Pre-Renewal CNR"/>
    <s v="Sending templates to the UW and sending Drafts to the insured with Condistions of the renewal / non-renewal of the policies"/>
    <x v="3"/>
    <x v="3"/>
    <s v="Auto, GL, Prop, WC, Umbrella, Excess Casualty, Inland Marine, Crime"/>
    <s v="Mid Size &amp; Large"/>
    <x v="3"/>
    <s v="L3"/>
    <n v="1"/>
    <n v="4"/>
    <n v="5"/>
    <s v="FTE Based"/>
    <s v="USD"/>
    <n v="22264"/>
    <n v="5"/>
    <n v="0"/>
    <n v="0"/>
    <n v="1"/>
    <n v="6"/>
    <n v="0.16666666666666666"/>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x v="20"/>
    <s v="Fortune 100 Global P&amp;C Carrier"/>
    <x v="2"/>
    <x v="4"/>
    <x v="2"/>
    <s v="Rashmi Arora"/>
    <s v="6 months"/>
    <x v="1"/>
    <x v="2"/>
    <x v="5"/>
    <s v="Renewal Prep"/>
    <s v="Process Signed Docs"/>
    <s v="Generate policy documents, calculate premium and send it to Insured for Signing"/>
    <x v="3"/>
    <x v="3"/>
    <s v="Auto, GL, Prop, WC, UM/UIM, Umbrella, Inland Marine, Liquor, RRR (rail road protection)"/>
    <s v="Mid Size &amp; Large"/>
    <x v="3"/>
    <s v="L3"/>
    <n v="1"/>
    <n v="6"/>
    <n v="4"/>
    <s v="FTE Based"/>
    <s v="USD"/>
    <n v="22264"/>
    <n v="7"/>
    <n v="0"/>
    <n v="0"/>
    <n v="2"/>
    <n v="9"/>
    <n v="0.22222222222222221"/>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x v="20"/>
    <s v="Fortune 100 Global P&amp;C Carrier"/>
    <x v="2"/>
    <x v="4"/>
    <x v="2"/>
    <s v="Rashmi Arora"/>
    <s v="1 month"/>
    <x v="1"/>
    <x v="2"/>
    <x v="3"/>
    <s v="Endorsements intake and setup"/>
    <s v="Policy Maintainance/Amendments"/>
    <s v="Work received post Issuance where team need to update add delete named insured, forms, exposure, class code and add/amend location address "/>
    <x v="3"/>
    <x v="1"/>
    <s v="AUTO"/>
    <s v="Mid Size &amp; Large"/>
    <x v="3"/>
    <s v="L3"/>
    <n v="1"/>
    <n v="2"/>
    <n v="8"/>
    <s v="FTE Based"/>
    <s v="USD"/>
    <n v="24300"/>
    <n v="6"/>
    <n v="0"/>
    <n v="0"/>
    <n v="3"/>
    <n v="9"/>
    <n v="0.33333333333333331"/>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x v="20"/>
    <s v="Fortune 100 Global P&amp;C Carrier"/>
    <x v="2"/>
    <x v="4"/>
    <x v="2"/>
    <s v="Rashmi Arora"/>
    <s v="1 month"/>
    <x v="1"/>
    <x v="2"/>
    <x v="6"/>
    <s v="New Business Issuance"/>
    <s v="Issuing Policy"/>
    <s v="Issuance policies for finalised quotes by updating forms and fill-ins as per AA instructions"/>
    <x v="3"/>
    <x v="14"/>
    <s v="General Liability"/>
    <s v="Mid Size &amp; Large"/>
    <x v="3"/>
    <s v="L3"/>
    <n v="1"/>
    <n v="4"/>
    <n v="8"/>
    <s v="FTE Based"/>
    <s v="USD"/>
    <n v="22264"/>
    <n v="11"/>
    <n v="0"/>
    <n v="1"/>
    <n v="4"/>
    <n v="16"/>
    <n v="0.2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x v="20"/>
    <s v="Fortune 100 Global P&amp;C Carrier"/>
    <x v="2"/>
    <x v="1"/>
    <x v="1"/>
    <s v="Ruth Verzonilla"/>
    <n v="5"/>
    <x v="1"/>
    <x v="1"/>
    <x v="4"/>
    <s v="Inquiry calls from providers (medical bill review; bill intake; medical billing form and payment)"/>
    <s v="PSU"/>
    <s v="Intake of medical provider calls regarding WC medical bill status"/>
    <x v="3"/>
    <x v="5"/>
    <s v="Single LOB - WC"/>
    <s v="All"/>
    <x v="1"/>
    <s v="L3"/>
    <n v="1.4"/>
    <n v="3"/>
    <s v="15 days"/>
    <s v="FTE Based"/>
    <s v="USD"/>
    <n v="27183"/>
    <n v="18.489999999999998"/>
    <n v="4"/>
    <n v="1.5"/>
    <n v="5.5"/>
    <n v="29.49"/>
    <n v="0.18650389962699221"/>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x v="20"/>
    <s v="Fortune 100 Global P&amp;C Carrier"/>
    <x v="2"/>
    <x v="1"/>
    <x v="1"/>
    <s v="Ruth Verzonilla"/>
    <n v="5"/>
    <x v="1"/>
    <x v="1"/>
    <x v="9"/>
    <s v="Medical Bill Review and Repricing"/>
    <s v="CRS"/>
    <s v="Review of WC medical bills based on State specific WC guidelines, CPT/ICD, CPT modifier etc."/>
    <x v="3"/>
    <x v="5"/>
    <s v="Single LOB - WC"/>
    <s v="All"/>
    <x v="3"/>
    <s v="L4"/>
    <n v="0.8"/>
    <n v="4"/>
    <s v="20 days"/>
    <s v="FTE Based"/>
    <s v="USD"/>
    <n v="36765"/>
    <n v="7.08"/>
    <n v="2"/>
    <n v="1"/>
    <n v="3"/>
    <n v="13.08"/>
    <n v="0.2293577981651376"/>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x v="20"/>
    <s v="Fortune 100 Global P&amp;C Carrier"/>
    <x v="2"/>
    <x v="1"/>
    <x v="1"/>
    <s v="Ruth Verzonilla"/>
    <n v="3"/>
    <x v="2"/>
    <x v="1"/>
    <x v="4"/>
    <s v="Inquiry calls from providers (medical bill review; bill intake; medical billing form and payment)"/>
    <s v="UM Calls"/>
    <s v="Intake of medical provider calls and members regarding UR status"/>
    <x v="3"/>
    <x v="5"/>
    <s v="Single LOB - WC"/>
    <s v="All"/>
    <x v="1"/>
    <s v="L3"/>
    <n v="1.4"/>
    <n v="2"/>
    <s v="15 days"/>
    <s v="FTE Based"/>
    <s v="USD"/>
    <n v="27183"/>
    <n v="3.2"/>
    <n v="1"/>
    <n v="1"/>
    <n v="1"/>
    <n v="6.2"/>
    <n v="0.16129032258064516"/>
    <n v="4693"/>
    <s v="TBD"/>
    <s v="March, May, June &amp; August"/>
    <s v="NA"/>
    <s v="NA"/>
    <n v="0.96"/>
    <s v="DPO – Defect Per Opportunity"/>
    <s v="ABA% 4%"/>
    <s v="AHT 166 secs"/>
    <s v="NA"/>
    <s v="NA"/>
    <s v="NA"/>
    <s v="NA"/>
    <s v="NA"/>
    <s v="NA"/>
    <s v="NA"/>
    <s v="NA"/>
    <s v="NA"/>
    <s v="Medical Providers, Members"/>
    <s v="Others"/>
    <s v="Semi-Structured"/>
    <n v="1"/>
    <s v="Others"/>
    <s v="Medical Providers"/>
    <s v="ECM"/>
  </r>
  <r>
    <x v="20"/>
    <s v="Fortune 100 Global P&amp;C Carrier"/>
    <x v="2"/>
    <x v="1"/>
    <x v="1"/>
    <s v="Ruth Verzonilla"/>
    <n v="2"/>
    <x v="1"/>
    <x v="1"/>
    <x v="9"/>
    <s v="Bill Payment (Medical Legal, Non Medical, Vendor)"/>
    <s v="MBR OP"/>
    <s v="Review of overpayment and refund for WC medical bills "/>
    <x v="3"/>
    <x v="5"/>
    <s v="Single LOB - WC"/>
    <s v="All"/>
    <x v="2"/>
    <s v="L3"/>
    <n v="0.8"/>
    <n v="3"/>
    <n v="15"/>
    <s v="FTE Based"/>
    <s v="USD"/>
    <n v="27183"/>
    <n v="4.1500000000000004"/>
    <n v="0"/>
    <n v="0"/>
    <n v="0"/>
    <n v="4.1500000000000004"/>
    <n v="0"/>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x v="20"/>
    <s v="Fortune 100 Global P&amp;C Carrier"/>
    <x v="2"/>
    <x v="3"/>
    <x v="2"/>
    <s v="Bhuwan Dass"/>
    <n v="5"/>
    <x v="1"/>
    <x v="1"/>
    <x v="1"/>
    <s v="Adjuster License Management (addition/renewal/removal)"/>
    <s v="CM Contact"/>
    <s v="Addition of new (or existing) agent for NI business"/>
    <x v="3"/>
    <x v="3"/>
    <s v="WC, Auto, Property"/>
    <s v="All"/>
    <x v="3"/>
    <s v="L2"/>
    <n v="1"/>
    <n v="3"/>
    <s v="8 WK"/>
    <s v="FTE Based"/>
    <s v="USD"/>
    <n v="28906.52"/>
    <n v="0"/>
    <n v="1"/>
    <n v="1"/>
    <n v="1"/>
    <n v="3"/>
    <n v="0.33333333333333331"/>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mpliance Notice"/>
    <s v="Possible addition as well as appointment for new (or existing) agent for NI business"/>
    <x v="3"/>
    <x v="3"/>
    <s v="WC, Auto, Property"/>
    <s v="All"/>
    <x v="3"/>
    <s v="L2"/>
    <n v="1"/>
    <n v="3"/>
    <s v="8 WK"/>
    <s v="FTE Based"/>
    <s v="USD"/>
    <n v="25140.33"/>
    <n v="1"/>
    <n v="1"/>
    <n v="0"/>
    <n v="1"/>
    <n v="3"/>
    <n v="0.33333333333333331"/>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mpliance Notice Appt"/>
    <s v="Appointment for existing agent for NI business"/>
    <x v="3"/>
    <x v="3"/>
    <s v="WC, Auto, Property"/>
    <s v="All"/>
    <x v="3"/>
    <s v="L2"/>
    <n v="1"/>
    <n v="3"/>
    <s v="8 WK"/>
    <s v="FTE Based"/>
    <s v="USD"/>
    <n v="25140.33"/>
    <n v="0"/>
    <n v="1"/>
    <n v="0"/>
    <n v="1"/>
    <n v="2"/>
    <n v="0.5"/>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ntracts/Agreements"/>
    <s v="Logging and filing of returned/signed agency agreement"/>
    <x v="3"/>
    <x v="3"/>
    <s v="WC, Auto, Property"/>
    <s v="All"/>
    <x v="3"/>
    <s v="L2"/>
    <n v="1"/>
    <n v="3"/>
    <s v="8 WK"/>
    <s v="FTE Based"/>
    <s v="USD"/>
    <n v="25140.33"/>
    <n v="1"/>
    <n v="1"/>
    <n v="0"/>
    <n v="1"/>
    <n v="3"/>
    <n v="0.33333333333333331"/>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Nonresident Appointment"/>
    <s v="Non-Resident appointment for both agent and agency for applicable line of business to specific agency code(s) as well as opening product lines within Safeco"/>
    <x v="3"/>
    <x v="3"/>
    <s v="WC, Auto, Property"/>
    <s v="All"/>
    <x v="3"/>
    <s v="L2"/>
    <n v="1"/>
    <n v="3"/>
    <s v="8 WK"/>
    <s v="FTE Based"/>
    <s v="USD"/>
    <n v="25140.33"/>
    <n v="1.21"/>
    <n v="0"/>
    <n v="0"/>
    <n v="1"/>
    <n v="2.21"/>
    <n v="0.45248868778280543"/>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art II Termination"/>
    <s v="Termination of appointments for Agency and last agent after an Agency Termination"/>
    <x v="3"/>
    <x v="3"/>
    <s v="WC, Auto, Property"/>
    <s v="All"/>
    <x v="3"/>
    <s v="L2"/>
    <n v="1"/>
    <n v="3"/>
    <s v="8 WK"/>
    <s v="FTE Based"/>
    <s v="USD"/>
    <n v="25140.33"/>
    <n v="0.19"/>
    <n v="0"/>
    <n v="0"/>
    <n v="0"/>
    <n v="0.19"/>
    <n v="0"/>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Appointment"/>
    <s v="Addition of new agent for applicable line of business requested to specific agency code(s)"/>
    <x v="3"/>
    <x v="3"/>
    <s v="WC, Auto, Property"/>
    <s v="All"/>
    <x v="3"/>
    <s v="L2"/>
    <n v="1"/>
    <n v="3"/>
    <s v="8 WK"/>
    <s v="FTE Based"/>
    <s v="USD"/>
    <n v="25140.33"/>
    <n v="3.61"/>
    <n v="0"/>
    <n v="0"/>
    <n v="0"/>
    <n v="3.61"/>
    <n v="0"/>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Transfer"/>
    <s v="Addition of new agent for applicable line of business requested to specific agency code(s)"/>
    <x v="3"/>
    <x v="3"/>
    <s v="WC, Auto, Property"/>
    <s v="All"/>
    <x v="3"/>
    <s v="L2"/>
    <n v="1"/>
    <n v="3"/>
    <s v="8 WK"/>
    <s v="FTE Based"/>
    <s v="USD"/>
    <n v="25140.33"/>
    <n v="0.08"/>
    <n v="0"/>
    <n v="0"/>
    <n v="0"/>
    <n v="0.08"/>
    <n v="0"/>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Termination"/>
    <s v="Termination of individual agent from specific agency relationship"/>
    <x v="3"/>
    <x v="3"/>
    <s v="WC, Auto, Property"/>
    <s v="All"/>
    <x v="3"/>
    <s v="L2"/>
    <n v="1"/>
    <n v="3"/>
    <s v="8 WK"/>
    <s v="FTE Based"/>
    <s v="USD"/>
    <n v="25140.33"/>
    <n v="1.77"/>
    <n v="0"/>
    <n v="0"/>
    <n v="0"/>
    <n v="1.77"/>
    <n v="0"/>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HardStop"/>
    <s v="In this task we appoint agent and agency for commercial line of business"/>
    <x v="3"/>
    <x v="3"/>
    <s v="WC, Auto, Property"/>
    <s v="All"/>
    <x v="3"/>
    <s v="L2"/>
    <n v="1"/>
    <n v="3"/>
    <s v="8 WK"/>
    <s v="FTE Based"/>
    <s v="USD"/>
    <n v="25140.33"/>
    <n v="0"/>
    <n v="0"/>
    <n v="0"/>
    <n v="0"/>
    <n v="0"/>
    <e v="#DIV/0!"/>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License Validation"/>
    <s v="This task is for commercial lines only. In this task we resolve compliance of both agency and agent"/>
    <x v="3"/>
    <x v="3"/>
    <s v="WC, Auto, Property"/>
    <s v="All"/>
    <x v="3"/>
    <s v="L2"/>
    <n v="1"/>
    <n v="3"/>
    <s v="8 WK"/>
    <s v="FTE Based"/>
    <s v="USD"/>
    <n v="25140.33"/>
    <n v="0"/>
    <n v="0"/>
    <n v="0"/>
    <n v="0"/>
    <n v="0"/>
    <e v="#DIV/0!"/>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Address Change(Same State) - USRM Adjusters"/>
    <s v="Address to be changed on NIPR website. EXL to complete the address change request within 2 Business Days from the date of request"/>
    <x v="3"/>
    <x v="3"/>
    <s v="WC, Auto, Property"/>
    <s v="All"/>
    <x v="3"/>
    <s v="L2"/>
    <n v="1"/>
    <n v="3"/>
    <s v="8 WK"/>
    <s v="FTE Based"/>
    <s v="USD"/>
    <n v="28906.52"/>
    <n v="0"/>
    <n v="1"/>
    <n v="1"/>
    <n v="0"/>
    <n v="2"/>
    <n v="0"/>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Terminations - USRM Adjusters"/>
    <s v="Completed within 3 business days of updating Term Report on WIP Tracker on Sharepoint"/>
    <x v="3"/>
    <x v="3"/>
    <s v="WC, Auto, Property"/>
    <s v="All"/>
    <x v="3"/>
    <s v="L2"/>
    <n v="1"/>
    <n v="3"/>
    <s v="8 WK"/>
    <s v="FTE Based"/>
    <s v="USD"/>
    <n v="25140.33"/>
    <n v="0.54"/>
    <n v="0"/>
    <n v="0"/>
    <n v="0"/>
    <n v="0.54"/>
    <n v="0"/>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Web CE Terminations - USRM Adjusters"/>
    <s v="Completed within 3 business days of updating Term Report on WIP Tracker on Sharepoint"/>
    <x v="3"/>
    <x v="3"/>
    <s v="WC, Auto, Property"/>
    <s v="All"/>
    <x v="3"/>
    <s v="L2"/>
    <n v="1"/>
    <n v="3"/>
    <s v="8 WK"/>
    <s v="FTE Based"/>
    <s v="USD"/>
    <n v="25140.33"/>
    <n v="0.54"/>
    <n v="0"/>
    <n v="0"/>
    <n v="0"/>
    <n v="0.54"/>
    <n v="0"/>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Name Changes - USRM Adjusters"/>
    <s v="EXL to complete in-scope activities of the name change request within 25 calendar days from the date of receiving request"/>
    <x v="3"/>
    <x v="3"/>
    <s v="WC, Auto, Property"/>
    <s v="All"/>
    <x v="3"/>
    <s v="L2"/>
    <n v="1"/>
    <n v="3"/>
    <s v="8 WK"/>
    <s v="FTE Based"/>
    <s v="USD"/>
    <n v="25140.33"/>
    <n v="0.08"/>
    <n v="0"/>
    <n v="0"/>
    <n v="0"/>
    <n v="0.08"/>
    <n v="0"/>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Customer Communications (USRM Adjusters)"/>
    <s v="All Emails received before 3 PM would be processed in 1 Business Day"/>
    <x v="3"/>
    <x v="3"/>
    <s v="WC, Auto, Property"/>
    <s v="All"/>
    <x v="3"/>
    <s v="L2"/>
    <n v="1"/>
    <n v="3"/>
    <s v="8 WK"/>
    <s v="FTE Based"/>
    <s v="USD"/>
    <n v="25140.33"/>
    <n v="5.85"/>
    <n v="0"/>
    <n v="0"/>
    <n v="0"/>
    <n v="5.85"/>
    <n v="0"/>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Intake - USRM Adjusters"/>
    <s v="All Emails received before 3 PM would be processed in 1 Business Day"/>
    <x v="3"/>
    <x v="3"/>
    <s v="WC, Auto, Property"/>
    <s v="All"/>
    <x v="3"/>
    <s v="L2"/>
    <n v="1"/>
    <n v="5"/>
    <s v="8 WK"/>
    <s v="FTE Based"/>
    <s v="USD"/>
    <n v="25140.33"/>
    <n v="0.06"/>
    <n v="0"/>
    <n v="0"/>
    <n v="0"/>
    <n v="0.06"/>
    <n v="0"/>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Initial Licensing - USRM Adjusters"/>
    <s v="Setup licensing for resident state / designated home state within 5 business days"/>
    <x v="3"/>
    <x v="3"/>
    <s v="WC, Auto, Property"/>
    <s v="All"/>
    <x v="3"/>
    <s v="L2"/>
    <n v="1"/>
    <n v="5"/>
    <s v="8 WK"/>
    <s v="FTE Based"/>
    <s v="USD"/>
    <n v="25140.33"/>
    <n v="0.13"/>
    <n v="0"/>
    <n v="0"/>
    <n v="0"/>
    <n v="0.13"/>
    <n v="0"/>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Reciprocals - USRM Adjusters"/>
    <s v="Setup licensing for all states (for reciprocals) wherever needed within 5 business days "/>
    <x v="3"/>
    <x v="3"/>
    <s v="WC, Auto, Property"/>
    <s v="All"/>
    <x v="3"/>
    <s v="L2"/>
    <n v="1"/>
    <n v="5"/>
    <s v="8 WK"/>
    <s v="FTE Based"/>
    <s v="USD"/>
    <n v="25140.33"/>
    <n v="0.09"/>
    <n v="0"/>
    <n v="0"/>
    <n v="0"/>
    <n v="0.09"/>
    <n v="0"/>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Appointment - USRM Adjusters"/>
    <s v="Setup appointment for Florida on state website &amp; for New Mexico on Sircon within 5 business days"/>
    <x v="3"/>
    <x v="3"/>
    <s v="WC, Auto, Property"/>
    <s v="All"/>
    <x v="3"/>
    <s v="L2"/>
    <n v="1"/>
    <n v="5"/>
    <s v="8 WK"/>
    <s v="FTE Based"/>
    <s v="USD"/>
    <n v="25140.33"/>
    <n v="0.02"/>
    <n v="0"/>
    <n v="0"/>
    <n v="0"/>
    <n v="0.02"/>
    <n v="0"/>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CE Review - USRM Adjusters"/>
    <s v="CE follow up requested 30 Calendar days prior to resident expiration date"/>
    <x v="3"/>
    <x v="3"/>
    <s v="WC, Auto, Property"/>
    <s v="All"/>
    <x v="3"/>
    <s v="L2"/>
    <n v="1"/>
    <n v="3"/>
    <s v="8 WK"/>
    <s v="FTE Based"/>
    <s v="USD"/>
    <n v="25140.33"/>
    <n v="0.72"/>
    <n v="0"/>
    <n v="0"/>
    <n v="0"/>
    <n v="0.72"/>
    <n v="0"/>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Renewals - USRM Adjusters"/>
    <s v="All renewals to be completed within 30 calender days of state opening for birtdate, appraiser and Manual"/>
    <x v="3"/>
    <x v="3"/>
    <s v="WC, Auto, Property"/>
    <s v="All"/>
    <x v="3"/>
    <s v="L2"/>
    <n v="1"/>
    <n v="3"/>
    <s v="8 WK"/>
    <s v="FTE Based"/>
    <s v="USD"/>
    <n v="25140.33"/>
    <n v="3.5"/>
    <n v="0"/>
    <n v="0"/>
    <n v="0"/>
    <n v="3.5"/>
    <n v="0"/>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x v="3"/>
    <x v="3"/>
    <s v="WC, Auto, Property"/>
    <s v="All"/>
    <x v="3"/>
    <s v="L2"/>
    <n v="1"/>
    <n v="3"/>
    <s v="8 WK"/>
    <s v="FTE Based"/>
    <s v="USD"/>
    <n v="25140.33"/>
    <n v="1.43"/>
    <n v="0"/>
    <n v="0"/>
    <n v="0"/>
    <n v="1.43"/>
    <n v="0"/>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x v="20"/>
    <s v="Fortune 100 Global P&amp;C Carrier"/>
    <x v="2"/>
    <x v="3"/>
    <x v="2"/>
    <s v="Bhuwan Dass"/>
    <n v="5"/>
    <x v="1"/>
    <x v="1"/>
    <x v="1"/>
    <s v="Adjuster Onboarding/Off-boarding"/>
    <s v="New Hire Intake - USRM Producers"/>
    <s v="Orientation Checklist sent to new hire along with relevant PX Packet within 1 business day of receiving the request from Liberty "/>
    <x v="3"/>
    <x v="3"/>
    <s v="WC, Auto, Property"/>
    <s v="All"/>
    <x v="3"/>
    <s v="L2"/>
    <n v="1"/>
    <n v="1"/>
    <s v="1 WK"/>
    <s v="FTE Based"/>
    <s v="USD"/>
    <n v="25140.33"/>
    <n v="0"/>
    <n v="0"/>
    <n v="0"/>
    <n v="0"/>
    <n v="0"/>
    <e v="#DIV/0!"/>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Intake- USRM IA Partnership"/>
    <s v="Registration Email sent to new hire within 1 business day of receiving the request from Liberty "/>
    <x v="3"/>
    <x v="3"/>
    <s v="WC, Auto, Property"/>
    <s v="All"/>
    <x v="3"/>
    <s v="L2"/>
    <n v="1"/>
    <n v="1"/>
    <s v="1 WK"/>
    <s v="FTE Based"/>
    <s v="USD"/>
    <n v="25140.33"/>
    <n v="0.5"/>
    <n v="0"/>
    <n v="0"/>
    <n v="0"/>
    <n v="0.5"/>
    <n v="0"/>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Initial Licensing - USRM Producers"/>
    <s v="Apply for resident license within 2 business days of passing exam"/>
    <x v="3"/>
    <x v="3"/>
    <s v="WC, Auto, Property"/>
    <s v="All"/>
    <x v="3"/>
    <s v="L2"/>
    <n v="1"/>
    <n v="1"/>
    <s v="1 WK"/>
    <s v="FTE Based"/>
    <s v="USD"/>
    <n v="25140.33"/>
    <n v="1.19"/>
    <n v="0"/>
    <n v="0"/>
    <n v="0"/>
    <n v="1.19"/>
    <n v="0"/>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Reciprocals - USRM Producers"/>
    <s v="Apply for nonresident licenses within 5 business days of resident license approval or new request."/>
    <x v="3"/>
    <x v="3"/>
    <s v="WC, Auto, Property"/>
    <s v="All"/>
    <x v="3"/>
    <s v="L2"/>
    <n v="1"/>
    <n v="1"/>
    <s v="1 WK"/>
    <s v="FTE Based"/>
    <s v="USD"/>
    <n v="25140.33"/>
    <n v="0.19"/>
    <n v="0"/>
    <n v="0"/>
    <n v="0"/>
    <n v="0.19"/>
    <n v="0"/>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appointment - USRM Producers"/>
    <s v="Non-JIT EE  appointments within 7 business days from EE license approval"/>
    <x v="3"/>
    <x v="3"/>
    <s v="WC, Auto, Property"/>
    <s v="All"/>
    <x v="3"/>
    <s v="L2"/>
    <n v="1"/>
    <n v="1"/>
    <s v="1 WK"/>
    <s v="FTE Based"/>
    <s v="USD"/>
    <n v="25140.33"/>
    <n v="0.19"/>
    <n v="0"/>
    <n v="0"/>
    <n v="0"/>
    <n v="0.19"/>
    <n v="0"/>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appointment- USRM IA Partnership"/>
    <s v="Once registration email is received for IA, appointments start for respective states"/>
    <x v="3"/>
    <x v="3"/>
    <s v="WC, Auto, Property"/>
    <s v="All"/>
    <x v="3"/>
    <s v="L2"/>
    <n v="1"/>
    <n v="1"/>
    <s v="1 WK"/>
    <s v="FTE Based"/>
    <s v="USD"/>
    <n v="25140.33"/>
    <n v="0.5"/>
    <n v="0"/>
    <n v="0"/>
    <n v="0"/>
    <n v="0.5"/>
    <n v="0"/>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E Review - USRM Producers"/>
    <s v="CE follow up requested 30 Calendar days prior to resident expiration date"/>
    <x v="3"/>
    <x v="3"/>
    <s v="WC, Auto, Property"/>
    <s v="All"/>
    <x v="3"/>
    <s v="L2"/>
    <n v="1"/>
    <n v="3"/>
    <s v="8 WK"/>
    <s v="FTE Based"/>
    <s v="USD"/>
    <n v="41076.14"/>
    <n v="0"/>
    <n v="0"/>
    <n v="1"/>
    <n v="0"/>
    <n v="1"/>
    <n v="0"/>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Renewals - USRM Producers"/>
    <s v="Renewals to be completed 30 days prior to expiration date (if CE done)"/>
    <x v="3"/>
    <x v="3"/>
    <s v="WC, Auto, Property"/>
    <s v="All"/>
    <x v="3"/>
    <s v="L2"/>
    <n v="1"/>
    <n v="3"/>
    <s v="8 WK"/>
    <s v="FTE Based"/>
    <s v="USD"/>
    <n v="25140.33"/>
    <n v="4.21"/>
    <n v="0"/>
    <n v="0"/>
    <n v="0"/>
    <n v="4.21"/>
    <n v="0"/>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ustomer Communications - USRM Producers"/>
    <s v="Emails have to be responded within 2 business days of receiving in the mailbox."/>
    <x v="3"/>
    <x v="3"/>
    <s v="WC, Auto, Property"/>
    <s v="All"/>
    <x v="3"/>
    <s v="L2"/>
    <n v="1"/>
    <n v="3"/>
    <s v="8 WK"/>
    <s v="FTE Based"/>
    <s v="USD"/>
    <n v="25140.33"/>
    <n v="4.42"/>
    <n v="0"/>
    <n v="0"/>
    <n v="0"/>
    <n v="4.42"/>
    <n v="0"/>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ustomer Communications - USRM IA Partnership"/>
    <s v="Emails have to be responded within 2 business days of receiving in the mailbox."/>
    <x v="3"/>
    <x v="3"/>
    <s v="WC, Auto, Property"/>
    <s v="All"/>
    <x v="3"/>
    <s v="L2"/>
    <n v="1"/>
    <n v="3"/>
    <s v="8 WK"/>
    <s v="FTE Based"/>
    <s v="USD"/>
    <n v="25140.33"/>
    <n v="0.5"/>
    <n v="0"/>
    <n v="0"/>
    <n v="0"/>
    <n v="0.5"/>
    <n v="0"/>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ddress Changes (same state) - USRM Producers"/>
    <s v="Address to be changed on NIPR website. EXL to complete the address change request within 2 Business Days from the date of request"/>
    <x v="3"/>
    <x v="3"/>
    <s v="WC, Auto, Property"/>
    <s v="All"/>
    <x v="3"/>
    <s v="L2"/>
    <n v="1"/>
    <n v="3"/>
    <s v="8 WK"/>
    <s v="FTE Based"/>
    <s v="USD"/>
    <n v="25140.33"/>
    <n v="0.28000000000000003"/>
    <n v="0"/>
    <n v="0"/>
    <n v="0"/>
    <n v="0.28000000000000003"/>
    <n v="0"/>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Name Changes - USRM Producers"/>
    <s v="EXL to complete in-scope activities of the name change request within 25 calendar days from the date of receiving request"/>
    <x v="3"/>
    <x v="3"/>
    <s v="WC, Auto, Property"/>
    <s v="All"/>
    <x v="3"/>
    <s v="L2"/>
    <n v="1"/>
    <n v="3"/>
    <s v="8 WK"/>
    <s v="FTE Based"/>
    <s v="USD"/>
    <n v="25140.33"/>
    <n v="0.02"/>
    <n v="0"/>
    <n v="0"/>
    <n v="0"/>
    <n v="0.02"/>
    <n v="0"/>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x v="3"/>
    <x v="3"/>
    <s v="WC, Auto, Property"/>
    <s v="All"/>
    <x v="3"/>
    <s v="L2"/>
    <n v="1"/>
    <n v="3"/>
    <s v="8 WK"/>
    <s v="FTE Based"/>
    <s v="USD"/>
    <n v="25140.33"/>
    <n v="0.88"/>
    <n v="0"/>
    <n v="0"/>
    <n v="0"/>
    <n v="0.88"/>
    <n v="0"/>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Terminations - USRM Producers"/>
    <s v="Completed within 3 business days of updating Term Report on WIP Tracker on Sharepoint"/>
    <x v="3"/>
    <x v="3"/>
    <s v="WC, Auto, Property"/>
    <s v="All"/>
    <x v="3"/>
    <s v="L2"/>
    <n v="1"/>
    <n v="3"/>
    <s v="8 WK"/>
    <s v="FTE Based"/>
    <s v="USD"/>
    <n v="25140.33"/>
    <n v="0.4"/>
    <n v="0"/>
    <n v="0"/>
    <n v="0"/>
    <n v="0.4"/>
    <n v="0"/>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Web CE Terminations - USRM Producers"/>
    <s v="Completed within 3 business days of updating Term Report on WIP Tracker on Sharepoint"/>
    <x v="3"/>
    <x v="3"/>
    <s v="WC, Auto, Property"/>
    <s v="All"/>
    <x v="3"/>
    <s v="L2"/>
    <n v="1"/>
    <n v="3"/>
    <s v="8 WK"/>
    <s v="FTE Based"/>
    <s v="USD"/>
    <n v="25140.33"/>
    <n v="0.4"/>
    <n v="0"/>
    <n v="0"/>
    <n v="0"/>
    <n v="0.4"/>
    <n v="0"/>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Terminations - USRM IA Partnership"/>
    <s v="Completed within 3 business days of updating Term Report on WIP Tracker on Sharepoint"/>
    <x v="3"/>
    <x v="3"/>
    <s v="WC, Auto, Property"/>
    <s v="All"/>
    <x v="3"/>
    <s v="L2"/>
    <n v="1"/>
    <n v="3"/>
    <s v="8 WK"/>
    <s v="FTE Based"/>
    <s v="USD"/>
    <n v="25140.33"/>
    <n v="0.5"/>
    <n v="0"/>
    <n v="0"/>
    <n v="0"/>
    <n v="0.5"/>
    <n v="0"/>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ddress Change(Same State) - GRS Adjusters"/>
    <s v="Address to be changed on NIPR website. EXL to complete the address change request within 2 Business Days from the date of request"/>
    <x v="3"/>
    <x v="3"/>
    <s v="WC, Auto, Property"/>
    <s v="All"/>
    <x v="3"/>
    <s v="L2"/>
    <n v="1"/>
    <n v="3"/>
    <s v="8 WK"/>
    <s v="FTE Based"/>
    <s v="USD"/>
    <n v="25140.33"/>
    <n v="3"/>
    <n v="0"/>
    <n v="0"/>
    <n v="0"/>
    <n v="3"/>
    <n v="0"/>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Terminations - GRS Adjusters"/>
    <s v="Completed within 3 business days of updating Term Report on WIP Tracker on Sharepoint"/>
    <x v="3"/>
    <x v="3"/>
    <s v="WC, Auto, Property"/>
    <s v="All"/>
    <x v="3"/>
    <s v="L2"/>
    <n v="1"/>
    <n v="3"/>
    <s v="8 WK"/>
    <s v="FTE Based"/>
    <s v="USD"/>
    <n v="25140.33"/>
    <n v="0"/>
    <n v="0"/>
    <n v="0"/>
    <n v="0"/>
    <n v="0"/>
    <e v="#DIV/0!"/>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Name Changes - GRS Adjusters"/>
    <s v="EXL to complete in-scope activities of the name change request within 25 calendar days from the date of receiving request"/>
    <x v="3"/>
    <x v="3"/>
    <s v="WC, Auto, Property"/>
    <s v="All"/>
    <x v="3"/>
    <s v="L2"/>
    <n v="1"/>
    <n v="3"/>
    <s v="8 WK"/>
    <s v="FTE Based"/>
    <s v="USD"/>
    <n v="25140.33"/>
    <n v="0"/>
    <n v="0"/>
    <n v="0"/>
    <n v="0"/>
    <n v="0"/>
    <e v="#DIV/0!"/>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Customer Communications - GRS Adjusters"/>
    <s v="All Emails received before 3 PM would be processed in 1 Business Day"/>
    <x v="3"/>
    <x v="3"/>
    <s v="WC, Auto, Property"/>
    <s v="All"/>
    <x v="3"/>
    <s v="L2"/>
    <n v="1"/>
    <n v="3"/>
    <s v="8 WK"/>
    <s v="FTE Based"/>
    <s v="USD"/>
    <n v="25140.33"/>
    <n v="0"/>
    <n v="0"/>
    <n v="0"/>
    <n v="0"/>
    <n v="0"/>
    <e v="#DIV/0!"/>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Web CE Termination - GRS Adjusters"/>
    <s v="Completed within 3 business days of updating Term Report on WIP Tracker on Sharepoint"/>
    <x v="3"/>
    <x v="3"/>
    <s v="WC, Auto, Property"/>
    <s v="All"/>
    <x v="3"/>
    <s v="L2"/>
    <n v="1"/>
    <n v="3"/>
    <s v="8 WK"/>
    <s v="FTE Based"/>
    <s v="USD"/>
    <n v="25140.33"/>
    <n v="0"/>
    <n v="0"/>
    <n v="0"/>
    <n v="0"/>
    <n v="0"/>
    <e v="#DIV/0!"/>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Intake - GRS Adjusters"/>
    <s v="All Emails received before 3 PM would be processed in 1 Business Day"/>
    <x v="3"/>
    <x v="3"/>
    <s v="WC, Auto, Property"/>
    <s v="All"/>
    <x v="3"/>
    <s v="L2"/>
    <n v="1"/>
    <n v="5"/>
    <s v="8 WK"/>
    <s v="FTE Based"/>
    <s v="USD"/>
    <n v="25140.33"/>
    <n v="0"/>
    <n v="0"/>
    <n v="0"/>
    <n v="0"/>
    <n v="0"/>
    <e v="#DIV/0!"/>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Initial Licensing - GRS Adjusters"/>
    <s v="Setup licensing for resident state / designated home state within 5 business days"/>
    <x v="3"/>
    <x v="3"/>
    <s v="WC, Auto, Property"/>
    <s v="All"/>
    <x v="3"/>
    <s v="L2"/>
    <n v="1"/>
    <n v="5"/>
    <s v="8 WK"/>
    <s v="FTE Based"/>
    <s v="USD"/>
    <n v="25140.33"/>
    <n v="0"/>
    <n v="0"/>
    <n v="0"/>
    <n v="0"/>
    <n v="0"/>
    <e v="#DIV/0!"/>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Reciprocals - GRS Adjusters"/>
    <s v="Setup licensing for all states (for reciprocals) wherever needed within 5 business days "/>
    <x v="3"/>
    <x v="3"/>
    <s v="WC, Auto, Property"/>
    <s v="All"/>
    <x v="3"/>
    <s v="L2"/>
    <n v="1"/>
    <n v="5"/>
    <s v="8 WK"/>
    <s v="FTE Based"/>
    <s v="USD"/>
    <n v="25140.33"/>
    <n v="0"/>
    <n v="0"/>
    <n v="0"/>
    <n v="0"/>
    <n v="0"/>
    <e v="#DIV/0!"/>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Appointment - GRS Adjusters"/>
    <s v="Setup appointment for Florida on state website &amp; for New Mexico on Sircon within 5 business days"/>
    <x v="3"/>
    <x v="3"/>
    <s v="WC, Auto, Property"/>
    <s v="All"/>
    <x v="3"/>
    <s v="L2"/>
    <n v="1"/>
    <n v="5"/>
    <s v="8 WK"/>
    <s v="FTE Based"/>
    <s v="USD"/>
    <n v="25140.33"/>
    <n v="0"/>
    <n v="0"/>
    <n v="0"/>
    <n v="0"/>
    <n v="0"/>
    <e v="#DIV/0!"/>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CE Review - GRS Adjusters"/>
    <s v="CE follow up requested 30 Calendar days prior to resident expiration date"/>
    <x v="3"/>
    <x v="3"/>
    <s v="WC, Auto, Property"/>
    <s v="All"/>
    <x v="3"/>
    <s v="L2"/>
    <n v="1"/>
    <n v="3"/>
    <s v="8 WK"/>
    <s v="FTE Based"/>
    <s v="USD"/>
    <n v="25140.33"/>
    <n v="0"/>
    <n v="0"/>
    <n v="0"/>
    <n v="0"/>
    <n v="0"/>
    <e v="#DIV/0!"/>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Renewals - GRS Adjusters"/>
    <s v="All renewals to be completed within 30 calender days of state opening for birtdate, appraiser and Manual"/>
    <x v="3"/>
    <x v="3"/>
    <s v="WC, Auto, Property"/>
    <s v="All"/>
    <x v="3"/>
    <s v="L2"/>
    <n v="1"/>
    <n v="3"/>
    <s v="8 WK"/>
    <s v="FTE Based"/>
    <s v="USD"/>
    <n v="25140.33"/>
    <n v="0"/>
    <n v="0"/>
    <n v="0"/>
    <n v="0"/>
    <n v="0"/>
    <e v="#DIV/0!"/>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x v="3"/>
    <x v="3"/>
    <s v="WC, Auto, Property"/>
    <s v="All"/>
    <x v="3"/>
    <s v="L2"/>
    <n v="1"/>
    <n v="3"/>
    <s v="8 WK"/>
    <s v="FTE Based"/>
    <s v="USD"/>
    <n v="25140.33"/>
    <n v="0"/>
    <n v="0"/>
    <n v="0"/>
    <n v="1"/>
    <n v="1"/>
    <n v="1"/>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Initial Acknowledgement Letters"/>
    <s v="Formwork"/>
    <s v="Send formwork letter to claimant/Customer/Attorney for worker compensation  as per claim details and as per State guideline, to let them know about their rights and contact person."/>
    <x v="3"/>
    <x v="3"/>
    <s v="Auto_x000a_GL_x000a_Property_x000a_WC "/>
    <s v="All"/>
    <x v="3"/>
    <s v="L2"/>
    <n v="1"/>
    <s v="2 to 4"/>
    <s v="Multiple as per sub activities"/>
    <s v="FTE Based"/>
    <s v="USD"/>
    <n v="23196"/>
    <n v="12.27"/>
    <n v="1"/>
    <n v="1"/>
    <n v="3.7300000000000004"/>
    <n v="18"/>
    <n v="0.20722222222222225"/>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x v="20"/>
    <s v="Fortune 100 Global P&amp;C Carrier"/>
    <x v="2"/>
    <x v="3"/>
    <x v="2"/>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x v="3"/>
    <x v="3"/>
    <s v="Auto_x000a_GL_x000a_Property_x000a_WC "/>
    <s v="All"/>
    <x v="3"/>
    <s v="L2"/>
    <n v="1"/>
    <s v="2 to 4"/>
    <s v="Multiple as per sub activities"/>
    <s v="FTE Based"/>
    <s v="USD"/>
    <n v="23196"/>
    <n v="2.67"/>
    <n v="1"/>
    <n v="0"/>
    <n v="2.33"/>
    <n v="6"/>
    <n v="0.38833333333333336"/>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x v="20"/>
    <s v="Fortune 100 Global P&amp;C Carrier"/>
    <x v="2"/>
    <x v="3"/>
    <x v="2"/>
    <s v="Bhuwan Dass"/>
    <n v="6"/>
    <x v="1"/>
    <x v="1"/>
    <x v="1"/>
    <s v="Indexing"/>
    <s v="CSLN"/>
    <s v="Received Lien Notices or Lien releases from the state for worker compensation/auto/property/GL claims and combine them with the appropriate claim and processing application. And notify the case owner for further processing."/>
    <x v="3"/>
    <x v="3"/>
    <s v="Auto_x000a_GL_x000a_Property_x000a_WC "/>
    <s v="All"/>
    <x v="3"/>
    <s v="L2"/>
    <n v="1"/>
    <s v="2 to 4"/>
    <s v="Multiple as per sub activities"/>
    <s v="FTE Based"/>
    <s v="USD"/>
    <n v="23196"/>
    <n v="0.83"/>
    <n v="1"/>
    <n v="0"/>
    <n v="1.17"/>
    <n v="3"/>
    <n v="0.38999999999999996"/>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x v="20"/>
    <s v="Fortune 100 Global P&amp;C Carrier"/>
    <x v="2"/>
    <x v="3"/>
    <x v="2"/>
    <s v="Bhuwan Dass"/>
    <n v="6"/>
    <x v="1"/>
    <x v="1"/>
    <x v="4"/>
    <s v="Triaging for SIU, Subro"/>
    <s v="SIU"/>
    <s v="We receive ICN numbers for claims in a spreadsheet and we have to find the settlement details for a particular ICN through On Demand and Exprs and update the spreadsheet accordingly."/>
    <x v="3"/>
    <x v="3"/>
    <s v="WC"/>
    <s v="All"/>
    <x v="3"/>
    <s v="L2"/>
    <n v="1"/>
    <s v="1 to 2"/>
    <s v="Multiple as per sub activities"/>
    <s v="FTE Based"/>
    <s v="USD"/>
    <n v="23196"/>
    <n v="2.36"/>
    <n v="1"/>
    <n v="0"/>
    <n v="0.64000000000000012"/>
    <n v="4"/>
    <n v="0.16000000000000003"/>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x v="20"/>
    <s v="Fortune 100 Global P&amp;C Carrier"/>
    <x v="2"/>
    <x v="3"/>
    <x v="2"/>
    <s v="Bhuwan Dass"/>
    <n v="6"/>
    <x v="1"/>
    <x v="1"/>
    <x v="4"/>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x v="3"/>
    <x v="3"/>
    <s v="Auto_x000a_GL_x000a_Property_x000a_WC "/>
    <s v="All"/>
    <x v="3"/>
    <s v="L2"/>
    <n v="1"/>
    <s v="2 to 4"/>
    <s v="Multiple as per sub activities"/>
    <s v="FTE Based"/>
    <s v="USD"/>
    <n v="23196"/>
    <n v="20.6"/>
    <n v="1"/>
    <n v="1"/>
    <n v="5.3999999999999986"/>
    <n v="28"/>
    <n v="0.19285714285714281"/>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x v="20"/>
    <s v="Fortune 100 Global P&amp;C Carrier"/>
    <x v="2"/>
    <x v="3"/>
    <x v="2"/>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x v="3"/>
    <x v="3"/>
    <s v="Auto_x000a_GL_x000a_Property_x000a_WC "/>
    <s v="All"/>
    <x v="3"/>
    <s v="L2"/>
    <n v="1"/>
    <s v="2 to 4"/>
    <s v="Multiple as per sub activities"/>
    <s v="FTE Based"/>
    <s v="USD"/>
    <n v="21178"/>
    <n v="10.76"/>
    <n v="1"/>
    <n v="1"/>
    <n v="3.24"/>
    <n v="16"/>
    <n v="0.20250000000000001"/>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x v="20"/>
    <s v="Fortune 100 Global P&amp;C Carrier"/>
    <x v="2"/>
    <x v="3"/>
    <x v="2"/>
    <s v="NA"/>
    <n v="0"/>
    <x v="2"/>
    <x v="1"/>
    <x v="1"/>
    <s v="Claim Setup and assignment"/>
    <s v="LRU UPS"/>
    <s v="UPS Triage documents are received, reviewed and a claim is created assigned in Client applications"/>
    <x v="3"/>
    <x v="3"/>
    <s v="Auto_x000a_GL_x000a_Property_x000a_WC "/>
    <s v="All"/>
    <x v="3"/>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x v="2"/>
    <x v="3"/>
    <x v="2"/>
    <s v="NA"/>
    <n v="0"/>
    <x v="2"/>
    <x v="1"/>
    <x v="1"/>
    <s v="Indexing"/>
    <s v="PF Phoenix Upload"/>
    <s v="Requests received in inbox are routed to different work queue as per procedure (This is a work upload task for other teams)"/>
    <x v="3"/>
    <x v="3"/>
    <s v="Auto_x000a_GL_x000a_Property_x000a_WC "/>
    <s v="All"/>
    <x v="3"/>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x v="2"/>
    <x v="3"/>
    <x v="2"/>
    <s v="Bhuwan Dass"/>
    <n v="6"/>
    <x v="1"/>
    <x v="1"/>
    <x v="4"/>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x v="3"/>
    <x v="3"/>
    <s v="Auto_x000a_GL_x000a_Property_x000a_WC "/>
    <s v="All"/>
    <x v="3"/>
    <s v="L2"/>
    <n v="1"/>
    <s v="2 to 4"/>
    <s v="Multiple as per sub activities"/>
    <s v="FTE Based"/>
    <s v="USD"/>
    <n v="23196"/>
    <n v="6.04"/>
    <n v="1"/>
    <n v="0"/>
    <n v="1.96"/>
    <n v="9"/>
    <n v="0.21777777777777776"/>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x v="20"/>
    <s v="Fortune 100 Global P&amp;C Carrier"/>
    <x v="2"/>
    <x v="3"/>
    <x v="2"/>
    <s v="Bhuwan Dass"/>
    <n v="6"/>
    <x v="1"/>
    <x v="1"/>
    <x v="9"/>
    <s v="Subpoena Reviews"/>
    <s v="Litigation management"/>
    <s v="Processing worker compensation claims pdfs, hearing notices pdfs and pre-authorization request for medicals and notify to case owner/claimant/attorney by processing applications/outlook"/>
    <x v="3"/>
    <x v="3"/>
    <s v="Auto_x000a_GL_x000a_Property_x000a_WC "/>
    <s v="All"/>
    <x v="3"/>
    <s v="L2"/>
    <n v="1"/>
    <s v="2 to 4"/>
    <s v="Multiple as per sub activities"/>
    <s v="FTE Based"/>
    <s v="USD"/>
    <n v="23196"/>
    <n v="8.16"/>
    <n v="1"/>
    <n v="1"/>
    <n v="2.84"/>
    <n v="13"/>
    <n v="0.21846153846153846"/>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x v="20"/>
    <s v="Fortune 100 Global P&amp;C Carrier"/>
    <x v="2"/>
    <x v="3"/>
    <x v="2"/>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x v="3"/>
    <x v="3"/>
    <s v="WC"/>
    <s v="All"/>
    <x v="3"/>
    <s v="L2"/>
    <n v="1"/>
    <s v="2 to 4"/>
    <s v="Multiple as per sub activities"/>
    <s v="FTE Based"/>
    <s v="USD"/>
    <n v="23196"/>
    <n v="4.8499999999999996"/>
    <n v="1"/>
    <n v="1"/>
    <n v="3.1500000000000004"/>
    <n v="10"/>
    <n v="0.3150000000000000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x v="20"/>
    <s v="Fortune 100 Global P&amp;C Carrier"/>
    <x v="2"/>
    <x v="3"/>
    <x v="2"/>
    <s v="Bhuwan Dass"/>
    <n v="5"/>
    <x v="1"/>
    <x v="1"/>
    <x v="9"/>
    <s v="Bill Payment (Medical Legal, Non Medical, Vendor)"/>
    <s v="SIF &amp; COLA"/>
    <s v="Request reimbursement from state for indemnity/medical cost by submitting proofs of payments made by Liberty mutual (Documents)."/>
    <x v="3"/>
    <x v="3"/>
    <s v="Auto_x000a_GL_x000a_Property_x000a_WC "/>
    <s v="All"/>
    <x v="3"/>
    <s v="L2"/>
    <n v="1"/>
    <s v="2 to 4"/>
    <s v="Multiple as per sub activities"/>
    <s v="FTE Based"/>
    <s v="USD"/>
    <n v="23196"/>
    <n v="5"/>
    <n v="1"/>
    <n v="0"/>
    <n v="2"/>
    <n v="8"/>
    <n v="0.25"/>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x v="20"/>
    <s v="Fortune 100 Global P&amp;C Carrier"/>
    <x v="2"/>
    <x v="3"/>
    <x v="2"/>
    <s v="Bhuwan Dass"/>
    <n v="6"/>
    <x v="1"/>
    <x v="1"/>
    <x v="9"/>
    <s v="Bill Payment (Medical Legal, Non Medical, Vendor)"/>
    <s v="ExPRS WC Payment"/>
    <s v="Payments are issued to Injured workers, Medical providers or Vendors as per applicable procedure and State rules."/>
    <x v="3"/>
    <x v="3"/>
    <s v="WC"/>
    <s v="All"/>
    <x v="3"/>
    <s v="L3"/>
    <n v="1"/>
    <s v="3 to 5"/>
    <s v="Multiple as per sub activities"/>
    <s v="FTE Based"/>
    <s v="USD"/>
    <n v="23196"/>
    <n v="8.19"/>
    <n v="1"/>
    <n v="1"/>
    <n v="3.8100000000000005"/>
    <n v="14"/>
    <n v="0.27214285714285719"/>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x v="20"/>
    <s v="Fortune 100 Global P&amp;C Carrier"/>
    <x v="2"/>
    <x v="3"/>
    <x v="2"/>
    <s v="Bhuwan Dass"/>
    <n v="6"/>
    <x v="1"/>
    <x v="1"/>
    <x v="9"/>
    <s v="Bill Payment (Medical Legal, Non Medical, Vendor)"/>
    <s v="VIA &amp; Bulk Payments"/>
    <s v="Payments are issued to Vendors and Attorney as per applicable procedure."/>
    <x v="3"/>
    <x v="3"/>
    <s v="Auto_x000a_GL_x000a_Property_x000a_WC "/>
    <s v="All"/>
    <x v="3"/>
    <s v="L3"/>
    <n v="1"/>
    <s v="2 to 4"/>
    <s v="Multiple as per sub activities"/>
    <s v="FTE Based"/>
    <s v="USD"/>
    <n v="23196"/>
    <n v="10.76"/>
    <n v="1"/>
    <n v="0"/>
    <n v="4.24"/>
    <n v="16"/>
    <n v="0.26500000000000001"/>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x v="20"/>
    <s v="Fortune 100 Global P&amp;C Carrier"/>
    <x v="2"/>
    <x v="3"/>
    <x v="2"/>
    <s v="Bhuwan Dass"/>
    <n v="6"/>
    <x v="1"/>
    <x v="1"/>
    <x v="9"/>
    <s v="Bill Payment (Medical Legal, Non Medical, Vendor)"/>
    <s v="Receivable"/>
    <s v="Payments are received and applied in applicable systems as per remmitance."/>
    <x v="3"/>
    <x v="3"/>
    <s v="Auto_x000a_GL_x000a_Property_x000a_WC "/>
    <s v="All"/>
    <x v="3"/>
    <s v="L3"/>
    <n v="1"/>
    <s v="3 to 5"/>
    <s v="Multiple as per sub activities"/>
    <s v="FTE Based"/>
    <s v="USD"/>
    <n v="23196"/>
    <n v="5.1100000000000003"/>
    <n v="1"/>
    <n v="1"/>
    <n v="3.8899999999999997"/>
    <n v="11"/>
    <n v="0.35363636363636358"/>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x v="20"/>
    <s v="Fortune 100 Global P&amp;C Carrier"/>
    <x v="2"/>
    <x v="3"/>
    <x v="2"/>
    <s v="Bhuwan Dass"/>
    <n v="6"/>
    <x v="1"/>
    <x v="1"/>
    <x v="9"/>
    <s v="Bill Payment (Medical Legal, Non Medical, Vendor)"/>
    <s v="Payments Support"/>
    <s v="Bank Details and providers are added in system so that payments team can issue payment as applicable."/>
    <x v="3"/>
    <x v="3"/>
    <s v="Auto_x000a_GL_x000a_Property_x000a_WC "/>
    <s v="All"/>
    <x v="3"/>
    <s v="L3"/>
    <n v="1"/>
    <s v="2 to 4"/>
    <s v="Multiple as per sub activities"/>
    <s v="FTE Based"/>
    <s v="USD"/>
    <n v="23196"/>
    <n v="1.75"/>
    <n v="1"/>
    <n v="0"/>
    <n v="2.25"/>
    <n v="5"/>
    <n v="0.45"/>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x v="20"/>
    <s v="Fortune 100 Global P&amp;C Carrier"/>
    <x v="2"/>
    <x v="3"/>
    <x v="2"/>
    <s v="Bhuwan Dass"/>
    <n v="6"/>
    <x v="1"/>
    <x v="1"/>
    <x v="4"/>
    <s v="Evidence gathering"/>
    <s v="Vendor Referral"/>
    <s v="Investigation (Social Media Investigation, Surveillance, Recorded Interview, Alive and Well check activity etc.) for WC claims as per claim adjuster requests"/>
    <x v="3"/>
    <x v="3"/>
    <s v="Auto_x000a_GL_x000a_Property_x000a_WC "/>
    <s v="All"/>
    <x v="3"/>
    <s v="L2"/>
    <n v="1"/>
    <s v="2 to 4"/>
    <s v="Multiple as per sub activities"/>
    <s v="FTE Based"/>
    <s v="USD"/>
    <n v="23196"/>
    <n v="3.47"/>
    <n v="1"/>
    <n v="0"/>
    <n v="2.5299999999999998"/>
    <n v="7"/>
    <n v="0.36142857142857138"/>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x v="20"/>
    <s v="Fortune 100 Global P&amp;C Carrier"/>
    <x v="2"/>
    <x v="3"/>
    <x v="2"/>
    <s v="Bhuwan Dass"/>
    <n v="7"/>
    <x v="1"/>
    <x v="1"/>
    <x v="4"/>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x v="3"/>
    <x v="3"/>
    <s v="Auto_x000a_GL_x000a_Property_x000a_WC "/>
    <s v="All"/>
    <x v="3"/>
    <s v="L2"/>
    <n v="1"/>
    <s v="2 to 4"/>
    <s v="Multiple as per sub activities"/>
    <s v="FTE Based"/>
    <s v="USD"/>
    <n v="21178"/>
    <n v="5.54"/>
    <n v="1"/>
    <n v="0"/>
    <n v="2.46"/>
    <n v="9"/>
    <n v="0.27333333333333332"/>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x v="20"/>
    <s v="Fortune 100 Global P&amp;C Carrier"/>
    <x v="2"/>
    <x v="3"/>
    <x v="2"/>
    <s v="Bhuwan Dass"/>
    <n v="4"/>
    <x v="1"/>
    <x v="1"/>
    <x v="4"/>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x v="3"/>
    <x v="3"/>
    <s v="Auto_x000a_GL_x000a_Property_x000a_WC "/>
    <s v="All"/>
    <x v="3"/>
    <s v="L2"/>
    <n v="1"/>
    <s v="2 to 4"/>
    <n v="4"/>
    <s v="FTE Based"/>
    <s v="USD"/>
    <n v="23196"/>
    <n v="10.9"/>
    <n v="1"/>
    <n v="1"/>
    <n v="3.0999999999999996"/>
    <n v="16"/>
    <n v="0.19374999999999998"/>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x v="20"/>
    <s v="Fortune 100 Global P&amp;C Carrier"/>
    <x v="2"/>
    <x v="3"/>
    <x v="2"/>
    <s v="Bhuwan Dass"/>
    <n v="5"/>
    <x v="1"/>
    <x v="1"/>
    <x v="7"/>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x v="3"/>
    <x v="3"/>
    <s v="WC"/>
    <s v="All"/>
    <x v="3"/>
    <s v="L2"/>
    <n v="1"/>
    <s v="2 to 4"/>
    <s v="Multiple as per sub activities"/>
    <s v="FTE Based"/>
    <s v="USD"/>
    <n v="23196"/>
    <n v="4.75"/>
    <n v="1"/>
    <n v="0"/>
    <n v="2.25"/>
    <n v="8"/>
    <n v="0.28125"/>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x v="20"/>
    <s v="Fortune 100 Global P&amp;C Carrier"/>
    <x v="2"/>
    <x v="3"/>
    <x v="2"/>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x v="3"/>
    <x v="1"/>
    <s v="Auto_x000a_"/>
    <s v="Mid Size"/>
    <x v="1"/>
    <s v="L3"/>
    <n v="1"/>
    <s v="4 to 6"/>
    <n v="4"/>
    <s v="FTE Based"/>
    <s v="USD"/>
    <n v="27745"/>
    <n v="5.58"/>
    <n v="1"/>
    <n v="0"/>
    <n v="2.42"/>
    <n v="9"/>
    <n v="0.2688888888888889"/>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x v="20"/>
    <s v="Fortune 100 Global P&amp;C Carrier"/>
    <x v="2"/>
    <x v="3"/>
    <x v="2"/>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x v="3"/>
    <x v="3"/>
    <s v="Auto_x000a_GL_x000a_Property_x000a_WC "/>
    <s v="All"/>
    <x v="3"/>
    <s v="L3"/>
    <n v="1"/>
    <s v="4 to 6"/>
    <s v="Multiple as per sub activities"/>
    <s v="FTE Based"/>
    <s v="USD"/>
    <n v="23196"/>
    <n v="5.09"/>
    <n v="1"/>
    <n v="0"/>
    <n v="2.91"/>
    <n v="9"/>
    <n v="0.32333333333333336"/>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x v="20"/>
    <s v="Fortune 100 Global P&amp;C Carrier"/>
    <x v="2"/>
    <x v="3"/>
    <x v="2"/>
    <s v="Bhuwan Dass"/>
    <n v="0.1"/>
    <x v="1"/>
    <x v="1"/>
    <x v="9"/>
    <s v="Bill Payment (Medical Legal, Non Medical, Vendor)"/>
    <s v="Attestation"/>
    <s v=" This process evaluates and verifies financial information to provide assurance on its accuracy and reliability."/>
    <x v="3"/>
    <x v="3"/>
    <s v="Auto_x000a_GL_x000a_Property_x000a_WC "/>
    <s v="All"/>
    <x v="3"/>
    <s v="L3"/>
    <n v="1"/>
    <s v="4 to 6"/>
    <s v="Multiple as per sub activities"/>
    <s v="FTE Based"/>
    <s v="USD"/>
    <n v="23196"/>
    <n v="6.14"/>
    <n v="1"/>
    <n v="1"/>
    <n v="4.8600000000000003"/>
    <n v="13"/>
    <n v="0.37384615384615388"/>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x v="20"/>
    <s v="Fortune 100 Global P&amp;C Carrier"/>
    <x v="2"/>
    <x v="3"/>
    <x v="2"/>
    <s v="Bhuwan Dass"/>
    <n v="6"/>
    <x v="1"/>
    <x v="1"/>
    <x v="9"/>
    <s v="Non Medical Bill Review &amp; Approval"/>
    <s v="eReview"/>
    <s v="This is pre- bill processing review to validate the data with scanned image on exception thrown cases at the time of scanning for missing information  _x000a_"/>
    <x v="3"/>
    <x v="5"/>
    <s v="WC"/>
    <s v="All"/>
    <x v="3"/>
    <s v="L2"/>
    <n v="1"/>
    <n v="4"/>
    <s v="8 WK"/>
    <s v="FTE Based"/>
    <s v="USD"/>
    <n v="27577"/>
    <n v="11.82"/>
    <n v="2"/>
    <n v="1"/>
    <n v="2.1799999999999997"/>
    <n v="17"/>
    <n v="0.12823529411764703"/>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x v="20"/>
    <s v="Fortune 100 Global P&amp;C Carrier"/>
    <x v="2"/>
    <x v="3"/>
    <x v="2"/>
    <s v="Bhuwan Dass"/>
    <n v="6"/>
    <x v="1"/>
    <x v="1"/>
    <x v="9"/>
    <s v="Non Medical Bill Review &amp; Approval"/>
    <s v="MSR Original"/>
    <s v="Decision to pay or deny a bill is taken basis State handling guidelines and Claim Adjuster’s recommendation after adjudication"/>
    <x v="3"/>
    <x v="5"/>
    <s v="WC"/>
    <s v="All"/>
    <x v="3"/>
    <s v="L3"/>
    <n v="2"/>
    <n v="4"/>
    <s v="8 WK"/>
    <s v="FTE Based"/>
    <s v="USD"/>
    <n v="27577"/>
    <n v="37.43"/>
    <n v="5"/>
    <n v="3"/>
    <n v="8.57"/>
    <n v="54"/>
    <n v="0.1587037037037037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x v="2"/>
    <x v="3"/>
    <x v="2"/>
    <s v="Bhuwan Dass"/>
    <n v="4"/>
    <x v="1"/>
    <x v="1"/>
    <x v="9"/>
    <s v="Non Medical Bill Review &amp; Approval"/>
    <s v="MSR Recon"/>
    <s v="Team reviews the bill processed incorrectly in original submission &amp; resulted into under payment or incorrect denial"/>
    <x v="3"/>
    <x v="5"/>
    <s v="WC"/>
    <s v="All"/>
    <x v="3"/>
    <s v="L4"/>
    <n v="2"/>
    <n v="6"/>
    <s v="8 WK"/>
    <s v="FTE Based"/>
    <s v="USD"/>
    <n v="30330"/>
    <n v="18.63"/>
    <n v="2"/>
    <n v="1"/>
    <n v="6.370000000000001"/>
    <n v="28"/>
    <n v="0.22750000000000004"/>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x v="2"/>
    <x v="3"/>
    <x v="2"/>
    <s v="Bhuwan Dass"/>
    <n v="4"/>
    <x v="1"/>
    <x v="1"/>
    <x v="9"/>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x v="3"/>
    <x v="5"/>
    <s v="WC"/>
    <s v="All"/>
    <x v="3"/>
    <s v="L3"/>
    <n v="1"/>
    <n v="4"/>
    <s v="4 WK"/>
    <s v="FTE Based"/>
    <s v="USD"/>
    <n v="27577.483830000001"/>
    <n v="8.5"/>
    <n v="1"/>
    <n v="1"/>
    <n v="3.5"/>
    <n v="14"/>
    <n v="0.25"/>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x v="20"/>
    <s v="Fortune 100 Global P&amp;C Carrier"/>
    <x v="2"/>
    <x v="3"/>
    <x v="2"/>
    <s v="Bhuwan Dass"/>
    <n v="4"/>
    <x v="1"/>
    <x v="1"/>
    <x v="9"/>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x v="3"/>
    <x v="5"/>
    <s v="WC"/>
    <s v="All"/>
    <x v="3"/>
    <s v="L3"/>
    <n v="1"/>
    <n v="4"/>
    <s v="4 WK"/>
    <s v="FTE Based"/>
    <s v="USD"/>
    <n v="27577.483830000001"/>
    <n v="2.2999999999999998"/>
    <n v="1"/>
    <n v="1"/>
    <n v="0.70000000000000018"/>
    <n v="5"/>
    <n v="0.14000000000000004"/>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x v="2"/>
    <x v="3"/>
    <x v="2"/>
    <s v="Bhuwan Dass"/>
    <n v="4"/>
    <x v="1"/>
    <x v="1"/>
    <x v="9"/>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x v="3"/>
    <x v="5"/>
    <s v="WC"/>
    <s v="All"/>
    <x v="3"/>
    <s v="L3"/>
    <n v="1"/>
    <n v="4"/>
    <s v="4 WK"/>
    <s v="FTE Based"/>
    <s v="USD"/>
    <n v="27577.483830000001"/>
    <n v="0.8"/>
    <n v="0"/>
    <n v="0"/>
    <n v="0.19999999999999996"/>
    <n v="1"/>
    <n v="0.19999999999999996"/>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x v="2"/>
    <x v="3"/>
    <x v="2"/>
    <s v="Bhuwan Dass"/>
    <n v="4"/>
    <x v="1"/>
    <x v="1"/>
    <x v="9"/>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x v="3"/>
    <x v="5"/>
    <s v="WC"/>
    <s v="All"/>
    <x v="3"/>
    <s v="L1"/>
    <n v="1"/>
    <n v="4"/>
    <s v="4 WK"/>
    <s v="FTE Based"/>
    <s v="USD"/>
    <n v="20502"/>
    <n v="7.8"/>
    <n v="0"/>
    <n v="0"/>
    <n v="2.2000000000000002"/>
    <n v="10"/>
    <n v="0.22000000000000003"/>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x v="20"/>
    <s v="Fortune 100 Global P&amp;C Carrier"/>
    <x v="2"/>
    <x v="3"/>
    <x v="2"/>
    <s v="Bhuwan Dass"/>
    <n v="0.1"/>
    <x v="1"/>
    <x v="1"/>
    <x v="9"/>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x v="3"/>
    <x v="5"/>
    <s v="Single LOB - WC"/>
    <s v="All"/>
    <x v="3"/>
    <s v="L4"/>
    <n v="2"/>
    <n v="12"/>
    <n v="10"/>
    <s v="FTE Based"/>
    <s v="USD"/>
    <n v="26460"/>
    <n v="10.53"/>
    <n v="0"/>
    <n v="1"/>
    <n v="5.47"/>
    <n v="17"/>
    <n v="0.321764705882352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x v="13"/>
    <s v="Fortune 100 US P&amp;C Carrier"/>
    <x v="2"/>
    <x v="10"/>
    <x v="5"/>
    <s v="Meeta Sarkar, Varunjesh Bhambri"/>
    <n v="1.2"/>
    <x v="2"/>
    <x v="1"/>
    <x v="8"/>
    <s v="Initiate Recovery Collection &amp; processing"/>
    <s v="Subro  -ERT"/>
    <s v="ERT- perform authorized subrogation services to reach agreement for settlement with Third Party Carriers (TPCs) who are US Arbitration Forum Members (the “Arb Members”)"/>
    <x v="1"/>
    <x v="1"/>
    <s v="Auto"/>
    <s v="All"/>
    <x v="2"/>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Meeta Sarkar, Varunjesh Bhambri"/>
    <n v="1.2"/>
    <x v="2"/>
    <x v="1"/>
    <x v="8"/>
    <s v="Initiate Recovery Collection &amp; processing"/>
    <s v="Subro - ART"/>
    <s v="ART- perform authorized subrogation services to reach agreement for settlement with Third Party Carriers (TPCs) who are not members of E-Subro Hub"/>
    <x v="1"/>
    <x v="1"/>
    <s v="Auto"/>
    <s v="All"/>
    <x v="2"/>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Meeta Sarkar, Varunjesh Bhambri"/>
    <n v="1.2"/>
    <x v="2"/>
    <x v="1"/>
    <x v="8"/>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x v="1"/>
    <x v="1"/>
    <s v="Auto"/>
    <s v="All"/>
    <x v="2"/>
    <s v="L3"/>
    <n v="1"/>
    <n v="3"/>
    <n v="4"/>
    <s v="FTE Based"/>
    <s v="USD"/>
    <n v="30658.560000000001"/>
    <n v="20"/>
    <n v="0"/>
    <n v="1"/>
    <n v="4"/>
    <n v="25"/>
    <n v="0.16"/>
    <n v="4572.75"/>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Varunjesh Bhambri, Meeta Sarkar"/>
    <n v="11"/>
    <x v="2"/>
    <x v="2"/>
    <x v="6"/>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x v="3"/>
    <x v="9"/>
    <s v="Auto and Property Business"/>
    <s v="All"/>
    <x v="3"/>
    <s v="L2"/>
    <n v="0.4"/>
    <n v="2"/>
    <n v="4"/>
    <s v="FTE Based"/>
    <s v="USD"/>
    <n v="21548.799999999999"/>
    <n v="2"/>
    <n v="0"/>
    <n v="0"/>
    <n v="0.4"/>
    <n v="2.4"/>
    <n v="0.16666666666666669"/>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4"/>
    <x v="2"/>
    <s v="Varunjesh Bhambri, Meeta Sarkar"/>
    <n v="11"/>
    <x v="1"/>
    <x v="2"/>
    <x v="3"/>
    <s v="Endorsements intake and setup"/>
    <s v="Allstate Business Insurance-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_x000a_Within UW Support, the team also provides administrative assitance through work allocation (identifying the correct request type and routing to the correct department. This 1 FTE work is the only active Commercial Lines process"/>
    <x v="3"/>
    <x v="3"/>
    <s v="Auto and Property Business"/>
    <s v="All"/>
    <x v="3"/>
    <s v="L2"/>
    <n v="0.4"/>
    <n v="2"/>
    <s v="2 week"/>
    <s v="FTE Based"/>
    <s v="USD"/>
    <n v="14.49"/>
    <n v="1"/>
    <n v="1"/>
    <n v="0.5"/>
    <n v="1"/>
    <n v="3.5"/>
    <n v="0.2857142857142857"/>
    <n v="2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10"/>
    <x v="5"/>
    <s v="Varunjesh Bhambri, Meeta Sarkar"/>
    <n v="11"/>
    <x v="2"/>
    <x v="2"/>
    <x v="11"/>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x v="3"/>
    <x v="3"/>
    <s v="Auto and Property Business"/>
    <s v="All"/>
    <x v="3"/>
    <s v="L2"/>
    <n v="0.4"/>
    <n v="2"/>
    <n v="4"/>
    <s v="FTE Based"/>
    <s v="USD"/>
    <n v="21548.799999999999"/>
    <n v="4"/>
    <n v="1"/>
    <n v="1"/>
    <n v="0.8"/>
    <n v="6.8"/>
    <n v="0.1176470588235294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10"/>
    <x v="5"/>
    <s v="Varunjesh Bhambri, Meeta Sarkar"/>
    <n v="11"/>
    <x v="2"/>
    <x v="2"/>
    <x v="3"/>
    <s v="Endorsements intake and setup"/>
    <s v="Allstate Business Insurance - QV"/>
    <s v="Allstate Business Insurance Quality Assurance (ABI QA) - review and evaluate selected audit files representative of the different types of audits performed and sharing regular report with clients"/>
    <x v="3"/>
    <x v="3"/>
    <s v="Auto and Property Business"/>
    <s v="All"/>
    <x v="3"/>
    <s v="L4"/>
    <n v="0.4"/>
    <n v="4"/>
    <s v="4 Week"/>
    <s v="FTE Based"/>
    <s v="USD"/>
    <n v="28641.599999999999"/>
    <n v="1"/>
    <n v="0"/>
    <n v="0"/>
    <n v="1"/>
    <n v="2"/>
    <n v="0.5"/>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x v="13"/>
    <s v="Fortune 100 US P&amp;C Carrier"/>
    <x v="2"/>
    <x v="10"/>
    <x v="5"/>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x v="3"/>
    <x v="3"/>
    <s v="Auto and Property Business"/>
    <s v="All"/>
    <x v="3"/>
    <s v="L3"/>
    <n v="0.4"/>
    <n v="2"/>
    <n v="6"/>
    <s v="FTE Based"/>
    <s v="USD"/>
    <n v="31723.52"/>
    <n v="3"/>
    <n v="0"/>
    <n v="0"/>
    <n v="0.60000000000000009"/>
    <n v="3.6"/>
    <n v="0.16666666666666669"/>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x v="13"/>
    <s v="Fortune 100 US P&amp;C Carrier"/>
    <x v="2"/>
    <x v="4"/>
    <x v="2"/>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x v="1"/>
    <x v="1"/>
    <s v="Auto"/>
    <s v="All"/>
    <x v="1"/>
    <s v="L3"/>
    <n v="0.5"/>
    <n v="2"/>
    <s v="1 week"/>
    <s v="Transaction Based "/>
    <s v="USD"/>
    <n v="4.13"/>
    <n v="78"/>
    <n v="4"/>
    <n v="4.5"/>
    <n v="8"/>
    <n v="94.5"/>
    <n v="8.4656084656084651E-2"/>
    <n v="14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x v="2"/>
    <x v="3"/>
    <x v="2"/>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x v="1"/>
    <x v="1"/>
    <s v="Auto"/>
    <s v="All"/>
    <x v="1"/>
    <s v="L3"/>
    <n v="0.5"/>
    <n v="2"/>
    <s v="1 week"/>
    <s v="Transaction Based "/>
    <s v="USD"/>
    <n v="4.13"/>
    <n v="33"/>
    <n v="0"/>
    <n v="2"/>
    <n v="3"/>
    <n v="38"/>
    <n v="7.8947368421052627E-2"/>
    <n v="6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x v="2"/>
    <x v="4"/>
    <x v="2"/>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x v="1"/>
    <x v="1"/>
    <s v="Auto"/>
    <s v="All"/>
    <x v="1"/>
    <s v="L2"/>
    <n v="0.5"/>
    <n v="3"/>
    <s v="1 week"/>
    <s v="Transaction Based "/>
    <s v="USD"/>
    <n v="2.06"/>
    <n v="3"/>
    <n v="1"/>
    <n v="0"/>
    <n v="2"/>
    <n v="6"/>
    <n v="0.33333333333333331"/>
    <n v="2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3"/>
    <x v="2"/>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x v="1"/>
    <x v="1"/>
    <s v="Auto"/>
    <s v="All"/>
    <x v="1"/>
    <s v="L2"/>
    <n v="0.5"/>
    <n v="3"/>
    <s v="1 week"/>
    <s v="Transaction Based "/>
    <s v="USD"/>
    <n v="2.06"/>
    <n v="6"/>
    <n v="0"/>
    <n v="1"/>
    <n v="2"/>
    <n v="9"/>
    <n v="0.22222222222222221"/>
    <n v="3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4"/>
    <x v="2"/>
    <s v="Varunjesh Bhambri, Meeta Sarkar"/>
    <n v="20"/>
    <x v="1"/>
    <x v="2"/>
    <x v="3"/>
    <s v="Customer service"/>
    <s v="Emergency Roadside Assistance"/>
    <s v="CEMT - The team confirms service (vehicle) delivery for complex Secondary tow and simple tow for client partners. The team validates the service delivery basis the photos uploaded by the service provider for drop off and pick up location."/>
    <x v="1"/>
    <x v="1"/>
    <s v="Auto"/>
    <s v="All"/>
    <x v="1"/>
    <s v="L2"/>
    <n v="3"/>
    <n v="5"/>
    <s v="8 Week"/>
    <s v="FTE Based"/>
    <s v="USD"/>
    <n v="14.29"/>
    <n v="4"/>
    <n v="1"/>
    <n v="1"/>
    <n v="1"/>
    <n v="7"/>
    <n v="0.14285714285714285"/>
    <n v="3000"/>
    <s v="NA"/>
    <s v="Jan / Jun / Jul"/>
    <n v="15"/>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4"/>
    <x v="2"/>
    <s v="Varunjesh Bhambri, Meeta Sarkar"/>
    <n v="20"/>
    <x v="1"/>
    <x v="2"/>
    <x v="3"/>
    <s v="Customer service"/>
    <s v="Emergency Roadside Assistance"/>
    <s v="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
    <x v="1"/>
    <x v="1"/>
    <s v="Auto"/>
    <s v="All"/>
    <x v="1"/>
    <s v="L2"/>
    <n v="3"/>
    <n v="5"/>
    <s v="8 Week"/>
    <s v="FTE Based"/>
    <s v="USD"/>
    <n v="14.29"/>
    <n v="3"/>
    <n v="1"/>
    <n v="1"/>
    <n v="1"/>
    <n v="6"/>
    <n v="0.16666666666666666"/>
    <n v="3000"/>
    <s v="NA"/>
    <s v="Jan / Jun / Jul"/>
    <n v="15"/>
    <s v="NA"/>
    <n v="0.94"/>
    <s v="DPO – Defect Per Opportunity"/>
    <s v="Complaint Ratio"/>
    <s v="NA"/>
    <s v="NA"/>
    <s v="NA"/>
    <s v="Process Excellence"/>
    <s v="NA"/>
    <s v="NA"/>
    <s v="NA"/>
    <s v="NA"/>
    <s v="NA"/>
    <s v="NA"/>
    <s v="Customer"/>
    <s v="Others"/>
    <s v="Structured"/>
    <n v="1"/>
    <s v="Others"/>
    <s v="Customers"/>
    <s v="AMC Prod, BAM, EDMS2, OMNI,AVAYA,Verint"/>
  </r>
  <r>
    <x v="17"/>
    <s v="Fortune 500 Global P&amp;C Carrier"/>
    <x v="2"/>
    <x v="4"/>
    <x v="2"/>
    <s v="Arbind Singh/Saurabh Sharma"/>
    <n v="5"/>
    <x v="1"/>
    <x v="1"/>
    <x v="9"/>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x v="3"/>
    <x v="3"/>
    <s v="WC, Property, GL, Auto"/>
    <s v="All"/>
    <x v="3"/>
    <s v="L2"/>
    <n v="2"/>
    <n v="1"/>
    <n v="4"/>
    <s v="FTE Based"/>
    <s v="USD"/>
    <n v="25347.49"/>
    <n v="1.34"/>
    <n v="0.5"/>
    <n v="0.1"/>
    <n v="0.1"/>
    <n v="2.04"/>
    <n v="4.9019607843137254E-2"/>
    <n v="5053"/>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x v="17"/>
    <s v="Fortune 500 Global P&amp;C Carrier"/>
    <x v="2"/>
    <x v="4"/>
    <x v="2"/>
    <s v="Arbind Singh/Saurabh Sharma"/>
    <n v="5"/>
    <x v="1"/>
    <x v="1"/>
    <x v="7"/>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x v="3"/>
    <x v="3"/>
    <s v="GL, Auto,WC"/>
    <s v="All"/>
    <x v="3"/>
    <s v="L2"/>
    <n v="2"/>
    <n v="1"/>
    <n v="4"/>
    <s v="FTE Based"/>
    <s v="USD"/>
    <n v="25347.49"/>
    <n v="4.49"/>
    <n v="1"/>
    <n v="0.5"/>
    <n v="1"/>
    <n v="6.99"/>
    <n v="0.14306151645207438"/>
    <n v="11000"/>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x v="17"/>
    <s v="Fortune 500 Global P&amp;C Carrier"/>
    <x v="2"/>
    <x v="4"/>
    <x v="2"/>
    <s v="Arbind Singh/Saurabh Sharma"/>
    <n v="5"/>
    <x v="1"/>
    <x v="1"/>
    <x v="9"/>
    <s v="Bill Payment (Medical Legal, Non Medical, Vendor)"/>
    <s v="Payment Transfer"/>
    <s v="The purpose of this task is to take off the paid amount from incorrect claim and transfer it to correct claim as per the instructions received"/>
    <x v="3"/>
    <x v="3"/>
    <s v="WC, Property, GL, Auto,Specialities"/>
    <s v="All"/>
    <x v="3"/>
    <s v="L2"/>
    <n v="2"/>
    <n v="1"/>
    <n v="4"/>
    <s v="FTE Based"/>
    <s v="USD"/>
    <n v="25347.49"/>
    <n v="1.2"/>
    <n v="0"/>
    <n v="0.1"/>
    <n v="0.1"/>
    <n v="1.4000000000000001"/>
    <n v="7.1428571428571425E-2"/>
    <n v="1624"/>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x v="17"/>
    <s v="Fortune 500 Global P&amp;C Carrier"/>
    <x v="2"/>
    <x v="4"/>
    <x v="2"/>
    <s v="Arbind Singh/Saurabh Sharma"/>
    <n v="5"/>
    <x v="1"/>
    <x v="1"/>
    <x v="1"/>
    <s v="Data entry "/>
    <s v="Trail Companion Letter"/>
    <s v="The purpose of this task is mimic the master claim file to accommodate a different date of loss. The file which is created is known a Trail file."/>
    <x v="3"/>
    <x v="3"/>
    <s v="Property &amp; GL"/>
    <s v="All"/>
    <x v="3"/>
    <s v="L2"/>
    <n v="2"/>
    <n v="1"/>
    <n v="4"/>
    <s v="FTE Based"/>
    <s v="USD"/>
    <n v="25347.49"/>
    <n v="0.1"/>
    <n v="0"/>
    <n v="0"/>
    <n v="0.1"/>
    <n v="0.2"/>
    <n v="0.5"/>
    <n v="19"/>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x v="17"/>
    <s v="Fortune 500 Global P&amp;C Carrier"/>
    <x v="2"/>
    <x v="4"/>
    <x v="2"/>
    <s v="Arbind Singh/Saurabh Sharma"/>
    <n v="5"/>
    <x v="1"/>
    <x v="1"/>
    <x v="4"/>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x v="3"/>
    <x v="5"/>
    <s v="WC"/>
    <s v="All"/>
    <x v="3"/>
    <s v="L2"/>
    <n v="2"/>
    <n v="1"/>
    <n v="4"/>
    <s v="FTE Based"/>
    <s v="USD"/>
    <n v="25347.49"/>
    <n v="1.59"/>
    <n v="0"/>
    <n v="0.1"/>
    <n v="0.1"/>
    <n v="1.7900000000000003"/>
    <n v="5.5865921787709494E-2"/>
    <n v="592"/>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x v="17"/>
    <s v="Fortune 500 Global P&amp;C Carrier"/>
    <x v="2"/>
    <x v="4"/>
    <x v="2"/>
    <s v="Arbind Singh/Saurabh Sharma"/>
    <n v="5"/>
    <x v="1"/>
    <x v="1"/>
    <x v="4"/>
    <s v="Gathering relevant reports"/>
    <s v="Indeterminates-Aged"/>
    <s v="The purpose of this task is to check and follow up with claim handler if no action (for 30 days)has been taken on claims which do not have a policy number assigned. The task is received on 5th and 20th of each month."/>
    <x v="3"/>
    <x v="3"/>
    <s v="WC, Property, GL, Auto"/>
    <s v="All"/>
    <x v="3"/>
    <s v="L2"/>
    <n v="2"/>
    <n v="1"/>
    <n v="4"/>
    <s v="FTE Based"/>
    <s v="USD"/>
    <n v="25347.49"/>
    <n v="0.17"/>
    <n v="0"/>
    <n v="0"/>
    <n v="0.1"/>
    <n v="0.27"/>
    <n v="0.37037037037037035"/>
    <n v="214"/>
    <s v="NA"/>
    <s v="NA"/>
    <n v="1"/>
    <n v="0.9869"/>
    <n v="0.9869"/>
    <s v="DPO – Defect Per Opportunity"/>
    <s v="NA"/>
    <s v="NA"/>
    <s v="None"/>
    <s v="None"/>
    <s v="NA"/>
    <s v="None"/>
    <s v="None"/>
    <s v="None"/>
    <s v="None"/>
    <s v="None"/>
    <s v="None"/>
    <s v="LOB"/>
    <s v="Emails"/>
    <s v="Structured"/>
    <s v="Email  - 100%"/>
    <s v="Email - 10% , Application - 90%"/>
    <s v="LOB"/>
    <s v="EZAccess, MS Outlook "/>
  </r>
  <r>
    <x v="17"/>
    <s v="Fortune 500 Global P&amp;C Carrier"/>
    <x v="2"/>
    <x v="4"/>
    <x v="2"/>
    <s v="Arbind Singh/Saurabh Sharma"/>
    <n v="5"/>
    <x v="1"/>
    <x v="1"/>
    <x v="4"/>
    <s v="Loss/ Damage verification"/>
    <s v="Medicare CMS Letter"/>
    <s v="The purpose of this task is to check and update 5 key elements. And if the Key elements are missing we send CMS letter to Claimant/Attorney"/>
    <x v="3"/>
    <x v="3"/>
    <s v="WC, GL, Auto"/>
    <s v="All"/>
    <x v="3"/>
    <s v="L2"/>
    <n v="2"/>
    <n v="1"/>
    <n v="4"/>
    <s v="FTE Based"/>
    <s v="USD"/>
    <n v="25347.49"/>
    <n v="0.1"/>
    <n v="0"/>
    <n v="0"/>
    <n v="0.1"/>
    <n v="0.2"/>
    <n v="0.5"/>
    <n v="748"/>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x v="2"/>
    <x v="4"/>
    <x v="2"/>
    <s v="Arbind Singh/Saurabh Sharma"/>
    <n v="5"/>
    <x v="1"/>
    <x v="1"/>
    <x v="4"/>
    <s v="Gathering relevant reports"/>
    <s v="Surety Letters"/>
    <s v="The purpose of this task is to send surety letters to Claimants, Principals, Obligee/Owners, Group name and Claim Handlers etc. as per the instructions"/>
    <x v="3"/>
    <x v="14"/>
    <s v="GL"/>
    <s v="All"/>
    <x v="3"/>
    <s v="L2"/>
    <n v="2"/>
    <n v="1"/>
    <n v="4"/>
    <s v="FTE Based"/>
    <s v="USD"/>
    <n v="25347.49"/>
    <n v="0.94"/>
    <n v="0"/>
    <n v="0.1"/>
    <n v="0.1"/>
    <n v="1.1400000000000001"/>
    <n v="8.771929824561403E-2"/>
    <n v="534"/>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x v="2"/>
    <x v="4"/>
    <x v="2"/>
    <s v="Arbind Singh/Saurabh Sharma"/>
    <n v="5"/>
    <x v="1"/>
    <x v="1"/>
    <x v="4"/>
    <s v="Loss/ Damage verification"/>
    <s v="Medicare COBC Letters"/>
    <s v="The purpose of this task is to check and update 5 key elements. If these elements are not found we send CMS letter to claimant, a Lotus notes to claim handler and setup a task to update the information."/>
    <x v="3"/>
    <x v="1"/>
    <s v="WC"/>
    <s v="All"/>
    <x v="3"/>
    <s v="L2"/>
    <n v="2"/>
    <n v="1"/>
    <n v="4"/>
    <s v="FTE Based"/>
    <s v="USD"/>
    <n v="25347.49"/>
    <n v="0.39"/>
    <n v="0"/>
    <n v="0"/>
    <n v="0.1"/>
    <n v="0.49"/>
    <n v="0.20408163265306123"/>
    <n v="1060"/>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x v="17"/>
    <s v="Fortune 500 Global P&amp;C Carrier"/>
    <x v="2"/>
    <x v="4"/>
    <x v="2"/>
    <s v="Arbind Singh/Saurabh Sharma"/>
    <n v="5"/>
    <x v="1"/>
    <x v="1"/>
    <x v="4"/>
    <s v="State Form and Filing"/>
    <s v="State Auto Regulation Letters"/>
    <s v="The purpose of this task is send State regulatory letters, which system was unable to send due to missing information. If we are unable to find information we setup a task for Claim handler"/>
    <x v="3"/>
    <x v="1"/>
    <s v="Auto"/>
    <s v="All"/>
    <x v="3"/>
    <s v="L2"/>
    <n v="2"/>
    <n v="1"/>
    <n v="4"/>
    <s v="FTE Based"/>
    <s v="USD"/>
    <n v="25347.49"/>
    <n v="0.31"/>
    <n v="0"/>
    <n v="0"/>
    <n v="0.1"/>
    <n v="0.41000000000000003"/>
    <n v="0.24390243902439024"/>
    <n v="349"/>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x v="17"/>
    <s v="Fortune 500 Global P&amp;C Carrier"/>
    <x v="2"/>
    <x v="4"/>
    <x v="2"/>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x v="3"/>
    <x v="3"/>
    <s v="GL, Mass Litigation,Pollution and Environment"/>
    <s v="All"/>
    <x v="3"/>
    <s v="L2"/>
    <n v="2"/>
    <n v="1"/>
    <n v="4"/>
    <s v="FTE Based"/>
    <s v="USD"/>
    <n v="25347.49"/>
    <n v="0.11"/>
    <n v="0"/>
    <n v="0"/>
    <n v="0.1"/>
    <n v="0.21000000000000002"/>
    <n v="0.47619047619047616"/>
    <n v="143"/>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4"/>
    <x v="2"/>
    <s v="Arbind Singh/Saurabh Sharma"/>
    <n v="5"/>
    <x v="1"/>
    <x v="1"/>
    <x v="1"/>
    <s v="Claim Setup and assignment"/>
    <s v="Office 41- Veterinary claims Set up"/>
    <s v="Vet claims setup requests are received directly from the Veterinarians who are our insureds. These Claims are for animals that were treated by our insureds. "/>
    <x v="3"/>
    <x v="7"/>
    <s v="Specialities"/>
    <s v="All"/>
    <x v="3"/>
    <s v="L2"/>
    <n v="2"/>
    <n v="1"/>
    <n v="4"/>
    <s v="FTE Based"/>
    <s v="USD"/>
    <n v="25347.49"/>
    <n v="1.62"/>
    <n v="0"/>
    <n v="0"/>
    <n v="0.1"/>
    <n v="1.7200000000000002"/>
    <n v="5.8139534883720929E-2"/>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x v="3"/>
    <x v="7"/>
    <s v="Specialities"/>
    <s v="All"/>
    <x v="3"/>
    <s v="L2"/>
    <n v="2"/>
    <n v="1"/>
    <n v="4"/>
    <s v="FTE Based"/>
    <s v="USD"/>
    <n v="25347.49"/>
    <n v="0.04"/>
    <n v="0"/>
    <n v="0"/>
    <n v="0.1"/>
    <n v="0.14000000000000001"/>
    <n v="0.7142857142857143"/>
    <n v="21"/>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x v="3"/>
    <x v="7"/>
    <s v="Specialities"/>
    <s v="All"/>
    <x v="3"/>
    <s v="L2"/>
    <n v="2"/>
    <n v="1"/>
    <n v="4"/>
    <s v="FTE Based"/>
    <s v="USD"/>
    <n v="25347.49"/>
    <n v="0.1"/>
    <n v="0"/>
    <n v="0"/>
    <n v="0.1"/>
    <n v="0.2"/>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4"/>
    <x v="2"/>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x v="3"/>
    <x v="7"/>
    <s v="Specialities"/>
    <s v="All"/>
    <x v="3"/>
    <s v="L2"/>
    <n v="2"/>
    <n v="1"/>
    <n v="4"/>
    <s v="FTE Based"/>
    <s v="USD"/>
    <n v="25347.49"/>
    <n v="0.73"/>
    <n v="0"/>
    <n v="0"/>
    <n v="0.1"/>
    <n v="0.83"/>
    <n v="0.12048192771084339"/>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DJ claims set up"/>
    <s v="The purpose of this task to mirror and create existing claims which end up in litigation"/>
    <x v="3"/>
    <x v="3"/>
    <s v="Specialities"/>
    <s v="All"/>
    <x v="3"/>
    <s v="L2"/>
    <n v="2"/>
    <n v="1"/>
    <n v="4"/>
    <s v="FTE Based"/>
    <s v="USD"/>
    <n v="25347.49"/>
    <n v="0.1"/>
    <n v="0"/>
    <n v="0"/>
    <n v="0.1"/>
    <n v="0.2"/>
    <n v="0.5"/>
    <n v="27"/>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x v="17"/>
    <s v="Fortune 500 Global P&amp;C Carrier"/>
    <x v="2"/>
    <x v="4"/>
    <x v="2"/>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x v="3"/>
    <x v="3"/>
    <s v="WC, Property, GL, Auto"/>
    <s v="All"/>
    <x v="3"/>
    <s v="L2"/>
    <n v="2"/>
    <n v="1"/>
    <n v="4"/>
    <s v="FTE Based"/>
    <s v="USD"/>
    <n v="25347.49"/>
    <n v="1.5"/>
    <n v="0"/>
    <n v="0.1"/>
    <n v="0.1"/>
    <n v="1.7000000000000002"/>
    <n v="5.8823529411764705E-2"/>
    <n v="611"/>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x v="17"/>
    <s v="Fortune 500 Global P&amp;C Carrier"/>
    <x v="2"/>
    <x v="4"/>
    <x v="2"/>
    <s v="Arbind Singh/Saurabh Sharma"/>
    <n v="5"/>
    <x v="1"/>
    <x v="1"/>
    <x v="4"/>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x v="3"/>
    <x v="3"/>
    <s v="WC, GL, Auto"/>
    <s v="All"/>
    <x v="3"/>
    <s v="L2"/>
    <n v="2"/>
    <n v="1"/>
    <n v="4"/>
    <s v="FTE Based"/>
    <s v="USD"/>
    <n v="25347.49"/>
    <n v="2.83"/>
    <n v="0"/>
    <n v="0.1"/>
    <n v="0.1"/>
    <n v="3.0300000000000002"/>
    <n v="3.3003300330033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x v="17"/>
    <s v="Fortune 500 Global P&amp;C Carrier"/>
    <x v="2"/>
    <x v="4"/>
    <x v="2"/>
    <s v="Arbind Singh/Saurabh Sharma"/>
    <n v="5"/>
    <x v="2"/>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x v="3"/>
    <x v="3"/>
    <s v="WC, Property, GL, Auto"/>
    <s v="All"/>
    <x v="3"/>
    <s v="L2"/>
    <n v="2"/>
    <n v="1"/>
    <n v="4"/>
    <s v="FTE Based"/>
    <s v="USD"/>
    <n v="25347.49"/>
    <n v="0"/>
    <n v="0"/>
    <n v="0"/>
    <n v="0"/>
    <n v="0"/>
    <e v="#DIV/0!"/>
    <n v="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x v="17"/>
    <s v="Fortune 500 Global P&amp;C Carrier"/>
    <x v="2"/>
    <x v="4"/>
    <x v="2"/>
    <s v="Arbind Singh/Saurabh Sharma"/>
    <n v="5"/>
    <x v="1"/>
    <x v="1"/>
    <x v="9"/>
    <s v="Send Closing Documents"/>
    <s v="Claim Fox- Sub Poena"/>
    <s v="The purpose of the task is to provide producable documents (non previlaged nonPHI,nonPI) to requester claimant's attorney for closed claims which are challenged via judiciary system (court proceeding)."/>
    <x v="3"/>
    <x v="3"/>
    <s v="WC, Property, GL, Auto"/>
    <s v="All"/>
    <x v="3"/>
    <s v="L2"/>
    <n v="2"/>
    <n v="1"/>
    <n v="4"/>
    <s v="FTE Based"/>
    <s v="USD"/>
    <n v="25347.49"/>
    <n v="0.55000000000000004"/>
    <n v="0"/>
    <n v="0.1"/>
    <n v="0.1"/>
    <n v="0.75"/>
    <n v="0.13333333333333333"/>
    <n v="40"/>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x v="17"/>
    <s v="Fortune 500 Global P&amp;C Carrier"/>
    <x v="2"/>
    <x v="3"/>
    <x v="2"/>
    <s v="Arbind Singh/Saurabh Sharma"/>
    <n v="5"/>
    <x v="1"/>
    <x v="1"/>
    <x v="1"/>
    <s v="Claim Setup and assignment"/>
    <s v="WC - Triage"/>
    <s v="The purpose of this task is to assign the claim to right claim handler, according to the office, business type and severity of the claim. Triage Portal is being used to assign claims"/>
    <x v="3"/>
    <x v="5"/>
    <s v="WC"/>
    <s v="All"/>
    <x v="3"/>
    <s v="L2"/>
    <n v="2"/>
    <n v="1"/>
    <n v="4"/>
    <s v="FTE Based"/>
    <s v="USD"/>
    <n v="25347.49"/>
    <n v="1.07"/>
    <n v="0"/>
    <n v="0.1"/>
    <n v="0.1"/>
    <n v="1.2700000000000002"/>
    <n v="7.8740157480314946E-2"/>
    <n v="882"/>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x v="17"/>
    <s v="Fortune 500 Global P&amp;C Carrier"/>
    <x v="2"/>
    <x v="3"/>
    <x v="2"/>
    <s v="Arbind Singh/Saurabh Sharma"/>
    <n v="7"/>
    <x v="1"/>
    <x v="1"/>
    <x v="7"/>
    <s v="Case Management of File "/>
    <s v="Claim Cancellation"/>
    <s v="This task is performed as a result of a cancellation request received on claims. A claim maybe cancelled due to reasons like claim denial, coverage not available, policy expiration, duplicate set ups etc. "/>
    <x v="3"/>
    <x v="3"/>
    <s v="WC, Property, GL, Auto"/>
    <s v="All"/>
    <x v="3"/>
    <s v="L2"/>
    <n v="2"/>
    <n v="1"/>
    <n v="4"/>
    <s v="FTE Based"/>
    <s v="USD"/>
    <n v="25347.49"/>
    <n v="0.46032682285723642"/>
    <n v="0"/>
    <n v="0"/>
    <n v="0.1"/>
    <n v="0.56032682285723645"/>
    <n v="0.17846727288562916"/>
    <n v="1810"/>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x v="3"/>
    <x v="1"/>
    <s v="Auto"/>
    <s v="All"/>
    <x v="3"/>
    <s v="L2"/>
    <n v="2"/>
    <n v="1"/>
    <n v="4"/>
    <s v="FTE Based"/>
    <s v="USD"/>
    <n v="25347.49"/>
    <n v="0.24239249756281389"/>
    <n v="0"/>
    <n v="0"/>
    <n v="0.1"/>
    <n v="0.34239249756281387"/>
    <n v="0.29206247424172732"/>
    <n v="476"/>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x v="3"/>
    <x v="3"/>
    <s v="WC, Property, GL, Auto"/>
    <s v="All"/>
    <x v="3"/>
    <s v="L2"/>
    <n v="2"/>
    <n v="1"/>
    <n v="4"/>
    <s v="FTE Based"/>
    <s v="USD"/>
    <n v="25347.49"/>
    <n v="1.79"/>
    <n v="0.5"/>
    <n v="0.1"/>
    <n v="0.1"/>
    <n v="2.4900000000000002"/>
    <n v="4.0160642570281124E-2"/>
    <n v="2492"/>
    <s v="NA"/>
    <s v="NA"/>
    <n v="6.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x v="3"/>
    <x v="3"/>
    <s v="WC, Property, GL, Auto"/>
    <s v="All"/>
    <x v="3"/>
    <s v="L2"/>
    <n v="2"/>
    <n v="1"/>
    <n v="4"/>
    <s v="FTE Based"/>
    <s v="USD"/>
    <n v="25347.49"/>
    <n v="1.27"/>
    <n v="0"/>
    <n v="0.1"/>
    <n v="0.1"/>
    <n v="1.4700000000000002"/>
    <n v="6.8027210884353734E-2"/>
    <n v="7542"/>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7"/>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x v="3"/>
    <x v="2"/>
    <s v="Property"/>
    <s v="All"/>
    <x v="3"/>
    <s v="L2"/>
    <n v="2"/>
    <n v="1"/>
    <n v="4"/>
    <s v="FTE Based"/>
    <s v="USD"/>
    <n v="25347.49"/>
    <n v="1.98"/>
    <n v="0.5"/>
    <n v="0.1"/>
    <n v="0.1"/>
    <n v="2.68"/>
    <n v="3.7313432835820892E-2"/>
    <n v="1226"/>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Legal Referral"/>
    <s v="Recovery Referral"/>
    <s v="This task involves assigning claim referrals to  a Recovery Professional based on their skill set, availability and claim amount"/>
    <x v="3"/>
    <x v="3"/>
    <s v="WC, Property, GL, Auto"/>
    <s v="All"/>
    <x v="3"/>
    <s v="L2"/>
    <n v="2"/>
    <n v="1"/>
    <n v="4"/>
    <s v="FTE Based"/>
    <s v="USD"/>
    <n v="25347.49"/>
    <n v="0.75"/>
    <n v="0"/>
    <n v="0.1"/>
    <n v="0.1"/>
    <n v="0.95"/>
    <n v="0.10526315789473685"/>
    <n v="1288"/>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Claim Coding"/>
    <s v="Claim Coding"/>
    <s v="The task involves to code the changes made to the claim information like Site Code, Policy number, name of insured, Date of loss etc."/>
    <x v="3"/>
    <x v="3"/>
    <s v="WC, Property, GL, Auto"/>
    <s v="All"/>
    <x v="3"/>
    <s v="L2"/>
    <n v="2"/>
    <n v="1"/>
    <n v="4"/>
    <s v="FTE Based"/>
    <s v="USD"/>
    <n v="25347.49"/>
    <n v="0.57999999999999996"/>
    <n v="0"/>
    <n v="0.1"/>
    <n v="0.1"/>
    <n v="0.77999999999999992"/>
    <n v="0.12820512820512822"/>
    <n v="335"/>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x v="3"/>
    <x v="3"/>
    <s v="WC, Property, GL, Auto"/>
    <s v="All"/>
    <x v="3"/>
    <s v="L2"/>
    <n v="2"/>
    <n v="1"/>
    <n v="4"/>
    <s v="FTE Based"/>
    <s v="USD"/>
    <n v="25347.49"/>
    <n v="0.41433718631103056"/>
    <n v="0"/>
    <n v="0"/>
    <n v="0.1"/>
    <n v="0.51433718631103054"/>
    <n v="0.19442498551821197"/>
    <n v="1149"/>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x v="3"/>
    <x v="3"/>
    <s v="Auto &amp; Property"/>
    <s v="All"/>
    <x v="3"/>
    <s v="L2"/>
    <n v="2"/>
    <n v="1"/>
    <n v="4"/>
    <s v="FTE Based"/>
    <s v="USD"/>
    <n v="25347.49"/>
    <n v="0.2"/>
    <n v="0"/>
    <n v="0"/>
    <n v="0.1"/>
    <n v="0.30000000000000004"/>
    <n v="0.33333333333333331"/>
    <n v="329"/>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x v="2"/>
    <x v="3"/>
    <x v="2"/>
    <s v="Arbind Singh/Saurabh Sharma"/>
    <n v="7"/>
    <x v="1"/>
    <x v="1"/>
    <x v="4"/>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x v="3"/>
    <x v="3"/>
    <s v="Auto &amp; Property"/>
    <s v="All"/>
    <x v="3"/>
    <s v="L2"/>
    <n v="2"/>
    <n v="1"/>
    <n v="4"/>
    <s v="FTE Based"/>
    <s v="USD"/>
    <n v="25347.49"/>
    <n v="0.97"/>
    <n v="0"/>
    <n v="0.1"/>
    <n v="0.1"/>
    <n v="1.1700000000000002"/>
    <n v="8.5470085470085458E-2"/>
    <n v="644"/>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x v="2"/>
    <x v="3"/>
    <x v="2"/>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x v="3"/>
    <x v="14"/>
    <s v="GL"/>
    <s v="All"/>
    <x v="3"/>
    <s v="L2"/>
    <n v="2"/>
    <n v="1"/>
    <n v="4"/>
    <s v="FTE Based"/>
    <s v="USD"/>
    <n v="25347.49"/>
    <n v="0.2"/>
    <n v="0"/>
    <n v="0"/>
    <n v="0.1"/>
    <n v="0.30000000000000004"/>
    <n v="0.33333333333333331"/>
    <n v="48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3"/>
    <x v="2"/>
    <s v="Arbind Singh/Saurabh Sharma"/>
    <n v="7"/>
    <x v="1"/>
    <x v="1"/>
    <x v="4"/>
    <s v="Requesting Police report"/>
    <s v="Police Recovery Letter"/>
    <s v="The purpose of this task is to send letter to respective police department (loss address) to send notification for recovered items to insurance carrier."/>
    <x v="3"/>
    <x v="3"/>
    <s v="WC, Property, GL, Auto"/>
    <s v="All"/>
    <x v="3"/>
    <s v="L2"/>
    <n v="2"/>
    <n v="1"/>
    <n v="4"/>
    <s v="FTE Based"/>
    <s v="USD"/>
    <n v="25347.49"/>
    <n v="0.1"/>
    <n v="0"/>
    <n v="0"/>
    <n v="0.1"/>
    <n v="0.2"/>
    <n v="0.5"/>
    <n v="9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x v="17"/>
    <s v="Fortune 500 Global P&amp;C Carrier"/>
    <x v="2"/>
    <x v="3"/>
    <x v="2"/>
    <s v="Arbind Singh/Saurabh Sharma"/>
    <n v="7"/>
    <x v="1"/>
    <x v="1"/>
    <x v="1"/>
    <s v="Initial Acknowledgement Letters"/>
    <s v="6 Pack"/>
    <s v="The purpose of this task is to publish and send multiple letters in a packet to the Insured/Claimant upon their request as per the state/Law requirements."/>
    <x v="3"/>
    <x v="5"/>
    <s v="WC"/>
    <s v="All"/>
    <x v="3"/>
    <s v="L2"/>
    <n v="2"/>
    <n v="1"/>
    <n v="4"/>
    <s v="FTE Based"/>
    <s v="USD"/>
    <n v="25347.49"/>
    <n v="0.43"/>
    <n v="0"/>
    <n v="0"/>
    <n v="0.1"/>
    <n v="0.53"/>
    <n v="0.18867924528301888"/>
    <n v="2628"/>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9"/>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x v="3"/>
    <x v="5"/>
    <s v="WC"/>
    <s v="All"/>
    <x v="3"/>
    <s v="L2"/>
    <n v="2"/>
    <n v="1"/>
    <n v="4"/>
    <s v="FTE Based"/>
    <s v="USD"/>
    <n v="25347.49"/>
    <n v="0.37"/>
    <n v="0"/>
    <n v="0"/>
    <n v="0.1"/>
    <n v="0.47"/>
    <n v="0.21276595744680854"/>
    <n v="581"/>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Initial Acknowledgement Letters"/>
    <s v="NY-LA Decision Letter"/>
    <s v="This Process involves finding, analyzing, completing, mailing and filing the required NY/LA State Form for decision Letters issued by nurses &amp; doctors"/>
    <x v="3"/>
    <x v="3"/>
    <s v="WC &amp; GL"/>
    <s v="All"/>
    <x v="3"/>
    <s v="L2"/>
    <n v="2"/>
    <n v="1"/>
    <n v="4"/>
    <s v="FTE Based"/>
    <s v="USD"/>
    <n v="25347.49"/>
    <n v="1.48"/>
    <n v="0"/>
    <n v="0.1"/>
    <n v="0.1"/>
    <n v="1.6800000000000002"/>
    <n v="5.9523809523809521E-2"/>
    <n v="288"/>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Send Initial Notification"/>
    <s v="Provider Sendback"/>
    <s v="This Process shows the details of reviewing the document and sending them back to the provider where request is not in approved format."/>
    <x v="3"/>
    <x v="3"/>
    <s v="WC, Property, GL, Auto"/>
    <s v="All"/>
    <x v="3"/>
    <s v="L2"/>
    <n v="2"/>
    <n v="1"/>
    <n v="4"/>
    <s v="FTE Based"/>
    <s v="USD"/>
    <n v="25347.49"/>
    <n v="0.19"/>
    <n v="0"/>
    <n v="0"/>
    <n v="0.1"/>
    <n v="0.29000000000000004"/>
    <n v="0.34482758620689652"/>
    <n v="545"/>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x v="17"/>
    <s v="Fortune 500 Global P&amp;C Carrier"/>
    <x v="2"/>
    <x v="3"/>
    <x v="2"/>
    <s v="Arbind Singh/Saurabh Sharma"/>
    <n v="7"/>
    <x v="1"/>
    <x v="1"/>
    <x v="9"/>
    <s v="Send Closing Documents"/>
    <s v="Transfer Notes/Docs"/>
    <s v="This process shows the details of transferring Notes from the cancelled claims to new claims and upon the completion of the transfer send email to the requester"/>
    <x v="3"/>
    <x v="3"/>
    <s v="WC, Property, GL, Auto"/>
    <s v="All"/>
    <x v="3"/>
    <s v="L2"/>
    <n v="2"/>
    <n v="1"/>
    <n v="4"/>
    <s v="FTE Based"/>
    <s v="USD"/>
    <n v="25347.49"/>
    <n v="0.2"/>
    <n v="0"/>
    <n v="0"/>
    <n v="0.1"/>
    <n v="0.30000000000000004"/>
    <n v="0.33333333333333331"/>
    <n v="154"/>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x v="3"/>
    <x v="14"/>
    <s v="GL"/>
    <s v="All"/>
    <x v="3"/>
    <s v="L2"/>
    <n v="2"/>
    <n v="1"/>
    <n v="4"/>
    <s v="FTE Based"/>
    <s v="USD"/>
    <n v="25347.49"/>
    <n v="0.1"/>
    <n v="0"/>
    <n v="0"/>
    <n v="0.1"/>
    <n v="0.2"/>
    <n v="0.5"/>
    <n v="16"/>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8"/>
    <s v="Initiate Recovery Collection &amp; processing"/>
    <s v="Recovery Transfer"/>
    <s v="This Process shows to assign the claim to the appropriate recovery claim handler and if the handler does not work in the organization anymore send email to the Team leader"/>
    <x v="3"/>
    <x v="14"/>
    <s v="GL"/>
    <s v="All"/>
    <x v="3"/>
    <s v="L2"/>
    <n v="2"/>
    <n v="1"/>
    <n v="4"/>
    <s v="FTE Based"/>
    <s v="USD"/>
    <n v="25347.49"/>
    <n v="0.1"/>
    <n v="0"/>
    <n v="0"/>
    <n v="0.1"/>
    <n v="0.2"/>
    <n v="0.5"/>
    <n v="83"/>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x v="3"/>
    <x v="3"/>
    <s v="Auto, GL, WC, Property, Specialty"/>
    <s v="All"/>
    <x v="3"/>
    <s v="L2"/>
    <n v="2"/>
    <n v="1"/>
    <n v="4"/>
    <s v="FTE Based"/>
    <s v="USD"/>
    <n v="25347.49"/>
    <n v="0.47"/>
    <n v="0"/>
    <n v="0"/>
    <n v="0.1"/>
    <n v="0.56999999999999995"/>
    <n v="0.17543859649122809"/>
    <n v="4"/>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3"/>
    <x v="2"/>
    <s v="Arbind Singh/Saurabh Sharma"/>
    <n v="7"/>
    <x v="1"/>
    <x v="1"/>
    <x v="1"/>
    <s v="State Form Filing"/>
    <s v="WC Form Filing"/>
    <s v="The purpose of Form Filing is to provide worker compensation information to State along with informing employer and Attorneys as per State guidelines."/>
    <x v="3"/>
    <x v="5"/>
    <s v="WC"/>
    <s v="All"/>
    <x v="3"/>
    <s v="L2"/>
    <n v="2"/>
    <n v="1"/>
    <n v="4"/>
    <s v="FTE Based"/>
    <s v="USD"/>
    <n v="25347.49"/>
    <n v="14.75"/>
    <n v="1"/>
    <n v="1"/>
    <n v="1"/>
    <n v="17.75"/>
    <n v="5.6338028169014086E-2"/>
    <n v="12254"/>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x v="3"/>
    <x v="3"/>
    <s v="WC, GL &amp; Auto"/>
    <s v="All"/>
    <x v="3"/>
    <s v="L2"/>
    <n v="2"/>
    <n v="1"/>
    <n v="4"/>
    <s v="FTE Based"/>
    <s v="USD"/>
    <n v="25347.49"/>
    <n v="1.35"/>
    <n v="0"/>
    <n v="0.1"/>
    <n v="0.1"/>
    <n v="1.5500000000000003"/>
    <n v="6.4516129032258063E-2"/>
    <n v="2981"/>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xternal Distribution"/>
    <s v="File &amp; Serve"/>
    <s v="The purpose of this task is to send any claim related document to a party who sends a document to request."/>
    <x v="3"/>
    <x v="5"/>
    <s v="WC"/>
    <s v="All"/>
    <x v="3"/>
    <s v="L2"/>
    <n v="2"/>
    <n v="1"/>
    <n v="4"/>
    <s v="FTE Based"/>
    <s v="USD"/>
    <n v="25347.49"/>
    <n v="0.51931100630918148"/>
    <n v="0"/>
    <n v="0"/>
    <n v="0.1"/>
    <n v="0.61931100630918146"/>
    <n v="0.16146976071999042"/>
    <n v="11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xternal Distribution"/>
    <s v="Generate &amp; Distribute"/>
    <s v="The process involves retrieval and then distribution of the various reports in the appropriate folders on the DER and Non-DER SharePoint site and send email to Admin Managers.  This process covers a total of 12 reports."/>
    <x v="3"/>
    <x v="3"/>
    <s v="WC, Property, GL, Auto"/>
    <s v="All"/>
    <x v="3"/>
    <s v="L2"/>
    <n v="2"/>
    <n v="1"/>
    <n v="4"/>
    <s v="FTE Based"/>
    <s v="USD"/>
    <n v="25347.49"/>
    <n v="1.0064364535167454"/>
    <n v="0"/>
    <n v="0.1"/>
    <n v="0.1"/>
    <n v="1.2064364535167456"/>
    <n v="8.2888742053923672E-2"/>
    <n v="1485"/>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x v="3"/>
    <x v="3"/>
    <s v="WC, Property, GL, Auto"/>
    <s v="All"/>
    <x v="3"/>
    <s v="L2"/>
    <n v="2"/>
    <n v="1"/>
    <n v="4"/>
    <s v="FTE Based"/>
    <s v="USD"/>
    <n v="25347.49"/>
    <n v="0.32800890084953344"/>
    <n v="0"/>
    <n v="0"/>
    <n v="0.1"/>
    <n v="0.42800890084953347"/>
    <n v="0.23364000094744528"/>
    <n v="1273"/>
    <s v="NA"/>
    <s v="NA"/>
    <n v="5"/>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Gathering relevant reports"/>
    <s v="WC BOE reports (24066)"/>
    <s v="This tasks required payment reports to be fetched as per the paykind codes provided. Once reports for the paykind codes is fetched then these reports are uploaded on Citrix application on the claim"/>
    <x v="3"/>
    <x v="5"/>
    <s v="WC"/>
    <s v="All"/>
    <x v="3"/>
    <s v="L2"/>
    <n v="2"/>
    <n v="1"/>
    <n v="4"/>
    <s v="FTE Based"/>
    <s v="USD"/>
    <n v="25347.49"/>
    <n v="0.15049551241765352"/>
    <n v="0"/>
    <n v="0"/>
    <n v="0.1"/>
    <n v="0.25049551241765355"/>
    <n v="0.39920874843166471"/>
    <n v="27"/>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x v="3"/>
    <x v="5"/>
    <s v="WC"/>
    <s v="All"/>
    <x v="3"/>
    <s v="L2"/>
    <n v="2"/>
    <n v="1"/>
    <n v="4"/>
    <s v="FTE Based"/>
    <s v="USD"/>
    <n v="25347.49"/>
    <n v="0.1"/>
    <n v="0"/>
    <n v="0"/>
    <n v="0.1"/>
    <n v="0.2"/>
    <n v="0.5"/>
    <n v="51"/>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7"/>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x v="3"/>
    <x v="3"/>
    <s v="WC, Property, GL, Auto"/>
    <s v="All"/>
    <x v="3"/>
    <s v="L2"/>
    <n v="2"/>
    <n v="1"/>
    <n v="4"/>
    <s v="FTE Based"/>
    <s v="USD"/>
    <n v="25347.49"/>
    <n v="0.61275719920792904"/>
    <n v="0"/>
    <n v="0.1"/>
    <n v="0.1"/>
    <n v="0.81275719920792899"/>
    <n v="0.12303797505264158"/>
    <n v="1420"/>
    <s v="NA"/>
    <s v="NA"/>
    <n v="3.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x v="3"/>
    <x v="3"/>
    <s v="WC, Property, GL, Auto"/>
    <s v="All"/>
    <x v="3"/>
    <s v="L2"/>
    <n v="2"/>
    <n v="1"/>
    <n v="4"/>
    <s v="FTE Based"/>
    <s v="USD"/>
    <n v="25347.49"/>
    <n v="0.1"/>
    <n v="0"/>
    <n v="0"/>
    <n v="0.1"/>
    <n v="0.2"/>
    <n v="0.5"/>
    <n v="66"/>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x v="3"/>
    <x v="3"/>
    <s v="WC, Property, GL, Auto"/>
    <s v="All"/>
    <x v="3"/>
    <s v="L2"/>
    <n v="2"/>
    <n v="1"/>
    <n v="4"/>
    <s v="FTE Based"/>
    <s v="USD"/>
    <n v="25347.49"/>
    <n v="1.01"/>
    <n v="0"/>
    <n v="0.1"/>
    <n v="0.1"/>
    <n v="1.2100000000000002"/>
    <n v="8.2644628099173542E-2"/>
    <n v="8440"/>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x v="3"/>
    <x v="5"/>
    <s v="WC"/>
    <s v="All"/>
    <x v="2"/>
    <s v="L2"/>
    <n v="2"/>
    <n v="1"/>
    <n v="4"/>
    <s v="FTE Based"/>
    <s v="USD"/>
    <n v="31084.880000000001"/>
    <n v="3"/>
    <n v="0.5"/>
    <n v="0.5"/>
    <n v="1"/>
    <n v="5"/>
    <n v="0.2"/>
    <n v="1354"/>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Gathering relevant reports"/>
    <s v="SB1159 Covid Reporting"/>
    <s v="This keeps track of all Covid affected workers as per information shared by the insured via email. Data details are captured on a excel sheet which is saved on share point for reporting purpose."/>
    <x v="3"/>
    <x v="5"/>
    <s v="WC"/>
    <s v="All"/>
    <x v="3"/>
    <s v="L2"/>
    <n v="2"/>
    <n v="1"/>
    <n v="4"/>
    <s v="FTE Based"/>
    <s v="USD"/>
    <n v="25347.49"/>
    <n v="0.1"/>
    <n v="0"/>
    <n v="0"/>
    <n v="0.1"/>
    <n v="0.2"/>
    <n v="0.5"/>
    <n v="1"/>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x v="17"/>
    <s v="Fortune 500 Global P&amp;C Carrier"/>
    <x v="2"/>
    <x v="3"/>
    <x v="2"/>
    <s v="Arbind Singh/Saurabh Sharma"/>
    <n v="7"/>
    <x v="1"/>
    <x v="1"/>
    <x v="7"/>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x v="3"/>
    <x v="3"/>
    <s v="Multi/ Combination"/>
    <s v="All"/>
    <x v="3"/>
    <s v="L2"/>
    <n v="2"/>
    <n v="1"/>
    <n v="4"/>
    <s v="FTE Based"/>
    <s v="USD"/>
    <n v="25347.49"/>
    <n v="0.41694315416943156"/>
    <n v="0"/>
    <n v="0"/>
    <n v="0.1"/>
    <n v="0.5169431541694316"/>
    <n v="0.19344486757092122"/>
    <n v="186"/>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Gathering relevant reports"/>
    <s v="Med Connections Report"/>
    <s v="In this task, we receive instructions from vendor that report has been generated as per the instructions provided by CP. We save it on client application."/>
    <x v="3"/>
    <x v="5"/>
    <s v="WC"/>
    <s v="All"/>
    <x v="3"/>
    <s v="L2"/>
    <n v="2"/>
    <n v="1"/>
    <n v="4"/>
    <s v="FTE Based"/>
    <s v="USD"/>
    <n v="25347.49"/>
    <n v="0.10598687605986876"/>
    <n v="0"/>
    <n v="0"/>
    <n v="0.1"/>
    <n v="0.20598687605986876"/>
    <n v="0.48546782160498247"/>
    <n v="452"/>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Initial Acknowledgement Letters"/>
    <s v="NY-PA-ME-  SROI Letter"/>
    <s v="Subsequent report of injury letters are sent to Injured worker, Insured and Attorney's as per CPs instructions"/>
    <x v="3"/>
    <x v="5"/>
    <s v="WC"/>
    <s v="All"/>
    <x v="3"/>
    <s v="L2"/>
    <n v="2"/>
    <n v="1"/>
    <n v="4"/>
    <s v="FTE Based"/>
    <s v="USD"/>
    <n v="25347.49"/>
    <n v="1.48"/>
    <n v="0"/>
    <n v="0.1"/>
    <n v="0.1"/>
    <n v="1.6800000000000002"/>
    <n v="5.9523809523809521E-2"/>
    <n v="28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Triaging for SIU, Subro"/>
    <s v="BOE Reports"/>
    <s v="Various reports are pulled through client application manipulated and then saved on share point for future reference or shared with CPs via email"/>
    <x v="3"/>
    <x v="3"/>
    <s v="Multi/ Combination"/>
    <s v="All"/>
    <x v="3"/>
    <s v="L2"/>
    <n v="2"/>
    <n v="1"/>
    <n v="4"/>
    <s v="FTE Based"/>
    <s v="USD"/>
    <n v="25347.49"/>
    <n v="0.5"/>
    <n v="0"/>
    <n v="0"/>
    <n v="0.1"/>
    <n v="0.6"/>
    <n v="0.16666666666666669"/>
    <n v="27"/>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x v="17"/>
    <s v="Fortune 500 Global P&amp;C Carrier"/>
    <x v="2"/>
    <x v="3"/>
    <x v="2"/>
    <s v="Anshuman Singh/Arbind Singh"/>
    <n v="6"/>
    <x v="2"/>
    <x v="2"/>
    <x v="5"/>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x v="3"/>
    <x v="3"/>
    <s v="All"/>
    <s v="All"/>
    <x v="3"/>
    <s v="L2"/>
    <n v="1"/>
    <s v="2 to 4"/>
    <s v="2 to 4"/>
    <s v="FTE Based"/>
    <s v="USD"/>
    <n v="26002.87"/>
    <n v="1"/>
    <n v="4"/>
    <n v="0"/>
    <n v="0"/>
    <n v="5"/>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x v="2"/>
    <x v="3"/>
    <x v="2"/>
    <s v="Anshuman Singh/Arbind Singh"/>
    <n v="7"/>
    <x v="1"/>
    <x v="2"/>
    <x v="3"/>
    <s v="Indexing"/>
    <s v="Indexing"/>
    <s v="Correctly naming all documents per the Indexing Guidelines that are part of the Submission in eFile"/>
    <x v="3"/>
    <x v="3"/>
    <s v="All"/>
    <s v="All"/>
    <x v="3"/>
    <s v="L2"/>
    <n v="1"/>
    <s v="2 to 4"/>
    <s v="2 to 4"/>
    <s v="FTE Based"/>
    <s v="USD"/>
    <n v="26002.87"/>
    <n v="9"/>
    <n v="0.5"/>
    <n v="0.5"/>
    <n v="0.5"/>
    <n v="10.5"/>
    <n v="4.7619047619047616E-2"/>
    <n v="9000"/>
    <n v="9000"/>
    <s v="Round the year"/>
    <n v="10.1"/>
    <n v="0.96"/>
    <n v="0.987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x v="2"/>
    <x v="3"/>
    <x v="2"/>
    <s v="Anshuman Singh/Arbind Singh"/>
    <n v="7"/>
    <x v="1"/>
    <x v="2"/>
    <x v="5"/>
    <s v="Validate and Update Policy info (Limits, Exposure State, Exposure, FEIN, Address, Name Insured, Employers Liability etc.)"/>
    <s v="Additional System Setup"/>
    <s v="To fill all the details related to a policy (Insured, producer) in the required source system and setup rating taks."/>
    <x v="3"/>
    <x v="3"/>
    <s v="All"/>
    <s v="All"/>
    <x v="3"/>
    <s v="L2"/>
    <n v="1"/>
    <s v="2 to 4"/>
    <s v="2 to 4"/>
    <s v="FTE Based"/>
    <s v="USD"/>
    <n v="26002.87"/>
    <n v="2.5"/>
    <n v="0.5"/>
    <n v="0"/>
    <n v="0.5"/>
    <n v="3.5"/>
    <n v="0.14285714285714285"/>
    <n v="880"/>
    <n v="880"/>
    <s v="Round the year"/>
    <n v="5.4"/>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x v="17"/>
    <s v="Fortune 500 Global P&amp;C Carrier"/>
    <x v="2"/>
    <x v="3"/>
    <x v="2"/>
    <s v="Anshuman Singh/Arbind Singh"/>
    <n v="7"/>
    <x v="1"/>
    <x v="2"/>
    <x v="5"/>
    <s v="New Business setup"/>
    <s v="Add Product"/>
    <s v="Adding product to an existing submission because of Missed Product, or Broker made new requests or other reasons during New Business Set-Up of policy"/>
    <x v="3"/>
    <x v="3"/>
    <s v="All"/>
    <s v="All"/>
    <x v="3"/>
    <s v="L2"/>
    <n v="1"/>
    <s v="2 to 4"/>
    <s v="2 to 4"/>
    <s v="FTE Based"/>
    <s v="USD"/>
    <n v="26002.87"/>
    <n v="0.06"/>
    <n v="0"/>
    <n v="0"/>
    <n v="0"/>
    <n v="0.06"/>
    <n v="0"/>
    <n v="7"/>
    <n v="7"/>
    <s v="Round the year"/>
    <n v="2.6"/>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x v="17"/>
    <s v="Fortune 500 Global P&amp;C Carrier"/>
    <x v="2"/>
    <x v="3"/>
    <x v="2"/>
    <s v="Anshuman Singh/Arbind Singh"/>
    <n v="3"/>
    <x v="2"/>
    <x v="2"/>
    <x v="5"/>
    <s v="Clearance and Registration"/>
    <s v="PLAC Decline"/>
    <s v="Clearing &amp; Registering upfront decline assignments in Underwriting Management"/>
    <x v="3"/>
    <x v="3"/>
    <s v="Auto, Property, GL, WC"/>
    <s v="Specialized"/>
    <x v="3"/>
    <s v="L2"/>
    <n v="1"/>
    <s v="2 to 4"/>
    <s v="2 to 4"/>
    <s v="FTE Based"/>
    <s v="USD"/>
    <n v="26002.87"/>
    <n v="2"/>
    <n v="0"/>
    <n v="0"/>
    <n v="0"/>
    <n v="2"/>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x v="17"/>
    <s v="Fortune 500 Global P&amp;C Carrier"/>
    <x v="2"/>
    <x v="3"/>
    <x v="2"/>
    <s v="Anshuman Singh/Arbind Singh"/>
    <n v="4"/>
    <x v="1"/>
    <x v="2"/>
    <x v="5"/>
    <s v="WC Filings/ CRITS"/>
    <s v="GA-120"/>
    <s v="WC Claims Rate Cards for the State of Georgia are printed"/>
    <x v="3"/>
    <x v="3"/>
    <s v="WC"/>
    <s v="All"/>
    <x v="3"/>
    <s v="L2"/>
    <n v="1"/>
    <s v="2 to 4"/>
    <s v="2 to 4"/>
    <s v="FTE Based"/>
    <s v="USD"/>
    <n v="26002.87"/>
    <n v="1"/>
    <n v="0.1"/>
    <n v="0"/>
    <n v="0.1"/>
    <n v="1.2000000000000002"/>
    <n v="8.3333333333333329E-2"/>
    <n v="261"/>
    <n v="261"/>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x v="17"/>
    <s v="Fortune 500 Global P&amp;C Carrier"/>
    <x v="2"/>
    <x v="3"/>
    <x v="2"/>
    <s v="Anshuman Singh/Arbind Singh"/>
    <n v="0.1"/>
    <x v="1"/>
    <x v="2"/>
    <x v="5"/>
    <s v="New Business setup"/>
    <s v="E&amp;S C&amp;R"/>
    <s v="To clear and register the assignments for E&amp;S- PNP and Excess Casualty market baskets in Underwriting Management"/>
    <x v="3"/>
    <x v="3"/>
    <s v="UMB and property"/>
    <s v="Large"/>
    <x v="3"/>
    <s v="L2"/>
    <n v="1"/>
    <s v="2 to 4"/>
    <s v="2 to 4"/>
    <s v="FTE Based"/>
    <s v="USD"/>
    <n v="26002.87"/>
    <n v="6"/>
    <n v="0.5"/>
    <n v="0.2"/>
    <n v="0.5"/>
    <n v="7.2"/>
    <n v="6.9444444444444448E-2"/>
    <n v="2400"/>
    <n v="2400"/>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x v="17"/>
    <s v="Fortune 500 Global P&amp;C Carrier"/>
    <x v="2"/>
    <x v="3"/>
    <x v="2"/>
    <s v="Anshuman Singh/Arbind Singh"/>
    <n v="3"/>
    <x v="2"/>
    <x v="2"/>
    <x v="5"/>
    <s v="New Business setup"/>
    <s v="Paychex-NB"/>
    <s v="Paychex helps in small-business owners to succeed by taking care of the details that go into running a business. This helps client to spend more time on their customers, employees and their organisation/companies."/>
    <x v="3"/>
    <x v="3"/>
    <s v="Auto, Property, GL, WC"/>
    <s v="All"/>
    <x v="3"/>
    <s v="L2"/>
    <n v="1"/>
    <s v="2 to 4"/>
    <s v="2 to 4"/>
    <s v="FTE Based"/>
    <s v="USD"/>
    <n v="26002.87"/>
    <n v="0.5"/>
    <n v="0"/>
    <n v="0"/>
    <n v="0"/>
    <n v="0.5"/>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x v="2"/>
    <x v="3"/>
    <x v="2"/>
    <s v="Anshuman Singh/Arbind Singh"/>
    <n v="3"/>
    <x v="2"/>
    <x v="2"/>
    <x v="5"/>
    <s v="New Business setup"/>
    <s v="Paychex-RN"/>
    <s v="Paychex helps in small-business owners to succeed by taking care of the details that go into running a business. This helps client to spend more time on their customers, employees and their organisation/companies."/>
    <x v="3"/>
    <x v="3"/>
    <s v="Auto, Property, GL, WC"/>
    <s v="All"/>
    <x v="3"/>
    <s v="L2"/>
    <n v="1"/>
    <s v="2 to 4"/>
    <s v="2 to 4"/>
    <s v="FTE Based"/>
    <s v="USD"/>
    <n v="26002.87"/>
    <n v="1.3"/>
    <n v="0"/>
    <n v="0"/>
    <n v="0"/>
    <n v="1.3"/>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x v="2"/>
    <x v="3"/>
    <x v="2"/>
    <s v="Anshuman Singh/Arbind Singh"/>
    <n v="3"/>
    <x v="2"/>
    <x v="2"/>
    <x v="5"/>
    <s v="New Business setup"/>
    <s v="Paychex-NB (EPD)"/>
    <s v="Paychex helps in small-business owners to succeed by taking care of the details that go into running a business. This helps client to spend more time on their customers, employees and their organisation/companies."/>
    <x v="3"/>
    <x v="3"/>
    <s v="Fidelity Bond"/>
    <s v="All"/>
    <x v="3"/>
    <s v="L2"/>
    <n v="1"/>
    <s v="2 to 4"/>
    <s v="2 to 4"/>
    <s v="FTE Based"/>
    <s v="USD"/>
    <n v="26002.87"/>
    <n v="1"/>
    <n v="0"/>
    <n v="0"/>
    <n v="0"/>
    <n v="1"/>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x v="2"/>
    <x v="3"/>
    <x v="2"/>
    <s v="Anshuman Singh/Arbind Singh"/>
    <n v="3"/>
    <x v="2"/>
    <x v="2"/>
    <x v="5"/>
    <s v="New Business setup"/>
    <s v="Paychex-RN (EPD)"/>
    <s v="Paychex helps in small-business owners to succeed by taking care of the details that go into running a business. This helps client to spend more time on their customers, employees and their organisation/companies."/>
    <x v="3"/>
    <x v="3"/>
    <s v="Fidelity Bond"/>
    <s v="All"/>
    <x v="3"/>
    <s v="L2"/>
    <n v="1"/>
    <s v="2 to 4"/>
    <s v="2 to 4"/>
    <s v="FTE Based"/>
    <s v="USD"/>
    <n v="26002.87"/>
    <n v="1"/>
    <n v="0"/>
    <n v="0"/>
    <n v="0"/>
    <n v="1"/>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x v="2"/>
    <x v="3"/>
    <x v="2"/>
    <s v="Anshuman Singh/Arbind Singh"/>
    <n v="2"/>
    <x v="2"/>
    <x v="2"/>
    <x v="5"/>
    <s v="New Business setup"/>
    <s v="Captive Bind"/>
    <s v="The bind policy function is performed, once an order is received on a submission &amp; the policy is bound in Workbench."/>
    <x v="3"/>
    <x v="3"/>
    <s v="Auto, Property, GL, WC"/>
    <s v="All"/>
    <x v="3"/>
    <s v="L2"/>
    <n v="1"/>
    <s v="2 to 4"/>
    <s v="2 to 4"/>
    <s v="FTE Based"/>
    <s v="USD"/>
    <n v="26002.87"/>
    <n v="1.5"/>
    <n v="0"/>
    <n v="0"/>
    <n v="0"/>
    <n v="1.5"/>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x v="2"/>
    <x v="3"/>
    <x v="2"/>
    <s v="Anshuman Singh/Arbind Singh"/>
    <n v="2"/>
    <x v="2"/>
    <x v="2"/>
    <x v="5"/>
    <s v="Clearance and Registration"/>
    <s v="Captive C&amp;R"/>
    <s v="Clearing and Registering New Business Submissions is the process of recording all the submission information available into Workbench (Zurich Corporate Database)."/>
    <x v="3"/>
    <x v="3"/>
    <s v="Auto, Property, GL, WC"/>
    <s v="All"/>
    <x v="3"/>
    <s v="L2"/>
    <n v="1"/>
    <s v="2 to 4"/>
    <s v="2 to 4"/>
    <s v="FTE Based"/>
    <s v="USD"/>
    <n v="26002.87"/>
    <n v="1"/>
    <n v="0"/>
    <n v="0"/>
    <n v="0"/>
    <n v="1"/>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x v="2"/>
    <x v="3"/>
    <x v="2"/>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x v="3"/>
    <x v="3"/>
    <s v="Auto, Property, GL, WC"/>
    <s v="All"/>
    <x v="3"/>
    <s v="L2"/>
    <n v="1"/>
    <s v="2 to 4"/>
    <s v="2 to 4"/>
    <s v="FTE Based"/>
    <s v="USD"/>
    <n v="26002.87"/>
    <n v="2"/>
    <n v="0"/>
    <n v="0"/>
    <n v="0"/>
    <n v="2"/>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x v="17"/>
    <s v="Fortune 500 Global P&amp;C Carrier"/>
    <x v="2"/>
    <x v="3"/>
    <x v="2"/>
    <s v="Anshuman Singh/Arbind Singh"/>
    <n v="3"/>
    <x v="1"/>
    <x v="2"/>
    <x v="5"/>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x v="3"/>
    <x v="3"/>
    <s v="WC"/>
    <s v="Small &amp; Mid Size"/>
    <x v="3"/>
    <s v="L2"/>
    <n v="1"/>
    <s v="2 to 4"/>
    <s v="2 to 4"/>
    <s v="FTE Based"/>
    <s v="USD"/>
    <n v="26002.87"/>
    <n v="2"/>
    <n v="0.5"/>
    <n v="0.1"/>
    <n v="0.5"/>
    <n v="3.1"/>
    <n v="0.16129032258064516"/>
    <n v="650"/>
    <n v="650"/>
    <s v="Round the year"/>
    <n v="7.9"/>
    <n v="0.96"/>
    <n v="0.987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x v="2"/>
    <x v="3"/>
    <x v="2"/>
    <s v="Anshuman Singh/Arbind Singh"/>
    <n v="1"/>
    <x v="1"/>
    <x v="2"/>
    <x v="3"/>
    <s v="Indexing"/>
    <s v="Program Upload"/>
    <s v="A document upload request in Outlook Mailbox comes into Inbox. These requests have documents related to Endorsements, hence only needs to be uploaded in eFile."/>
    <x v="3"/>
    <x v="3"/>
    <s v="WC"/>
    <s v="Small &amp; Mid Size"/>
    <x v="3"/>
    <s v="L2"/>
    <n v="1"/>
    <s v="2 to 4"/>
    <s v="2 to 4"/>
    <s v="FTE Based"/>
    <s v="USD"/>
    <n v="26002.87"/>
    <n v="2.34"/>
    <n v="1"/>
    <n v="0.2"/>
    <n v="0"/>
    <n v="3.54"/>
    <n v="0"/>
    <n v="1240"/>
    <n v="1240"/>
    <s v="Round the year"/>
    <n v="5.8"/>
    <n v="0.96"/>
    <n v="0.987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x v="17"/>
    <s v="Fortune 500 Global P&amp;C Carrier"/>
    <x v="2"/>
    <x v="3"/>
    <x v="2"/>
    <s v="Anshuman Singh/Arbind Singh"/>
    <n v="1"/>
    <x v="1"/>
    <x v="2"/>
    <x v="5"/>
    <s v="New Business setup"/>
    <s v="Program Submission"/>
    <s v="Submission requests are processed under Alternative Markets to initiate the New Business and Renewal transactions in ULTRA and Workbench."/>
    <x v="3"/>
    <x v="3"/>
    <s v="Auto, Property, GL"/>
    <s v="Small &amp; Mid Size"/>
    <x v="3"/>
    <s v="L2"/>
    <n v="1"/>
    <s v="2 to 4"/>
    <s v="2 to 4"/>
    <s v="FTE Based"/>
    <s v="USD"/>
    <n v="26002.87"/>
    <n v="0.1"/>
    <n v="0"/>
    <n v="0"/>
    <n v="0"/>
    <n v="0.1"/>
    <n v="0"/>
    <n v="2"/>
    <n v="2"/>
    <s v="Round the year"/>
    <n v="34.799999999999997"/>
    <n v="0.96"/>
    <n v="0.987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x v="2"/>
    <x v="3"/>
    <x v="2"/>
    <s v="Anshuman Singh/Arbind Singh"/>
    <n v="2"/>
    <x v="2"/>
    <x v="2"/>
    <x v="3"/>
    <s v="Endorsements intake and setup"/>
    <s v="Paychex Endorsement"/>
    <s v="Modifying and changing the forms used in Paychex policies"/>
    <x v="3"/>
    <x v="3"/>
    <s v="Fidelity Bond"/>
    <s v="All"/>
    <x v="3"/>
    <s v="L2"/>
    <n v="1"/>
    <s v="2 to 4"/>
    <s v="2 to 4"/>
    <s v="FTE Based"/>
    <s v="USD"/>
    <n v="26002.87"/>
    <n v="0.01"/>
    <n v="0"/>
    <n v="0"/>
    <n v="0"/>
    <n v="0.01"/>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x v="17"/>
    <s v="Fortune 500 Global P&amp;C Carrier"/>
    <x v="2"/>
    <x v="3"/>
    <x v="2"/>
    <s v="Anshuman Singh/Arbind Singh"/>
    <n v="2"/>
    <x v="2"/>
    <x v="2"/>
    <x v="3"/>
    <s v="Endorsements intake and setup"/>
    <s v="Paychex Cancellation"/>
    <s v="Cancelling the policies issued in paychex"/>
    <x v="3"/>
    <x v="3"/>
    <s v="Fidelity Bond"/>
    <s v="All"/>
    <x v="3"/>
    <s v="L2"/>
    <n v="1"/>
    <s v="2 to 4"/>
    <s v="2 to 4"/>
    <s v="FTE Based"/>
    <s v="USD"/>
    <n v="26002.87"/>
    <n v="0.01"/>
    <n v="0"/>
    <n v="0"/>
    <n v="0"/>
    <n v="0.01"/>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x v="17"/>
    <s v="Fortune 500 Global P&amp;C Carrier"/>
    <x v="2"/>
    <x v="3"/>
    <x v="2"/>
    <s v="Anshuman Singh/Arbind Singh"/>
    <n v="6"/>
    <x v="2"/>
    <x v="2"/>
    <x v="11"/>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x v="3"/>
    <x v="3"/>
    <s v="Auto, Property, GL, WC"/>
    <s v="Mid Size"/>
    <x v="3"/>
    <s v="L2"/>
    <n v="1"/>
    <s v="2 to 4"/>
    <s v="2 to 4"/>
    <s v="FTE Based"/>
    <s v="USD"/>
    <n v="26002.87"/>
    <n v="1"/>
    <n v="0"/>
    <n v="0"/>
    <n v="0"/>
    <n v="1"/>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x v="17"/>
    <s v="Fortune 500 Global P&amp;C Carrier"/>
    <x v="2"/>
    <x v="3"/>
    <x v="2"/>
    <s v="Anshuman Singh/Arbind Singh"/>
    <n v="6"/>
    <x v="2"/>
    <x v="2"/>
    <x v="5"/>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x v="3"/>
    <x v="3"/>
    <s v="Auto, Property, GL, WC"/>
    <s v="Mid Size"/>
    <x v="3"/>
    <s v="L2"/>
    <n v="1"/>
    <s v="2 to 4"/>
    <s v="2 to 4"/>
    <s v="FTE Based"/>
    <s v="USD"/>
    <n v="26002.87"/>
    <n v="0.3"/>
    <n v="0"/>
    <n v="0"/>
    <n v="0"/>
    <n v="0.3"/>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x v="17"/>
    <s v="Fortune 500 Global P&amp;C Carrier"/>
    <x v="2"/>
    <x v="3"/>
    <x v="2"/>
    <s v="Anshuman Singh/Arbind Singh"/>
    <n v="7"/>
    <x v="1"/>
    <x v="2"/>
    <x v="11"/>
    <s v="Renewal Quotes/ Rating"/>
    <s v="CRR"/>
    <s v="To review and determine if ZNA is interested in continuing the business currently written with it."/>
    <x v="3"/>
    <x v="3"/>
    <s v="All"/>
    <s v="All"/>
    <x v="3"/>
    <s v="L2"/>
    <n v="1"/>
    <s v="2 to 4"/>
    <s v="2 to 4"/>
    <s v="FTE Based"/>
    <s v="USD"/>
    <n v="26002.87"/>
    <n v="2.4"/>
    <n v="0.5"/>
    <n v="0"/>
    <n v="0"/>
    <n v="2.9"/>
    <n v="0"/>
    <n v="1100"/>
    <n v="1100"/>
    <s v="Round the year"/>
    <n v="3"/>
    <n v="0.9708"/>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x v="17"/>
    <s v="Fortune 500 Global P&amp;C Carrier"/>
    <x v="2"/>
    <x v="3"/>
    <x v="2"/>
    <s v="Anshuman Singh/Arbind Singh"/>
    <n v="7"/>
    <x v="1"/>
    <x v="2"/>
    <x v="3"/>
    <s v="Indexing"/>
    <s v="Update Renewal and Index"/>
    <s v="Correctly naming all documents per the Indexing Guidelines that are part of the Submission in eFile"/>
    <x v="3"/>
    <x v="3"/>
    <s v="All"/>
    <s v="All"/>
    <x v="3"/>
    <s v="L2"/>
    <n v="1"/>
    <s v="2 to 4"/>
    <s v="2 to 4"/>
    <s v="FTE Based"/>
    <s v="USD"/>
    <n v="26002.87"/>
    <n v="1.5"/>
    <n v="0.5"/>
    <n v="0"/>
    <n v="0"/>
    <n v="2"/>
    <n v="0"/>
    <n v="200"/>
    <n v="200"/>
    <s v="Round the year"/>
    <n v="17.5"/>
    <n v="0.9708"/>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x v="17"/>
    <s v="Fortune 500 Global P&amp;C Carrier"/>
    <x v="2"/>
    <x v="3"/>
    <x v="2"/>
    <s v="Anshuman Singh/Arbind Singh"/>
    <n v="7"/>
    <x v="1"/>
    <x v="2"/>
    <x v="5"/>
    <s v="Add Product"/>
    <s v="Add Product"/>
    <s v="Adding product to an existing submission because of Missed Product, or Broker made new requests or other reasons during Renewal Set-Up of policy"/>
    <x v="3"/>
    <x v="3"/>
    <s v="All"/>
    <s v="All"/>
    <x v="3"/>
    <s v="L2"/>
    <n v="1"/>
    <s v="2 to 4"/>
    <s v="2 to 4"/>
    <s v="FTE Based"/>
    <s v="USD"/>
    <n v="26002.87"/>
    <n v="0.1"/>
    <n v="0"/>
    <n v="0"/>
    <n v="0"/>
    <n v="0.1"/>
    <n v="0"/>
    <n v="4"/>
    <n v="4"/>
    <s v="Round the year"/>
    <n v="3"/>
    <n v="0.9708"/>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x v="17"/>
    <s v="Fortune 500 Global P&amp;C Carrier"/>
    <x v="2"/>
    <x v="3"/>
    <x v="2"/>
    <s v="Anshuman Singh/Arbind Singh"/>
    <n v="7"/>
    <x v="1"/>
    <x v="2"/>
    <x v="2"/>
    <s v="Verification of Agent/Agency license (P&amp;AL initial &amp; secondary)"/>
    <s v="Initial Verification"/>
    <s v="To confirms that the proper state appointment and/or licenses are in place"/>
    <x v="3"/>
    <x v="3"/>
    <s v="All"/>
    <s v="All"/>
    <x v="3"/>
    <s v="L2"/>
    <n v="1"/>
    <s v="2 to 4"/>
    <s v="2 to 4"/>
    <s v="FTE Based"/>
    <s v="USD"/>
    <n v="26002.87"/>
    <n v="1"/>
    <n v="0.5"/>
    <n v="0"/>
    <n v="0"/>
    <n v="1.5"/>
    <n v="0"/>
    <n v="1800"/>
    <n v="180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x v="2"/>
    <x v="3"/>
    <x v="2"/>
    <s v="Anshuman Singh/Arbind Singh"/>
    <n v="7"/>
    <x v="1"/>
    <x v="2"/>
    <x v="2"/>
    <s v="Verification of Agent/Agency license (P&amp;AL initial &amp; secondary)"/>
    <s v="Secondary Verification"/>
    <s v="To confirms that the proper state appointment and/or licenses are in place"/>
    <x v="3"/>
    <x v="3"/>
    <s v="All"/>
    <s v="All"/>
    <x v="3"/>
    <s v="L2"/>
    <n v="1"/>
    <s v="2 to 4"/>
    <s v="2 to 4"/>
    <s v="FTE Based"/>
    <s v="USD"/>
    <n v="26002.87"/>
    <n v="1"/>
    <n v="0"/>
    <n v="0"/>
    <n v="0"/>
    <n v="1"/>
    <n v="0"/>
    <n v="70"/>
    <n v="7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x v="2"/>
    <x v="3"/>
    <x v="2"/>
    <s v="Anshuman Singh/Arbind Singh"/>
    <n v="3"/>
    <x v="1"/>
    <x v="2"/>
    <x v="2"/>
    <s v="Verification of Agent/Agency license (P&amp;AL initial &amp; secondary)"/>
    <s v="UM PA&amp;L Resolution"/>
    <s v="To confirms that the proper state appointment and/or licenses are in place"/>
    <x v="3"/>
    <x v="3"/>
    <s v="All"/>
    <s v="All"/>
    <x v="3"/>
    <s v="L2"/>
    <n v="1"/>
    <s v="2 to 4"/>
    <s v="2 to 4"/>
    <s v="FTE Based"/>
    <s v="USD"/>
    <n v="26002.87"/>
    <n v="3"/>
    <n v="0.5"/>
    <n v="0"/>
    <n v="0"/>
    <n v="3.5"/>
    <n v="0"/>
    <n v="2700"/>
    <n v="2700"/>
    <s v="Round the year"/>
    <n v="9.6"/>
    <n v="0.954999999999999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x v="17"/>
    <s v="Fortune 500 Global P&amp;C Carrier"/>
    <x v="2"/>
    <x v="3"/>
    <x v="2"/>
    <s v="Anshuman Singh/Arbind Singh"/>
    <n v="7"/>
    <x v="1"/>
    <x v="2"/>
    <x v="6"/>
    <s v="Renewal Issuance"/>
    <s v="Rating and Issuance"/>
    <s v="Process deals in Rating and Issuance of Policy. Rating of policy is Premium quotation which is used by UW/UA and Issuance of Policy is to assemble policy as per the terms and conditions which is in binder and issue it to UA/broker"/>
    <x v="2"/>
    <x v="7"/>
    <s v="Management Liability PNP_x000a_Management Liability Public_x000a_Financial Institutions_x000a_"/>
    <s v="Specialized"/>
    <x v="3"/>
    <s v="L3"/>
    <n v="2"/>
    <n v="4"/>
    <n v="5"/>
    <s v="FTE Based"/>
    <s v="USD"/>
    <n v="34253.56"/>
    <n v="15"/>
    <n v="2"/>
    <n v="0.5"/>
    <n v="0"/>
    <n v="17.5"/>
    <n v="0"/>
    <n v="1450"/>
    <s v="Management Liability PNP - 1200_x000a_management Liability Public - 100_x000a_Financial Institution -180"/>
    <s v="April and June"/>
    <s v="Rate - Financial Institutions-73_x000a_Rate - Mgmt. Liability PNP-77_x000a_Rate - Mgmt. Liability public-77_x000a_Issuance - Financial Institutions-64_x000a_Issuance - Mgmt. Liability Public-52"/>
    <n v="0.95"/>
    <n v="0.94699999999999995"/>
    <s v="DPU – Defect Per Unit"/>
    <s v="Productivity - 100%"/>
    <s v="NA"/>
    <s v="Manual Work Allocation,_x000a_No Power BI dashboard"/>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Windows app_x000a_UWD_x000a_Efile_x000a_EPD Tool_x000a_I-track_x000a_Workbench_x000a_Ultra_x000a_Policy Center_x000a_sfaa bond"/>
  </r>
  <r>
    <x v="17"/>
    <s v="Fortune 500 Global P&amp;C Carrier"/>
    <x v="2"/>
    <x v="3"/>
    <x v="2"/>
    <s v="Anshuman Singh/Arbind Singh"/>
    <n v="5"/>
    <x v="1"/>
    <x v="2"/>
    <x v="11"/>
    <s v="New Business Quotes/ Rating"/>
    <s v="Rating"/>
    <s v="EXL manages Rating for Mid Size Business commercial market for ZNA. Team processes rating task for Auto, GL, Worker’s Compensation, OCP RRP, Construction and Property for Quation of Premium"/>
    <x v="3"/>
    <x v="9"/>
    <s v="Auto_x000a_GL_x000a_WC_x000a_Property_x000a_Non Truck Liability_x000a_OCP RRP_x000a_Construction"/>
    <s v="Mid Size"/>
    <x v="3"/>
    <s v="L3"/>
    <n v="3"/>
    <n v="12"/>
    <n v="6"/>
    <s v="FTE Based"/>
    <s v="USD"/>
    <n v="34253.56"/>
    <n v="4"/>
    <n v="0.5"/>
    <n v="0.3"/>
    <n v="0.5"/>
    <n v="5.3"/>
    <n v="9.4339622641509441E-2"/>
    <n v="100"/>
    <s v="Auto - 30_x000a_GL - 20_x000a_WC - 20_x000a_Property - 30"/>
    <s v="May and October"/>
    <s v="&quot;PACE(All Product) - 131.2_x000a_Non PACE (1 Product) - 104_x000a_Non PACE (2 Product) - 185_x000a_Non PACE (3 Product) - 278_x000a_Non PACE (4 Product) - 359_x000a_NTL - 410_x000a_OCP/RRP - 80"/>
    <n v="0.8649999999999999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E-File_x000a_Outlook_x000a_Workbench_x000a_Underwriting Desktop_x000a_VIN Validation Tool_x000a_USPS_x000a_Prometrics_x000a_"/>
  </r>
  <r>
    <x v="17"/>
    <s v="Fortune 500 Global P&amp;C Carrier"/>
    <x v="2"/>
    <x v="4"/>
    <x v="2"/>
    <s v="Arbind Singh/Saurabh Sharma"/>
    <n v="3"/>
    <x v="1"/>
    <x v="2"/>
    <x v="6"/>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x v="3"/>
    <x v="9"/>
    <s v="Auto_x000a_GL_x000a_WC_x000a_Property_x000a_Non Truck Liability_x000a_OCP RRP_x000a_Construction"/>
    <s v="Mid Size"/>
    <x v="3"/>
    <s v="L3"/>
    <n v="3"/>
    <n v="8"/>
    <n v="6"/>
    <s v="FTE Based"/>
    <s v="USD"/>
    <n v="34253.56"/>
    <n v="3.5"/>
    <n v="0.5"/>
    <n v="0"/>
    <n v="0.5"/>
    <n v="4.5"/>
    <n v="0.1111111111111111"/>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E-File_x000a_Outlook_x000a_Underwriting Desktop_x000a_USPS_x000a_Cesar_x000a_Lotus Notes_x000a_"/>
  </r>
  <r>
    <x v="17"/>
    <s v="Fortune 500 Global P&amp;C Carrier"/>
    <x v="2"/>
    <x v="4"/>
    <x v="2"/>
    <s v="Arbind Singh/Saurabh Sharma"/>
    <n v="7"/>
    <x v="1"/>
    <x v="2"/>
    <x v="6"/>
    <s v="New Business Issuance"/>
    <s v="New Business Issuance"/>
    <s v="To issue the New business policy per instruction/finalize premium and generate final Issuance documents"/>
    <x v="4"/>
    <x v="17"/>
    <s v="Umbrella"/>
    <s v="Shared Services"/>
    <x v="3"/>
    <s v="L3"/>
    <s v="1 to 2"/>
    <s v="4 to 6"/>
    <s v="4 to 6"/>
    <s v="FTE Based"/>
    <s v="USD"/>
    <n v="34253.56"/>
    <n v="0.33481182708732332"/>
    <n v="0.2"/>
    <n v="0.1"/>
    <n v="0.1"/>
    <n v="0.73481182708732329"/>
    <n v="0.13608926301089086"/>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x v="2"/>
    <x v="4"/>
    <x v="2"/>
    <s v="Arbind Singh/Saurabh Sharma"/>
    <n v="7"/>
    <x v="1"/>
    <x v="2"/>
    <x v="6"/>
    <s v="Renewal Issuance"/>
    <s v="Renewal Issuance"/>
    <s v="To issue the renewal policy per instruction/finalize premium and generate final Issuance documents"/>
    <x v="4"/>
    <x v="17"/>
    <s v="Umbrella"/>
    <s v="Shared Services"/>
    <x v="3"/>
    <s v="L3"/>
    <s v="1 to 2"/>
    <s v="4 to 6"/>
    <s v="4 to 6"/>
    <s v="FTE Based"/>
    <s v="USD"/>
    <n v="34253.56"/>
    <n v="1.217014419095191"/>
    <n v="0.2"/>
    <n v="0.1"/>
    <n v="0.1"/>
    <n v="1.6170144190951912"/>
    <n v="6.1842367525674589E-2"/>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x v="2"/>
    <x v="4"/>
    <x v="2"/>
    <s v="Arbind Singh/Saurabh Sharma"/>
    <n v="7"/>
    <x v="1"/>
    <x v="2"/>
    <x v="6"/>
    <s v="Endorsements Issuance"/>
    <s v="Endorsement"/>
    <s v="To process instructed changes on policy through endorsement"/>
    <x v="4"/>
    <x v="17"/>
    <s v="Umbrella"/>
    <s v="Shared Services"/>
    <x v="3"/>
    <s v="L3"/>
    <s v="1 to 2"/>
    <s v="4 to 6"/>
    <s v="4 to 6"/>
    <s v="FTE Based"/>
    <s v="USD"/>
    <n v="34253.56"/>
    <n v="1.64"/>
    <n v="0.3"/>
    <n v="0.2"/>
    <n v="0.1"/>
    <n v="2.2400000000000002"/>
    <n v="4.4642857142857144E-2"/>
    <n v="150"/>
    <n v="150"/>
    <s v="NA"/>
    <n v="29"/>
    <n v="0.92700000000000005"/>
    <n v="0.94699999999999995"/>
    <s v="DPU – Defect Per Unit"/>
    <s v="Productivity - 100%"/>
    <s v="NA"/>
    <s v="Multiple request in a single task"/>
    <s v="NA"/>
    <s v="AIM idea implemented"/>
    <s v="If multiple changes requested in endorsement, then create endorsement wording for all changes, rather than creating seprate endorsement wordings for all request "/>
    <s v="0.5 FTE "/>
    <s v="NA"/>
    <s v="NA"/>
    <s v="NA"/>
    <s v="NA"/>
    <s v="UA/UW"/>
    <s v="Multiple"/>
    <s v="Unstructured"/>
    <s v="Email Correspondance-90%, PDF-10%"/>
    <s v="PDFs"/>
    <s v="UA &amp; UW"/>
    <s v="Ultra_x000a_Lotus Notes_x000a_E-file_x000a_Underwriting Desktop_x000a_Underwriting Management_x000a_Outlook_x000a_MS Teams"/>
  </r>
  <r>
    <x v="17"/>
    <s v="Fortune 500 Global P&amp;C Carrier"/>
    <x v="2"/>
    <x v="4"/>
    <x v="2"/>
    <s v="Arbind Singh/Saurabh Sharma"/>
    <n v="7"/>
    <x v="1"/>
    <x v="2"/>
    <x v="11"/>
    <s v="New Business Quotes/ Rating"/>
    <s v="New Business Rate"/>
    <s v="As per UA/UW instructions to generate Umbrella New business Quote premium"/>
    <x v="4"/>
    <x v="17"/>
    <s v="Umbrella"/>
    <s v="Shared Services"/>
    <x v="3"/>
    <s v="L3"/>
    <s v="1 to 2"/>
    <s v="4 to 6"/>
    <s v="4 to 6"/>
    <s v="FTE Based"/>
    <s v="USD"/>
    <n v="34253.56"/>
    <n v="2.44"/>
    <n v="0.5"/>
    <n v="0.2"/>
    <n v="0.2"/>
    <n v="3.3400000000000003"/>
    <n v="5.9880239520958084E-2"/>
    <n v="250"/>
    <n v="250"/>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11"/>
    <s v="Renewal Quotes/ Rating"/>
    <s v="Renewal Rate"/>
    <s v="As per UA/UW revise instructions to generate Umbrella Renewal-Rate premium"/>
    <x v="4"/>
    <x v="17"/>
    <s v="Umbrella"/>
    <s v="Shared Services"/>
    <x v="3"/>
    <s v="L3"/>
    <s v="1 to 2"/>
    <s v="4 to 6"/>
    <s v="4 to 6"/>
    <s v="FTE Based"/>
    <s v="USD"/>
    <n v="34253.56"/>
    <n v="2.3221718256638542"/>
    <n v="0.2"/>
    <n v="0.1"/>
    <n v="0.2"/>
    <n v="2.8221718256638546"/>
    <n v="7.0867407214992781E-2"/>
    <n v="275"/>
    <n v="27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11"/>
    <s v="Re-Rating"/>
    <s v="Re-Rate"/>
    <s v="As per UA/UW revise instructions to generate Umbrella Re-Rate premium"/>
    <x v="4"/>
    <x v="17"/>
    <s v="Umbrella"/>
    <s v="Shared Services"/>
    <x v="3"/>
    <s v="L3"/>
    <s v="1 to 2"/>
    <s v="4 to 6"/>
    <s v="4 to 6"/>
    <s v="FTE Based"/>
    <s v="USD"/>
    <n v="34253.56"/>
    <n v="1"/>
    <n v="0.2"/>
    <n v="0.1"/>
    <n v="0.1"/>
    <n v="1.4000000000000001"/>
    <n v="7.1428571428571425E-2"/>
    <n v="25"/>
    <n v="2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3"/>
    <s v="Cancel and Rewrite"/>
    <s v="Cancel - Rewrite"/>
    <s v="To process cancel/Rewrite per instructions"/>
    <x v="4"/>
    <x v="17"/>
    <s v="Umbrella"/>
    <s v="Shared Services"/>
    <x v="3"/>
    <s v="L3"/>
    <s v="1 to 2"/>
    <s v="4 to 6"/>
    <s v="4 to 6"/>
    <s v="FTE Based"/>
    <s v="USD"/>
    <n v="34253.56"/>
    <n v="5.7362570526424761E-3"/>
    <n v="0.2"/>
    <n v="0"/>
    <n v="0.1"/>
    <n v="0.30573625705264251"/>
    <n v="0.32707929692088084"/>
    <n v="2"/>
    <n v="2"/>
    <s v="NA"/>
    <n v="17"/>
    <n v="0.92700000000000005"/>
    <n v="0.94699999999999995"/>
    <s v="DPU – Defect Per Unit"/>
    <s v="Productivity - 100%"/>
    <s v="NA"/>
    <s v="NA"/>
    <s v="NA"/>
    <s v="NA"/>
    <s v="NA"/>
    <s v="NA"/>
    <s v="NA"/>
    <s v="NA"/>
    <s v="NA"/>
    <s v="NA"/>
    <s v="UA/UW"/>
    <s v="Instructions in Application"/>
    <s v="Structured"/>
    <s v="PDF-100%"/>
    <s v="PDFs"/>
    <s v="UA &amp; UW"/>
    <s v="Ultra_x000a_Lotus Notes_x000a_E-file_x000a_Underwriting Desktop_x000a_Underwriting Management_x000a_Outlook_x000a_MS Teams"/>
  </r>
  <r>
    <x v="17"/>
    <s v="Fortune 500 Global P&amp;C Carrier"/>
    <x v="2"/>
    <x v="4"/>
    <x v="2"/>
    <s v="Arbind Singh/Saurabh Sharma"/>
    <n v="7"/>
    <x v="1"/>
    <x v="2"/>
    <x v="3"/>
    <s v="Cancel and Rewrite"/>
    <s v="Cancellation &amp; Reinstatement"/>
    <s v="To process cancellation &amp; Reinstament per instructions"/>
    <x v="4"/>
    <x v="17"/>
    <s v="Umbrella"/>
    <s v="Shared Services"/>
    <x v="3"/>
    <s v="L3"/>
    <s v="1 to 2"/>
    <s v="4 to 6"/>
    <s v="4 to 6"/>
    <s v="FTE Based"/>
    <s v="USD"/>
    <n v="34253.56"/>
    <n v="5.0000000000000001E-3"/>
    <n v="0.2"/>
    <n v="0"/>
    <n v="0.1"/>
    <n v="0.30500000000000005"/>
    <n v="0.32786885245901637"/>
    <n v="1"/>
    <n v="1"/>
    <s v="NA"/>
    <n v="8"/>
    <n v="0.92700000000000005"/>
    <n v="0.94699999999999995"/>
    <s v="DPU – Defect Per Unit"/>
    <s v="Productivity - 100%"/>
    <s v="NA"/>
    <s v="NA"/>
    <s v="NA"/>
    <s v="NA"/>
    <s v="NA"/>
    <s v="NA"/>
    <s v="NA"/>
    <s v="NA"/>
    <s v="NA"/>
    <s v="NA"/>
    <s v="UA/UW"/>
    <s v="Multiple"/>
    <s v="Structured"/>
    <s v="PDF-100%"/>
    <s v="PDFs"/>
    <s v="UA &amp; UW"/>
    <s v="Ultra_x000a_Lotus Notes_x000a_E-file_x000a_Underwriting Desktop_x000a_Underwriting Management_x000a_Outlook_x000a_MS Teams"/>
  </r>
  <r>
    <x v="17"/>
    <s v="Fortune 500 Global P&amp;C Carrier"/>
    <x v="2"/>
    <x v="4"/>
    <x v="2"/>
    <s v="Arbind Singh/Saurabh Sharma"/>
    <n v="7"/>
    <x v="1"/>
    <x v="2"/>
    <x v="11"/>
    <s v="Re-Rating"/>
    <s v="Rate - Per Expring"/>
    <s v="To create renewal rating worksheet as per expired details and upload in efile for premium reference"/>
    <x v="4"/>
    <x v="3"/>
    <s v="Auto, GL, AL, Package "/>
    <s v="Mid Size &amp; Large"/>
    <x v="3"/>
    <s v="L2"/>
    <s v="1 to 2"/>
    <s v="2 to 3 "/>
    <s v="2 to 3 "/>
    <s v="FTE Based"/>
    <s v="USD"/>
    <n v="34253.56"/>
    <n v="0.5"/>
    <n v="0"/>
    <n v="0"/>
    <n v="0"/>
    <n v="0.5"/>
    <n v="0"/>
    <n v="120"/>
    <n v="120"/>
    <s v="NA"/>
    <n v="26"/>
    <n v="0.95"/>
    <n v="0.94699999999999995"/>
    <s v="DPU – Defect Per Unit"/>
    <s v="Productivity - 100%"/>
    <s v="NA"/>
    <s v="NA"/>
    <s v="NA"/>
    <s v="NA"/>
    <s v="NA"/>
    <s v="NA"/>
    <s v="NA"/>
    <s v="NA"/>
    <s v="NA"/>
    <s v="NA"/>
    <s v="UA/UW"/>
    <s v="Instructions in Application"/>
    <s v="Structured"/>
    <s v="Insturctions - 100%"/>
    <s v="Others"/>
    <s v="UA &amp; UW"/>
    <s v="Windows_x000a_E-file_x000a_Underwriting Desktop_x000a_Outlook_x000a_MS Teams_x000a_Z-spire"/>
  </r>
  <r>
    <x v="17"/>
    <s v="Fortune 500 Global P&amp;C Carrier"/>
    <x v="2"/>
    <x v="4"/>
    <x v="2"/>
    <s v="Arbind Singh/Saurabh Sharma"/>
    <n v="6"/>
    <x v="1"/>
    <x v="2"/>
    <x v="5"/>
    <s v="Location Data Cleansing"/>
    <s v="Location Data Cleansing "/>
    <s v="Cleanse the SOV, verify and update in teamplate and  to match SOV values with instructions"/>
    <x v="3"/>
    <x v="13"/>
    <s v="Property and Excess casuality"/>
    <s v="Specialized"/>
    <x v="3"/>
    <s v="L3"/>
    <s v="1 to 2"/>
    <n v="4"/>
    <n v="4"/>
    <s v="FTE Based"/>
    <s v="USD"/>
    <n v="34253.56"/>
    <n v="13"/>
    <n v="1"/>
    <n v="0.5"/>
    <n v="1"/>
    <n v="15.5"/>
    <n v="6.4516129032258063E-2"/>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Windows_x000a_E-file_x000a_Underwriting Desktop_x000a_Outlook_x000a_MS Teams_x000a_Zorba_x000a_Underwriting Management "/>
  </r>
  <r>
    <x v="17"/>
    <s v="Fortune 500 Global P&amp;C Carrier"/>
    <x v="2"/>
    <x v="4"/>
    <x v="2"/>
    <s v="Arbind Singh/Saurabh Sharma"/>
    <n v="7"/>
    <x v="2"/>
    <x v="2"/>
    <x v="11"/>
    <s v="New Business Quotes/ Rating"/>
    <s v="New Business Quote"/>
    <s v="Prepare the quote for UW review. These quotes are utilized for pricing details and neogiation with customers"/>
    <x v="3"/>
    <x v="3"/>
    <s v="Auto, GL, WC, Property"/>
    <s v="All"/>
    <x v="3"/>
    <s v="L3"/>
    <s v="1 to 2"/>
    <s v="4 to 6"/>
    <s v="3 to 4"/>
    <s v="FTE Based"/>
    <s v="USD"/>
    <n v="34253.56"/>
    <n v="0"/>
    <n v="0"/>
    <n v="0.5"/>
    <n v="0"/>
    <n v="0.5"/>
    <n v="0"/>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
  </r>
  <r>
    <x v="17"/>
    <s v="Fortune 500 Global P&amp;C Carrier"/>
    <x v="2"/>
    <x v="4"/>
    <x v="2"/>
    <s v="Arbind Singh/Saurabh Sharma"/>
    <n v="7"/>
    <x v="1"/>
    <x v="2"/>
    <x v="11"/>
    <s v="Renewal Rating"/>
    <s v="Renewal Quote"/>
    <s v="Prepare the quote for UW review. These quotes are utilized for pricing details and neogiation with customers during renewals"/>
    <x v="3"/>
    <x v="5"/>
    <s v="WC"/>
    <s v="All"/>
    <x v="3"/>
    <s v="L3"/>
    <s v="1 to 2"/>
    <s v="4 to 6"/>
    <s v="3 to 4"/>
    <s v="FTE Based"/>
    <s v="USD"/>
    <n v="34253.56"/>
    <n v="14"/>
    <n v="2"/>
    <n v="0.5"/>
    <n v="0"/>
    <n v="16.5"/>
    <n v="0"/>
    <n v="450"/>
    <s v="WC-450_x000a_"/>
    <s v="NA"/>
    <s v="WC-96"/>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_x000a_PC guidwire"/>
  </r>
  <r>
    <x v="17"/>
    <s v="Fortune 500 Global P&amp;C Carrier"/>
    <x v="2"/>
    <x v="4"/>
    <x v="2"/>
    <s v="Arbind Singh/Saurabh Sharma"/>
    <n v="7"/>
    <x v="2"/>
    <x v="2"/>
    <x v="6"/>
    <s v="New Business Issuance"/>
    <s v="New Business Issuance"/>
    <s v="Issue New Business Policies as per UW instructions, send the policy document via EPD (Electronic Policy  Distribution)"/>
    <x v="3"/>
    <x v="3"/>
    <s v="Auto, GL, WC, Property"/>
    <s v="All"/>
    <x v="3"/>
    <s v="L3"/>
    <s v="1 to 2"/>
    <s v="6 to 8"/>
    <s v="4 to 6"/>
    <s v="FTE Based"/>
    <s v="USD"/>
    <n v="34253.56"/>
    <n v="0"/>
    <n v="0"/>
    <n v="0"/>
    <n v="0"/>
    <n v="0"/>
    <e v="#DI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x v="2"/>
    <x v="4"/>
    <x v="2"/>
    <s v="Arbind Singh/Saurabh Sharma"/>
    <n v="6"/>
    <x v="2"/>
    <x v="2"/>
    <x v="6"/>
    <s v="Renewal Issuance"/>
    <s v="Renewal Issuance"/>
    <s v="Issue Renewal Policies as per UW instructions, send the policy document via EPD (Electronic Policy  Distribution)"/>
    <x v="3"/>
    <x v="3"/>
    <s v="Auto, GL, WC, Property"/>
    <s v="All"/>
    <x v="3"/>
    <s v="L3"/>
    <s v="1 to 2"/>
    <s v="6 to 8"/>
    <s v="4 to 6"/>
    <s v="FTE Based"/>
    <s v="USD"/>
    <n v="34253.56"/>
    <n v="0"/>
    <n v="0"/>
    <n v="0"/>
    <n v="0"/>
    <n v="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x v="2"/>
    <x v="3"/>
    <x v="2"/>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x v="3"/>
    <x v="3"/>
    <s v="Auto, GL, WC, Property"/>
    <s v="All"/>
    <x v="3"/>
    <s v="L3"/>
    <s v="1 to 2"/>
    <s v="4 to 6"/>
    <s v="3 to 4"/>
    <s v="FTE Based"/>
    <s v="USD"/>
    <n v="34253.56"/>
    <n v="1"/>
    <n v="0"/>
    <n v="0"/>
    <n v="0"/>
    <n v="1"/>
    <n v="0"/>
    <n v="20"/>
    <n v="20"/>
    <s v="NA"/>
    <s v="Auto, GL - 46_x000a_WC -47"/>
    <n v="0.95"/>
    <n v="0.94699999999999995"/>
    <s v="DPU – Defect Per Unit"/>
    <s v="Productivity - 100%"/>
    <s v="NA"/>
    <s v="NA"/>
    <s v="Pricing"/>
    <s v="NA"/>
    <s v="NA"/>
    <s v="NA"/>
    <s v="NA"/>
    <s v="NA"/>
    <s v="NA"/>
    <s v="NA"/>
    <s v="UA/UW, Broker"/>
    <s v="Multiple"/>
    <s v="Semi-Structured"/>
    <s v="Thread request in application"/>
    <s v="PDFs"/>
    <s v="Agents, Underwriter and Insured"/>
    <s v="Windows_x000a_UWD_x000a_Z-spire_x000a_Zapper_x000a_Efile_x000a_EPD Tool_x000a_VIN_x000a_I-track"/>
  </r>
  <r>
    <x v="17"/>
    <s v="Fortune 500 Global P&amp;C Carrier"/>
    <x v="2"/>
    <x v="4"/>
    <x v="2"/>
    <s v="Arbind Singh/Saurabh Sharma"/>
    <n v="7"/>
    <x v="1"/>
    <x v="2"/>
    <x v="6"/>
    <s v="New Business Issuance"/>
    <s v="New Business Issuance"/>
    <s v="Issue the NB policy in the client application"/>
    <x v="3"/>
    <x v="3"/>
    <s v="Auto, GL, Property, Pkg, Crime, Umbrella and S&amp;P"/>
    <s v="Direct Market"/>
    <x v="3"/>
    <s v="L3"/>
    <s v="2 to 4"/>
    <s v="2 to 4"/>
    <s v="2 to 4"/>
    <s v="FTE Based"/>
    <s v="USD"/>
    <n v="34253.56"/>
    <n v="0.5"/>
    <n v="1"/>
    <n v="0.1"/>
    <n v="0"/>
    <n v="1.6"/>
    <n v="0"/>
    <n v="20"/>
    <n v="20"/>
    <s v="Jan, Mar, Apr and Jul"/>
    <n v="96.8"/>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x v="2"/>
    <x v="4"/>
    <x v="2"/>
    <s v="Arbind Singh/Saurabh Sharma"/>
    <n v="7"/>
    <x v="1"/>
    <x v="2"/>
    <x v="6"/>
    <s v="Renewal Issuance"/>
    <s v="Renewal Issuance"/>
    <s v="Issue the renewal policy in the client application"/>
    <x v="3"/>
    <x v="3"/>
    <s v="Auto, GL, Property, Pkg, Crime, Umbrella and S&amp;P"/>
    <s v="Direct Market"/>
    <x v="3"/>
    <s v="L3"/>
    <s v="2 to 4"/>
    <s v="2 to 4"/>
    <s v="2 to 4"/>
    <s v="FTE Based"/>
    <s v="USD"/>
    <n v="34253.56"/>
    <n v="1.5"/>
    <n v="0"/>
    <n v="0.1"/>
    <n v="0"/>
    <n v="1.6"/>
    <n v="0"/>
    <n v="86"/>
    <n v="86"/>
    <s v="Jan, Mar, Apr and Jul"/>
    <n v="90"/>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x v="2"/>
    <x v="4"/>
    <x v="2"/>
    <s v="Arbind Singh/Saurabh Sharma"/>
    <n v="7"/>
    <x v="1"/>
    <x v="2"/>
    <x v="11"/>
    <s v="New Business Quotes/ Rating"/>
    <s v="New Business Quote"/>
    <s v="Prepare the quote options for UA review"/>
    <x v="3"/>
    <x v="3"/>
    <s v="Auto, GL, Property, Pkg, Crime, Umbrella and S&amp;P"/>
    <s v="Direct Market"/>
    <x v="3"/>
    <s v="L3"/>
    <s v="2 to 4"/>
    <s v="2 to 4"/>
    <s v="2 to 4"/>
    <s v="FTE Based"/>
    <s v="USD"/>
    <n v="34253.56"/>
    <n v="1.9"/>
    <n v="0"/>
    <n v="0.1"/>
    <n v="0"/>
    <n v="2"/>
    <n v="0"/>
    <n v="49"/>
    <n v="49"/>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Windows_x000a_Z-spire_x000a_Ultra_x000a_Efile_x000a_Promatrix_x000a_SAM Web_x000a_Underwriting Management "/>
  </r>
  <r>
    <x v="17"/>
    <s v="Fortune 500 Global P&amp;C Carrier"/>
    <x v="2"/>
    <x v="4"/>
    <x v="2"/>
    <s v="Arbind Singh/Saurabh Sharma"/>
    <n v="7"/>
    <x v="1"/>
    <x v="2"/>
    <x v="11"/>
    <s v="Renewal Rating"/>
    <s v="Renewal Quote"/>
    <s v="Prepare the quote options for UW review on Policy renewal"/>
    <x v="3"/>
    <x v="3"/>
    <s v="Auto, GL, Property, Pkg, Crime, Umbrella and S&amp;P"/>
    <s v="Direct Market"/>
    <x v="3"/>
    <s v="L3"/>
    <s v="2 to 4"/>
    <s v="2 to 4"/>
    <s v="2 to 4"/>
    <s v="FTE Based"/>
    <s v="USD"/>
    <n v="34253.56"/>
    <n v="3.1"/>
    <n v="0"/>
    <n v="0.1"/>
    <n v="0"/>
    <n v="3.2"/>
    <n v="0"/>
    <n v="90"/>
    <n v="90"/>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Windows_x000a_Z-spire_x000a_Ultra_x000a_Efile_x000a_Promatrix_x000a_SAM Web_x000a_Underwriting Management "/>
  </r>
  <r>
    <x v="17"/>
    <s v="Fortune 500 Global P&amp;C Carrier"/>
    <x v="2"/>
    <x v="4"/>
    <x v="2"/>
    <s v="Arbind Singh/Saurabh Sharma"/>
    <n v="7"/>
    <x v="1"/>
    <x v="2"/>
    <x v="11"/>
    <s v="Re-Rating"/>
    <s v="Re-rate"/>
    <s v="Process the changes in Quotes based on Re-rate information"/>
    <x v="3"/>
    <x v="3"/>
    <s v="Auto, GL, Property, Pkg, Crime, Umbrella and S&amp;P"/>
    <s v="Direct Market"/>
    <x v="3"/>
    <s v="L3"/>
    <s v="2 to 4"/>
    <s v="2 to 4"/>
    <s v="2 to 4"/>
    <s v="FTE Based"/>
    <s v="USD"/>
    <n v="34253.56"/>
    <n v="2"/>
    <n v="0"/>
    <n v="0.1"/>
    <n v="0"/>
    <n v="2.1"/>
    <n v="0"/>
    <n v="49"/>
    <n v="49"/>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Windows_x000a_Z-spire_x000a_Ultra_x000a_Efile_x000a_Promatrix_x000a_SAM Web_x000a_Underwriting Management "/>
  </r>
  <r>
    <x v="17"/>
    <s v="Fortune 500 Global P&amp;C Carrier"/>
    <x v="2"/>
    <x v="4"/>
    <x v="2"/>
    <s v="Arbind Singh/Saurabh Sharma"/>
    <n v="3"/>
    <x v="1"/>
    <x v="2"/>
    <x v="3"/>
    <s v="Endorsements intake and setup"/>
    <s v="Endorsements"/>
    <s v="Process the changes in Quotes and issuance based on the change request received"/>
    <x v="3"/>
    <x v="3"/>
    <s v="Auto, GL, Property, Pkg, Crime, Umbrella and S&amp;P"/>
    <s v="Direct Market"/>
    <x v="3"/>
    <s v="L3"/>
    <s v="2 to 4"/>
    <s v="2 to 4"/>
    <s v="2 to 4"/>
    <s v="FTE Based"/>
    <s v="USD"/>
    <n v="34253.56"/>
    <n v="3"/>
    <n v="0"/>
    <n v="0"/>
    <n v="0"/>
    <n v="3"/>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Windows_x000a_Z-spire_x000a_Ultra_x000a_Efile_x000a_Promatrix_x000a_SAM Web_x000a_Underwriting Management "/>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1"/>
    <s v="Auto"/>
    <s v="All"/>
    <x v="3"/>
    <s v="L3"/>
    <n v="2"/>
    <s v="4 to 6"/>
    <s v="6 to 8"/>
    <s v="FTE Based"/>
    <s v="USD"/>
    <n v="34253.56"/>
    <n v="1"/>
    <n v="0"/>
    <n v="0"/>
    <n v="0"/>
    <n v="1"/>
    <n v="0"/>
    <n v="75"/>
    <n v="75"/>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Worker compesation Audit"/>
    <s v="To process endorsement as per audit sheet"/>
    <x v="3"/>
    <x v="5"/>
    <s v="WC"/>
    <s v="All"/>
    <x v="3"/>
    <s v="L3"/>
    <n v="2"/>
    <s v="4 to 6"/>
    <s v="6 to 8"/>
    <s v="FTE Based"/>
    <s v="USD"/>
    <n v="34253.56"/>
    <n v="1.9"/>
    <n v="0"/>
    <n v="0"/>
    <n v="0"/>
    <n v="1.9"/>
    <n v="0"/>
    <n v="250"/>
    <n v="250"/>
    <s v="NA"/>
    <n v="57"/>
    <n v="0.95"/>
    <n v="0.94699999999999995"/>
    <s v="DPU – Defect Per Unit"/>
    <s v="Productivity - 100%"/>
    <s v="DPU -Defect per Unite"/>
    <s v="NA"/>
    <s v="NA"/>
    <s v="NA"/>
    <s v="NA"/>
    <s v="NA"/>
    <s v="NA"/>
    <s v="NA"/>
    <s v="NA"/>
    <s v="NA"/>
    <s v="Underwriters/ Underwriting Associates/ Brokers_x000a_"/>
    <s v="PDFs"/>
    <s v="Semi-Structured"/>
    <s v="Excel Sheet"/>
    <s v="Endorsement Document_x000a_"/>
    <s v="Underwriters/ Underwriting Associates"/>
    <s v="Windows_x000a_Z-spire_x000a_Z-laps_x000a_Efile_x000a_Policy center_x000a_MS teams"/>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14"/>
    <s v="GL"/>
    <s v="All"/>
    <x v="3"/>
    <s v="L3"/>
    <n v="2"/>
    <s v="4 to 6"/>
    <s v="6 to 8"/>
    <s v="FTE Based"/>
    <s v="USD"/>
    <n v="34253.56"/>
    <n v="2"/>
    <n v="0"/>
    <n v="0.5"/>
    <n v="0"/>
    <n v="2.5"/>
    <n v="0"/>
    <n v="95"/>
    <n v="95"/>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5"/>
    <s v="WC"/>
    <s v="All"/>
    <x v="3"/>
    <s v="L3"/>
    <n v="2"/>
    <s v="4 to 6"/>
    <s v="6 to 8"/>
    <s v="FTE Based"/>
    <s v="USD"/>
    <n v="34253.56"/>
    <n v="2.9"/>
    <n v="0"/>
    <n v="0"/>
    <n v="0"/>
    <n v="2.9"/>
    <n v="0"/>
    <n v="111"/>
    <n v="111"/>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9"/>
    <s v="AUTO , GL Property"/>
    <s v="All"/>
    <x v="3"/>
    <s v="L3"/>
    <n v="2"/>
    <s v="4 to 6"/>
    <s v="6 to 8"/>
    <s v="FTE Based"/>
    <s v="USD"/>
    <n v="34253.56"/>
    <n v="0.1"/>
    <n v="0"/>
    <n v="0"/>
    <n v="0"/>
    <n v="0.1"/>
    <n v="0"/>
    <n v="32"/>
    <n v="32"/>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2"/>
    <s v="Property"/>
    <s v="All"/>
    <x v="3"/>
    <s v="L3"/>
    <n v="2"/>
    <s v="4 to 6"/>
    <s v="6 to 8"/>
    <s v="FTE Based"/>
    <s v="USD"/>
    <n v="34253.56"/>
    <n v="0.1"/>
    <n v="0"/>
    <n v="0"/>
    <n v="0"/>
    <n v="0.1"/>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4"/>
    <x v="2"/>
    <s v="Arbind Singh/Saurabh Sharma"/>
    <n v="2"/>
    <x v="2"/>
    <x v="2"/>
    <x v="11"/>
    <s v="CAT modeling"/>
    <s v="Riskmodeling"/>
    <s v="Process to run risk modeling for CAT coverage (TRIA, Wind, EQ and Flood) on new/existing locations and also for amend/add/del coverage_x000a_"/>
    <x v="3"/>
    <x v="2"/>
    <s v="Property"/>
    <s v="All"/>
    <x v="3"/>
    <s v="L3"/>
    <n v="2"/>
    <s v="4 to 6"/>
    <s v="6 to 8"/>
    <s v="FTE Based"/>
    <s v="USD"/>
    <n v="34253.56"/>
    <n v="2"/>
    <n v="0"/>
    <n v="0"/>
    <n v="0"/>
    <n v="2"/>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Windows_x000a_UWD_x000a_Z-spire_x000a_Zapper_x000a_Efile_x000a_EPD Tool_x000a_VIN_x000a_I-track"/>
  </r>
  <r>
    <x v="17"/>
    <s v="Fortune 500 Global P&amp;C Carrier"/>
    <x v="2"/>
    <x v="4"/>
    <x v="2"/>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2"/>
    <n v="1"/>
    <n v="0.1"/>
    <n v="0.25"/>
    <n v="3.35"/>
    <n v="7.4626865671641784E-2"/>
    <n v="230"/>
    <n v="23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2"/>
    <n v="0"/>
    <n v="0.1"/>
    <n v="0.25"/>
    <n v="2.35"/>
    <n v="0.10638297872340426"/>
    <n v="150"/>
    <n v="150"/>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5"/>
    <n v="0"/>
    <n v="0.1"/>
    <n v="0.25"/>
    <n v="0.85"/>
    <n v="0.29411764705882354"/>
    <n v="15"/>
    <n v="15"/>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5"/>
    <n v="0"/>
    <n v="0.1"/>
    <n v="0.25"/>
    <n v="0.85"/>
    <n v="0.29411764705882354"/>
    <n v="120"/>
    <n v="12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s v="All"/>
    <x v="3"/>
    <s v="L2"/>
    <s v="1 to 2"/>
    <s v="3 to 4"/>
    <s v="3 to 4"/>
    <s v="FTE Based"/>
    <s v="USD"/>
    <n v="26002.87"/>
    <n v="0"/>
    <n v="0"/>
    <n v="0"/>
    <n v="0"/>
    <n v="0"/>
    <e v="#DIV/0!"/>
    <n v="0"/>
    <n v="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Windows_x000a_Efile_x000a_UWD_x000a_Sanctions Screener Tool"/>
  </r>
  <r>
    <x v="17"/>
    <s v="Fortune 500 Global P&amp;C Carrier"/>
    <x v="2"/>
    <x v="4"/>
    <x v="2"/>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
    <n v="0"/>
    <n v="0"/>
    <n v="0"/>
    <n v="0"/>
    <e v="#DIV/0!"/>
    <n v="0"/>
    <n v="0"/>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OFAC Captives Indexing"/>
    <s v="Uploading the document received in the email at the submission level given in the email"/>
    <x v="3"/>
    <x v="3"/>
    <s v="Auto, GL, WC, Property, Umbrella"/>
    <s v="All"/>
    <x v="3"/>
    <s v="L2"/>
    <s v="1 to 2"/>
    <s v="3 to 4"/>
    <s v="3 to 4"/>
    <s v="FTE Based"/>
    <s v="USD"/>
    <n v="26002.87"/>
    <n v="1"/>
    <n v="0"/>
    <n v="0"/>
    <n v="0"/>
    <n v="1"/>
    <n v="0"/>
    <n v="230"/>
    <n v="230"/>
    <s v="Jan - May"/>
    <n v="6"/>
    <n v="0.96399999999999997"/>
    <n v="0.98799999999999999"/>
    <s v="DPU – Defect Per Unit"/>
    <s v="Productivity - 100%"/>
    <s v="NA"/>
    <s v="NA"/>
    <s v="NA"/>
    <s v="NA"/>
    <s v="NA"/>
    <s v="NA"/>
    <s v="NA"/>
    <s v="NA"/>
    <s v="NA"/>
    <s v="NA"/>
    <s v="UA/UW"/>
    <s v="Emails"/>
    <s v="Semi-Structured"/>
    <s v="Email : 100%"/>
    <s v="Others"/>
    <s v="Task creation team/_x000a_UA/UW"/>
    <s v="Windows_x000a_Efile_x000a_UWD"/>
  </r>
  <r>
    <x v="17"/>
    <s v="Fortune 500 Global P&amp;C Carrier"/>
    <x v="2"/>
    <x v="4"/>
    <x v="2"/>
    <s v="Arbind Singh/Saurabh Sharma"/>
    <n v="7"/>
    <x v="1"/>
    <x v="2"/>
    <x v="11"/>
    <s v="New Business Quotes/ Rating"/>
    <s v="New Business (Wrapup)"/>
    <s v="Rating and Issuance of new WC policies of sub-contractors"/>
    <x v="3"/>
    <x v="5"/>
    <s v="WC"/>
    <s v="All"/>
    <x v="3"/>
    <s v="L3"/>
    <s v="2 to 3"/>
    <s v="3 to 4"/>
    <s v="3 to 4"/>
    <s v="FTE Based"/>
    <s v="USD"/>
    <n v="34253.56"/>
    <n v="3"/>
    <n v="0.75"/>
    <n v="0.1"/>
    <n v="0.3"/>
    <n v="4.1500000000000004"/>
    <n v="7.2289156626506021E-2"/>
    <n v="1250"/>
    <n v="125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6"/>
    <s v="Renewal Issuance"/>
    <s v="Renewals (Wrapup)"/>
    <s v="Renewing policies by performing rating and Issuance of WC policies of sub-contractors"/>
    <x v="3"/>
    <x v="5"/>
    <s v="WC"/>
    <s v="All"/>
    <x v="3"/>
    <s v="L3"/>
    <s v="2 to 3"/>
    <s v="3 to 4"/>
    <s v="3 to 4"/>
    <s v="FTE Based"/>
    <s v="USD"/>
    <n v="34253.56"/>
    <n v="2.25"/>
    <n v="0.75"/>
    <n v="0.1"/>
    <n v="0.4"/>
    <n v="3.5"/>
    <n v="0.1142857142857143"/>
    <n v="2000"/>
    <n v="2000"/>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Endorsements intake and setup"/>
    <s v="Endorsement (Wrapup)"/>
    <s v="Making changes to an existing WC Policy of a sub-contractor"/>
    <x v="3"/>
    <x v="5"/>
    <s v="WC"/>
    <s v="All"/>
    <x v="3"/>
    <s v="L3"/>
    <s v="2 to 3"/>
    <s v="3 to 4"/>
    <s v="3 to 4"/>
    <s v="FTE Based"/>
    <s v="USD"/>
    <n v="34253.56"/>
    <n v="0.25"/>
    <n v="0.2"/>
    <n v="0"/>
    <n v="0.1"/>
    <n v="0.55000000000000004"/>
    <n v="0.18181818181818182"/>
    <n v="150"/>
    <n v="150"/>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Non Renewals/Renewal notice"/>
    <s v="Non Renewal (Wrapup)"/>
    <s v="Sub-contractor WC polcies that do not need to be renewed as per the broker must go through the non-renwal process in the system"/>
    <x v="3"/>
    <x v="5"/>
    <s v="WC"/>
    <s v="All"/>
    <x v="3"/>
    <s v="L3"/>
    <s v="2 to 3"/>
    <s v="3 to 4"/>
    <s v="3 to 4"/>
    <s v="FTE Based"/>
    <s v="USD"/>
    <n v="34253.56"/>
    <n v="0.26"/>
    <n v="0.2"/>
    <n v="0"/>
    <n v="0.1"/>
    <n v="0.56000000000000005"/>
    <n v="0.17857142857142858"/>
    <n v="750"/>
    <n v="75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Cancellation notice"/>
    <s v="Cancellations (Wrapup)"/>
    <s v="Cancelling a WC Policy as requested by the broker/insured"/>
    <x v="3"/>
    <x v="5"/>
    <s v="WC"/>
    <s v="All"/>
    <x v="3"/>
    <s v="L3"/>
    <s v="2 to 3"/>
    <s v="3 to 4"/>
    <s v="3 to 4"/>
    <s v="FTE Based"/>
    <s v="USD"/>
    <n v="34253.56"/>
    <n v="0.2"/>
    <n v="0.1"/>
    <n v="0"/>
    <n v="0.1"/>
    <n v="0.4"/>
    <n v="0.25"/>
    <n v="100"/>
    <n v="100"/>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Z-spire_x000a_NCCI website_x000a_D&amp;B_x000a_Workbench_x000a_Efile"/>
  </r>
  <r>
    <x v="17"/>
    <s v="Fortune 500 Global P&amp;C Carrier"/>
    <x v="2"/>
    <x v="4"/>
    <x v="2"/>
    <s v="Arbind Singh/Saurabh Sharma"/>
    <n v="7"/>
    <x v="1"/>
    <x v="2"/>
    <x v="3"/>
    <s v="Loss run retrieval"/>
    <s v="Loss Runs External"/>
    <s v="Team generate loss runs report for requested policy and sends to the requester"/>
    <x v="3"/>
    <x v="3"/>
    <s v="Auto, GL, Property, WC"/>
    <s v="All"/>
    <x v="3"/>
    <s v="L2"/>
    <s v="2 to 3"/>
    <s v="3 to 4"/>
    <s v="3 to 4"/>
    <s v="FTE Based"/>
    <s v="USD"/>
    <n v="26002.87"/>
    <n v="4.41"/>
    <n v="1"/>
    <n v="0.3"/>
    <n v="1"/>
    <n v="6.71"/>
    <n v="0.14903129657228018"/>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Windows_x000a_UWD_x000a_Underwriting Management_x000a_Workbench_x000a_Efile_x000a_RI 2.0_x000a_BOE"/>
  </r>
  <r>
    <x v="17"/>
    <s v="Fortune 500 Global P&amp;C Carrier"/>
    <x v="2"/>
    <x v="4"/>
    <x v="2"/>
    <s v="Arbind Singh/Saurabh Sharma"/>
    <n v="7"/>
    <x v="1"/>
    <x v="2"/>
    <x v="3"/>
    <s v="Loss run retrieval"/>
    <s v="Loss Runs Internal"/>
    <s v="Team generate loss runs report and upload to efile. If requested then sends to the requester"/>
    <x v="3"/>
    <x v="3"/>
    <s v="Auto, GL, Property, WC"/>
    <s v="All"/>
    <x v="3"/>
    <s v="L2"/>
    <s v="2 to 3"/>
    <s v="3 to 4"/>
    <s v="3 to 4"/>
    <s v="FTE Based"/>
    <s v="USD"/>
    <n v="26002.87"/>
    <n v="2.2000000000000002"/>
    <n v="0.5"/>
    <n v="0"/>
    <n v="0.5"/>
    <n v="3.2"/>
    <n v="0.15625"/>
    <n v="3000"/>
    <n v="30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Windows_x000a_UWD_x000a_Underwriting Management_x000a_Workbench_x000a_Efile_x000a_RI 2.0_x000a_BOE"/>
  </r>
  <r>
    <x v="17"/>
    <s v="Fortune 500 Global P&amp;C Carrier"/>
    <x v="2"/>
    <x v="4"/>
    <x v="2"/>
    <s v="Arbind Singh/Saurabh Sharma"/>
    <n v="7"/>
    <x v="1"/>
    <x v="2"/>
    <x v="3"/>
    <s v="Loss run retrieval"/>
    <s v="Loss Runs External Programs"/>
    <s v="Team generate loss runs report for requested policy and sends to the requester"/>
    <x v="3"/>
    <x v="3"/>
    <s v="Auto, GL, Property, WC"/>
    <s v="All"/>
    <x v="3"/>
    <s v="L2"/>
    <s v="2 to 3"/>
    <s v="3 to 4"/>
    <s v="3 to 4"/>
    <s v="FTE Based"/>
    <s v="USD"/>
    <n v="26002.87"/>
    <n v="0.3"/>
    <n v="0"/>
    <n v="0"/>
    <n v="0"/>
    <n v="0.3"/>
    <n v="0"/>
    <n v="600"/>
    <n v="6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Windows_x000a_UWD_x000a_Underwriting Management_x000a_Workbench_x000a_Efile_x000a_RI 2.0_x000a_BOE"/>
  </r>
  <r>
    <x v="17"/>
    <s v="Fortune 500 Global P&amp;C Carrier"/>
    <x v="2"/>
    <x v="4"/>
    <x v="2"/>
    <s v="Arbind Singh/Saurabh Sharma"/>
    <n v="7"/>
    <x v="1"/>
    <x v="2"/>
    <x v="3"/>
    <s v="Loss run retrieval"/>
    <s v="Loss Runs Internal Programs"/>
    <s v="Team generate loss runs report for requested policy and sends to the requester"/>
    <x v="3"/>
    <x v="3"/>
    <s v="Auto, GL, Property, WC"/>
    <s v="All"/>
    <x v="3"/>
    <s v="L2"/>
    <s v="2 to 3"/>
    <s v="3 to 4"/>
    <s v="3 to 4"/>
    <s v="FTE Based"/>
    <s v="USD"/>
    <n v="26002.87"/>
    <n v="0.5"/>
    <n v="0"/>
    <n v="0"/>
    <n v="0"/>
    <n v="0.5"/>
    <n v="0"/>
    <n v="60"/>
    <n v="6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Windows_x000a_UWD_x000a_Underwriting Management_x000a_Workbench_x000a_Efile_x000a_RI 2.0_x000a_BOE"/>
  </r>
  <r>
    <x v="17"/>
    <s v="Fortune 500 Global P&amp;C Carrier"/>
    <x v="2"/>
    <x v="4"/>
    <x v="2"/>
    <s v="Arbind Singh/Saurabh Sharma"/>
    <n v="4"/>
    <x v="1"/>
    <x v="2"/>
    <x v="6"/>
    <s v="New Business Issuance"/>
    <s v="Manual Policy Issuance "/>
    <s v="Teams works on creating the policy document by using forms,instructions and binder etc."/>
    <x v="3"/>
    <x v="7"/>
    <s v="Property"/>
    <s v="Specialized"/>
    <x v="3"/>
    <s v="L3"/>
    <s v="2 to 3"/>
    <s v="3 to 4"/>
    <s v="3 to 4"/>
    <s v="FTE Based"/>
    <s v="USD"/>
    <n v="34253.56"/>
    <n v="1"/>
    <n v="0"/>
    <n v="0"/>
    <n v="1"/>
    <n v="2"/>
    <n v="0.5"/>
    <n v="30"/>
    <n v="30"/>
    <s v="Mar &amp; Aug"/>
    <n v="98.1"/>
    <n v="0.95"/>
    <n v="0.94699999999999995"/>
    <s v="DPU – Defect Per Unit"/>
    <s v="Productivity - 100%"/>
    <s v="NA"/>
    <s v="NA"/>
    <s v="NA"/>
    <s v="NA"/>
    <s v="NA"/>
    <s v="NA"/>
    <s v="NA"/>
    <s v="NA"/>
    <s v="NA"/>
    <s v="NA"/>
    <s v="UA/UW"/>
    <s v="Structured"/>
    <s v="Semi-Structured"/>
    <s v="Application : 100%"/>
    <s v="PDFs"/>
    <s v="Broker/Producer"/>
    <s v="Windows_x000a_UWD_x000a_Underwriting Management_x000a_Workbench_x000a_Efile_x000a_iTrac_x000a_Shared drive folder"/>
  </r>
  <r>
    <x v="17"/>
    <s v="Fortune 500 Global P&amp;C Carrier"/>
    <x v="2"/>
    <x v="4"/>
    <x v="2"/>
    <s v="Arbind Singh/Saurabh Sharma"/>
    <n v="3"/>
    <x v="1"/>
    <x v="2"/>
    <x v="3"/>
    <s v="Cancellation notice"/>
    <s v="Cancellation"/>
    <s v="Commercial &amp; Specialty"/>
    <x v="3"/>
    <x v="1"/>
    <s v="Auto"/>
    <s v="Direct Market"/>
    <x v="3"/>
    <s v="L2"/>
    <n v="1"/>
    <n v="1"/>
    <n v="1"/>
    <s v="FTE Based"/>
    <s v="USD"/>
    <n v="26002.87"/>
    <n v="3"/>
    <n v="0.5"/>
    <n v="0.5"/>
    <n v="0"/>
    <n v="4"/>
    <n v="0"/>
    <n v="9000"/>
    <n v="9000"/>
    <s v="NA"/>
    <n v="3.1"/>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x v="2"/>
    <x v="4"/>
    <x v="2"/>
    <s v="Arbind Singh/Saurabh Sharma"/>
    <n v="3"/>
    <x v="1"/>
    <x v="2"/>
    <x v="11"/>
    <s v="New Business Quotes/ Rating"/>
    <s v="Transfer"/>
    <s v="Commercial &amp; Specialty"/>
    <x v="3"/>
    <x v="1"/>
    <s v="Auto"/>
    <s v="Direct Market"/>
    <x v="3"/>
    <s v="L2"/>
    <n v="1"/>
    <n v="1"/>
    <n v="1"/>
    <s v="FTE Based"/>
    <s v="USD"/>
    <n v="26002.87"/>
    <n v="1"/>
    <n v="0"/>
    <n v="0"/>
    <n v="0"/>
    <n v="1"/>
    <n v="0"/>
    <n v="50"/>
    <n v="50"/>
    <s v="NA"/>
    <n v="15"/>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x v="2"/>
    <x v="4"/>
    <x v="2"/>
    <s v="Arbind Singh/Saurabh Sharma"/>
    <n v="3"/>
    <x v="1"/>
    <x v="2"/>
    <x v="11"/>
    <s v="New Business Quotes/ Rating"/>
    <s v="Data Entry"/>
    <s v="Commercial &amp; Specialty"/>
    <x v="3"/>
    <x v="1"/>
    <s v="Auto"/>
    <s v="Direct Market"/>
    <x v="3"/>
    <s v="L2"/>
    <n v="1"/>
    <n v="1"/>
    <n v="2"/>
    <s v="FTE Based"/>
    <s v="USD"/>
    <n v="26002.87"/>
    <n v="1"/>
    <n v="0"/>
    <n v="0"/>
    <n v="0"/>
    <n v="1"/>
    <n v="0"/>
    <n v="400"/>
    <n v="400"/>
    <s v="NA"/>
    <n v="6.5"/>
    <s v="20th of every month"/>
    <n v="0.98699999999999999"/>
    <s v="DPU – Defect Per Unit"/>
    <s v="Productivity - 100%"/>
    <s v="NA"/>
    <s v="NA"/>
    <s v="NA"/>
    <s v="NA"/>
    <s v="NA"/>
    <s v="NA"/>
    <s v="NA"/>
    <s v="NA"/>
    <s v="NA"/>
    <s v="NA"/>
    <s v="Agent "/>
    <s v="Structured"/>
    <s v="Structured"/>
    <s v="Application : 100%"/>
    <s v="PDFs"/>
    <s v="Insured"/>
    <s v="SCS &amp; FICS"/>
  </r>
  <r>
    <x v="17"/>
    <s v="Fortune 500 Global P&amp;C Carrier"/>
    <x v="2"/>
    <x v="3"/>
    <x v="2"/>
    <s v="Arbind Singh/Saurabh Sharma"/>
    <n v="0.7"/>
    <x v="1"/>
    <x v="2"/>
    <x v="11"/>
    <s v="Re-Rating"/>
    <s v="Rating"/>
    <s v="EXL manages Rating for Domestic Casualty Auto Rating for ZNA. Team processes rating task for Auto policies."/>
    <x v="3"/>
    <x v="18"/>
    <s v="Auto"/>
    <s v="Shared Services"/>
    <x v="3"/>
    <s v="L3"/>
    <n v="2"/>
    <n v="4"/>
    <n v="4"/>
    <s v="FTE Based"/>
    <s v="USD"/>
    <n v="34253.56"/>
    <n v="3"/>
    <n v="0"/>
    <n v="0"/>
    <n v="0"/>
    <n v="3"/>
    <n v="0"/>
    <n v="15"/>
    <n v="15"/>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x v="2"/>
    <x v="4"/>
    <x v="2"/>
    <s v="Arbind Singh/Saurabh Sharma"/>
    <n v="0.7"/>
    <x v="1"/>
    <x v="2"/>
    <x v="11"/>
    <s v="Re-Rating"/>
    <s v="Rating"/>
    <s v="EXL manages Rating for Domestic Casualty Auto Rating for ZNA. Team processes rating task for Auto policies."/>
    <x v="3"/>
    <x v="18"/>
    <s v="Auto"/>
    <s v="Shared Services"/>
    <x v="3"/>
    <s v="L3"/>
    <n v="2"/>
    <n v="4"/>
    <n v="4"/>
    <s v="FTE Based"/>
    <s v="USD"/>
    <n v="34253.56"/>
    <n v="7"/>
    <n v="1"/>
    <n v="0.5"/>
    <n v="0"/>
    <n v="8.5"/>
    <n v="0"/>
    <n v="37"/>
    <n v="37"/>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x v="2"/>
    <x v="4"/>
    <x v="2"/>
    <s v="Arbind Singh/Saurabh Sharma"/>
    <n v="1"/>
    <x v="1"/>
    <x v="2"/>
    <x v="6"/>
    <s v="Issuing Certificate of Insurance"/>
    <s v="Affinity &amp; Travel"/>
    <s v="Accident and Health certificates to create as per master document for Accident and Travel policies  and issue the policy to Underwriter "/>
    <x v="4"/>
    <x v="19"/>
    <s v="Multi/ Combination"/>
    <s v="Specialized"/>
    <x v="3"/>
    <s v="L3"/>
    <n v="2"/>
    <n v="4"/>
    <n v="4"/>
    <s v="FTE Based"/>
    <s v="USD"/>
    <n v="34253.56"/>
    <n v="4"/>
    <n v="0.5"/>
    <n v="0.5"/>
    <n v="0"/>
    <n v="5"/>
    <n v="0"/>
    <n v="30"/>
    <n v="30"/>
    <s v="NA"/>
    <n v="300"/>
    <n v="0.85"/>
    <n v="0.9"/>
    <s v="DPO – Defect Per Opportunity"/>
    <s v="Productivity - 100%"/>
    <s v="NA"/>
    <s v="NA"/>
    <s v="NA"/>
    <s v="NA"/>
    <s v="NA"/>
    <s v="NA"/>
    <s v="NA"/>
    <s v="NA"/>
    <s v="NA"/>
    <s v="NA"/>
    <s v="Underwriter/Underwriter Assistant/Broker"/>
    <s v="Word"/>
    <s v="Semi-Structured"/>
    <s v="Word - 100%"/>
    <s v="Word"/>
    <s v="Underwriter/Underwriter Assistant/Broker"/>
    <s v="SharePoint_x000a_Outlook"/>
  </r>
  <r>
    <x v="2"/>
    <s v="US National Specialty Carrier"/>
    <x v="2"/>
    <x v="1"/>
    <x v="1"/>
    <s v="Jayant Verma"/>
    <n v="0.4"/>
    <x v="1"/>
    <x v="1"/>
    <x v="1"/>
    <s v="First Notice of Loss Calls"/>
    <s v="FNOL"/>
    <s v="The claims FNOL team receives calls from customers reporting property damages including auto and submit it in claim form."/>
    <x v="2"/>
    <x v="3"/>
    <s v="Auto, Home, Motor Cycle, Collector Vehicle, Watercraft, Manufactured/Mobile home"/>
    <s v="Small &amp; Mid Size"/>
    <x v="1"/>
    <s v="L2"/>
    <n v="2"/>
    <n v="3"/>
    <n v="9"/>
    <s v="FTE Based"/>
    <s v="USD"/>
    <n v="31500"/>
    <n v="3"/>
    <n v="1"/>
    <n v="1"/>
    <n v="1"/>
    <n v="6"/>
    <n v="0.16666666666666666"/>
    <n v="2500"/>
    <s v="NA"/>
    <s v="Oct"/>
    <n v="7"/>
    <s v="Same Day"/>
    <n v="0.93"/>
    <s v="DPO – Defect Per Opportunity"/>
    <s v="NA"/>
    <s v="NA"/>
    <s v="NA"/>
    <s v="NA"/>
    <s v="NA"/>
    <s v="NA"/>
    <s v="NA"/>
    <s v="NA"/>
    <s v="NA"/>
    <s v="NA"/>
    <s v="No"/>
    <s v="Adjuster &amp; inhouse team"/>
    <s v="Multiple"/>
    <s v="Structured"/>
    <s v="Mainframe: 100%_x000a_"/>
    <s v="N/A"/>
    <s v="Insured, Agencies, Brokers, Public Adjusters, Attorney, Claimant, Contractor, Lienholder, Relative"/>
    <s v="Outlook_x000a_Claim Form_x000a_Adobe Pro Access_x000a_AMIG Shared Drive_x000a_MS EXCEL_x000a_MS Teams_x000a_MS Word_x000a_8x8"/>
  </r>
  <r>
    <x v="2"/>
    <s v="US National Specialty Carrier"/>
    <x v="2"/>
    <x v="1"/>
    <x v="1"/>
    <s v="Jayant Verma"/>
    <n v="0.4"/>
    <x v="1"/>
    <x v="2"/>
    <x v="3"/>
    <s v="Premium Billing and Collections"/>
    <s v="Customer Service Chat"/>
    <s v="Customer service chat assists insurance agencies with billing and document requests through chat support."/>
    <x v="2"/>
    <x v="3"/>
    <s v="Auto, Home, Motor Cycle, Collector Vehicle, Watercraft, Manufactured/Mobile home"/>
    <s v="Small &amp; Mid Size"/>
    <x v="3"/>
    <s v="L2"/>
    <n v="2"/>
    <n v="3"/>
    <n v="12"/>
    <s v="FTE Based"/>
    <s v="USD"/>
    <n v="31500"/>
    <n v="10"/>
    <n v="2"/>
    <n v="1"/>
    <n v="4"/>
    <n v="17"/>
    <n v="0.23529411764705882"/>
    <n v="7000"/>
    <s v="NA"/>
    <s v="May-Oct"/>
    <n v="15.88"/>
    <s v="Same Day"/>
    <n v="0.9"/>
    <s v="DPO – Defect Per Opportunity"/>
    <s v="NA"/>
    <s v="NA"/>
    <s v="NA"/>
    <s v="NA"/>
    <s v="NA"/>
    <s v="NA"/>
    <s v="NA"/>
    <s v="NA"/>
    <s v="NA"/>
    <s v="NA"/>
    <s v="No"/>
    <s v="Agencies &amp; inhouse team"/>
    <s v="Multiple"/>
    <s v="Unstructured"/>
    <s v="Mainframe: 70%_x000a_Email: 30%_x000a_"/>
    <s v="N/A"/>
    <s v="Agencies"/>
    <s v="Modern Link_x000a_AMSuite_x000a_Outlook_x000a_8x8_x000a_Adobe Pro Access_x000a_Guidewire Claims Center _x000a_AMIG Shared Drive_x000a_MS EXCEL_x000a_MS Teams_x000a_MS Word_x000a_Training Digital Library_x000a_Agency Matrix Tool"/>
  </r>
  <r>
    <x v="21"/>
    <s v="Fortune 100 US P&amp;C Carrier"/>
    <x v="2"/>
    <x v="5"/>
    <x v="3"/>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x v="1"/>
    <x v="13"/>
    <s v="Homeowners"/>
    <s v="All"/>
    <x v="1"/>
    <s v="L3"/>
    <n v="1"/>
    <n v="3.5"/>
    <n v="1"/>
    <s v="FTE Based"/>
    <s v="USD"/>
    <n v="6187.5"/>
    <n v="7.5"/>
    <n v="0.5"/>
    <n v="1"/>
    <n v="2"/>
    <n v="11"/>
    <n v="0.18181818181818182"/>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x v="2"/>
    <x v="5"/>
    <x v="3"/>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x v="3"/>
    <x v="13"/>
    <s v="Commercial Auto, Business Owners Policy, Commercial Package, Workers Compensation, Professional Liability, Commercial Umbrella"/>
    <s v="All"/>
    <x v="1"/>
    <s v="L3"/>
    <n v="1"/>
    <n v="3.5"/>
    <n v="1"/>
    <s v="FTE Based"/>
    <s v="USD"/>
    <n v="6187.5"/>
    <n v="7.5"/>
    <n v="0.5"/>
    <n v="0.5"/>
    <n v="1.5"/>
    <n v="10"/>
    <n v="0.15"/>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x v="2"/>
    <x v="5"/>
    <x v="3"/>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x v="1"/>
    <x v="13"/>
    <s v="Homeowners"/>
    <s v="All"/>
    <x v="1"/>
    <s v="L3"/>
    <n v="1"/>
    <n v="3.5"/>
    <n v="1"/>
    <s v="FTE Based"/>
    <s v="USD"/>
    <n v="6187.5"/>
    <n v="7.5"/>
    <n v="0.5"/>
    <n v="0.5"/>
    <n v="1.5"/>
    <n v="10"/>
    <n v="0.15"/>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1"/>
    <s v="Fortune 100 US P&amp;C Carrier"/>
    <x v="2"/>
    <x v="5"/>
    <x v="3"/>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x v="3"/>
    <x v="13"/>
    <s v="Commercial Auto, Business Owners Policy, Commercial Package, Workers Compensation, Professional Liability, Commercial Umbrella"/>
    <s v="All"/>
    <x v="1"/>
    <s v="L3"/>
    <n v="1"/>
    <n v="3.5"/>
    <n v="1"/>
    <s v="FTE Based"/>
    <s v="USD"/>
    <n v="6187.5"/>
    <n v="7.5"/>
    <n v="0.5"/>
    <n v="1"/>
    <n v="2"/>
    <n v="11"/>
    <n v="0.18181818181818182"/>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2"/>
    <s v="Fortune 500 US P&amp;C Carrier"/>
    <x v="2"/>
    <x v="1"/>
    <x v="1"/>
    <s v="Jayant Verma"/>
    <n v="6.5"/>
    <x v="1"/>
    <x v="1"/>
    <x v="7"/>
    <s v="Document clinical info"/>
    <s v="Claim Completion"/>
    <s v="Reviews claims and requests additional information such as medicals, eligibility or employee demographics_x000a_Initial determination are being completed on or before 5th business day and  will follow through until 10th business day of the claim if insufficient information is received._x000a_Recertifies simple surgery claims beyond the last approved through date "/>
    <x v="3"/>
    <x v="3"/>
    <s v="STD, LTD"/>
    <s v="All"/>
    <x v="2"/>
    <s v="L3"/>
    <n v="2"/>
    <n v="6"/>
    <n v="5"/>
    <s v="FTE Based"/>
    <s v="USD"/>
    <n v="27469.702125"/>
    <n v="14"/>
    <n v="1.5"/>
    <n v="1"/>
    <n v="4.2899999999999991"/>
    <n v="20.79"/>
    <n v="0.20634920634920631"/>
    <n v="49000"/>
    <n v="49000"/>
    <s v="NA"/>
    <s v="4:00"/>
    <s v="TAT 1 - 95% Within 24 Hours_x000a_TAT 2 - 100% Within 48 Hours"/>
    <n v="0.96"/>
    <s v="DPO – Defect Per Opportunity"/>
    <s v="NA"/>
    <s v="NA"/>
    <s v="NA"/>
    <s v="NA"/>
    <s v="NA"/>
    <s v="NA"/>
    <s v="NA"/>
    <s v="NA"/>
    <s v="NA"/>
    <s v="NA"/>
    <s v="NA"/>
    <s v="Employer and Provider Contact queues_x000a_Disability Benefit Manager queues"/>
    <s v="Others"/>
    <s v="Unstructured"/>
    <s v="100% Unstructured"/>
    <s v="Others"/>
    <s v="medical providers, Employer, Employee"/>
    <s v="THAA, Genesys,CIT, CNS"/>
  </r>
  <r>
    <x v="22"/>
    <s v="Fortune 500 US P&amp;C Carrier"/>
    <x v="2"/>
    <x v="1"/>
    <x v="1"/>
    <s v="Jayant Verma"/>
    <n v="6.5"/>
    <x v="1"/>
    <x v="1"/>
    <x v="7"/>
    <s v="Document clinical info"/>
    <s v="Provider outreach "/>
    <s v="Obtain medical information from providers either though an outreach, fax request, mail request or medical systems_x000a_Reviews request directives from claim owners and requests information from health care providers_x000a_Reviews medical records and determines if adequate records have been received"/>
    <x v="3"/>
    <x v="3"/>
    <s v="STD, LTD"/>
    <s v="All"/>
    <x v="2"/>
    <s v="L3"/>
    <n v="2"/>
    <n v="5"/>
    <n v="4"/>
    <s v="FTE Based"/>
    <s v="USD"/>
    <n v="27469.702125"/>
    <n v="53.62"/>
    <n v="5"/>
    <n v="7"/>
    <n v="22.380000000000003"/>
    <n v="88"/>
    <n v="0.25431818181818183"/>
    <n v="56870"/>
    <n v="56870"/>
    <s v="NA"/>
    <s v="5:00"/>
    <n v="0.95"/>
    <n v="0.95"/>
    <s v="DPO – Defect Per Opportunity"/>
    <s v="NA"/>
    <s v="NA"/>
    <s v="NA"/>
    <s v="NA"/>
    <s v="NA"/>
    <s v="NA"/>
    <s v="NA"/>
    <s v="NA"/>
    <s v="NA"/>
    <s v="NA"/>
    <s v="NA"/>
    <s v="Provider Contact Queue"/>
    <s v="Others"/>
    <s v="Unstructured"/>
    <s v="100% Unstructured"/>
    <s v="Others"/>
    <s v="Ability Analysts"/>
    <s v="THAA, Genesys,CIT, CNS"/>
  </r>
  <r>
    <x v="22"/>
    <s v="Fortune 500 US P&amp;C Carrier"/>
    <x v="2"/>
    <x v="1"/>
    <x v="1"/>
    <s v="Jayant Verma"/>
    <n v="7"/>
    <x v="2"/>
    <x v="1"/>
    <x v="4"/>
    <s v="Loss/ Damage verification"/>
    <s v=" CCT Claims Inquiry"/>
    <s v="Inbound calls from Insured, Claimants, Auto Body Shop, Rental Companies, Medical Facility  (Doctors Office, Hospitals, Pharmacies), Attorney, Injured Employees._x000a_EXL Representative checks if bill has been received_x000a_EXL Rep provides status of bill in processing, adjuster information and check number. _x000a_EXL Rep advises provider how the bill was paid, and reviews notes if there was an update from the handler_x000a_If provider disputes payment, EXL Rep sends bill for review or suggests a written appeal_x000a_Caller was informed  that he/ she will be transferred to  the claim adjuster or to the appropriate department that will be giving resolution to their concern_x000a_"/>
    <x v="6"/>
    <x v="1"/>
    <s v="Auto"/>
    <s v="All"/>
    <x v="1"/>
    <s v="L3"/>
    <n v="2"/>
    <n v="5"/>
    <n v="4"/>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15"/>
    <x v="1"/>
    <x v="1"/>
    <x v="4"/>
    <s v="Inquiry calls from providers (medical bill review; bill intake; medical billing form and payment)"/>
    <s v="Provider service"/>
    <s v="This Customer Service group, working in a call center environment, is responsible for responding to Providers medical billing, and payment status inquiries and sending of list of Providers, hospitals or specialty providers to the callers via email"/>
    <x v="3"/>
    <x v="5"/>
    <s v="WC"/>
    <s v="All"/>
    <x v="1"/>
    <s v="L3"/>
    <n v="2"/>
    <n v="6"/>
    <n v="4"/>
    <s v="FTE Based"/>
    <s v="USD"/>
    <n v="29726.493749999998"/>
    <n v="14.65"/>
    <n v="1.5"/>
    <n v="1"/>
    <n v="3.3499999999999996"/>
    <n v="20.5"/>
    <n v="0.16341463414634144"/>
    <n v="15600"/>
    <n v="15600"/>
    <s v="NA"/>
    <n v="4.3"/>
    <s v="NA"/>
    <n v="0.98"/>
    <s v="DPO – Defect Per Opportunity"/>
    <s v="TSF"/>
    <s v="NA"/>
    <s v="NA"/>
    <s v="NA"/>
    <s v="NA"/>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x v="22"/>
    <s v="Fortune 500 US P&amp;C Carrier"/>
    <x v="2"/>
    <x v="1"/>
    <x v="1"/>
    <s v="Jayant Verma"/>
    <n v="2.1"/>
    <x v="2"/>
    <x v="1"/>
    <x v="1"/>
    <s v="First Notice of Loss Calls"/>
    <s v="CCT WC FNOL"/>
    <s v="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
    <x v="3"/>
    <x v="5"/>
    <s v="WC"/>
    <s v="All"/>
    <x v="1"/>
    <s v="L3"/>
    <n v="2"/>
    <n v="6"/>
    <n v="8"/>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2.1"/>
    <x v="2"/>
    <x v="1"/>
    <x v="4"/>
    <s v="Inquiry calls from providers (medical bill review; bill intake; medical billing form and payment)"/>
    <s v="CCT WC Claim Inquiry"/>
    <s v="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
    <x v="3"/>
    <x v="5"/>
    <s v="WC"/>
    <s v="All"/>
    <x v="1"/>
    <s v="L3"/>
    <n v="2"/>
    <n v="6"/>
    <n v="4"/>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5"/>
    <x v="2"/>
    <x v="1"/>
    <x v="4"/>
    <s v="Inquiry calls from providers (medical bill review; bill intake; medical billing form and payment)"/>
    <s v="Web portal response "/>
    <s v="Nurse responds to member &amp; employer queries via email._x000a_EXL nurse will relay member requests to claim managers._x000a_Sending out paperwork for the members to fill out._x000a_"/>
    <x v="3"/>
    <x v="3"/>
    <s v="Disability"/>
    <s v="All"/>
    <x v="3"/>
    <s v="L3"/>
    <n v="2"/>
    <n v="5"/>
    <n v="6"/>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5"/>
    <x v="1"/>
    <x v="1"/>
    <x v="4"/>
    <s v="Inquiry calls from providers (medical bill review; bill intake; medical billing form and payment)"/>
    <s v="Group Benefits Claim Contact Center"/>
    <s v="Responds to member, employe, provider and other third-party caller queries._x000a_Informing the caller of the claim status_x000a_The Agent will relay member requests to claim managers._x000a_Sending out paperwork for the members or providers to fill out._x000a_Filing of absences, updating the employee’s demographics, documenting new claim information, providing payment details,  transferring to dedicated departments, IVR or Claim Owners_x000a_Assisting in online portal registration"/>
    <x v="3"/>
    <x v="3"/>
    <s v="STD, LTD, Absence Management. FMLA"/>
    <s v="All"/>
    <x v="1"/>
    <s v="L3"/>
    <n v="2"/>
    <n v="5"/>
    <n v="8"/>
    <s v="FTE Based"/>
    <s v="USD"/>
    <n v="29726.493749999998"/>
    <n v="117"/>
    <n v="12"/>
    <n v="14"/>
    <n v="25"/>
    <n v="168"/>
    <n v="0.14880952380952381"/>
    <n v="128000"/>
    <n v="128000"/>
    <s v="NA"/>
    <s v="TBD"/>
    <s v="NA"/>
    <n v="0.76"/>
    <s v="Others"/>
    <s v="Schedule Adherence - 92% _x000a_Transfer - 20%_x000a_Post Call Survey_x000a_Customer Effort - 89%_x000a_Customer Satisfaction - 87%"/>
    <s v="NA"/>
    <s v="NA"/>
    <s v="NA"/>
    <s v="NA"/>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x v="22"/>
    <s v="Fortune 500 US P&amp;C Carrier"/>
    <x v="2"/>
    <x v="1"/>
    <x v="1"/>
    <s v="Jayant Verma"/>
    <n v="6.5"/>
    <x v="1"/>
    <x v="1"/>
    <x v="4"/>
    <s v="Inquiry calls from providers (medical bill review; bill intake; medical billing form and payment)"/>
    <s v="GB Nurse Review"/>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x v="3"/>
    <x v="3"/>
    <s v="STD, LTD"/>
    <s v="All"/>
    <x v="2"/>
    <s v="L3"/>
    <n v="2"/>
    <n v="14"/>
    <n v="3"/>
    <s v="FTE Based"/>
    <s v="USD"/>
    <n v="31218.75"/>
    <n v="3.15"/>
    <n v="1"/>
    <n v="1"/>
    <n v="3"/>
    <n v="8.15"/>
    <n v="0.36809815950920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s v="NA"/>
    <s v="NA"/>
    <s v="NA"/>
    <s v="NA"/>
    <s v="NA"/>
    <s v="NA"/>
    <s v="NA"/>
    <s v="Ability Analyst, Appeals Analyst"/>
    <s v="Others"/>
    <s v="Structured"/>
    <s v="100% Structured"/>
    <s v="Others"/>
    <s v="Ability Analyst, Appeals Analyst"/>
    <s v="THAA, ODG"/>
  </r>
  <r>
    <x v="22"/>
    <s v="Fortune 500 US P&amp;C Carrier"/>
    <x v="2"/>
    <x v="1"/>
    <x v="1"/>
    <s v="Jayant Verma"/>
    <n v="5"/>
    <x v="1"/>
    <x v="1"/>
    <x v="4"/>
    <s v="Inquiry calls from providers (medical bill review; bill intake; medical billing form and payment)"/>
    <s v="GB Clinical Intake"/>
    <s v="Assists in initiation of disability and/or leave claims via telephonic intake. CCNs utilize their clinical knowledge to begin the claim evaluation process as well as provide insight into the claimant's clinical status and their ability to perform job duties._x000a_"/>
    <x v="3"/>
    <x v="3"/>
    <s v="STD"/>
    <s v="All"/>
    <x v="1"/>
    <s v="L3"/>
    <n v="1"/>
    <n v="7"/>
    <n v="10"/>
    <s v="FTE Based"/>
    <s v="USD"/>
    <n v="29726.493749999998"/>
    <n v="15"/>
    <n v="4"/>
    <n v="2"/>
    <n v="6"/>
    <n v="27"/>
    <n v="0.22222222222222221"/>
    <n v="7000"/>
    <n v="7000"/>
    <s v="NA"/>
    <n v="16"/>
    <s v="NA"/>
    <n v="0.76"/>
    <s v="Others"/>
    <s v="Schedule Adherence - 92% _x000a_Transfer - 20%_x000a_Post Call Survey_x000a_Customer Effort - 89%_x000a_Customer Satisfaction - 87%"/>
    <s v="NA"/>
    <s v="NA"/>
    <s v="NA"/>
    <s v="NA"/>
    <s v="NA"/>
    <s v="NA"/>
    <s v="NA"/>
    <s v="NA"/>
    <s v="NA"/>
    <s v="NA"/>
    <s v="Claimants, Employers"/>
    <s v="Others"/>
    <s v="Unstructured"/>
    <s v="100% Unstructured"/>
    <s v="Others"/>
    <s v="Claimants, Employers"/>
    <s v="THAA, C3PO, KMT, CIT"/>
  </r>
  <r>
    <x v="22"/>
    <s v="Fortune 500 US P&amp;C Carrier"/>
    <x v="2"/>
    <x v="1"/>
    <x v="1"/>
    <s v="Jayant Verma"/>
    <n v="15"/>
    <x v="1"/>
    <x v="1"/>
    <x v="7"/>
    <s v="IME Scheduling"/>
    <s v="IME Scheduling"/>
    <s v="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
    <x v="3"/>
    <x v="5"/>
    <s v="WC"/>
    <s v="All"/>
    <x v="2"/>
    <s v="L2"/>
    <n v="2"/>
    <n v="4"/>
    <n v="4"/>
    <s v="FTE Based"/>
    <s v="USD"/>
    <n v="27469.702125"/>
    <n v="1.85"/>
    <n v="0"/>
    <n v="0"/>
    <n v="1"/>
    <n v="2.85"/>
    <n v="0.35087719298245612"/>
    <n v="680"/>
    <n v="680"/>
    <s v="NA"/>
    <s v="IME Non - NY 11.68_x000a_IME NY - 38.61_x000a_CA Med Appt - 63.85"/>
    <n v="0.95"/>
    <n v="0.95"/>
    <s v="Others"/>
    <s v="NA"/>
    <s v="NA"/>
    <s v="NA"/>
    <s v="NA"/>
    <s v="NA"/>
    <s v="NA"/>
    <s v="NA"/>
    <s v="NA"/>
    <s v="NA"/>
    <s v="NA"/>
    <s v="NA"/>
    <s v="Claim Handler, Claim Adjuster"/>
    <s v="Others"/>
    <s v="Unstructured"/>
    <s v="100% Unstructured"/>
    <s v="Others"/>
    <s v="Vendor, Claim Handler and Claim Adjuster"/>
    <s v="ECOS, EDM,Talispoint"/>
  </r>
  <r>
    <x v="22"/>
    <s v="Fortune 500 US P&amp;C Carrier"/>
    <x v="2"/>
    <x v="1"/>
    <x v="1"/>
    <s v="Jayant Verma"/>
    <n v="15"/>
    <x v="1"/>
    <x v="1"/>
    <x v="7"/>
    <s v="Utilization Review"/>
    <s v="UR - ICR"/>
    <s v="The process involves review of medical records to determine the appropriateness of the treatment rendered or to be rendered to the insured"/>
    <x v="3"/>
    <x v="5"/>
    <s v="WC"/>
    <s v="All"/>
    <x v="2"/>
    <s v="L4"/>
    <n v="2"/>
    <n v="8"/>
    <n v="4"/>
    <s v="FTE Based"/>
    <s v="USD"/>
    <n v="31218.75"/>
    <n v="26.95"/>
    <n v="8"/>
    <n v="3"/>
    <n v="15"/>
    <n v="52.95"/>
    <n v="0.28328611898016998"/>
    <n v="4700"/>
    <n v="4700"/>
    <s v="NA"/>
    <n v="42.38"/>
    <s v="95% - 1 DAY_x000a_TAT 2 - 95% - 2 days (2-3 days state)_x000a_TAT3 - 98% - 7-10 days"/>
    <n v="0.96"/>
    <s v="Others"/>
    <s v="NA"/>
    <s v="NA"/>
    <s v="NA"/>
    <s v="NA"/>
    <s v="NA"/>
    <s v="NA"/>
    <s v="NA"/>
    <s v="NA"/>
    <s v="NA"/>
    <s v="NA"/>
    <s v="NA"/>
    <s v="Claim Handler, Claim Adjuster"/>
    <s v="Others"/>
    <s v="Unstructured"/>
    <s v="100% Unstructured"/>
    <s v="Others"/>
    <s v="Vendor, Claim Handler and Claim Adjuster"/>
    <s v="ECOS, EDM,Talispoint, RS, Genesys"/>
  </r>
  <r>
    <x v="22"/>
    <s v="Fortune 500 US P&amp;C Carrier"/>
    <x v="2"/>
    <x v="1"/>
    <x v="1"/>
    <s v="Jayant Verma"/>
    <n v="15"/>
    <x v="1"/>
    <x v="1"/>
    <x v="7"/>
    <s v="Determine assignment"/>
    <s v="UR - URC"/>
    <s v="The process involves review of medical records to determine the appropriateness of the treatment rendered or to be rendered to the insured"/>
    <x v="3"/>
    <x v="5"/>
    <s v="WC"/>
    <s v="All"/>
    <x v="2"/>
    <s v="L3"/>
    <n v="2"/>
    <n v="8"/>
    <n v="4"/>
    <s v="FTE Based"/>
    <s v="USD"/>
    <n v="29726.493749999998"/>
    <n v="4"/>
    <n v="1"/>
    <n v="1"/>
    <n v="4"/>
    <n v="10"/>
    <n v="0.4"/>
    <n v="8900"/>
    <n v="8900"/>
    <s v="NA"/>
    <n v="4.38"/>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11"/>
    <x v="1"/>
    <x v="1"/>
    <x v="7"/>
    <s v="Case Management of File "/>
    <s v="Clinical Case Management Support"/>
    <s v="Associates are to prepare fax with list of tasks provided by the Case Manager to be sent to the Clinical / Medical Provider. After sending the fax, the support team will contact Clinical / Medical Providers office to ensure receipt of fax. "/>
    <x v="3"/>
    <x v="5"/>
    <s v="WC"/>
    <s v="All"/>
    <x v="2"/>
    <s v="L3"/>
    <n v="2"/>
    <n v="6"/>
    <n v="4"/>
    <s v="FTE Based"/>
    <s v="USD"/>
    <n v="27469.702125"/>
    <n v="5"/>
    <n v="0"/>
    <n v="1"/>
    <n v="2"/>
    <n v="8"/>
    <n v="0.25"/>
    <n v="13400"/>
    <n v="13400"/>
    <s v="NA"/>
    <s v="Correspondence - 3.00_x000a_Outbound calls - 4.33"/>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8"/>
    <x v="1"/>
    <x v="1"/>
    <x v="7"/>
    <s v="Determine assignment"/>
    <s v="Drug Review Coordinator"/>
    <s v="Drug Review is the determination of medical necessity and appropriateness of Drug treatment using clinical based guidelines. "/>
    <x v="3"/>
    <x v="5"/>
    <s v="WC"/>
    <s v="All"/>
    <x v="2"/>
    <s v="L3"/>
    <n v="2"/>
    <n v="6"/>
    <n v="6"/>
    <s v="FTE Based"/>
    <s v="USD"/>
    <n v="29726.493749999998"/>
    <n v="1.3"/>
    <n v="0"/>
    <n v="0"/>
    <n v="0.7"/>
    <n v="2"/>
    <n v="0.35"/>
    <n v="2200"/>
    <n v="2200"/>
    <s v="NA"/>
    <n v="4.38"/>
    <s v="TAT Referrals 95%_x000a_TAT Referrals (Retro Review/Paper Bills) - 98.50%"/>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4"/>
    <x v="1"/>
    <x v="1"/>
    <x v="7"/>
    <s v="Peer Review &amp; support"/>
    <s v="Peer Review Referral and _x000a_(“IME”) Vendor Coordinator"/>
    <s v="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
    <x v="3"/>
    <x v="3"/>
    <s v="STD, LTD"/>
    <s v="All"/>
    <x v="3"/>
    <s v="L3"/>
    <n v="1"/>
    <n v="3"/>
    <n v="3"/>
    <s v="FTE Based"/>
    <s v="USD"/>
    <n v="27469.702125"/>
    <n v="5.5"/>
    <n v="1"/>
    <n v="1"/>
    <n v="2"/>
    <n v="9.5"/>
    <n v="0.21052631578947367"/>
    <n v="80000"/>
    <n v="80000"/>
    <s v="NA"/>
    <s v="TBD"/>
    <n v="0.95"/>
    <n v="0.95"/>
    <s v="Others"/>
    <s v="NA"/>
    <s v="NA"/>
    <s v="NA"/>
    <s v="NA"/>
    <s v="NA"/>
    <s v="NA"/>
    <s v="NA"/>
    <s v="NA"/>
    <s v="NA"/>
    <s v="NA"/>
    <s v="NA"/>
    <s v="Ability Analyst, Appeals Analyst"/>
    <s v="Others"/>
    <s v="Unstructured"/>
    <s v="100% Unstructured"/>
    <s v="Others"/>
    <s v="Ability Analyst, Appeals Analyst, Vendor"/>
    <s v="THAA, DCS, Talispoint, Vendor SharePoint, KMT"/>
  </r>
  <r>
    <x v="22"/>
    <s v="Fortune 500 US P&amp;C Carrier"/>
    <x v="2"/>
    <x v="1"/>
    <x v="1"/>
    <s v="Jayant Verma"/>
    <n v="4"/>
    <x v="1"/>
    <x v="1"/>
    <x v="7"/>
    <s v="Determine assignment"/>
    <s v="GB Clinical Referral Assignment"/>
    <s v="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
    <x v="3"/>
    <x v="3"/>
    <s v="STD, LTD"/>
    <s v="All"/>
    <x v="3"/>
    <s v="L3"/>
    <n v="1"/>
    <n v="3"/>
    <n v="3"/>
    <s v="FTE Based"/>
    <s v="USD"/>
    <n v="27469.702125"/>
    <n v="3"/>
    <n v="0"/>
    <n v="0"/>
    <n v="2"/>
    <n v="5"/>
    <n v="0.4"/>
    <n v="19060"/>
    <n v="19060"/>
    <s v="NA"/>
    <s v="TBD"/>
    <n v="0.95"/>
    <n v="0.95"/>
    <s v="Others"/>
    <s v="NA"/>
    <s v="NA"/>
    <s v="NA"/>
    <s v="NA"/>
    <s v="NA"/>
    <s v="NA"/>
    <s v="NA"/>
    <s v="NA"/>
    <s v="NA"/>
    <s v="NA"/>
    <s v="NA"/>
    <s v="MCM's BHCM. VCM"/>
    <s v="Others"/>
    <s v="Structured"/>
    <s v="100% Structured"/>
    <s v="Others"/>
    <s v="MCM's BHCM. VCM"/>
    <s v="THAA"/>
  </r>
  <r>
    <x v="22"/>
    <s v="Fortune 500 US P&amp;C Carrier"/>
    <x v="2"/>
    <x v="1"/>
    <x v="1"/>
    <s v="Jayant Verma"/>
    <n v="1.3"/>
    <x v="1"/>
    <x v="1"/>
    <x v="1"/>
    <s v="Claim Setup and assignment"/>
    <s v="History and Takeover"/>
    <s v="History and Takeover (H&amp;T) describes the process in which past FMLA/LOA absences from prior carrier/customers are added to client’s systems. These absences are loaded to allow client’s system’s to appropriately calculate available leave balances for future requests."/>
    <x v="3"/>
    <x v="3"/>
    <s v="STD, LTD, Absence Management. FMLA"/>
    <s v="All"/>
    <x v="3"/>
    <s v="L3"/>
    <n v="2"/>
    <n v="3"/>
    <n v="8"/>
    <s v="FTE Based"/>
    <s v="USD"/>
    <n v="29726.493749999998"/>
    <n v="2.5"/>
    <n v="1"/>
    <n v="1"/>
    <n v="3"/>
    <n v="7.5"/>
    <n v="0.4"/>
    <s v="TBD"/>
    <s v="TBD"/>
    <s v="NA"/>
    <s v="TBD"/>
    <s v="TBD"/>
    <n v="0.98"/>
    <s v="Others"/>
    <s v="TBD"/>
    <s v="TBD"/>
    <s v="NA"/>
    <s v="NA"/>
    <s v="NA"/>
    <s v="NA"/>
    <s v="NA"/>
    <s v="NA"/>
    <s v="NA"/>
    <s v="NA"/>
    <s v="NA"/>
    <s v="Policy Holder, Onshore Implementation team"/>
    <s v="Excel"/>
    <s v="Structured"/>
    <s v="100% Structured"/>
    <s v="Multiple"/>
    <s v="Ability Analyst, Claimants"/>
    <s v="THAA, LMS, CIT"/>
  </r>
  <r>
    <x v="22"/>
    <s v="Fortune 500 US P&amp;C Carrier"/>
    <x v="2"/>
    <x v="1"/>
    <x v="1"/>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x v="1"/>
    <x v="3"/>
    <s v="Personal and commercial &amp; WC"/>
    <s v="Large"/>
    <x v="1"/>
    <s v="L2"/>
    <n v="2"/>
    <n v="12"/>
    <n v="16"/>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4"/>
    <x v="1"/>
    <x v="1"/>
    <x v="4"/>
    <s v="Inquiry calls from providers (medical bill review; bill intake; medical billing form and payment)"/>
    <s v="GB Leave Management"/>
    <s v="Leave Management (LM) is the process in which a Group Benefits (GB) Analysts manages leave of absence benefits for an employer (client’s customer/client/insured). The main benefit is called the FMLA (Family Medical Leave Act). The analysts also manages State and Employer Sponsored benefits. "/>
    <x v="3"/>
    <x v="3"/>
    <s v=" Absence Management. FMLA"/>
    <s v="All"/>
    <x v="1"/>
    <s v="L4"/>
    <n v="1"/>
    <n v="9"/>
    <n v="12"/>
    <s v="FTE Based"/>
    <s v="USD"/>
    <n v="29726.493749999998"/>
    <n v="101"/>
    <n v="18"/>
    <n v="9"/>
    <n v="25"/>
    <n v="153"/>
    <n v="0.16339869281045752"/>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s v="NA"/>
    <s v="NA"/>
    <s v="NA"/>
    <s v="NA"/>
    <s v="NA"/>
    <s v="NA"/>
    <s v="NA"/>
    <s v="Tasks received from the client system"/>
    <s v="Others"/>
    <s v="Unstructured"/>
    <s v="100% Structured"/>
    <s v="Others"/>
    <s v="Employers, Employees, Plan Sponsors"/>
    <s v="THAA, C3PO, KMT, CIT"/>
  </r>
  <r>
    <x v="22"/>
    <s v="Fortune 500 US P&amp;C Carrier"/>
    <x v="2"/>
    <x v="1"/>
    <x v="1"/>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x v="3"/>
    <x v="3"/>
    <s v="Personal and commercial &amp; WC"/>
    <s v="Large"/>
    <x v="1"/>
    <s v="L2"/>
    <n v="2"/>
    <n v="12"/>
    <n v="16"/>
    <s v="FTE Based"/>
    <s v="USD"/>
    <n v="0"/>
    <n v="0"/>
    <n v="0"/>
    <n v="0"/>
    <n v="0"/>
    <n v="0"/>
    <e v="#DIV/0!"/>
    <n v="0"/>
    <n v="0"/>
    <s v="NA"/>
    <s v="NA"/>
    <s v="NA"/>
    <s v="NA"/>
    <s v="Others"/>
    <s v="NA"/>
    <s v="NA"/>
    <s v="NA"/>
    <s v="NA"/>
    <s v="NA"/>
    <s v="NA"/>
    <s v="NA"/>
    <s v="NA"/>
    <s v="NA"/>
    <s v="NA"/>
    <s v="NA"/>
    <s v="NA"/>
    <s v="NA"/>
    <s v="NA"/>
    <s v="NA"/>
    <s v="NA"/>
    <s v="NA"/>
    <s v="NA"/>
  </r>
  <r>
    <x v="22"/>
    <s v="Fortune 500 US P&amp;C Carrier"/>
    <x v="2"/>
    <x v="4"/>
    <x v="2"/>
    <s v="Rajit C"/>
    <n v="12"/>
    <x v="1"/>
    <x v="1"/>
    <x v="9"/>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5"/>
    <s v="WC"/>
    <s v="All"/>
    <x v="3"/>
    <s v="L3"/>
    <n v="2"/>
    <n v="4"/>
    <n v="4"/>
    <s v="FTE Based"/>
    <s v="USD"/>
    <n v="20485.54"/>
    <n v="2.96"/>
    <n v="0"/>
    <n v="0"/>
    <n v="0.28800000000000003"/>
    <n v="3.2480000000000002"/>
    <n v="8.8669950738916259E-2"/>
    <n v="3100"/>
    <s v="64% Workers Comp"/>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2"/>
    <x v="1"/>
    <x v="1"/>
    <x v="9"/>
    <s v="Bill Payment (Medical Legal, Non Medical, Vendor)"/>
    <s v="MedOps Payment Correction- Auto"/>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1"/>
    <s v="Auto"/>
    <s v="All"/>
    <x v="3"/>
    <s v="L3"/>
    <n v="2"/>
    <n v="4"/>
    <n v="4"/>
    <s v="FTE Based"/>
    <s v="USD"/>
    <n v="20485.54"/>
    <n v="1.1399999999999999"/>
    <n v="0"/>
    <n v="0"/>
    <n v="0.108"/>
    <n v="1.248"/>
    <n v="8.6538461538461536E-2"/>
    <n v="1200"/>
    <s v="25% Commercial Auto"/>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2"/>
    <x v="1"/>
    <x v="1"/>
    <x v="9"/>
    <s v="Bill Payment (Medical Legal, Non Medical, Vendor)"/>
    <s v="MedOps Payment Correction- Property"/>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2"/>
    <s v="Property"/>
    <s v="All"/>
    <x v="3"/>
    <s v="L3"/>
    <n v="2"/>
    <n v="4"/>
    <n v="4"/>
    <s v="FTE Based"/>
    <s v="USD"/>
    <n v="20485.54"/>
    <n v="0.45"/>
    <n v="0"/>
    <n v="0"/>
    <n v="4.9500000000000002E-2"/>
    <n v="0.4995"/>
    <n v="9.90990990990991E-2"/>
    <n v="540"/>
    <s v="11% Commercial Property"/>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x v="3"/>
    <x v="5"/>
    <s v="WC"/>
    <s v="All"/>
    <x v="3"/>
    <s v="L2"/>
    <n v="2"/>
    <n v="4"/>
    <n v="8"/>
    <s v="FTE Based"/>
    <s v="USD"/>
    <n v="20485.54"/>
    <n v="3.82"/>
    <n v="0"/>
    <n v="0"/>
    <n v="1.1800000000000002"/>
    <n v="5"/>
    <n v="0.23600000000000004"/>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x v="22"/>
    <s v="Fortune 500 US P&amp;C Carrier"/>
    <x v="2"/>
    <x v="4"/>
    <x v="2"/>
    <s v="Rajit C"/>
    <n v="16"/>
    <x v="1"/>
    <x v="1"/>
    <x v="9"/>
    <s v="Medical Bill Review and Repricing"/>
    <s v="WC - Payment Processing"/>
    <s v="Team issue non medical expense payments to vendors and  mileage payments to claimant based on the state mileage rates"/>
    <x v="3"/>
    <x v="5"/>
    <s v="WC"/>
    <s v="All"/>
    <x v="3"/>
    <s v="L3"/>
    <n v="2"/>
    <n v="4"/>
    <n v="8"/>
    <s v="FTE Based"/>
    <s v="USD"/>
    <n v="20485.54"/>
    <n v="6.16"/>
    <n v="2"/>
    <n v="1"/>
    <n v="0.83999999999999986"/>
    <n v="10"/>
    <n v="8.3999999999999991E-2"/>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x v="22"/>
    <s v="Fortune 500 US P&amp;C Carrier"/>
    <x v="2"/>
    <x v="4"/>
    <x v="2"/>
    <s v="Rajit C"/>
    <n v="14"/>
    <x v="1"/>
    <x v="1"/>
    <x v="4"/>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x v="3"/>
    <x v="5"/>
    <s v="WC"/>
    <s v="All"/>
    <x v="3"/>
    <s v="L3"/>
    <n v="2"/>
    <n v="4"/>
    <n v="8"/>
    <s v="FTE Based"/>
    <s v="USD"/>
    <n v="20485.54"/>
    <n v="5.45"/>
    <n v="1"/>
    <n v="0"/>
    <n v="0.54999999999999982"/>
    <n v="7"/>
    <n v="7.8571428571428542E-2"/>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x v="22"/>
    <s v="Fortune 500 US P&amp;C Carrier"/>
    <x v="2"/>
    <x v="4"/>
    <x v="2"/>
    <s v="Rajit C"/>
    <n v="16"/>
    <x v="1"/>
    <x v="1"/>
    <x v="9"/>
    <s v="Medical Bill Entry &amp; Review"/>
    <s v="  Error Correction_Person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1"/>
    <x v="1"/>
    <s v="Auto"/>
    <s v="All"/>
    <x v="3"/>
    <s v="L3"/>
    <n v="2"/>
    <n v="16"/>
    <n v="20"/>
    <s v="FTE Based"/>
    <s v="USD"/>
    <n v="20485.54"/>
    <n v="3.16"/>
    <n v="0.66"/>
    <n v="0.33"/>
    <n v="1.0824"/>
    <n v="5.2324000000000002"/>
    <n v="0.20686491858420611"/>
    <n v="9100"/>
    <s v="33% Person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Person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1"/>
    <x v="2"/>
    <s v="Property"/>
    <s v="All"/>
    <x v="3"/>
    <s v="L3"/>
    <n v="2"/>
    <n v="16"/>
    <n v="20"/>
    <s v="FTE Based"/>
    <s v="USD"/>
    <n v="20485.54"/>
    <n v="0.97"/>
    <n v="0.2"/>
    <n v="0.1"/>
    <n v="0.32800000000000001"/>
    <n v="1.5980000000000001"/>
    <n v="0.20525657071339173"/>
    <n v="2800"/>
    <s v="10% Person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Commerci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1"/>
    <s v="Auto"/>
    <s v="All"/>
    <x v="3"/>
    <s v="L3"/>
    <n v="2"/>
    <n v="16"/>
    <n v="20"/>
    <s v="FTE Based"/>
    <s v="USD"/>
    <n v="20485.54"/>
    <n v="3.16"/>
    <n v="0.66"/>
    <n v="0.33"/>
    <n v="1.0824"/>
    <n v="5.2324000000000002"/>
    <n v="0.20686491858420611"/>
    <n v="9100"/>
    <s v="33% commerci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Commerci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2"/>
    <s v="Property"/>
    <s v="All"/>
    <x v="3"/>
    <s v="L3"/>
    <n v="2"/>
    <n v="16"/>
    <n v="20"/>
    <s v="FTE Based"/>
    <s v="USD"/>
    <n v="20485.54"/>
    <n v="0.97"/>
    <n v="0.2"/>
    <n v="0.1"/>
    <n v="0.32800000000000001"/>
    <n v="1.5980000000000001"/>
    <n v="0.20525657071339173"/>
    <n v="2800"/>
    <s v="10% Commerci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General Liabili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15"/>
    <s v="General Liability"/>
    <s v="All"/>
    <x v="3"/>
    <s v="L3"/>
    <n v="2"/>
    <n v="16"/>
    <n v="20"/>
    <s v="FTE Based"/>
    <s v="USD"/>
    <n v="20485.54"/>
    <n v="0.2"/>
    <n v="0.04"/>
    <n v="0.2"/>
    <n v="6.5599999999999992E-2"/>
    <n v="0.50560000000000005"/>
    <n v="0.12974683544303794"/>
    <n v="560"/>
    <s v="2% General Libili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5"/>
    <s v="WC"/>
    <s v="All"/>
    <x v="3"/>
    <s v="L3"/>
    <n v="2"/>
    <n v="16"/>
    <n v="20"/>
    <s v="FTE Based"/>
    <s v="USD"/>
    <n v="20485.54"/>
    <n v="1.26"/>
    <n v="0.26"/>
    <n v="0.13"/>
    <n v="0.4264"/>
    <n v="2.0764"/>
    <n v="0.2053554228472356"/>
    <n v="3640"/>
    <s v="13% Workers Comp"/>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4"/>
    <s v="Coverage Verification"/>
    <s v="PL Coverage Verification_Personal Auto"/>
    <s v="Team Investigates / verifies coverage issues raised by the claim handlers for personal auto claims. Team validates the coverages for the date of loss and provides the required claim related documents to the claim handlers. "/>
    <x v="1"/>
    <x v="1"/>
    <s v="Auto"/>
    <s v="All"/>
    <x v="3"/>
    <s v="L3"/>
    <n v="2"/>
    <n v="16"/>
    <n v="16"/>
    <s v="FTE Based"/>
    <s v="USD"/>
    <n v="20485.54"/>
    <n v="4.6960000000000006"/>
    <n v="0.9"/>
    <n v="0.45"/>
    <n v="1.7039999999999997"/>
    <n v="7.7500000000000009"/>
    <n v="0.21987096774193543"/>
    <n v="2080"/>
    <s v="80% Auto"/>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16"/>
    <x v="1"/>
    <x v="1"/>
    <x v="4"/>
    <s v="Coverage Verification"/>
    <s v="PL Coverage Verification_Personal Property"/>
    <s v="Team Investigates / verifies coverage issues raised by the claim handlers for personal Property claims. Team validates the coverages for the date of loss and provides the required claim related documents to the claim handlers. "/>
    <x v="1"/>
    <x v="2"/>
    <s v="Property"/>
    <s v="All"/>
    <x v="3"/>
    <s v="L3"/>
    <n v="2"/>
    <n v="16"/>
    <n v="16"/>
    <s v="FTE Based"/>
    <s v="USD"/>
    <n v="20485.54"/>
    <n v="0.88049999999999995"/>
    <n v="0.75"/>
    <n v="0.375"/>
    <n v="0.31950000000000001"/>
    <n v="2.3250000000000002"/>
    <n v="0.13741935483870968"/>
    <n v="260"/>
    <s v="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16"/>
    <x v="1"/>
    <x v="1"/>
    <x v="4"/>
    <s v="Coverage Verification"/>
    <s v="PL Coverage Verification_Home Liability (HL)"/>
    <s v="Team Investigates / verifies coverage issues raised by the claim handlers for Home Liability claims. Team validates the coverages for the date of loss and provides the required claim related documents to the claim handlers. "/>
    <x v="1"/>
    <x v="2"/>
    <s v="Property"/>
    <s v="All"/>
    <x v="3"/>
    <s v="L3"/>
    <n v="2"/>
    <n v="16"/>
    <n v="16"/>
    <s v="FTE Based"/>
    <s v="USD"/>
    <n v="20485.54"/>
    <n v="0.29350000000000004"/>
    <n v="0.35"/>
    <n v="0.17499999999999999"/>
    <n v="0.10649999999999998"/>
    <n v="0.92500000000000004"/>
    <n v="0.11513513513513511"/>
    <n v="52"/>
    <s v="5% Home Liabili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9"/>
    <x v="1"/>
    <x v="1"/>
    <x v="7"/>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x v="3"/>
    <x v="5"/>
    <s v="WC"/>
    <s v="All"/>
    <x v="3"/>
    <s v="L4"/>
    <n v="2"/>
    <n v="4"/>
    <n v="8"/>
    <s v="FTE Based"/>
    <s v="USD"/>
    <n v="26504.92"/>
    <n v="0.74"/>
    <n v="0"/>
    <n v="0"/>
    <n v="0.26"/>
    <n v="1"/>
    <n v="0.26"/>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x v="22"/>
    <s v="Fortune 500 US P&amp;C Carrier"/>
    <x v="2"/>
    <x v="4"/>
    <x v="2"/>
    <s v="Rajit C"/>
    <n v="16"/>
    <x v="1"/>
    <x v="1"/>
    <x v="9"/>
    <s v="Bill Payment (Medical Legal, Non Medical, Vendor)"/>
    <s v="APG Payment Processing_Personal Auto"/>
    <s v="EXL team verifies the Invoices received from different third party vendors and issue payments basis fee schedule.  Bills are paid to adjusters for the expenses they incur for visiting loss location to estimate gross value. "/>
    <x v="1"/>
    <x v="1"/>
    <s v="Auto"/>
    <s v="All"/>
    <x v="3"/>
    <s v="L3"/>
    <n v="2"/>
    <n v="3"/>
    <n v="8"/>
    <s v="FTE Based"/>
    <s v="USD"/>
    <n v="20485.54"/>
    <n v="4.03"/>
    <n v="0.5"/>
    <n v="0"/>
    <n v="0.34"/>
    <n v="4.87"/>
    <n v="6.9815195071868591E-2"/>
    <n v="8043"/>
    <s v="50% Person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Personal Property"/>
    <s v="EXL team verifies the Invoices received from different third party vendors and issue payments basis fee schedule.  Bills are paid to adjusters for the expenses they incur for visiting loss location to estimate gross value. "/>
    <x v="1"/>
    <x v="2"/>
    <s v="Property"/>
    <s v="All"/>
    <x v="3"/>
    <s v="L3"/>
    <n v="2"/>
    <n v="3"/>
    <n v="8"/>
    <s v="FTE Based"/>
    <s v="USD"/>
    <n v="20485.54"/>
    <n v="2.4180000000000001"/>
    <n v="0.3"/>
    <n v="0"/>
    <n v="0.23"/>
    <n v="2.948"/>
    <n v="7.8018995929443696E-2"/>
    <n v="4825.8"/>
    <s v="30% Person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Commertial Auto"/>
    <s v="EXL team verifies the Invoices received from different third party vendors and issue payments basis fee schedule.  Bills are paid to adjusters for the expenses they incur for visiting loss location to estimate gross value. "/>
    <x v="3"/>
    <x v="1"/>
    <s v="Auto"/>
    <s v="All"/>
    <x v="3"/>
    <s v="L3"/>
    <n v="2"/>
    <n v="3"/>
    <n v="8"/>
    <s v="FTE Based"/>
    <s v="USD"/>
    <n v="20485.54"/>
    <n v="1.1284000000000001"/>
    <n v="0.14000000000000001"/>
    <n v="0"/>
    <n v="0.13"/>
    <n v="1.3984000000000001"/>
    <n v="9.2963386727688779E-2"/>
    <n v="2252.0400000000004"/>
    <s v="14% Commerti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Commertial Property"/>
    <s v="EXL team verifies the Invoices received from different third party vendors and issue payments basis fee schedule.  Bills are paid to adjusters for the expenses they incur for visiting loss location to estimate gross value. "/>
    <x v="3"/>
    <x v="2"/>
    <s v="Property"/>
    <s v="All"/>
    <x v="3"/>
    <s v="L3"/>
    <n v="2"/>
    <n v="3"/>
    <n v="8"/>
    <s v="FTE Based"/>
    <s v="USD"/>
    <n v="20485.54"/>
    <n v="0.32240000000000002"/>
    <n v="0.4"/>
    <n v="0"/>
    <n v="0.1"/>
    <n v="0.82240000000000002"/>
    <n v="0.12159533073929961"/>
    <n v="643.44000000000005"/>
    <s v="4% Commerti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General Libility"/>
    <s v="EXL team verifies the Invoices received from different third party vendors and issue payments basis fee schedule.  Bills are paid to adjusters for the expenses they incur for visiting loss location to estimate gross value. "/>
    <x v="3"/>
    <x v="15"/>
    <s v="GL"/>
    <s v="All"/>
    <x v="3"/>
    <s v="L3"/>
    <n v="2"/>
    <n v="3"/>
    <n v="8"/>
    <s v="FTE Based"/>
    <s v="USD"/>
    <n v="20485.54"/>
    <n v="8.0600000000000005E-2"/>
    <n v="0.1"/>
    <n v="0"/>
    <n v="7.0000000000000007E-2"/>
    <n v="0.25060000000000004"/>
    <n v="0.27932960893854747"/>
    <n v="162"/>
    <s v="1% Genral Libili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Workers compensation"/>
    <s v="EXL team verifies the Invoices received from different third party vendors and issue payments basis fee schedule.  Bills are paid to adjusters for the expenses they incur for visiting loss location to estimate gross value. "/>
    <x v="3"/>
    <x v="5"/>
    <s v="WC"/>
    <s v="All"/>
    <x v="3"/>
    <s v="L3"/>
    <n v="2"/>
    <n v="3"/>
    <n v="8"/>
    <s v="FTE Based"/>
    <s v="USD"/>
    <n v="20485.54"/>
    <n v="8.0600000000000005E-2"/>
    <n v="0.1"/>
    <n v="0"/>
    <n v="7.0000000000000007E-2"/>
    <n v="0.25060000000000004"/>
    <n v="0.27932960893854747"/>
    <n v="160"/>
    <s v="1% Workers Comp"/>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8"/>
    <s v="Triage/ Demand Issuance"/>
    <s v="CRO Demand Package_Peron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x v="1"/>
    <x v="1"/>
    <s v="Auto"/>
    <s v="All"/>
    <x v="2"/>
    <s v="L3"/>
    <n v="2"/>
    <n v="3"/>
    <n v="4"/>
    <s v="FTE Based"/>
    <s v="USD"/>
    <n v="21004.07"/>
    <n v="8.6199999999999992"/>
    <n v="0.7"/>
    <n v="0.7"/>
    <n v="0.48"/>
    <n v="10.499999999999998"/>
    <n v="4.5714285714285721E-2"/>
    <n v="4970"/>
    <s v="70% person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x v="2"/>
    <x v="4"/>
    <x v="2"/>
    <s v="Rajit C"/>
    <n v="16"/>
    <x v="1"/>
    <x v="1"/>
    <x v="8"/>
    <s v="Triage/ Demand Issuance"/>
    <s v="CRO Demand Package_Commerci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x v="3"/>
    <x v="1"/>
    <s v="Auto"/>
    <s v="All"/>
    <x v="2"/>
    <s v="L3"/>
    <n v="2"/>
    <n v="3"/>
    <n v="4"/>
    <s v="FTE Based"/>
    <s v="USD"/>
    <n v="21004.07"/>
    <n v="3.7"/>
    <n v="0.3"/>
    <n v="0.3"/>
    <n v="0.2"/>
    <n v="4.5"/>
    <n v="4.4444444444444446E-2"/>
    <n v="2130"/>
    <s v="30% Commerci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x v="2"/>
    <x v="4"/>
    <x v="2"/>
    <s v="Rajit C"/>
    <n v="14"/>
    <x v="1"/>
    <x v="1"/>
    <x v="8"/>
    <s v="Triage/ Demand Issuance"/>
    <s v="CRO Demand Resend_Person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x v="1"/>
    <x v="1"/>
    <s v="Auto"/>
    <s v="All"/>
    <x v="3"/>
    <s v="L3"/>
    <n v="2"/>
    <n v="3"/>
    <n v="4"/>
    <s v="FTE Based"/>
    <s v="USD"/>
    <n v="21004.07"/>
    <n v="4.53"/>
    <n v="0.7"/>
    <n v="0"/>
    <n v="1.07"/>
    <n v="6.3000000000000007"/>
    <n v="0.16984126984126982"/>
    <n v="2240"/>
    <s v="70% person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x v="2"/>
    <x v="4"/>
    <x v="2"/>
    <s v="Rajit C"/>
    <n v="14"/>
    <x v="1"/>
    <x v="1"/>
    <x v="8"/>
    <s v="Triage/ Demand Issuance"/>
    <s v="CRO Demand Resend_Commerci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x v="3"/>
    <x v="1"/>
    <s v="Auto"/>
    <s v="All"/>
    <x v="3"/>
    <s v="L3"/>
    <n v="2"/>
    <n v="3"/>
    <n v="4"/>
    <s v="FTE Based"/>
    <s v="USD"/>
    <n v="21004.07"/>
    <n v="1.94"/>
    <n v="0.3"/>
    <n v="0"/>
    <n v="0.46"/>
    <n v="2.6999999999999997"/>
    <n v="0.17037037037037039"/>
    <n v="960"/>
    <s v="30% Commerci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x v="2"/>
    <x v="4"/>
    <x v="2"/>
    <s v="Rajit C"/>
    <n v="5"/>
    <x v="1"/>
    <x v="1"/>
    <x v="4"/>
    <s v="Loss/ Damage verification"/>
    <s v="Auto Supplemental Assignments_Personal Auto"/>
    <s v="Team is responsible for creating and sending supplement assignments to the appraisers for the request received for additional supplement damages from the body shop._x000a_Team also uploads the supplement related documents."/>
    <x v="1"/>
    <x v="1"/>
    <s v="Auto"/>
    <s v="All"/>
    <x v="3"/>
    <s v="L3"/>
    <n v="2"/>
    <n v="1"/>
    <n v="3"/>
    <s v="FTE Based"/>
    <s v="USD"/>
    <n v="20485.54"/>
    <n v="3.54"/>
    <n v="0.7"/>
    <n v="0"/>
    <n v="0.45999999999999996"/>
    <n v="4.7"/>
    <n v="9.7872340425531903E-2"/>
    <n v="4270"/>
    <s v="70% person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x v="2"/>
    <x v="4"/>
    <x v="2"/>
    <s v="Rajit C"/>
    <n v="5"/>
    <x v="1"/>
    <x v="1"/>
    <x v="4"/>
    <s v="Loss/ Damage verification"/>
    <s v="Auto Supplemental Assignments_Commercial Auto"/>
    <s v="Team is responsible for creating and sending supplement assignments to the appraisers for the request received for additional supplement damages from the body shop._x000a_Team also uploads the supplement related documents."/>
    <x v="3"/>
    <x v="1"/>
    <s v="Auto"/>
    <s v="All"/>
    <x v="3"/>
    <s v="L3"/>
    <n v="2"/>
    <n v="1"/>
    <n v="3"/>
    <s v="FTE Based"/>
    <s v="USD"/>
    <n v="20485.54"/>
    <n v="1.53"/>
    <n v="0.3"/>
    <n v="0"/>
    <n v="0.47"/>
    <n v="2.2999999999999998"/>
    <n v="0.20434782608695654"/>
    <n v="1830"/>
    <s v="30% Commerci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x v="2"/>
    <x v="3"/>
    <x v="2"/>
    <s v="Swapnil Dubey"/>
    <n v="0.5"/>
    <x v="2"/>
    <x v="1"/>
    <x v="9"/>
    <s v="Legal Document Review"/>
    <s v="File Open"/>
    <s v="Obtain case level information needed to open a case file. Complete required data fields in the case management system to facilitate opening of a case.  Advise attorney when case is opened"/>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Swapnil Dubey"/>
    <n v="0.5"/>
    <x v="2"/>
    <x v="1"/>
    <x v="9"/>
    <s v="Legal Document Review"/>
    <s v="Document management"/>
    <s v="Compile medical records, deposition transcripts, and other relevant documents, remove unnecessary documents, label files by doctor’s name &amp; date of service, prepare exhibit list and letter, send to opposing counsel and doctor."/>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Swapnil Dubey"/>
    <n v="0.5"/>
    <x v="2"/>
    <x v="1"/>
    <x v="9"/>
    <s v="Legal Document Review"/>
    <s v="Document management"/>
    <s v="Compile EOBs, medical reports, draft letter and send to lien claimant."/>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Rajit C"/>
    <n v="9"/>
    <x v="1"/>
    <x v="1"/>
    <x v="7"/>
    <s v="Quality Management"/>
    <s v="Compliance Audits-Person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1"/>
    <x v="1"/>
    <s v="Auto"/>
    <s v="All"/>
    <x v="3"/>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Commerci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3"/>
    <x v="1"/>
    <s v="Auto"/>
    <s v="All"/>
    <x v="3"/>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Person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1"/>
    <x v="2"/>
    <s v="Property"/>
    <s v="All"/>
    <x v="3"/>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Commerci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3"/>
    <x v="2"/>
    <s v="Property"/>
    <s v="All"/>
    <x v="3"/>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16"/>
    <x v="1"/>
    <x v="1"/>
    <x v="1"/>
    <s v="Claim Setup and assignment"/>
    <s v="CCT FNOL _Person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1"/>
    <s v="Auto"/>
    <s v="All"/>
    <x v="3"/>
    <s v="L2"/>
    <n v="2"/>
    <n v="6"/>
    <n v="12"/>
    <s v="FTE Based"/>
    <s v="USD"/>
    <n v="20485.54"/>
    <n v="0.75"/>
    <n v="2"/>
    <n v="1"/>
    <n v="1.5700000000000003"/>
    <n v="5.32"/>
    <n v="0.29511278195488727"/>
    <n v="366"/>
    <s v="6% - Person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Person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2"/>
    <s v="Property"/>
    <s v="All"/>
    <x v="3"/>
    <s v="L2"/>
    <n v="2"/>
    <n v="6"/>
    <n v="12"/>
    <s v="FTE Based"/>
    <s v="USD"/>
    <n v="20485.54"/>
    <n v="0.99"/>
    <n v="2"/>
    <n v="1"/>
    <n v="1.5700000000000003"/>
    <n v="5.5600000000000005"/>
    <n v="0.28237410071942448"/>
    <n v="488"/>
    <s v="_x000a_8%- Person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Person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15"/>
    <s v="General Liability"/>
    <s v="All"/>
    <x v="3"/>
    <s v="L2"/>
    <n v="2"/>
    <n v="6"/>
    <n v="12"/>
    <s v="FTE Based"/>
    <s v="USD"/>
    <n v="20485.54"/>
    <n v="0.12"/>
    <n v="2"/>
    <n v="1"/>
    <n v="1.5700000000000003"/>
    <n v="4.6900000000000004"/>
    <n v="0.33475479744136466"/>
    <n v="61"/>
    <s v="1%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Commerci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1"/>
    <s v="Auto"/>
    <s v="All"/>
    <x v="3"/>
    <s v="L2"/>
    <n v="2"/>
    <n v="6"/>
    <n v="12"/>
    <s v="FTE Based"/>
    <s v="USD"/>
    <n v="20485.54"/>
    <n v="3.6"/>
    <n v="2"/>
    <n v="1"/>
    <n v="1.5700000000000003"/>
    <n v="8.17"/>
    <n v="0.19216646266829868"/>
    <n v="1769"/>
    <s v="29% - Commerci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Commerci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2"/>
    <s v="Property"/>
    <s v="All"/>
    <x v="3"/>
    <s v="L2"/>
    <n v="2"/>
    <n v="6"/>
    <n v="12"/>
    <s v="FTE Based"/>
    <s v="USD"/>
    <n v="20485.54"/>
    <n v="2.36"/>
    <n v="2"/>
    <n v="1"/>
    <n v="1.5700000000000003"/>
    <n v="6.93"/>
    <n v="0.22655122655122661"/>
    <n v="1159"/>
    <s v="_x000a_19%- Commerci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Gener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15"/>
    <s v="General Liability"/>
    <s v="All"/>
    <x v="3"/>
    <s v="L2"/>
    <n v="2"/>
    <n v="6"/>
    <n v="12"/>
    <s v="FTE Based"/>
    <s v="USD"/>
    <n v="20485.54"/>
    <n v="4.5999999999999996"/>
    <n v="2"/>
    <n v="1"/>
    <n v="1.5700000000000003"/>
    <n v="9.17"/>
    <n v="0.17121046892039263"/>
    <n v="2257"/>
    <s v="37%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x v="3"/>
    <x v="5"/>
    <s v="WC"/>
    <s v="All"/>
    <x v="3"/>
    <s v="L3"/>
    <n v="2"/>
    <n v="6"/>
    <n v="12"/>
    <s v="FTE Based"/>
    <s v="USD"/>
    <n v="20485.54"/>
    <n v="7.59"/>
    <n v="2"/>
    <n v="1"/>
    <n v="2.41"/>
    <n v="13"/>
    <n v="0.1853846153846154"/>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9"/>
    <s v="Medical Bill Review and Repricing"/>
    <s v="Med Tech-Personal Auto "/>
    <s v="Medical Technicians are responsible for making payments towards first party automobile injury medical claims and assist the claim handlers with the bill resolution of submitted medical bills"/>
    <x v="1"/>
    <x v="1"/>
    <s v="Auto"/>
    <s v="All"/>
    <x v="3"/>
    <s v="L3"/>
    <n v="2"/>
    <n v="4"/>
    <n v="12"/>
    <s v="FTE Based"/>
    <s v="USD"/>
    <n v="20485.54"/>
    <n v="13.5"/>
    <n v="1"/>
    <n v="0.5"/>
    <n v="0"/>
    <n v="15"/>
    <n v="0"/>
    <n v="12600"/>
    <n v="0.9"/>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x v="2"/>
    <x v="3"/>
    <x v="2"/>
    <s v="Rajit C"/>
    <n v="16"/>
    <x v="1"/>
    <x v="1"/>
    <x v="9"/>
    <s v="Medical Bill Review and Repricing"/>
    <s v="Med Tech-Commercial Auto "/>
    <s v="Medical Technicians are responsible for making payments towards first party automobile injury medical claims and assist the claim handlers with the bill resolution of submitted medical bills"/>
    <x v="3"/>
    <x v="1"/>
    <s v="Auto"/>
    <s v="All"/>
    <x v="3"/>
    <s v="L3"/>
    <n v="2"/>
    <n v="4"/>
    <n v="12"/>
    <s v="FTE Based"/>
    <s v="USD"/>
    <n v="20485.54"/>
    <n v="1.5"/>
    <n v="1"/>
    <n v="0.5"/>
    <n v="0"/>
    <n v="3"/>
    <n v="0"/>
    <n v="1400"/>
    <n v="0.1"/>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x v="2"/>
    <x v="3"/>
    <x v="2"/>
    <s v="Rajit C"/>
    <n v="16"/>
    <x v="1"/>
    <x v="1"/>
    <x v="9"/>
    <s v="Medical Bill Entry &amp; Review"/>
    <s v="Claim Tech-Personal Auto"/>
    <s v="Claim Tech team handle exception bill volume and send delay letters to providers to request missing information. Team also issue payments to different IME vendors."/>
    <x v="1"/>
    <x v="1"/>
    <s v="Auto"/>
    <s v="All"/>
    <x v="3"/>
    <s v="L2"/>
    <n v="2"/>
    <n v="4"/>
    <n v="12"/>
    <s v="FTE Based"/>
    <s v="USD"/>
    <n v="20485.54"/>
    <n v="2.1800000000000002"/>
    <n v="0.9"/>
    <n v="0"/>
    <n v="0.52"/>
    <n v="3.6"/>
    <n v="0.14444444444444446"/>
    <n v="3600"/>
    <n v="0.9"/>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x v="2"/>
    <x v="3"/>
    <x v="2"/>
    <s v="Rajit C"/>
    <n v="16"/>
    <x v="1"/>
    <x v="1"/>
    <x v="9"/>
    <s v="Medical Bill Entry &amp; Review"/>
    <s v="Claim Tech-Commercial Auto"/>
    <s v="Claim Tech team handle exception bill volume and send delay letters to providers to request missing information. Team also issue payments to different IME vendors."/>
    <x v="3"/>
    <x v="1"/>
    <s v="Auto"/>
    <s v="All"/>
    <x v="3"/>
    <s v="L2"/>
    <n v="2"/>
    <n v="4"/>
    <n v="12"/>
    <s v="FTE Based"/>
    <s v="USD"/>
    <n v="20485.54"/>
    <n v="0.24"/>
    <n v="0.1"/>
    <n v="0"/>
    <n v="0.06"/>
    <n v="0.39999999999999997"/>
    <n v="0.15"/>
    <n v="400"/>
    <n v="0.1"/>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x v="2"/>
    <x v="3"/>
    <x v="2"/>
    <s v="Rajit C"/>
    <n v="13"/>
    <x v="1"/>
    <x v="1"/>
    <x v="9"/>
    <s v="Medical Bill Entry &amp; Review"/>
    <s v="Med Ops Payment Processing Lien (Settlement)- WC"/>
    <s v="Final negotiated payment is made to the provider as a settlement amount for claims "/>
    <x v="3"/>
    <x v="5"/>
    <s v="WC"/>
    <s v="All"/>
    <x v="3"/>
    <s v="L2"/>
    <n v="2"/>
    <n v="3"/>
    <n v="4"/>
    <s v="FTE Based"/>
    <s v="USD"/>
    <n v="23913.25"/>
    <n v="0.34"/>
    <n v="0"/>
    <n v="0"/>
    <n v="0.65999999999999992"/>
    <n v="1"/>
    <n v="0.65999999999999992"/>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x v="22"/>
    <s v="Fortune 500 US P&amp;C Carrier"/>
    <x v="2"/>
    <x v="3"/>
    <x v="2"/>
    <s v="Rajit C"/>
    <n v="16"/>
    <x v="1"/>
    <x v="1"/>
    <x v="9"/>
    <s v="Medical Bill Entry &amp; Review"/>
    <s v="Data Validation-WC"/>
    <s v="Team update medical bill information relating to provider/ Claim match issues or other errors as per the state guidelines and other processing requirements"/>
    <x v="3"/>
    <x v="5"/>
    <s v="WC"/>
    <s v="All"/>
    <x v="3"/>
    <s v="L2"/>
    <n v="2"/>
    <n v="3"/>
    <n v="8"/>
    <s v="FTE Based"/>
    <s v="USD"/>
    <n v="20485.54"/>
    <n v="13.84"/>
    <n v="1"/>
    <n v="1"/>
    <n v="1.1600000000000001"/>
    <n v="17"/>
    <n v="6.8235294117647061E-2"/>
    <n v="34000"/>
    <s v="100%-WC"/>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x v="22"/>
    <s v="Fortune 500 US P&amp;C Carrier"/>
    <x v="2"/>
    <x v="3"/>
    <x v="2"/>
    <s v="Rajit C"/>
    <n v="16"/>
    <x v="1"/>
    <x v="1"/>
    <x v="9"/>
    <s v="Medical Bill Entry &amp; Review"/>
    <s v="Claim Match Exception-WC"/>
    <s v="This is the initial claim matching process for medical bills that fail the automated match criteria executed by the scanning vendor during the medical bill intake process"/>
    <x v="3"/>
    <x v="5"/>
    <s v="WC"/>
    <s v="All"/>
    <x v="3"/>
    <s v="L2"/>
    <n v="2"/>
    <n v="2"/>
    <n v="6"/>
    <s v="FTE Based"/>
    <s v="USD"/>
    <n v="20485.54"/>
    <n v="5.0999999999999996"/>
    <n v="1"/>
    <n v="0"/>
    <n v="1.9000000000000004"/>
    <n v="8"/>
    <n v="0.23750000000000004"/>
    <n v="21000"/>
    <s v="100%-WC"/>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x v="22"/>
    <s v="Fortune 500 US P&amp;C Carrier"/>
    <x v="2"/>
    <x v="3"/>
    <x v="2"/>
    <s v="Rajit C"/>
    <n v="13"/>
    <x v="1"/>
    <x v="1"/>
    <x v="7"/>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x v="1"/>
    <x v="5"/>
    <s v="WC"/>
    <s v="All"/>
    <x v="3"/>
    <s v="L4"/>
    <n v="2"/>
    <n v="3"/>
    <n v="6"/>
    <s v="FTE Based"/>
    <s v="USD"/>
    <n v="23913.25"/>
    <n v="2.97"/>
    <n v="1"/>
    <n v="0"/>
    <n v="1.0299999999999998"/>
    <n v="5"/>
    <n v="0.20599999999999996"/>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x v="22"/>
    <s v="Fortune 500 US P&amp;C Carrier"/>
    <x v="2"/>
    <x v="3"/>
    <x v="2"/>
    <s v="Rajit C"/>
    <n v="13"/>
    <x v="1"/>
    <x v="1"/>
    <x v="7"/>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x v="1"/>
    <x v="5"/>
    <s v="WC"/>
    <s v="All"/>
    <x v="3"/>
    <s v="L4"/>
    <n v="2"/>
    <n v="3"/>
    <n v="6"/>
    <s v="FTE Based"/>
    <s v="USD"/>
    <n v="23913.25"/>
    <n v="0.76"/>
    <n v="0"/>
    <n v="0"/>
    <n v="0.24"/>
    <n v="1"/>
    <n v="0.24"/>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x v="22"/>
    <s v="Fortune 500 US P&amp;C Carrier"/>
    <x v="2"/>
    <x v="3"/>
    <x v="2"/>
    <s v="Rajit C"/>
    <n v="11"/>
    <x v="1"/>
    <x v="1"/>
    <x v="9"/>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x v="3"/>
    <x v="5"/>
    <s v="WC"/>
    <s v="All"/>
    <x v="3"/>
    <s v="L4"/>
    <n v="2"/>
    <n v="6"/>
    <n v="6"/>
    <s v="Transaction Based "/>
    <s v="USD"/>
    <s v="E&amp;M: $2.56_x000a_Prolong Codes: $0.81"/>
    <n v="0"/>
    <n v="0"/>
    <n v="0"/>
    <n v="0"/>
    <n v="0"/>
    <e v="#DIV/0!"/>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x v="22"/>
    <s v="Fortune 500 US P&amp;C Carrier"/>
    <x v="2"/>
    <x v="3"/>
    <x v="2"/>
    <s v="Rajit C"/>
    <n v="16"/>
    <x v="1"/>
    <x v="1"/>
    <x v="4"/>
    <s v="Loss/ Damage verification"/>
    <s v="Content Pricing- Person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x v="1"/>
    <x v="2"/>
    <s v="Property"/>
    <s v="All"/>
    <x v="2"/>
    <s v="L1"/>
    <n v="2"/>
    <n v="3"/>
    <n v="16"/>
    <s v="FTE Based"/>
    <s v="USD"/>
    <n v="20485.54"/>
    <n v="7.49"/>
    <n v="0.85"/>
    <n v="0.5"/>
    <n v="1.01"/>
    <n v="9.85"/>
    <n v="0.10253807106598985"/>
    <n v="23210"/>
    <s v="~85% Person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x v="2"/>
    <x v="3"/>
    <x v="2"/>
    <s v="Rajit C"/>
    <n v="16"/>
    <x v="1"/>
    <x v="1"/>
    <x v="4"/>
    <s v="Loss/ Damage verification"/>
    <s v="Content Pricing- Commerci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x v="3"/>
    <x v="2"/>
    <s v="Property"/>
    <s v="All"/>
    <x v="2"/>
    <s v="L1"/>
    <n v="2"/>
    <n v="3"/>
    <n v="16"/>
    <s v="FTE Based"/>
    <s v="USD"/>
    <n v="20485.54"/>
    <n v="1.32"/>
    <n v="0.15"/>
    <n v="0.5"/>
    <n v="0.18"/>
    <n v="2.15"/>
    <n v="8.3720930232558138E-2"/>
    <n v="4097"/>
    <s v="~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x v="2"/>
    <x v="3"/>
    <x v="2"/>
    <s v="Rajit C"/>
    <n v="3"/>
    <x v="1"/>
    <x v="1"/>
    <x v="1"/>
    <s v="Indexing"/>
    <s v="APG Vendor Report Upload-Personal"/>
    <s v="This work unit involves Uploading claim related documents by identifying correct claim either via claim number provided on reports, or using Advanced Search if necessary. Set activity within ECOS after uploading documents. "/>
    <x v="1"/>
    <x v="2"/>
    <s v="Property"/>
    <s v="All"/>
    <x v="3"/>
    <s v="L1"/>
    <n v="2"/>
    <n v="1"/>
    <n v="2"/>
    <s v="FTE Based"/>
    <s v="USD"/>
    <n v="20485.54"/>
    <n v="1.7"/>
    <n v="0"/>
    <n v="0"/>
    <n v="0"/>
    <n v="1.7"/>
    <n v="0"/>
    <n v="6444"/>
    <n v="0.8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x v="2"/>
    <x v="3"/>
    <x v="2"/>
    <s v="Rajit C"/>
    <n v="3"/>
    <x v="1"/>
    <x v="1"/>
    <x v="1"/>
    <s v="Indexing"/>
    <s v="APG Vendor Report Upload-Commercial"/>
    <s v="This work unit involves Uploading claim related documents by identifying correct claim either via claim number provided on reports, or using Advanced Search if necessary. Set activity within ECOS after uploading documents. "/>
    <x v="3"/>
    <x v="2"/>
    <s v="Property"/>
    <s v="All"/>
    <x v="3"/>
    <s v="L1"/>
    <n v="2"/>
    <n v="1"/>
    <n v="2"/>
    <s v="FTE Based"/>
    <s v="USD"/>
    <n v="20485.54"/>
    <n v="0.3"/>
    <n v="0"/>
    <n v="0"/>
    <n v="0"/>
    <n v="0.3"/>
    <n v="0"/>
    <n v="6444"/>
    <n v="0.1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x v="2"/>
    <x v="3"/>
    <x v="2"/>
    <s v="Rajit C"/>
    <n v="3"/>
    <x v="1"/>
    <x v="1"/>
    <x v="7"/>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x v="1"/>
    <x v="5"/>
    <s v="WC"/>
    <s v="All"/>
    <x v="3"/>
    <s v="L4"/>
    <n v="2"/>
    <n v="3"/>
    <n v="6"/>
    <s v="FTE Based"/>
    <s v="USD"/>
    <n v="23913.25"/>
    <n v="2.35"/>
    <n v="0"/>
    <n v="0"/>
    <n v="0.64999999999999991"/>
    <n v="3"/>
    <n v="0.21666666666666665"/>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x v="22"/>
    <s v="Fortune 500 US P&amp;C Carrier"/>
    <x v="2"/>
    <x v="3"/>
    <x v="2"/>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x v="3"/>
    <x v="5"/>
    <s v="WC"/>
    <s v="All"/>
    <x v="3"/>
    <s v="L4"/>
    <n v="2"/>
    <n v="8"/>
    <n v="8"/>
    <s v="FTE Based"/>
    <s v="USD"/>
    <n v="23913.25"/>
    <n v="14.45"/>
    <n v="2"/>
    <n v="1"/>
    <n v="2.5499999999999998"/>
    <n v="20"/>
    <n v="0.1275"/>
    <n v="38636.363636363632"/>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x v="2"/>
    <x v="4"/>
    <x v="2"/>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x v="3"/>
    <x v="5"/>
    <s v="WC"/>
    <s v="All"/>
    <x v="3"/>
    <s v="L4"/>
    <n v="2"/>
    <n v="8"/>
    <n v="8"/>
    <s v="FTE Based"/>
    <s v="USD"/>
    <n v="23913.25"/>
    <n v="17.440000000000001"/>
    <n v="2"/>
    <n v="1"/>
    <n v="3.56"/>
    <n v="24"/>
    <n v="0.14833333333333334"/>
    <n v="46363.636363636368"/>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x v="2"/>
    <x v="11"/>
    <x v="2"/>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x v="1"/>
    <x v="1"/>
    <s v="Auto"/>
    <s v="All"/>
    <x v="3"/>
    <s v="L3"/>
    <n v="1"/>
    <n v="12"/>
    <n v="8"/>
    <s v="FTE Based"/>
    <s v="USD"/>
    <n v="23986"/>
    <n v="4.1348271291966201"/>
    <n v="1"/>
    <n v="0"/>
    <n v="2"/>
    <n v="7.1348271291966201"/>
    <n v="0.28031513080614745"/>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x v="1"/>
    <x v="1"/>
    <s v="Auto"/>
    <s v="All"/>
    <x v="3"/>
    <s v="L3"/>
    <n v="1"/>
    <n v="4"/>
    <n v="2"/>
    <s v="FTE Based"/>
    <s v="USD"/>
    <n v="23986"/>
    <n v="1.9774516693259199E-2"/>
    <n v="0"/>
    <n v="0"/>
    <n v="0"/>
    <n v="1.9774516693259199E-2"/>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x v="1"/>
    <x v="3"/>
    <s v="Auto &amp; Home"/>
    <s v="All"/>
    <x v="3"/>
    <s v="L3"/>
    <n v="1"/>
    <n v="4"/>
    <n v="4"/>
    <s v="FTE Based"/>
    <s v="USD"/>
    <n v="23986"/>
    <n v="0.57919026321773526"/>
    <n v="0"/>
    <n v="0"/>
    <n v="0"/>
    <n v="0.57919026321773526"/>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6"/>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x v="1"/>
    <x v="1"/>
    <s v="Auto"/>
    <s v="All"/>
    <x v="3"/>
    <s v="L3"/>
    <n v="1"/>
    <n v="4"/>
    <n v="2"/>
    <s v="FTE Based"/>
    <s v="USD"/>
    <n v="23986"/>
    <n v="6.6730349955064938E-2"/>
    <n v="0"/>
    <n v="0"/>
    <n v="0"/>
    <n v="6.6730349955064938E-2"/>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x v="1"/>
    <x v="1"/>
    <s v="Auto"/>
    <s v="All"/>
    <x v="3"/>
    <s v="L3"/>
    <n v="1"/>
    <n v="8"/>
    <n v="4"/>
    <s v="FTE Based"/>
    <s v="USD"/>
    <n v="23986"/>
    <n v="1.7821179731270276E-2"/>
    <n v="0"/>
    <n v="0"/>
    <n v="0"/>
    <n v="1.7821179731270276E-2"/>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11"/>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x v="1"/>
    <x v="1"/>
    <s v="Auto"/>
    <s v="All"/>
    <x v="3"/>
    <s v="L3"/>
    <n v="1"/>
    <n v="4"/>
    <n v="2"/>
    <s v="FTE Based"/>
    <s v="USD"/>
    <n v="23986"/>
    <n v="0.08"/>
    <n v="0"/>
    <n v="0"/>
    <n v="0"/>
    <n v="0.08"/>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x v="1"/>
    <x v="1"/>
    <s v="Auto"/>
    <s v="All"/>
    <x v="3"/>
    <s v="L3"/>
    <n v="1"/>
    <n v="4"/>
    <n v="4"/>
    <s v="FTE Based"/>
    <s v="USD"/>
    <n v="23986"/>
    <n v="2.0082667538361243E-2"/>
    <n v="0"/>
    <n v="0"/>
    <n v="0"/>
    <n v="2.0082667538361243E-2"/>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x v="1"/>
    <x v="1"/>
    <s v="Auto"/>
    <s v="All"/>
    <x v="3"/>
    <s v="L3"/>
    <n v="1"/>
    <n v="8"/>
    <n v="8"/>
    <s v="FTE Based"/>
    <s v="USD"/>
    <n v="23986"/>
    <n v="4.9792502792689968"/>
    <n v="1"/>
    <n v="1"/>
    <n v="2.0000000000000036"/>
    <n v="8.9792502792689994"/>
    <n v="0.2227357449449358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x v="1"/>
    <x v="1"/>
    <s v="Auto"/>
    <s v="All"/>
    <x v="3"/>
    <s v="L3"/>
    <n v="1"/>
    <n v="9"/>
    <n v="8"/>
    <s v="FTE Based"/>
    <s v="USD"/>
    <n v="23986"/>
    <n v="2.15"/>
    <n v="0.5"/>
    <n v="0"/>
    <n v="1"/>
    <n v="3.65"/>
    <n v="0.27397260273972601"/>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x v="1"/>
    <x v="2"/>
    <s v="Home"/>
    <s v="All"/>
    <x v="3"/>
    <s v="L3"/>
    <n v="1"/>
    <n v="8"/>
    <n v="8"/>
    <s v="FTE Based"/>
    <s v="USD"/>
    <n v="23986"/>
    <n v="0.71062248965866204"/>
    <n v="0"/>
    <n v="0"/>
    <n v="0"/>
    <n v="0.71062248965866204"/>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6"/>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x v="1"/>
    <x v="2"/>
    <s v="Home"/>
    <s v="All"/>
    <x v="3"/>
    <s v="L3"/>
    <n v="1"/>
    <n v="12"/>
    <n v="8"/>
    <s v="FTE Based"/>
    <s v="USD"/>
    <n v="23986"/>
    <n v="0"/>
    <n v="0"/>
    <n v="0"/>
    <n v="0"/>
    <n v="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11"/>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x v="1"/>
    <x v="2"/>
    <s v="Home"/>
    <s v="All"/>
    <x v="3"/>
    <s v="L3"/>
    <n v="1"/>
    <n v="4"/>
    <n v="4"/>
    <s v="FTE Based"/>
    <s v="USD"/>
    <n v="23986"/>
    <n v="0"/>
    <n v="0"/>
    <n v="0"/>
    <n v="0"/>
    <n v="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Endorsements intake and setup"/>
    <s v="FHCF"/>
    <s v="Declaration Narratives require updating as the supporting departments inform the process team/underwriting areas of updates or changes."/>
    <x v="1"/>
    <x v="3"/>
    <s v="Auto &amp; Home"/>
    <s v="All"/>
    <x v="3"/>
    <s v="L3"/>
    <n v="1"/>
    <n v="4"/>
    <n v="4"/>
    <s v="FTE Based"/>
    <s v="USD"/>
    <n v="23986"/>
    <n v="1.1906725816118562E-2"/>
    <n v="0"/>
    <n v="0"/>
    <n v="0"/>
    <n v="1.1906725816118562E-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x v="22"/>
    <s v="Fortune 500 US P&amp;C Carrier"/>
    <x v="2"/>
    <x v="11"/>
    <x v="2"/>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x v="1"/>
    <x v="3"/>
    <s v="Auto &amp; Home"/>
    <s v="All"/>
    <x v="3"/>
    <s v="L2"/>
    <n v="1"/>
    <n v="8"/>
    <n v="4"/>
    <s v="FTE Based"/>
    <s v="USD"/>
    <n v="23986"/>
    <n v="0.57517928724651313"/>
    <n v="0"/>
    <n v="0"/>
    <n v="0"/>
    <n v="0.5751792872465131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x v="22"/>
    <s v="Fortune 500 US P&amp;C Carrier"/>
    <x v="2"/>
    <x v="11"/>
    <x v="2"/>
    <s v="Rajit C"/>
    <n v="9"/>
    <x v="1"/>
    <x v="2"/>
    <x v="3"/>
    <s v="Endorsements intake and setup"/>
    <s v="PLIC EDM Mailbox"/>
    <s v="Real time management of mailbox. daily tracking of inflow and outflow of emails, mailbox reporting, track progress on rework status."/>
    <x v="1"/>
    <x v="3"/>
    <s v="Auto &amp; Home"/>
    <s v="All"/>
    <x v="3"/>
    <s v="L2"/>
    <n v="1"/>
    <n v="1"/>
    <n v="2"/>
    <s v="FTE Based"/>
    <s v="USD"/>
    <n v="23986"/>
    <n v="1"/>
    <n v="0.5"/>
    <n v="0"/>
    <n v="0"/>
    <n v="1.5"/>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x v="22"/>
    <s v="Fortune 500 US P&amp;C Carrier"/>
    <x v="2"/>
    <x v="11"/>
    <x v="2"/>
    <s v="Rajit C"/>
    <n v="9"/>
    <x v="1"/>
    <x v="2"/>
    <x v="3"/>
    <s v="Endorsements intake and setup"/>
    <s v="QCA"/>
    <s v="Processing internal audits in personal lines"/>
    <x v="1"/>
    <x v="3"/>
    <s v="Auto &amp; Home"/>
    <s v="All"/>
    <x v="3"/>
    <s v="L2"/>
    <n v="1"/>
    <n v="6"/>
    <n v="4"/>
    <s v="FTE Based"/>
    <s v="USD"/>
    <n v="23986"/>
    <n v="2.59"/>
    <n v="4"/>
    <n v="0"/>
    <n v="1"/>
    <n v="7.59"/>
    <n v="0.13175230566534915"/>
    <n v="0"/>
    <n v="0"/>
    <s v="NA"/>
    <n v="0"/>
    <s v="NA"/>
    <s v="NA"/>
    <s v="Others"/>
    <s v="NA"/>
    <s v="NA"/>
    <s v="NA"/>
    <s v="NA"/>
    <s v="NA"/>
    <s v="NA"/>
    <s v="NA"/>
    <s v="NA"/>
    <s v="NA"/>
    <s v="NA"/>
    <s v="NA"/>
    <s v="Agents, Insured"/>
    <s v="Multiple"/>
    <s v="Semi-Structured"/>
    <s v="NA"/>
    <s v="Others"/>
    <s v="Named Insured, Agency"/>
    <s v="Client, Café, PLI, IKE, TABS, mailbox"/>
  </r>
  <r>
    <x v="22"/>
    <s v="Fortune 500 US P&amp;C Carrier"/>
    <x v="2"/>
    <x v="12"/>
    <x v="2"/>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x v="1"/>
    <x v="3"/>
    <s v="Auto &amp; Home"/>
    <s v="All"/>
    <x v="3"/>
    <s v="L2"/>
    <n v="1"/>
    <n v="4"/>
    <n v="4"/>
    <s v="FTE Based"/>
    <s v="USD"/>
    <n v="23986"/>
    <n v="1.1130485116308726"/>
    <n v="0"/>
    <n v="0"/>
    <n v="0"/>
    <n v="1.1130485116308726"/>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x v="1"/>
    <x v="3"/>
    <s v="Auto &amp; Home"/>
    <s v="All"/>
    <x v="3"/>
    <s v="L2"/>
    <n v="1"/>
    <n v="6"/>
    <n v="4"/>
    <s v="FTE Based"/>
    <s v="USD"/>
    <n v="23986"/>
    <n v="3.8278159714811801"/>
    <n v="1"/>
    <n v="0"/>
    <n v="2"/>
    <n v="6.8278159714811801"/>
    <n v="0.2929194354906044"/>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x v="1"/>
    <x v="3"/>
    <s v="Auto &amp; Home"/>
    <s v="All"/>
    <x v="3"/>
    <s v="L2"/>
    <n v="1"/>
    <n v="6"/>
    <n v="4"/>
    <s v="FTE Based"/>
    <s v="USD"/>
    <n v="23986"/>
    <n v="4.5907440774690746"/>
    <n v="0"/>
    <n v="1"/>
    <n v="1.4999999999999956"/>
    <n v="7.0907440774690702"/>
    <n v="0.2115433843912467"/>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x v="1"/>
    <x v="3"/>
    <s v="Auto &amp; Home"/>
    <s v="All"/>
    <x v="3"/>
    <s v="L2"/>
    <n v="1"/>
    <n v="4"/>
    <n v="4"/>
    <s v="FTE Based"/>
    <s v="USD"/>
    <n v="23986"/>
    <n v="1.2347975603487498"/>
    <n v="0"/>
    <n v="0"/>
    <n v="0"/>
    <n v="1.2347975603487498"/>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x v="1"/>
    <x v="3"/>
    <s v="Auto &amp; Home"/>
    <s v="All"/>
    <x v="3"/>
    <s v="L2"/>
    <n v="1"/>
    <n v="6"/>
    <n v="4"/>
    <s v="FTE Based"/>
    <s v="USD"/>
    <n v="23986"/>
    <n v="0.23"/>
    <n v="0"/>
    <n v="0"/>
    <n v="0"/>
    <n v="0.23"/>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x v="1"/>
    <x v="3"/>
    <s v="Auto &amp; Home"/>
    <s v="All"/>
    <x v="3"/>
    <s v="L2"/>
    <n v="1"/>
    <n v="6"/>
    <n v="4"/>
    <s v="FTE Based"/>
    <s v="USD"/>
    <n v="23986"/>
    <n v="2.2400000000000002"/>
    <n v="0"/>
    <n v="0"/>
    <n v="0.81"/>
    <n v="3.0500000000000003"/>
    <n v="0.26557377049180325"/>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LCP II"/>
    <s v="Processing of changes to the personal lines Auto policies as requested by the customers. The changes includes Addition &amp; Deletion of Account Credit/PUP Liability based on the insured's eligibility"/>
    <x v="1"/>
    <x v="3"/>
    <s v="Auto &amp; Home"/>
    <s v="All"/>
    <x v="3"/>
    <s v="L2"/>
    <n v="1"/>
    <n v="4"/>
    <n v="3"/>
    <s v="FTE Based"/>
    <s v="USD"/>
    <n v="23986"/>
    <n v="0.11230819183115545"/>
    <n v="0"/>
    <n v="0"/>
    <n v="0"/>
    <n v="0.11230819183115545"/>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x v="1"/>
    <x v="1"/>
    <s v="Auto"/>
    <s v="All"/>
    <x v="3"/>
    <s v="L2"/>
    <n v="1"/>
    <n v="4"/>
    <n v="4"/>
    <s v="FTE Based"/>
    <s v="USD"/>
    <n v="23986"/>
    <n v="1.4107050682132754E-2"/>
    <n v="0"/>
    <n v="0"/>
    <n v="0"/>
    <n v="1.4107050682132754E-2"/>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x v="1"/>
    <x v="1"/>
    <s v="Auto"/>
    <s v="All"/>
    <x v="2"/>
    <s v="L2"/>
    <n v="1"/>
    <n v="4"/>
    <n v="4"/>
    <s v="FTE Based"/>
    <s v="USD"/>
    <n v="23986"/>
    <n v="2.8938790335945146E-2"/>
    <n v="0"/>
    <n v="0"/>
    <n v="0"/>
    <n v="2.8938790335945146E-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x v="1"/>
    <x v="1"/>
    <s v="Auto"/>
    <s v="All"/>
    <x v="3"/>
    <s v="L2"/>
    <n v="1"/>
    <n v="4"/>
    <n v="4"/>
    <s v="FTE Based"/>
    <s v="USD"/>
    <n v="23986"/>
    <n v="0.21"/>
    <n v="0"/>
    <n v="0"/>
    <n v="0"/>
    <n v="0.21"/>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x v="1"/>
    <x v="1"/>
    <s v="Auto"/>
    <s v="All"/>
    <x v="3"/>
    <s v="L2"/>
    <n v="1"/>
    <n v="4"/>
    <n v="4"/>
    <s v="FTE Based"/>
    <s v="USD"/>
    <n v="23986"/>
    <n v="6.0754255736070392E-2"/>
    <n v="0"/>
    <n v="0"/>
    <n v="0"/>
    <n v="6.0754255736070392E-2"/>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x v="1"/>
    <x v="3"/>
    <s v="Auto &amp; Home"/>
    <s v="All"/>
    <x v="3"/>
    <s v="L2"/>
    <n v="1"/>
    <n v="4"/>
    <n v="2"/>
    <s v="FTE Based"/>
    <s v="USD"/>
    <n v="23986"/>
    <n v="0.39593338103815673"/>
    <n v="0"/>
    <n v="0"/>
    <n v="0"/>
    <n v="0.39593338103815673"/>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x v="1"/>
    <x v="1"/>
    <s v="Auto"/>
    <s v="All"/>
    <x v="3"/>
    <s v="L2"/>
    <n v="1"/>
    <n v="6"/>
    <n v="4"/>
    <s v="FTE Based"/>
    <s v="USD"/>
    <n v="23986"/>
    <n v="0.34510214652633314"/>
    <n v="0"/>
    <n v="0"/>
    <n v="0"/>
    <n v="0.34510214652633314"/>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x v="22"/>
    <s v="Fortune 500 US P&amp;C Carrier"/>
    <x v="2"/>
    <x v="12"/>
    <x v="2"/>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x v="1"/>
    <x v="3"/>
    <s v="Auto &amp; Home"/>
    <s v="All"/>
    <x v="3"/>
    <s v="L2"/>
    <n v="1"/>
    <n v="6"/>
    <n v="4"/>
    <s v="FTE Based"/>
    <s v="USD"/>
    <n v="23986"/>
    <n v="1.110764284033573"/>
    <n v="0"/>
    <n v="0"/>
    <n v="0"/>
    <n v="1.110764284033573"/>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x v="22"/>
    <s v="Fortune 500 US P&amp;C Carrier"/>
    <x v="2"/>
    <x v="12"/>
    <x v="2"/>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x v="1"/>
    <x v="2"/>
    <s v="Home"/>
    <s v="All"/>
    <x v="3"/>
    <s v="L3"/>
    <n v="1"/>
    <n v="8"/>
    <n v="4"/>
    <s v="FTE Based"/>
    <s v="USD"/>
    <n v="23986"/>
    <n v="0.24843919647873494"/>
    <n v="0"/>
    <n v="0"/>
    <n v="0"/>
    <n v="0.24843919647873494"/>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x v="22"/>
    <s v="Fortune 500 US P&amp;C Carrier"/>
    <x v="2"/>
    <x v="12"/>
    <x v="2"/>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x v="1"/>
    <x v="3"/>
    <s v="Auto &amp; Home"/>
    <s v="All"/>
    <x v="3"/>
    <s v="L2"/>
    <n v="1"/>
    <n v="6"/>
    <n v="4"/>
    <s v="FTE Based"/>
    <s v="USD"/>
    <n v="23986"/>
    <n v="0.20916349167827228"/>
    <n v="0"/>
    <n v="0"/>
    <n v="0"/>
    <n v="0.20916349167827228"/>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x v="1"/>
    <x v="1"/>
    <s v="Auto"/>
    <s v="All"/>
    <x v="3"/>
    <s v="L2"/>
    <n v="1"/>
    <n v="4"/>
    <n v="4"/>
    <s v="FTE Based"/>
    <s v="USD"/>
    <n v="23986"/>
    <n v="0.8233810222066853"/>
    <n v="0"/>
    <n v="0"/>
    <n v="0"/>
    <n v="0.8233810222066853"/>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x v="1"/>
    <x v="1"/>
    <s v="Auto"/>
    <s v="All"/>
    <x v="3"/>
    <s v="L2"/>
    <n v="1"/>
    <n v="4"/>
    <n v="4"/>
    <s v="FTE Based"/>
    <s v="USD"/>
    <n v="23986"/>
    <n v="0.65617328283784515"/>
    <n v="0"/>
    <n v="0"/>
    <n v="0"/>
    <n v="0.65617328283784515"/>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x v="1"/>
    <x v="1"/>
    <s v="Auto"/>
    <s v="All"/>
    <x v="3"/>
    <s v="L2"/>
    <n v="1"/>
    <n v="3"/>
    <n v="2"/>
    <s v="FTE Based"/>
    <s v="USD"/>
    <n v="23986"/>
    <n v="0.13899929830655089"/>
    <n v="0"/>
    <n v="0"/>
    <n v="0"/>
    <n v="0.13899929830655089"/>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x v="1"/>
    <x v="3"/>
    <s v="Auto &amp; Home"/>
    <s v="All"/>
    <x v="3"/>
    <s v="L2"/>
    <n v="1"/>
    <n v="4"/>
    <n v="4"/>
    <s v="FTE Based"/>
    <s v="USD"/>
    <n v="23986"/>
    <n v="0.43989846447565661"/>
    <n v="0"/>
    <n v="0"/>
    <n v="0"/>
    <n v="0.43989846447565661"/>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x v="1"/>
    <x v="3"/>
    <s v="Auto &amp; Home"/>
    <s v="All"/>
    <x v="3"/>
    <s v="L2"/>
    <n v="1"/>
    <n v="4"/>
    <n v="4"/>
    <s v="FTE Based"/>
    <s v="USD"/>
    <n v="23986"/>
    <n v="3.1552170181736834"/>
    <n v="0"/>
    <n v="1"/>
    <n v="0.99999999999999645"/>
    <n v="5.1552170181736798"/>
    <n v="0.19397825474169134"/>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x v="1"/>
    <x v="3"/>
    <s v="Auto &amp; Home"/>
    <s v="All"/>
    <x v="3"/>
    <s v="L2"/>
    <n v="1"/>
    <n v="6"/>
    <n v="4"/>
    <s v="FTE Based"/>
    <s v="USD"/>
    <n v="23986"/>
    <n v="0.56999999999999995"/>
    <n v="0"/>
    <n v="0"/>
    <n v="0"/>
    <n v="0.5699999999999999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x v="23"/>
    <s v="Fortune 100 Multi-Finance and Insurance"/>
    <x v="2"/>
    <x v="3"/>
    <x v="2"/>
    <s v="Aashish Khanna"/>
    <n v="8"/>
    <x v="1"/>
    <x v="1"/>
    <x v="8"/>
    <s v="Platform Provider"/>
    <s v="We act as the application service provider"/>
    <s v="Hosting_x000a_Development_x000a_Production Support"/>
    <x v="3"/>
    <x v="3"/>
    <s v="Auto, Travel , Property, WC, Salvage, Deductible "/>
    <s v="Large"/>
    <x v="2"/>
    <s v="L3"/>
    <n v="1"/>
    <n v="4"/>
    <n v="4"/>
    <s v="Others"/>
    <s v="USD"/>
    <s v="3.65 per new file_x000a_1.77 per pending file"/>
    <n v="4"/>
    <n v="0"/>
    <n v="0"/>
    <n v="0"/>
    <n v="4"/>
    <n v="0"/>
    <s v="2800 new files_x000a_30000 pending files"/>
    <s v="NA"/>
    <s v="NA"/>
    <s v="NA"/>
    <m/>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One Claim"/>
  </r>
  <r>
    <x v="13"/>
    <s v="Fortune 100 US P&amp;C Carrier"/>
    <x v="2"/>
    <x v="13"/>
    <x v="5"/>
    <s v="Aashish Khanna"/>
    <n v="1.9"/>
    <x v="2"/>
    <x v="1"/>
    <x v="8"/>
    <s v="Negotiation/ Arbitration/ Resolution"/>
    <s v="NA"/>
    <s v="Identification_x000a_Traige&amp; Demand Issuance_x000a_Negitiation &amp; Settlement_x000a_Vendor Management"/>
    <x v="1"/>
    <x v="2"/>
    <s v="Property"/>
    <s v="Large"/>
    <x v="2"/>
    <s v="L3"/>
    <n v="1"/>
    <n v="6"/>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13"/>
    <s v="Fortune 100 US P&amp;C Carrier"/>
    <x v="2"/>
    <x v="13"/>
    <x v="5"/>
    <s v="Aashish Khanna"/>
    <n v="1.9"/>
    <x v="2"/>
    <x v="1"/>
    <x v="8"/>
    <s v="Negotiation/ Arbitration/ Resolution"/>
    <s v="NA"/>
    <s v="Identification_x000a_Traige&amp; Demand Issuance_x000a_Negitiation &amp; Settlement_x000a_Vendor Management"/>
    <x v="3"/>
    <x v="2"/>
    <s v="Property"/>
    <s v="Large"/>
    <x v="2"/>
    <s v="L3"/>
    <n v="1"/>
    <n v="2"/>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24"/>
    <s v="Mid size P&amp;C insurance carrier"/>
    <x v="2"/>
    <x v="13"/>
    <x v="5"/>
    <s v="Mark H II Bernacki "/>
    <n v="13"/>
    <x v="2"/>
    <x v="1"/>
    <x v="8"/>
    <s v="Negotiation/ Arbitration/ Resolution"/>
    <s v="NA"/>
    <s v="_x000a_Identification_x000a_Traige&amp; Demand Issuance_x000a_Negitiation &amp; Settlement_x000a_Vendor Management"/>
    <x v="3"/>
    <x v="3"/>
    <s v="Auto &amp; Property"/>
    <s v="Large"/>
    <x v="2"/>
    <s v="L3"/>
    <n v="1"/>
    <n v="2"/>
    <m/>
    <s v="Outcome Based"/>
    <s v="USD"/>
    <n v="805000"/>
    <n v="6"/>
    <n v="0"/>
    <n v="0"/>
    <n v="0"/>
    <n v="6"/>
    <n v="0"/>
    <n v="211.75"/>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5"/>
    <s v="Mid size P&amp;C insurance carrier"/>
    <x v="2"/>
    <x v="13"/>
    <x v="5"/>
    <s v="Mark H II Bernacki "/>
    <n v="9"/>
    <x v="2"/>
    <x v="1"/>
    <x v="8"/>
    <s v="Negotiation/ Arbitration/ Resolution"/>
    <s v="NA"/>
    <s v="_x000a_Negitiation &amp; Settlement_x000a_Arbitration_x000a_Litigation"/>
    <x v="3"/>
    <x v="3"/>
    <s v="Auto &amp; Property"/>
    <s v="Large"/>
    <x v="2"/>
    <s v="L3"/>
    <n v="1"/>
    <n v="4"/>
    <n v="4"/>
    <s v="Outcome Based"/>
    <s v="USD"/>
    <n v="430000"/>
    <n v="0"/>
    <n v="0"/>
    <n v="0.5"/>
    <n v="4"/>
    <n v="4.5"/>
    <n v="0.88888888888888884"/>
    <n v="1402.9166666666667"/>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x v="2"/>
    <x v="3"/>
    <x v="2"/>
    <s v="Aashish Khanna"/>
    <n v="13"/>
    <x v="1"/>
    <x v="1"/>
    <x v="8"/>
    <s v="Triage/ Demand Issuance"/>
    <s v="NA"/>
    <s v="Identification_x000a_Traige&amp; Demand Issuance_x000a_Negitiation &amp; Settlement_x000a_Arbitration Prep_x000a_Refer to Litigation_x000a_Refer to Vendor Management"/>
    <x v="3"/>
    <x v="3"/>
    <s v="Auto &amp; Property"/>
    <s v="Large"/>
    <x v="2"/>
    <s v="L3"/>
    <n v="1"/>
    <n v="4"/>
    <n v="4"/>
    <s v="Outcome Based"/>
    <s v="USD"/>
    <s v="13.5% of total recovery for WC  _x000a_8.5% of total recovery for Auto  "/>
    <n v="0"/>
    <n v="0"/>
    <n v="0"/>
    <n v="5"/>
    <n v="5"/>
    <n v="1"/>
    <s v="WC 1100_x000a_Auto 20"/>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x v="2"/>
    <x v="13"/>
    <x v="5"/>
    <s v="Aashish Khanna"/>
    <n v="13"/>
    <x v="1"/>
    <x v="1"/>
    <x v="8"/>
    <s v="Negotiation/ Arbitration/ Resolution"/>
    <s v="NA"/>
    <s v="Negitiation &amp; Settlement_x000a_Arbitration_x000a_Litigation"/>
    <x v="3"/>
    <x v="3"/>
    <s v="Auto &amp; Property"/>
    <s v="Large"/>
    <x v="2"/>
    <s v="L3"/>
    <n v="1"/>
    <n v="4"/>
    <n v="4"/>
    <s v="Outcome Based"/>
    <s v="USD"/>
    <s v="13.5% of total recovery for WC  _x000a_8.5% of total recovery for Auto  "/>
    <n v="0"/>
    <n v="0"/>
    <n v="0"/>
    <n v="2"/>
    <n v="2"/>
    <n v="1"/>
    <m/>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
    <s v="Speed to Recovery_x000a_Recovery uplift"/>
    <s v="NA"/>
    <s v="NA"/>
    <s v="NA"/>
    <s v="NA"/>
    <s v="Client's claims department / adjusters"/>
    <s v="Multiple"/>
    <s v="Unstructured"/>
    <s v="NA"/>
    <s v="Multiple"/>
    <s v="Client  Recovery unit"/>
    <s v="Claim system - "/>
  </r>
  <r>
    <x v="27"/>
    <s v="Large Global P&amp;C Carrier"/>
    <x v="2"/>
    <x v="13"/>
    <x v="5"/>
    <s v="Mark H II Bernacki "/>
    <n v="12"/>
    <x v="1"/>
    <x v="1"/>
    <x v="8"/>
    <s v="Negotiation/ Arbitration/ Resolution"/>
    <s v="NA"/>
    <s v="End-to-end subrogation for non-large loss property claims"/>
    <x v="1"/>
    <x v="2"/>
    <s v="Property"/>
    <s v="Large"/>
    <x v="2"/>
    <s v="L3"/>
    <n v="1"/>
    <n v="2"/>
    <n v="6"/>
    <s v="Outcome Based"/>
    <s v="USD"/>
    <s v="$3,500,000"/>
    <n v="0"/>
    <n v="0"/>
    <n v="0"/>
    <n v="40"/>
    <n v="40"/>
    <n v="1"/>
    <n v="20000"/>
    <s v="NA"/>
    <s v="NA"/>
    <s v="NA"/>
    <s v="Member Contact - 5 Days"/>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0"/>
    <s v="Fortune 100 Global P&amp;C Carrier"/>
    <x v="2"/>
    <x v="3"/>
    <x v="2"/>
    <s v="Mark H II Bernacki "/>
    <n v="0"/>
    <x v="1"/>
    <x v="1"/>
    <x v="8"/>
    <s v="Triage/ Demand Issuance"/>
    <s v="Demand Launch _x000a_Admin Support"/>
    <s v="Demand Generation_x000a_Various other subro support"/>
    <x v="1"/>
    <x v="1"/>
    <s v="Auto"/>
    <s v="Large"/>
    <x v="2"/>
    <s v="L3"/>
    <n v="1"/>
    <n v="6"/>
    <n v="4"/>
    <s v="FTE Based"/>
    <s v="USD"/>
    <s v="Depends on FTE level_x000a_$21,510.00_x000a_$24,750.00"/>
    <n v="36.700000000000003"/>
    <n v="8"/>
    <n v="3"/>
    <n v="10"/>
    <n v="57.7"/>
    <n v="0.17331022530329288"/>
    <n v="50000"/>
    <s v="NA"/>
    <s v="NA"/>
    <s v="7.17"/>
    <s v="24 hours to 120 hours, depending upon the task "/>
    <n v="0.95"/>
    <s v="DPU – Defect Per Unit"/>
    <s v="NA"/>
    <s v="NA"/>
    <s v="NA"/>
    <s v="Recovery"/>
    <s v="Absorbing existing Cognizant-built RPA"/>
    <m/>
    <m/>
    <m/>
    <m/>
    <m/>
    <m/>
    <s v="Client's claims department / adjusters"/>
    <s v="Multiple"/>
    <s v="Unstructured"/>
    <s v="NA"/>
    <s v="Multiple"/>
    <s v="Client  Recovery unit"/>
    <s v="Guidewire"/>
  </r>
  <r>
    <x v="12"/>
    <s v="Fortune 100 US P&amp;C Carrier"/>
    <x v="2"/>
    <x v="3"/>
    <x v="2"/>
    <s v="Mark H II Bernacki "/>
    <n v="2"/>
    <x v="1"/>
    <x v="1"/>
    <x v="8"/>
    <s v="Negotiation/ Arbitration/ Resolution"/>
    <s v="NA"/>
    <s v="End-to-end subrogation for auto claims"/>
    <x v="1"/>
    <x v="1"/>
    <s v="Auto"/>
    <s v="Large"/>
    <x v="2"/>
    <s v="L3"/>
    <n v="1"/>
    <n v="4"/>
    <n v="4"/>
    <s v="Outcome Based"/>
    <s v="USD"/>
    <s v="$2,000,000"/>
    <n v="0"/>
    <n v="0"/>
    <n v="0"/>
    <n v="50"/>
    <n v="50"/>
    <n v="1"/>
    <n v="2000"/>
    <s v="NA"/>
    <s v="NA"/>
    <s v="NA"/>
    <s v="NA"/>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8"/>
    <s v="Large P&amp;C Carrier"/>
    <x v="2"/>
    <x v="3"/>
    <x v="2"/>
    <s v="Aashish Khanna"/>
    <n v="20"/>
    <x v="1"/>
    <x v="1"/>
    <x v="8"/>
    <s v="Platform Provider"/>
    <s v="ASP - Demand Platform"/>
    <s v="Farmers uses Subrosource platform for end to end recoveries for Auto, Property and WC"/>
    <x v="1"/>
    <x v="16"/>
    <s v="Auto, Property, WC"/>
    <s v="Large"/>
    <x v="2"/>
    <s v="L3"/>
    <n v="1"/>
    <n v="1"/>
    <n v="1"/>
    <s v="Outcome Based"/>
    <s v="USD"/>
    <s v="0.464% contingency fee"/>
    <n v="3"/>
    <n v="0"/>
    <n v="0"/>
    <n v="0"/>
    <n v="3"/>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Platform Provider"/>
    <s v="ASP - Demand Platform"/>
    <s v="Farmers uses Subrosource platform for end to end recoveries for Auto, Property and WC"/>
    <x v="1"/>
    <x v="16"/>
    <s v="Auto, Property, WC"/>
    <s v="Large"/>
    <x v="2"/>
    <s v="L3"/>
    <n v="1"/>
    <n v="1"/>
    <n v="1"/>
    <s v="Outcome Based"/>
    <s v="USD"/>
    <s v="0.464% contingency fee"/>
    <n v="1"/>
    <n v="0"/>
    <n v="0"/>
    <n v="0"/>
    <n v="1"/>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3"/>
    <x v="2"/>
    <s v="Aashish Khanna"/>
    <n v="20"/>
    <x v="1"/>
    <x v="1"/>
    <x v="8"/>
    <s v="Negotiation/ Arbitration/ Resolution"/>
    <s v="Arbitration"/>
    <s v="EXL files Arbitration on behalf of Farmers"/>
    <x v="1"/>
    <x v="1"/>
    <s v="Auto"/>
    <s v="Large"/>
    <x v="3"/>
    <s v="L3"/>
    <n v="1"/>
    <n v="3"/>
    <n v="8"/>
    <s v="Transaction Based "/>
    <s v="USD"/>
    <s v="$80 per ARB"/>
    <n v="5"/>
    <n v="0"/>
    <n v="0"/>
    <n v="0"/>
    <n v="5"/>
    <n v="0"/>
    <s v="300-4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Negotiation/ Arbitration/ Resolution"/>
    <s v="Arbitration"/>
    <s v="EXL files Arbitration on behalf of Farmers"/>
    <x v="1"/>
    <x v="1"/>
    <s v="Auto"/>
    <s v="Large"/>
    <x v="3"/>
    <s v="L3"/>
    <n v="1"/>
    <n v="3"/>
    <n v="8"/>
    <s v="Transaction Based "/>
    <s v="USD"/>
    <s v="$85 per ARB"/>
    <n v="3"/>
    <n v="0"/>
    <n v="0"/>
    <n v="0"/>
    <n v="3"/>
    <n v="0"/>
    <s v="200-3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Initiate Recovery Collection &amp; processing"/>
    <s v="Property Appliance Recoveries "/>
    <s v="Property Appliance Recoveries (end to end) through EXL vendor"/>
    <x v="1"/>
    <x v="2"/>
    <s v="Property"/>
    <s v="Large"/>
    <x v="2"/>
    <s v="L3"/>
    <n v="1"/>
    <n v="3"/>
    <n v="4"/>
    <s v="Outcome Based"/>
    <s v="USD"/>
    <s v="15% contingency fee "/>
    <n v="1"/>
    <n v="0"/>
    <n v="0"/>
    <n v="0"/>
    <n v="1"/>
    <n v="0"/>
    <s v="50 claims a month"/>
    <s v="NA"/>
    <s v="NA"/>
    <s v="NA"/>
    <s v="NA"/>
    <s v="NA"/>
    <s v="Others"/>
    <s v="NA"/>
    <s v="NA"/>
    <s v="Vendor consolidation "/>
    <s v="Recovery"/>
    <s v="EXL Platform"/>
    <s v="Exl Subrosource platform  integrated with client claim system _x000a_Workflow driven by the platform along with inventory tracking &amp; reporting &amp; built in analytical models _x000a_"/>
    <s v="Lesser vendors to work _x000a_Single platform for all recoveries for Farmers"/>
    <s v="NA"/>
    <s v="NA"/>
    <s v="NA"/>
    <s v="NA"/>
    <s v="Client's claims department / adjusters"/>
    <s v="Multiple"/>
    <s v="Structured"/>
    <s v="NA"/>
    <s v="Multiple"/>
    <s v="Client  Recovery unit"/>
    <s v="Claim system"/>
  </r>
  <r>
    <x v="28"/>
    <s v="Large P&amp;C Carrier"/>
    <x v="2"/>
    <x v="13"/>
    <x v="5"/>
    <s v="Aashish Khanna"/>
    <n v="20"/>
    <x v="1"/>
    <x v="1"/>
    <x v="8"/>
    <s v="Platform Provider"/>
    <s v="Response Platform"/>
    <s v="Farmers uses Subrosource Response platform for incoming recovery demands for Auto"/>
    <x v="1"/>
    <x v="1"/>
    <s v="Auto"/>
    <s v="Large"/>
    <x v="2"/>
    <s v="L3"/>
    <n v="1"/>
    <n v="1"/>
    <n v="1"/>
    <s v="Others"/>
    <s v="USD"/>
    <s v="$12.5K monthly fixed fee"/>
    <n v="1"/>
    <n v="0"/>
    <n v="0"/>
    <n v="0"/>
    <n v="1"/>
    <n v="0"/>
    <s v="TBD"/>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Lower cost"/>
    <s v="NA"/>
    <s v="NA"/>
    <s v="NA"/>
    <s v="NA"/>
    <s v="Client's claims department / adjusters"/>
    <s v="Multiple"/>
    <s v="Structured"/>
    <s v="NA"/>
    <s v="Multiple"/>
    <s v="Client  Recovery unit"/>
    <s v="Claim system"/>
  </r>
  <r>
    <x v="28"/>
    <s v="Large P&amp;C Carrier"/>
    <x v="2"/>
    <x v="3"/>
    <x v="2"/>
    <s v="Aashish Khanna"/>
    <n v="20"/>
    <x v="1"/>
    <x v="1"/>
    <x v="8"/>
    <s v="Negotiation/ Arbitration/ Resolution"/>
    <s v="Response Recoveries Support"/>
    <s v="BO support for response recoveries"/>
    <x v="1"/>
    <x v="1"/>
    <s v="Auto"/>
    <s v="Large"/>
    <x v="3"/>
    <s v="L3"/>
    <n v="1"/>
    <n v="3"/>
    <n v="8"/>
    <s v="FTE Based"/>
    <s v="USD"/>
    <s v="$2567 per month per FTE"/>
    <n v="3"/>
    <n v="0"/>
    <n v="0"/>
    <n v="0"/>
    <n v="3"/>
    <n v="0"/>
    <s v="~1000"/>
    <s v="NA"/>
    <s v="NA"/>
    <s v="NA"/>
    <s v="NA"/>
    <s v="NA"/>
    <s v="Others"/>
    <s v="NA"/>
    <s v="NA"/>
    <s v="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5"/>
    <s v="Large US Multi-line Specialty Carrier"/>
    <x v="2"/>
    <x v="3"/>
    <x v="2"/>
    <s v="Ramesh Kumar, Devashish Dhingra"/>
    <n v="5"/>
    <x v="1"/>
    <x v="4"/>
    <x v="15"/>
    <s v="Contract Deliverables &amp; Obligation Management"/>
    <s v="Tracking of approved Vendor D&amp;O’s , Vendor Performance SLA Review, Invoice Initial Review, Credits and Earn backs Review, 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x v="3"/>
    <x v="3"/>
    <s v="Auto, WC, CUP, Package Lines"/>
    <s v="Large"/>
    <x v="3"/>
    <s v="L4"/>
    <n v="2"/>
    <n v="4"/>
    <n v="4"/>
    <s v="FTE Based"/>
    <s v="USD"/>
    <s v="Analysts - $41955.36/ annum  Supervisor - $47994.6/ annum"/>
    <n v="5"/>
    <n v="0"/>
    <n v="1"/>
    <n v="3"/>
    <n v="9"/>
    <n v="0.33333333333333331"/>
    <n v="130"/>
    <n v="130"/>
    <s v="March/ April / November/ December"/>
    <s v="Tracking of approved Vendor D&amp;O’s  - 4-8 hours _x000a_Vendor Performance SLA Review - 4-12 hours_x000a_Invoice Initial Review - 4-8 hours_x000a_Credits and Earn backs Review- 1-2 hours_x000a_Tracking Action Item Updates provided by Customer in the Governance Library - 6-10 hours"/>
    <s v="Tracking of approved Vendor D&amp;O’s  - 5 days (Expected - 90%, Minimum - 90%)_x000a_Vendor Performance SLA Review - 5 days (Expected - 90%, Minimum - 90%)_x000a_Invoice Initial Review - 5 days (Expected - 90%, Minimum - 90%)_x000a_Credits and Earn backs Review- 2 days (Expected - 90%, Minimum - 90%)_x000a_Tracking Action Item Updates provided by Customer in the Governance Library - 2 days (Expected - 90%, Minimum - 90%)"/>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
    <s v="NA"/>
    <s v="Assurant Vendors"/>
    <s v="Multiple"/>
    <s v="Unstructured"/>
    <s v="Email - 90%_x000a_SharePoint - 10%_x000a__x000a_"/>
    <s v="Multiple"/>
    <s v="Assurant Procurement Team"/>
    <s v="Fieldglass, SharePoint,  Custom Point,  MS Office Suite"/>
  </r>
  <r>
    <x v="8"/>
    <s v="Large US Multi-Regional P&amp;C Carrier"/>
    <x v="2"/>
    <x v="3"/>
    <x v="2"/>
    <s v="Ramesh Kumar, Sumit Aggarwal"/>
    <n v="8"/>
    <x v="1"/>
    <x v="4"/>
    <x v="17"/>
    <s v="Paralegal &amp; Legal Secretary Services"/>
    <s v="Staff Counsel_x000a_Panel Counsel_x000a_Claim Counsel"/>
    <s v="Staff Counsel - Case Open, Order Records, Email Upload, Mail Processing_x000a_Panel Counsel - Legal Bill Review, Appeal_x000a_Claim Counsel - Obtain Claim File "/>
    <x v="4"/>
    <x v="13"/>
    <s v="Auto, WC, General, Specialty"/>
    <s v="Large"/>
    <x v="3"/>
    <s v="L4"/>
    <n v="2"/>
    <n v="4"/>
    <n v="4"/>
    <s v="FTE Based"/>
    <s v="USD"/>
    <s v="Staff Counsel - $34,860.00_x000a_Panel Counsel - $43,380.00, $34,860.00, $49,887.00_x000a_Claim Counsel - $34,860.00"/>
    <n v="31"/>
    <n v="0"/>
    <n v="3"/>
    <n v="8"/>
    <n v="42"/>
    <n v="0.19047619047619047"/>
    <n v="18500"/>
    <s v="Staff Counsel - 13,650_x000a_Panel Counsel - 4,800_x000a_Claim Counsel - 50"/>
    <s v="September, October, November, December"/>
    <s v="Staff Counsel - Case Open - 88, _x000a_Order Records - 23, _x000a_Email Upload - 4, _x000a_Mail Processing - 11_x000a_Panel Counsel - Legal Bill Review - 19, Appeal - 15_x000a_Claim Counsel - Obtain Claim File - 180"/>
    <s v="Staff Counsel - Case Open - 24 Hours, 95%, _x000a_Order Records - 48 Hours, 95% _x000a_Email Upload - 48 Hours_x000a_Mail Processing - 24 Hours_x000a_Panel Counsel - Legal Bill Review - As per Diary Date, 95%, Appeal - As per Diary Date_x000a_Claim Counsel - Obtain Claim File - As per Deadline"/>
    <n v="0.95"/>
    <s v="DPO – Defect Per Opportunity"/>
    <s v="NA"/>
    <s v="NA"/>
    <s v="NA"/>
    <s v="Litigation Support"/>
    <s v="NA"/>
    <s v="NA"/>
    <s v="NA"/>
    <s v="NA"/>
    <s v="NA"/>
    <s v="NA"/>
    <s v="NA"/>
    <s v="Law Firms, Litigation Support Department"/>
    <s v="Multiple"/>
    <s v="Unstructured"/>
    <s v="Email - 60%_x000a_SharePoint - 20%_x000a_Legal Bill Review Tool - 20%"/>
    <s v="Multiple"/>
    <s v="Litigation Support Team"/>
    <s v="CMX Guidewire, Legal Files, Legal-X, Document Navigator, SharePoint, MS Office Suite"/>
  </r>
  <r>
    <x v="29"/>
    <s v="Top-10 US Commercial &amp; Specialty Carrier"/>
    <x v="2"/>
    <x v="3"/>
    <x v="2"/>
    <s v="Ramesh Kumar, Sumit Aggarwal"/>
    <n v="2"/>
    <x v="1"/>
    <x v="4"/>
    <x v="17"/>
    <s v="Paralegal &amp; Legal Secretary Services"/>
    <s v="Legal Bill Review"/>
    <s v="Legal Bill Review"/>
    <x v="4"/>
    <x v="13"/>
    <s v="WC, General"/>
    <s v="Large"/>
    <x v="3"/>
    <s v="L4"/>
    <n v="2"/>
    <n v="4"/>
    <n v="4"/>
    <s v="FTE Based"/>
    <s v="USD"/>
    <n v="42064"/>
    <n v="3"/>
    <n v="0"/>
    <n v="1"/>
    <n v="1"/>
    <n v="5"/>
    <n v="0.2"/>
    <n v="1200"/>
    <n v="1200"/>
    <s v="September, October, November, December"/>
    <n v="25"/>
    <s v="99%, 5 Business Days"/>
    <n v="0.95"/>
    <s v="DPO – Defect Per Opportunity"/>
    <s v="NA"/>
    <s v="NA"/>
    <s v="NA"/>
    <s v="Litigation Support"/>
    <s v="NA"/>
    <s v="NA"/>
    <s v="NA"/>
    <s v="NA"/>
    <s v="NA"/>
    <s v="NA"/>
    <s v="NA"/>
    <s v="Law Firms, Litigation Support Department"/>
    <s v="Multiple"/>
    <s v="Unstructured"/>
    <s v="Email - 0%_x000a_Legal Bill Review Tool - 100%"/>
    <s v="Multiple"/>
    <s v="Litigation Support Team"/>
    <s v="T360, SharePoint, MS Office Suite"/>
  </r>
  <r>
    <x v="30"/>
    <s v="Fortune 100 Global P&amp;C Carrier"/>
    <x v="2"/>
    <x v="3"/>
    <x v="2"/>
    <s v="Ramesh Kumar, Amit Sharma"/>
    <n v="7"/>
    <x v="1"/>
    <x v="4"/>
    <x v="17"/>
    <s v="Paralegal &amp; Legal Secretary Services"/>
    <s v="Case Creation, DocGeneration, Case Closing, Discovery Shells, LegalMation, CME/PAL Letters"/>
    <s v="Process involves opening &amp; closing cases, completing discovery shells, LegalMation (uploading complaint documents) &amp; sending letters"/>
    <x v="1"/>
    <x v="3"/>
    <s v="Auto, GL, WC, PIP, Subro, CD, PAL"/>
    <s v="Mid Size"/>
    <x v="3"/>
    <s v="L2"/>
    <n v="1"/>
    <n v="2"/>
    <n v="4"/>
    <s v="FTE Based"/>
    <s v="USD"/>
    <s v="Analysts - $22562.77  _x000a_Supervisor - $28905.78"/>
    <n v="35"/>
    <n v="0"/>
    <n v="2"/>
    <n v="7"/>
    <n v="44"/>
    <n v="0.15909090909090909"/>
    <n v="16000"/>
    <n v="16000"/>
    <s v="March/April"/>
    <s v="Case Opening/Subro - 43_x000a_CD - 86_x000a_Letters-CME/PAL/Trial - 11_x000a_Legal Mation - 3.7_x000a_Case Closing - 7.2_x000a_Discovery Shells - 23_x000a_Initial Doc Generation - 15"/>
    <s v="97%, 24 or 48 hours"/>
    <n v="0.97"/>
    <s v="DPO – Defect Per Opportunity"/>
    <s v="NA"/>
    <s v="NA"/>
    <s v="NA"/>
    <s v="Legal Offices"/>
    <s v="NA"/>
    <s v="NA"/>
    <s v="NA"/>
    <s v="NA"/>
    <s v="NA"/>
    <s v="NA"/>
    <s v="NA"/>
    <s v="Legal Offices, Litigation Support Department"/>
    <s v="Multiple"/>
    <s v="Semi-Structured"/>
    <s v="MVP Tool - 75% (UnStructured)_x000a_Legal Files - 25% (Structured)"/>
    <s v="Multiple"/>
    <s v="Litigation Support Team, Legal Offices"/>
    <s v="MVP, Legal Files, share point, Claim systems, Watson, LegalMation"/>
  </r>
  <r>
    <x v="30"/>
    <s v="Fortune 100 Global P&amp;C Carrier"/>
    <x v="2"/>
    <x v="3"/>
    <x v="2"/>
    <s v="Ramesh Kumar, Amit Sharma"/>
    <n v="6"/>
    <x v="1"/>
    <x v="4"/>
    <x v="17"/>
    <s v="Paralegal &amp; Legal Secretary Services"/>
    <s v="Invoice Review, Claim Payment, LegalMation, Claim File Request, Coverage Referral"/>
    <s v="Process includes invoice reviews, claim payments, document extraction, coverage referrals etc."/>
    <x v="3"/>
    <x v="3"/>
    <s v="Auto, GL, PIP, Home "/>
    <s v="Mid Size"/>
    <x v="3"/>
    <s v="L2"/>
    <n v="1"/>
    <n v="2"/>
    <n v="4"/>
    <s v="FTE Based"/>
    <s v="USD"/>
    <s v="Analysts - $21838.35_x000a_Supervisor - $27987.02"/>
    <n v="28.5"/>
    <n v="0"/>
    <n v="2"/>
    <n v="6"/>
    <n v="36.5"/>
    <n v="0.16438356164383561"/>
    <n v="64781"/>
    <n v="64781"/>
    <s v="July/August"/>
    <s v="Project D- 2.0_x000a_CICC Note Review - 4.0_x000a_Navigator Bill Payments - 10.4_x000a_Safeco Bill Payments - 8.0_x000a_P21D Payments - 24.0_x000a_NAS Bill Payments - 12.0_x000a_ACES/BOCOMP POTDUP - 9.36_x000a_Invoice Review - SRW/LRW - 1.36_x000a_Invoice Review - CERC - 0.48_x000a_Invoice Review - CRV - 3.42_x000a_Invoice Review - PRW - 0.44 _x000a_Advisory Work - 12.48_x000a_ACES- P001 Payments - 24.0_x000a_Scheduled Payments - 32.0_x000a_State Auto - 8.44_x000a_Claim file request  - 2 hrs 30 min_x000a_Coverage Referrals - 18.28_x000a_LegalMation - 12.58"/>
    <n v="0.95"/>
    <s v="LABS - 99%_x000a_LS- 98%"/>
    <s v="DPO – Defect Per Opportunity"/>
    <s v="NA"/>
    <s v="NA"/>
    <s v="NA"/>
    <s v="Brokers/Vendor/Service Provider, Outside Counsel"/>
    <s v="NA"/>
    <s v="NA"/>
    <s v="NA"/>
    <s v="NA"/>
    <s v="NA"/>
    <s v="NA"/>
    <s v="NA"/>
    <s v="Brokers/Vendor/Service Provider, Outside Counsel"/>
    <s v="Multiple"/>
    <s v="Unstructured"/>
    <s v="100% Unstructured"/>
    <s v="Multiple"/>
    <s v="Brokers/Vendor/Service Provider, Outside Counsel"/>
    <s v="Claim File system, Passport, BILLS, MS Office, CounselLink"/>
  </r>
  <r>
    <x v="30"/>
    <s v="Fortune 100 Global P&amp;C Carrier"/>
    <x v="2"/>
    <x v="3"/>
    <x v="2"/>
    <s v="Ramesh Kumar, Amit Sharma"/>
    <s v="6 Months"/>
    <x v="1"/>
    <x v="4"/>
    <x v="17"/>
    <s v="Paralegal &amp; Legal Secretary Services"/>
    <s v="Invoice Review - FEE (Asbestos &amp; Worker's Compensation)"/>
    <s v="Process includes revewing fee invoices."/>
    <x v="3"/>
    <x v="3"/>
    <s v="Asbestos &amp; WC"/>
    <s v="Mid Size"/>
    <x v="3"/>
    <s v="L4"/>
    <n v="1"/>
    <n v="2"/>
    <n v="8"/>
    <s v="FTE Based"/>
    <s v="USD"/>
    <s v="Analysts - $37000"/>
    <n v="5"/>
    <n v="0"/>
    <n v="1"/>
    <n v="3"/>
    <n v="9"/>
    <n v="0.33333333333333331"/>
    <s v="40000 Line Entries"/>
    <s v="40000 Line Entries"/>
    <s v="NA"/>
    <s v="29 sec"/>
    <n v="0.9"/>
    <n v="0.94"/>
    <s v="DPO – Defect Per Opportunity"/>
    <s v="NA"/>
    <s v="NA"/>
    <s v="NA"/>
    <s v="Legal Home offices"/>
    <s v="NA"/>
    <s v="NA"/>
    <s v="NA"/>
    <s v="NA"/>
    <s v="NA"/>
    <s v="NA"/>
    <s v="NA"/>
    <s v="Legal Home Offices"/>
    <s v="Single"/>
    <s v="Semi-Structured"/>
    <s v="Structured - 20%_x000a_Unstructured - 80%"/>
    <s v="Single"/>
    <s v="Legal Home Offices"/>
    <s v="CounselLink, MS office"/>
  </r>
  <r>
    <x v="30"/>
    <s v="Fortune 100 Global P&amp;C Carrier"/>
    <x v="2"/>
    <x v="3"/>
    <x v="2"/>
    <s v="Ramesh Kumar, Amit Sharma"/>
    <s v="6 Months"/>
    <x v="1"/>
    <x v="4"/>
    <x v="17"/>
    <s v="Paralegal &amp; Legal Secretary Services"/>
    <s v="NDA Review"/>
    <s v="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
    <x v="2"/>
    <x v="3"/>
    <s v="Auto, WC, General, Specialty"/>
    <s v="All"/>
    <x v="3"/>
    <s v="L4"/>
    <n v="1"/>
    <n v="2"/>
    <n v="4"/>
    <s v="FTE Based"/>
    <s v="USD"/>
    <s v="Analysts - $37000"/>
    <n v="1"/>
    <n v="0"/>
    <n v="0"/>
    <n v="1"/>
    <n v="2"/>
    <n v="0.5"/>
    <n v="180"/>
    <n v="180"/>
    <s v="July/August"/>
    <s v="82"/>
    <n v="0.9"/>
    <n v="0.85"/>
    <s v="DPO – Defect Per Opportunity"/>
    <s v="NA"/>
    <s v="NA"/>
    <s v="NA"/>
    <s v="Legal Offices, Underwriters"/>
    <s v="NA"/>
    <s v="NA"/>
    <s v="NA"/>
    <s v="NA"/>
    <s v="NA"/>
    <s v="NA"/>
    <s v="NA"/>
    <s v="Legal Offices, UW"/>
    <s v="Multiple"/>
    <s v="Unstructured"/>
    <s v="Unstructured - 100%"/>
    <s v="Multiple"/>
    <s v="Legal Offices"/>
    <s v="Mailboxes, MS office"/>
  </r>
  <r>
    <x v="1"/>
    <s v="Fortune 500 &amp; Large US Insurance carrier"/>
    <x v="2"/>
    <x v="3"/>
    <x v="2"/>
    <s v="Ramesh Kumar, Devashish Dhingra, Prachi Gopal Gandotra"/>
    <s v="4 months"/>
    <x v="1"/>
    <x v="4"/>
    <x v="17"/>
    <s v="Paralegal &amp; Legal Secretary Services"/>
    <s v="Case creation_x000a_Claim Handling"/>
    <s v="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
    <x v="4"/>
    <x v="13"/>
    <s v="Auto, WC, General, Specialty"/>
    <s v="Large"/>
    <x v="3"/>
    <s v="L4"/>
    <n v="4"/>
    <n v="10"/>
    <n v="4"/>
    <s v="FTE Based"/>
    <s v="USD"/>
    <n v="183600"/>
    <n v="6"/>
    <n v="0"/>
    <n v="1"/>
    <n v="5"/>
    <n v="12"/>
    <n v="0.41666666666666669"/>
    <n v="1960"/>
    <n v="1960"/>
    <s v="March/ April / November/ December"/>
    <s v="1-8 Hours"/>
    <s v="24-48 Hours"/>
    <n v="0.96"/>
    <s v="DPO – Defect Per Opportunity"/>
    <s v="NA"/>
    <s v="NA"/>
    <s v="NA"/>
    <s v="Litigation Support"/>
    <s v="NA"/>
    <s v="NA"/>
    <s v="NA"/>
    <s v="NA"/>
    <s v="NA"/>
    <s v="NA"/>
    <s v="NA"/>
    <s v="Litigation Support Department"/>
    <s v="Multiple"/>
    <s v="Unstructured"/>
    <s v="Email - 100%"/>
    <s v="Multiple"/>
    <s v="Litigation Support Team"/>
    <s v="SharePoint, MS Office Suite, Claim Center"/>
  </r>
  <r>
    <x v="1"/>
    <s v="Fortune 500 &amp; Large US Insurance carrier"/>
    <x v="2"/>
    <x v="8"/>
    <x v="4"/>
    <s v="Katherine Guerrera"/>
    <s v="1 year"/>
    <x v="1"/>
    <x v="1"/>
    <x v="1"/>
    <s v="First Notice of Loss Calls"/>
    <s v="Auto FNOL - Spanish lines"/>
    <s v="Receive first notice of loss calls for auto collissions, accidents and any type of loss related to automobile/vehicle"/>
    <x v="1"/>
    <x v="1"/>
    <s v="Auto"/>
    <s v="All"/>
    <x v="1"/>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1"/>
    <s v="Fortune 500 &amp; Large US Insurance carrier"/>
    <x v="2"/>
    <x v="8"/>
    <x v="4"/>
    <s v="Katherine Guerrera"/>
    <s v="1 year"/>
    <x v="1"/>
    <x v="1"/>
    <x v="1"/>
    <s v="First Notice of Loss Calls"/>
    <s v="Property FNOL - Spanish lines"/>
    <s v="Receive first notice of loss calls for property loss - weather related, wind hail, hurricane, tornadoes etc."/>
    <x v="1"/>
    <x v="2"/>
    <s v="Property"/>
    <s v="All"/>
    <x v="1"/>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6"/>
    <m/>
    <m/>
    <x v="3"/>
    <x v="5"/>
    <x v="18"/>
    <m/>
    <m/>
    <m/>
    <x v="7"/>
    <x v="20"/>
    <m/>
    <m/>
    <x v="5"/>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1">
  <r>
    <x v="0"/>
    <s v="Free Text"/>
    <s v="Drop Down"/>
    <s v="Drop Down"/>
    <s v="Autopopulated Field"/>
    <s v="Free Text"/>
    <s v="Free Text"/>
    <x v="0"/>
    <x v="0"/>
    <x v="0"/>
    <s v="Drop Down"/>
    <s v="Free Text"/>
    <s v="Free Text"/>
    <s v="Drop Down"/>
    <x v="0"/>
    <s v="Free Text"/>
    <s v="Drop Down"/>
    <s v="Drop Down"/>
    <s v="Drop Down"/>
    <s v="Free Text"/>
    <s v="Free Text"/>
    <s v="Free Text"/>
    <s v="Drop Down"/>
    <s v="Drop Down"/>
    <s v="Free Text"/>
    <s v="Free Text"/>
    <s v="Free Text"/>
    <s v="Free Text"/>
    <s v="Free Text"/>
    <s v="Free Text"/>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x v="1"/>
    <s v="Fortune 500 &amp; Large US Insurance carrier"/>
    <s v="North America"/>
    <s v="Manila, PHP"/>
    <s v="Philippines"/>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s v="Personal"/>
    <x v="1"/>
    <s v="Auto"/>
    <s v="All"/>
    <s v="Voice"/>
    <s v="L3"/>
    <n v="4"/>
    <n v="6"/>
    <n v="16"/>
    <s v="Transaction Based "/>
    <s v="USD"/>
    <n v="4372"/>
    <n v="30"/>
    <n v="10"/>
    <n v="4"/>
    <n v="30"/>
    <n v="74"/>
    <n v="0.40540540540540543"/>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Cebu, PHP"/>
    <s v="Philippines"/>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s v="Personal"/>
    <x v="1"/>
    <s v="Auto"/>
    <s v="All"/>
    <s v="Voice"/>
    <s v="L3"/>
    <n v="4"/>
    <n v="6"/>
    <n v="16"/>
    <s v="Transaction Based "/>
    <s v="USD"/>
    <n v="4372"/>
    <n v="75"/>
    <n v="10"/>
    <n v="7"/>
    <n v="30"/>
    <n v="122"/>
    <n v="0.24590163934426229"/>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Manila, PHP"/>
    <s v="Philippines"/>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s v="Personal"/>
    <x v="2"/>
    <s v="Property"/>
    <s v="All"/>
    <s v="Voice"/>
    <s v="L3"/>
    <n v="4"/>
    <n v="6"/>
    <n v="11"/>
    <s v="Transaction Based "/>
    <s v="USD"/>
    <n v="4372"/>
    <n v="30"/>
    <n v="5"/>
    <n v="2"/>
    <n v="3"/>
    <n v="40"/>
    <n v="7.4999999999999997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Cebu, PHP"/>
    <s v="Philippines"/>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s v="Personal"/>
    <x v="2"/>
    <s v="Property"/>
    <s v="All"/>
    <s v="Voice"/>
    <s v="L3"/>
    <n v="4"/>
    <n v="6"/>
    <n v="11"/>
    <s v="Transaction Based "/>
    <s v="USD"/>
    <n v="4372"/>
    <n v="25"/>
    <n v="5"/>
    <n v="2"/>
    <n v="3"/>
    <n v="35"/>
    <n v="8.5714285714285715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Manila, PHP"/>
    <s v="Philippines"/>
    <s v="Raymond Perez"/>
    <s v="1 year"/>
    <x v="1"/>
    <x v="1"/>
    <x v="1"/>
    <s v="First Notice of Loss Calls"/>
    <s v="Business inquiry calls"/>
    <s v="Receive calls from policyholders on FNOL inquiries and existing claims"/>
    <s v="Specialty"/>
    <x v="3"/>
    <s v="Multiple"/>
    <s v="All"/>
    <s v="Voice"/>
    <s v="L3"/>
    <n v="4"/>
    <n v="6"/>
    <n v="11"/>
    <s v="Transaction Based "/>
    <s v="USD"/>
    <n v="5247"/>
    <n v="30"/>
    <n v="3"/>
    <n v="1"/>
    <n v="3"/>
    <n v="37"/>
    <n v="8.1081081081081086E-2"/>
    <m/>
    <m/>
    <m/>
    <s v="380"/>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x v="3"/>
    <s v="Auto, Property"/>
    <s v="All"/>
    <s v="Voice"/>
    <s v="L3"/>
    <n v="4"/>
    <n v="6"/>
    <n v="11"/>
    <s v="Transaction Based "/>
    <s v="USD"/>
    <n v="5247"/>
    <n v="30"/>
    <n v="2"/>
    <n v="1"/>
    <n v="3"/>
    <n v="36"/>
    <n v="8.3333333333333329E-2"/>
    <m/>
    <m/>
    <m/>
    <m/>
    <m/>
    <n v="0.9"/>
    <s v="DPU – Defect Per Unit"/>
    <m/>
    <m/>
    <s v="Quality methodology"/>
    <m/>
    <m/>
    <m/>
    <m/>
    <m/>
    <m/>
    <m/>
    <m/>
    <s v="Onshore clients"/>
    <s v="FNOL, Inquiry"/>
    <s v="Unstructured"/>
    <m/>
    <s v="Multiple"/>
    <s v="Policyholders, agent, 3rd party"/>
    <s v="Claims Center"/>
  </r>
  <r>
    <x v="1"/>
    <s v="Fortune 500 &amp; Large US Insurance carrier"/>
    <s v="US"/>
    <s v="Manila, PHP"/>
    <s v="Philippines"/>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x v="3"/>
    <s v="Auto, Property"/>
    <s v="All"/>
    <s v="Voice"/>
    <s v="L3"/>
    <n v="4"/>
    <n v="6"/>
    <n v="11"/>
    <s v="Transaction Based "/>
    <s v="USD"/>
    <n v="5247"/>
    <n v="25"/>
    <n v="2"/>
    <n v="1"/>
    <n v="3"/>
    <n v="31"/>
    <n v="9.6774193548387094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David De Vera"/>
    <s v="1 year"/>
    <x v="2"/>
    <x v="1"/>
    <x v="1"/>
    <s v="First Notice of Loss Calls"/>
    <s v="FNOL, Inquiry calls"/>
    <s v="Receive first notice of loss calls for business auto and property loss - weather related, wind hail, hurricane, tornadoes etc._x000a_Receive calls from policyholders on FNOL incuiries and existing claims"/>
    <s v="Personal"/>
    <x v="3"/>
    <s v="Auto, Property"/>
    <s v="All"/>
    <s v="Voice"/>
    <s v="L3"/>
    <n v="4"/>
    <n v="6"/>
    <n v="20"/>
    <s v="Transaction Based "/>
    <s v="USD"/>
    <n v="5247"/>
    <n v="19"/>
    <n v="1"/>
    <n v="2"/>
    <n v="2"/>
    <n v="24"/>
    <n v="8.3333333333333329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John Pin Onrade"/>
    <s v="1 year"/>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s v="Personal"/>
    <x v="3"/>
    <s v="Auto"/>
    <s v="All"/>
    <s v="Blended"/>
    <s v="L2"/>
    <n v="2"/>
    <n v="5"/>
    <n v="6"/>
    <s v="FTE Based"/>
    <s v="USD"/>
    <n v="31927.5"/>
    <n v="28"/>
    <n v="3"/>
    <n v="2"/>
    <n v="13"/>
    <n v="46"/>
    <n v="0.28260869565217389"/>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John Pin Onrade"/>
    <s v="1 year"/>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s v="Personal"/>
    <x v="3"/>
    <s v="Auto"/>
    <s v="All"/>
    <s v="Back Office"/>
    <s v="L2"/>
    <n v="2"/>
    <n v="5"/>
    <n v="6"/>
    <s v="FTE Based"/>
    <s v="USD"/>
    <n v="31927.5"/>
    <n v="16"/>
    <n v="3"/>
    <n v="2"/>
    <n v="3"/>
    <n v="24"/>
    <n v="0.125"/>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x v="1"/>
    <s v="Fortune 500 &amp; Large US Insurance carrier"/>
    <s v="US"/>
    <s v="Manila, PHP"/>
    <s v="Philippines"/>
    <s v="John Pin Onrade"/>
    <s v="1 year"/>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s v="Personal"/>
    <x v="3"/>
    <s v="Auto"/>
    <s v="All"/>
    <s v="Blended"/>
    <s v="L2"/>
    <n v="2"/>
    <n v="5"/>
    <n v="6"/>
    <s v="FTE Based"/>
    <s v="USD"/>
    <n v="31893.75"/>
    <n v="9"/>
    <n v="4"/>
    <n v="2"/>
    <n v="13"/>
    <n v="28"/>
    <n v="0.4642857142857143"/>
    <m/>
    <m/>
    <m/>
    <m/>
    <m/>
    <n v="0.9"/>
    <s v="DPU – Defect Per Unit"/>
    <m/>
    <m/>
    <s v="Quality methodology"/>
    <m/>
    <m/>
    <m/>
    <m/>
    <m/>
    <m/>
    <m/>
    <m/>
    <s v="Onshore clients"/>
    <s v="FNOL Processing"/>
    <s v="Unstructured"/>
    <m/>
    <s v="Multiple"/>
    <s v="Policyholders, agent, 3rd party"/>
    <s v="Claim center, Gateway, ISO, AWD"/>
  </r>
  <r>
    <x v="1"/>
    <s v="Fortune 500 &amp; Large US Insurance carrier"/>
    <s v="US"/>
    <s v="Manila, PHP"/>
    <s v="Philippines"/>
    <s v="Cherree Anne Leones"/>
    <s v="1 year"/>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s v="Commercial"/>
    <x v="3"/>
    <s v="Commercial"/>
    <s v="All"/>
    <s v="Blended"/>
    <s v="L2"/>
    <n v="2"/>
    <n v="7"/>
    <n v="4"/>
    <s v="FTE Based"/>
    <s v="USD"/>
    <n v="34115"/>
    <n v="7"/>
    <n v="2"/>
    <n v="1"/>
    <n v="3"/>
    <n v="13"/>
    <n v="0.23076923076923078"/>
    <m/>
    <m/>
    <m/>
    <m/>
    <m/>
    <n v="0.9"/>
    <s v="DPU – Defect Per Unit"/>
    <m/>
    <m/>
    <s v="Quality methodology"/>
    <m/>
    <m/>
    <m/>
    <m/>
    <m/>
    <m/>
    <m/>
    <m/>
    <s v="Onshore clients"/>
    <s v="Workers Compensation"/>
    <s v="Unstructured"/>
    <m/>
    <s v="Multiple"/>
    <s v="Business, agents, providers"/>
    <s v="Claim Center, Genesys, Outlook Mailbox, Fax Link, ISO, Private Client"/>
  </r>
  <r>
    <x v="1"/>
    <s v="Fortune 500 &amp; Large US Insurance carrier"/>
    <s v="US"/>
    <s v="Manila, PHP"/>
    <s v="Philippines"/>
    <s v="Narissa Dela Rosa"/>
    <s v="1 year"/>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s v="Commercial"/>
    <x v="3"/>
    <s v="Commercial"/>
    <s v="All"/>
    <s v="Blended"/>
    <s v="L2"/>
    <n v="2"/>
    <n v="5"/>
    <n v="6"/>
    <s v="FTE Based"/>
    <s v="USD"/>
    <n v="31910.625"/>
    <n v="8"/>
    <n v="2"/>
    <n v="1"/>
    <n v="3"/>
    <n v="14"/>
    <n v="0.21428571428571427"/>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Narissa Dela Rosa"/>
    <s v="1 year"/>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s v="Commercial"/>
    <x v="3"/>
    <s v="Commercial"/>
    <s v="All"/>
    <s v="Blended"/>
    <s v="L2"/>
    <n v="2"/>
    <n v="7"/>
    <n v="7"/>
    <s v="FTE Based"/>
    <s v="USD"/>
    <n v="32855.625"/>
    <n v="24"/>
    <n v="2"/>
    <n v="2"/>
    <n v="7"/>
    <n v="35"/>
    <n v="0.2"/>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Narissa Dela Rosa"/>
    <s v="1 year"/>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s v="Commercial"/>
    <x v="3"/>
    <s v="Commercial"/>
    <s v="All"/>
    <s v="Blended"/>
    <s v="L2"/>
    <n v="2"/>
    <n v="5"/>
    <n v="3"/>
    <s v="FTE Based"/>
    <s v="USD"/>
    <n v="34391.25"/>
    <n v="6"/>
    <n v="2"/>
    <n v="1"/>
    <n v="2"/>
    <n v="11"/>
    <n v="0.18181818181818182"/>
    <m/>
    <m/>
    <m/>
    <m/>
    <m/>
    <n v="0.98499999999999999"/>
    <s v="Weighted DPO – Weighted Defect Per Opportunity"/>
    <m/>
    <m/>
    <s v="Quality methodology"/>
    <m/>
    <m/>
    <m/>
    <m/>
    <m/>
    <m/>
    <m/>
    <m/>
    <s v="Onshore clients"/>
    <s v="Claims Processing"/>
    <s v="Unstructured"/>
    <m/>
    <s v="Multiple"/>
    <s v="Policyholders, agent, 3rd party"/>
    <s v="Claim center, Gateway, ISO, AWD"/>
  </r>
  <r>
    <x v="1"/>
    <s v="Fortune 500 &amp; Large US Insurance carrier"/>
    <s v="US"/>
    <s v="Manila, PHP"/>
    <s v="Philippines"/>
    <s v="Narissa Dela Rosa"/>
    <s v="1 year"/>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s v="Commercial"/>
    <x v="3"/>
    <s v="Commercial"/>
    <s v="All"/>
    <s v="Blended"/>
    <s v="L2"/>
    <n v="2"/>
    <n v="14"/>
    <n v="8"/>
    <s v="FTE Based"/>
    <s v="USD"/>
    <n v="32855.625"/>
    <n v="9"/>
    <n v="2"/>
    <n v="1"/>
    <n v="3"/>
    <n v="15"/>
    <n v="0.2"/>
    <m/>
    <m/>
    <m/>
    <m/>
    <m/>
    <n v="0.95"/>
    <s v="Weighted DPO – Weighted Defect Per Opportunity"/>
    <m/>
    <m/>
    <s v="Quality methodology"/>
    <m/>
    <m/>
    <m/>
    <m/>
    <m/>
    <m/>
    <m/>
    <m/>
    <s v="Onshore clients"/>
    <s v="Claims Support: ESS New Loss Back Office"/>
    <s v="Unstructured"/>
    <m/>
    <s v="Multiple"/>
    <s v="Policyholders, agent, 3rd party"/>
    <s v="Claim center, Gateway, ISO, AWD"/>
  </r>
  <r>
    <x v="2"/>
    <s v="US National Specialty Carrier"/>
    <s v="US"/>
    <s v="Noida, India"/>
    <s v="India"/>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s v="Specialty"/>
    <x v="3"/>
    <s v="Auto, Home, Motor Cycle, Collector Vehicle, Watercraft, Manufactured/Mobile home"/>
    <s v="Small &amp; Mid Size"/>
    <s v="Back Office"/>
    <s v="L3"/>
    <n v="1"/>
    <n v="8"/>
    <n v="8"/>
    <s v="FTE Based"/>
    <s v="USD"/>
    <n v="29825.983464999998"/>
    <n v="17"/>
    <n v="2"/>
    <n v="1"/>
    <n v="2"/>
    <n v="22"/>
    <n v="9.0909090909090912E-2"/>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x v="2"/>
    <s v="US National Specialty Carrier"/>
    <s v="US"/>
    <s v="Noida, India"/>
    <s v="India"/>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s v="Specialty"/>
    <x v="3"/>
    <s v="Auto, Home, Motor Cycle, Collector Vehicle, Watercraft, Manufactured/Mobile home"/>
    <s v="Small &amp; Mid Size"/>
    <s v="Back Office"/>
    <s v="L3"/>
    <n v="1"/>
    <n v="4"/>
    <n v="6"/>
    <s v="FTE Based"/>
    <s v="USD"/>
    <n v="29825.983465000001"/>
    <n v="27"/>
    <n v="2"/>
    <n v="1"/>
    <n v="3"/>
    <n v="33"/>
    <n v="9.0909090909090912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x v="2"/>
    <s v="US National Specialty Carrier"/>
    <s v="US"/>
    <s v="Noida, India"/>
    <s v="India"/>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s v="Specialty"/>
    <x v="3"/>
    <s v="Auto, Home, Motor Cycle, Collector Vehicle, Watercraft, Manufactured/Mobile home"/>
    <s v="Small &amp; Mid Size"/>
    <s v="Back Office"/>
    <s v="L3"/>
    <n v="1"/>
    <n v="2"/>
    <n v="2"/>
    <s v="FTE Based"/>
    <s v="USD"/>
    <n v="29825.983464999998"/>
    <n v="7"/>
    <n v="0"/>
    <n v="0.5"/>
    <n v="1"/>
    <n v="8.5"/>
    <n v="0.11764705882352941"/>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x v="2"/>
    <s v="US National Specialty Carrier"/>
    <s v="US"/>
    <s v="Noida, India"/>
    <s v="India"/>
    <s v="Souvick Paul"/>
    <n v="2.9"/>
    <x v="1"/>
    <x v="1"/>
    <x v="4"/>
    <s v="Requesting Police report"/>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s v="Specialty"/>
    <x v="3"/>
    <s v="Auto, Home, Motor Cycle, Collector Vehicle, Watercraft, Manufactured/Mobile home"/>
    <s v="Small &amp; Mid Size"/>
    <s v="Back Office"/>
    <s v="L3"/>
    <n v="1"/>
    <n v="3"/>
    <n v="3"/>
    <s v="FTE Based"/>
    <s v="USD"/>
    <n v="28113.85"/>
    <n v="4"/>
    <n v="0"/>
    <n v="0.5"/>
    <n v="1"/>
    <n v="5.5"/>
    <n v="0.18181818181818182"/>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x v="3"/>
    <s v="UK P&amp;C client"/>
    <s v="UK"/>
    <s v="Pune, India"/>
    <s v="India"/>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s v="Commercial"/>
    <x v="3"/>
    <s v="Auto,Property,Package"/>
    <s v="All"/>
    <s v="Back Office"/>
    <s v="L5"/>
    <s v="1 weeks"/>
    <s v="4 weeks"/>
    <s v="2 weeks"/>
    <s v="FTE Based"/>
    <s v="GBP"/>
    <n v="25059"/>
    <n v="2"/>
    <n v="0"/>
    <n v="1"/>
    <n v="0"/>
    <n v="3"/>
    <n v="0"/>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x v="3"/>
    <s v="UK P&amp;C client"/>
    <s v="UK"/>
    <s v="Noida, India"/>
    <s v="India"/>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x v="3"/>
    <s v="Auto,Property,Package"/>
    <s v="All"/>
    <s v="Back Office"/>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x v="3"/>
    <s v="Auto,Property,Package"/>
    <s v="All"/>
    <s v="Back Office"/>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Noida, India"/>
    <s v="India"/>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x v="3"/>
    <s v="Auto,Property,Package"/>
    <s v="All"/>
    <s v="Back Office"/>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x v="3"/>
    <s v="Auto,Property,Package"/>
    <s v="All"/>
    <s v="Back Office"/>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s v="Commercial"/>
    <x v="3"/>
    <s v="Auto,Property,Package"/>
    <s v="All"/>
    <s v="Back Office"/>
    <s v="L3"/>
    <s v="1 weeks"/>
    <s v="4 weeks"/>
    <s v="4 weeks"/>
    <s v="FTE Based"/>
    <s v="GBP"/>
    <n v="20183.240000000002"/>
    <n v="28"/>
    <n v="2"/>
    <n v="2"/>
    <n v="3"/>
    <n v="35"/>
    <n v="8.5714285714285715E-2"/>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s v="Commercial"/>
    <x v="3"/>
    <s v="Auto,Property,Package"/>
    <s v="All"/>
    <s v="Back Office"/>
    <s v="L4 - L7"/>
    <s v="1 weeks"/>
    <s v="12 weeks"/>
    <s v="8 weeks"/>
    <s v="FTE Based"/>
    <s v="GBP"/>
    <s v="L4 - £22803_x000a_L5 - £25059_x000a_L6 - £27994_x000a_L7 - £30043"/>
    <n v="104"/>
    <n v="0"/>
    <n v="5"/>
    <n v="25"/>
    <n v="134"/>
    <n v="0.18656716417910449"/>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x v="3"/>
    <s v="UK P&amp;C client"/>
    <s v="UK"/>
    <s v="Noida, India"/>
    <s v="India"/>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s v="Commercial"/>
    <x v="3"/>
    <s v="Auto,Property,Package"/>
    <s v="All"/>
    <s v="Blended"/>
    <s v="L2"/>
    <s v="1 weeks"/>
    <s v="4 weeks"/>
    <s v="4 weeks"/>
    <s v="FTE Based"/>
    <s v="GBP"/>
    <s v="Assistant Accountant - £28019.6_x000a_Broker Rec Manager - £41475.1"/>
    <n v="3"/>
    <n v="0"/>
    <n v="1"/>
    <n v="1"/>
    <n v="5"/>
    <n v="0.2"/>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4"/>
    <s v="Regional US P&amp;C Carrier"/>
    <s v="US"/>
    <s v="Noida, India"/>
    <s v="India"/>
    <s v="Gaurav Agarwal"/>
    <n v="10"/>
    <x v="1"/>
    <x v="1"/>
    <x v="1"/>
    <s v="After Hours Support"/>
    <s v="Claim File Copies"/>
    <s v="Claim file copy requests. "/>
    <s v="Personal"/>
    <x v="3"/>
    <s v="Auto/Property"/>
    <s v="Mid Size"/>
    <s v="Back Office"/>
    <s v="L2"/>
    <n v="1"/>
    <n v="2"/>
    <n v="3"/>
    <s v="FTE Based"/>
    <s v="USD"/>
    <n v="24417.299117249997"/>
    <n v="2"/>
    <n v="0.1"/>
    <n v="0.04"/>
    <n v="1.1000000000000001"/>
    <n v="3.24"/>
    <n v="0.33950617283950618"/>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x v="4"/>
    <s v="Regional US P&amp;C Carrier"/>
    <s v="US"/>
    <s v="Noida, India"/>
    <s v="India"/>
    <s v="Gaurav Agarwal"/>
    <n v="10"/>
    <x v="1"/>
    <x v="1"/>
    <x v="1"/>
    <s v="After Hours Support"/>
    <s v="IA Supplement Messages"/>
    <s v="Send emails/voice mail messages received from repair facilities to regional dispatch mailboxes."/>
    <s v="Personal"/>
    <x v="3"/>
    <s v="Auto/Property"/>
    <s v="Mid Size"/>
    <s v="Back Office"/>
    <s v="L1"/>
    <n v="1"/>
    <n v="1"/>
    <n v="2"/>
    <s v="FTE Based"/>
    <s v="USD"/>
    <n v="20576.695042124997"/>
    <n v="6"/>
    <n v="0.1"/>
    <n v="0.04"/>
    <n v="1.1000000000000001"/>
    <n v="7.24"/>
    <n v="0.15193370165745856"/>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x v="4"/>
    <s v="Regional US P&amp;C Carrier"/>
    <s v="US"/>
    <s v="Noida, India"/>
    <s v="India"/>
    <s v="Gaurav Agarwal"/>
    <n v="10"/>
    <x v="1"/>
    <x v="1"/>
    <x v="1"/>
    <s v="After Hours Support"/>
    <s v="Matter Setups &amp; Closures"/>
    <s v="Setup Matter on claim files for legal expenses to be paid and close Matters post payments"/>
    <s v="Personal"/>
    <x v="3"/>
    <s v="Auto/Property"/>
    <s v="Mid Size"/>
    <s v="Back Office"/>
    <s v="L2"/>
    <n v="1"/>
    <n v="2"/>
    <n v="3"/>
    <s v="FTE Based"/>
    <s v="USD"/>
    <n v="24417.299117249997"/>
    <n v="2"/>
    <n v="0.1"/>
    <n v="0.04"/>
    <n v="1.1000000000000001"/>
    <n v="3.24"/>
    <n v="0.33950617283950618"/>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x v="4"/>
    <s v="Regional US P&amp;C Carrier"/>
    <s v="US"/>
    <s v="Noida, India"/>
    <s v="India"/>
    <s v="Gaurav Agarwal"/>
    <n v="10"/>
    <x v="1"/>
    <x v="1"/>
    <x v="7"/>
    <s v="Quality Management"/>
    <s v="QA Support"/>
    <s v="QA Support"/>
    <s v="Personal"/>
    <x v="3"/>
    <s v="Auto/Property"/>
    <s v="Mid Size"/>
    <s v="Back Office"/>
    <s v="L4"/>
    <s v="NA"/>
    <s v="NA"/>
    <s v="NA"/>
    <s v="FTE Based"/>
    <s v="USD"/>
    <n v="33328.05932249999"/>
    <n v="3"/>
    <n v="0.1"/>
    <n v="0.04"/>
    <n v="1.1000000000000001"/>
    <n v="4.24"/>
    <n v="0.25943396226415094"/>
    <s v="NA"/>
    <s v="NA"/>
    <s v="NA"/>
    <s v="NA"/>
    <n v="0.95"/>
    <n v="0.95"/>
    <s v="DPO – Defect Per Opportunity"/>
    <s v="NA"/>
    <s v="NA"/>
    <s v="NA"/>
    <s v="NA"/>
    <s v="NA"/>
    <s v="NA"/>
    <s v="NA"/>
    <s v="NA"/>
    <s v="NA"/>
    <s v="NA"/>
    <s v="NA"/>
    <s v="NA"/>
    <s v="Multiple"/>
    <s v="Semi-Structured"/>
    <s v="NA"/>
    <s v="NA"/>
    <s v="NA"/>
    <s v="All Client Applications / Admin Systems"/>
  </r>
  <r>
    <x v="4"/>
    <s v="Regional US P&amp;C Carrier"/>
    <s v="US"/>
    <s v="Noida, India"/>
    <s v="India"/>
    <s v="Gaurav Agarwal"/>
    <n v="10"/>
    <x v="1"/>
    <x v="1"/>
    <x v="8"/>
    <s v="Salvage Settlement"/>
    <s v="Salvage Deficit Payments"/>
    <s v="Salvage deficit payments processed for invoices received via email from vendor. "/>
    <s v="Personal"/>
    <x v="3"/>
    <s v="Auto/Property"/>
    <s v="Mid Size"/>
    <s v="Back Office"/>
    <s v="L2"/>
    <n v="1"/>
    <n v="2"/>
    <n v="3"/>
    <s v="FTE Based"/>
    <s v="USD"/>
    <n v="24417.299117249997"/>
    <n v="2"/>
    <n v="0.1"/>
    <n v="0.04"/>
    <n v="1.1000000000000001"/>
    <n v="3.24"/>
    <n v="0.33950617283950618"/>
    <n v="1088"/>
    <s v="NA"/>
    <s v="NA"/>
    <n v="5.86"/>
    <n v="0.95"/>
    <n v="0.95"/>
    <s v="DPO – Defect Per Opportunity"/>
    <s v="NA"/>
    <s v="NA"/>
    <s v="NA"/>
    <s v="NA"/>
    <s v="NA"/>
    <s v="NA"/>
    <s v="NA"/>
    <s v="NA"/>
    <s v="NA"/>
    <s v="NA"/>
    <s v="NA"/>
    <s v="Kemper"/>
    <s v="Emails"/>
    <s v="Unstructured"/>
    <n v="1"/>
    <s v="Payment/EFT issued to salvage vendor"/>
    <s v="Vendor"/>
    <s v="Claim Center"/>
  </r>
  <r>
    <x v="4"/>
    <s v="Regional US P&amp;C Carrier"/>
    <s v="US"/>
    <s v="Noida, India"/>
    <s v="India"/>
    <s v="Gaurav Agarwal"/>
    <n v="10"/>
    <x v="1"/>
    <x v="1"/>
    <x v="1"/>
    <s v="After Hours Support"/>
    <s v="Eschest Checks"/>
    <s v="Processing of returned escheat letters from customers. Confirm if money owed and reissue check as needed"/>
    <s v="Personal"/>
    <x v="3"/>
    <s v="Auto/Property"/>
    <s v="Mid Size"/>
    <s v="Back Office"/>
    <s v="L2"/>
    <n v="1"/>
    <n v="2"/>
    <n v="3"/>
    <s v="FTE Based"/>
    <s v="USD"/>
    <n v="24417.299117249997"/>
    <n v="1"/>
    <n v="0.1"/>
    <n v="0.04"/>
    <n v="1.1000000000000001"/>
    <n v="2.2400000000000002"/>
    <n v="0.49107142857142855"/>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x v="4"/>
    <s v="Regional US P&amp;C Carrier"/>
    <s v="US"/>
    <s v="Noida, India"/>
    <s v="India"/>
    <s v="Gaurav Agarwal"/>
    <n v="10"/>
    <x v="1"/>
    <x v="1"/>
    <x v="1"/>
    <s v="Adjuster Onboarding/Off-boarding"/>
    <s v="KSG Claims System Access Request"/>
    <s v="Submitting system access request for new hires and/or existing employees."/>
    <s v="Personal"/>
    <x v="3"/>
    <s v="Auto/Property"/>
    <s v="Mid Size"/>
    <s v="Back Office"/>
    <s v="L2"/>
    <n v="1"/>
    <n v="2"/>
    <n v="3"/>
    <s v="FTE Based"/>
    <s v="USD"/>
    <n v="24417.299117249997"/>
    <n v="1"/>
    <n v="0.1"/>
    <n v="0.04"/>
    <n v="1.1000000000000001"/>
    <n v="2.2400000000000002"/>
    <n v="0.49107142857142855"/>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x v="4"/>
    <s v="Regional US P&amp;C Carrier"/>
    <s v="US"/>
    <s v="Noida, India"/>
    <s v="India"/>
    <s v="Gaurav Agarwal"/>
    <n v="10"/>
    <x v="1"/>
    <x v="1"/>
    <x v="1"/>
    <s v="Indexing"/>
    <s v="Unidentified Mail Queues"/>
    <s v="Research unidentified documents received in Indexing systems so as to match them to the correct claim files.  "/>
    <s v="Personal"/>
    <x v="3"/>
    <s v="Auto/Property"/>
    <s v="Mid Size"/>
    <s v="Back Office"/>
    <s v="L3"/>
    <n v="1"/>
    <n v="4"/>
    <n v="4"/>
    <s v="FTE Based"/>
    <s v="USD"/>
    <n v="29414.285223749994"/>
    <n v="8.4"/>
    <n v="0.1"/>
    <n v="0.04"/>
    <n v="1.1000000000000001"/>
    <n v="9.6399999999999988"/>
    <n v="0.11410788381742741"/>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x v="4"/>
    <s v="Regional US P&amp;C Carrier"/>
    <s v="US"/>
    <s v="Noida, India"/>
    <s v="India"/>
    <s v="Gaurav Agarwal"/>
    <n v="10"/>
    <x v="1"/>
    <x v="1"/>
    <x v="9"/>
    <s v="Bill Payment (Medical Legal, Non Medical, Vendor)"/>
    <s v="Vendor Payments and Legal Bill Invoice Payments"/>
    <s v="Issue payments to various vendors in claims systems.  Invoices are emailed. "/>
    <s v="Personal"/>
    <x v="3"/>
    <s v="Auto/Property"/>
    <s v="Mid Size"/>
    <s v="Back Office"/>
    <s v="L2"/>
    <n v="1"/>
    <n v="2"/>
    <n v="3"/>
    <s v="FTE Based"/>
    <s v="USD"/>
    <n v="24417.299117249997"/>
    <n v="8.5"/>
    <n v="0.1"/>
    <n v="0.04"/>
    <n v="1.1000000000000001"/>
    <n v="9.7399999999999984"/>
    <n v="0.1129363449691992"/>
    <n v="6360"/>
    <s v="NA"/>
    <s v="NA"/>
    <n v="6"/>
    <n v="0.95"/>
    <n v="0.95"/>
    <s v="DPO – Defect Per Opportunity"/>
    <s v="NA"/>
    <s v="NA"/>
    <s v="NA"/>
    <s v="NA"/>
    <s v="NA"/>
    <s v="NA"/>
    <s v="NA"/>
    <s v="NA"/>
    <s v="NA"/>
    <s v="NA"/>
    <s v="NA"/>
    <s v="Vendor"/>
    <s v="Emails"/>
    <s v="Semi-Structured"/>
    <n v="1"/>
    <s v="Payment issued to vendor"/>
    <s v="Vendor"/>
    <s v="Claim Center, Bottemline Legal Exchange"/>
  </r>
  <r>
    <x v="4"/>
    <s v="Regional US P&amp;C Carrier"/>
    <s v="US"/>
    <s v="Noida, India"/>
    <s v="India"/>
    <s v="Gaurav Agarwal"/>
    <n v="10"/>
    <x v="1"/>
    <x v="1"/>
    <x v="8"/>
    <s v="Initiate Recovery Collection &amp; processing"/>
    <s v="Subro Recovery payments"/>
    <s v="Payments issuance in Kemper Claims Center (KCC) of demands with completed PD reviews"/>
    <s v="Personal"/>
    <x v="3"/>
    <s v="Auto/Property"/>
    <s v="Mid Size"/>
    <s v="Back Office"/>
    <s v="L2"/>
    <n v="1"/>
    <n v="2"/>
    <n v="3"/>
    <s v="FTE Based"/>
    <s v="USD"/>
    <n v="24417.299117249997"/>
    <n v="5"/>
    <n v="0.1"/>
    <n v="0.04"/>
    <n v="1.1000000000000001"/>
    <n v="6.24"/>
    <n v="0.17628205128205129"/>
    <n v="2914"/>
    <s v="NA"/>
    <s v="NA"/>
    <n v="10.43"/>
    <n v="0.95"/>
    <n v="0.95"/>
    <s v="DPO – Defect Per Opportunity"/>
    <s v="NA"/>
    <s v="NA"/>
    <s v="NA"/>
    <s v="NA"/>
    <s v="NA"/>
    <s v="NA"/>
    <s v="NA"/>
    <s v="NA"/>
    <s v="NA"/>
    <s v="NA"/>
    <s v="NA"/>
    <s v="Kemper"/>
    <s v="Emails"/>
    <s v="Unstructured"/>
    <n v="1"/>
    <s v="Recovered amount posted in claims system"/>
    <s v="Claim Adjuster"/>
    <s v="Claim Center"/>
  </r>
  <r>
    <x v="4"/>
    <s v="Regional US P&amp;C Carrier"/>
    <s v="US"/>
    <s v="Noida, India"/>
    <s v="India"/>
    <s v="Gaurav Agarwal"/>
    <n v="10"/>
    <x v="1"/>
    <x v="1"/>
    <x v="8"/>
    <s v="Initiate Recovery Collection &amp; processing"/>
    <s v="Recovery Compliance Letters"/>
    <s v="Completion of NY/TX compliance letters"/>
    <s v="Personal"/>
    <x v="3"/>
    <s v="Auto/Property"/>
    <s v="Mid Size"/>
    <s v="Back Office"/>
    <s v="L2"/>
    <n v="1"/>
    <n v="2"/>
    <n v="3"/>
    <s v="FTE Based"/>
    <s v="USD"/>
    <n v="24417.299117249997"/>
    <n v="1"/>
    <n v="0.1"/>
    <n v="0.04"/>
    <n v="1.1000000000000001"/>
    <n v="2.2400000000000002"/>
    <n v="0.49107142857142855"/>
    <n v="766"/>
    <s v="NA"/>
    <s v="NA"/>
    <n v="4.84"/>
    <n v="0.95"/>
    <n v="0.95"/>
    <s v="DPO – Defect Per Opportunity"/>
    <s v="NA"/>
    <s v="NA"/>
    <s v="NA"/>
    <s v="NA"/>
    <s v="NA"/>
    <s v="NA"/>
    <s v="NA"/>
    <s v="NA"/>
    <s v="NA"/>
    <s v="NA"/>
    <s v="NA"/>
    <s v="Kemper"/>
    <s v="Emails"/>
    <s v="Unstructured"/>
    <n v="1"/>
    <s v="Acknowledgement letter sent to insured"/>
    <s v="Insured"/>
    <s v="Claim Center"/>
  </r>
  <r>
    <x v="4"/>
    <s v="Regional US P&amp;C Carrier"/>
    <s v="US"/>
    <s v="Noida, India"/>
    <s v="India"/>
    <s v="Gaurav Agarwal"/>
    <n v="10"/>
    <x v="1"/>
    <x v="1"/>
    <x v="9"/>
    <s v="Bill Payment (Medical Legal, Non Medical, Vendor)"/>
    <s v="AACC Vendor Payments"/>
    <s v="Issue payments to various vendors in claims systems.  Invoices are emailed. "/>
    <s v="Personal"/>
    <x v="3"/>
    <s v="Auto/Property"/>
    <s v="Mid Size"/>
    <s v="Back Office"/>
    <s v="L2"/>
    <n v="1"/>
    <n v="2"/>
    <n v="3"/>
    <s v="FTE Based"/>
    <s v="USD"/>
    <n v="24417.299117249997"/>
    <n v="1"/>
    <n v="0.1"/>
    <n v="0.04"/>
    <n v="1.1000000000000001"/>
    <n v="2.2400000000000002"/>
    <n v="0.49107142857142855"/>
    <n v="106"/>
    <s v="NA"/>
    <s v="NA"/>
    <n v="8"/>
    <n v="0.95"/>
    <n v="0.95"/>
    <s v="DPO – Defect Per Opportunity"/>
    <s v="NA"/>
    <s v="NA"/>
    <s v="NA"/>
    <s v="NA"/>
    <s v="NA"/>
    <s v="NA"/>
    <s v="NA"/>
    <s v="NA"/>
    <s v="NA"/>
    <s v="NA"/>
    <s v="NA"/>
    <s v="Vendor"/>
    <s v="Emails"/>
    <s v="Unstructured"/>
    <n v="1"/>
    <s v="Payment issued to vendor"/>
    <s v="Vendor"/>
    <s v="American Access Claims Center, CCC Portal"/>
  </r>
  <r>
    <x v="4"/>
    <s v="Regional US P&amp;C Carrier"/>
    <s v="US"/>
    <s v="Noida, India"/>
    <s v="India"/>
    <s v="Gaurav Agarwal"/>
    <n v="10"/>
    <x v="1"/>
    <x v="1"/>
    <x v="1"/>
    <s v="Claim Setup and assignment"/>
    <s v="FNOL Claim Setup"/>
    <s v="Reviews the FNOL document, set up a claim with available information and assign it to the claims adjuster"/>
    <s v="Personal"/>
    <x v="3"/>
    <s v="Auto/Property"/>
    <s v="Mid Size"/>
    <s v="Back Office"/>
    <s v="L3"/>
    <n v="1"/>
    <n v="4"/>
    <n v="3"/>
    <s v="FTE Based"/>
    <s v="USD"/>
    <n v="29414.285223749994"/>
    <n v="5"/>
    <n v="0.1"/>
    <n v="0.04"/>
    <n v="1.1000000000000001"/>
    <n v="6.24"/>
    <n v="0.17628205128205129"/>
    <n v="779"/>
    <s v="NA"/>
    <s v="NA"/>
    <n v="15"/>
    <n v="0.95"/>
    <n v="0.95"/>
    <s v="DPO – Defect Per Opportunity"/>
    <s v="NA"/>
    <s v="NA"/>
    <s v="NA"/>
    <s v="NA"/>
    <s v="NA"/>
    <s v="NA"/>
    <s v="NA"/>
    <s v="NA"/>
    <s v="NA"/>
    <s v="NA"/>
    <s v="NA"/>
    <s v="Kemper"/>
    <s v="Images"/>
    <s v="Semi-Structured"/>
    <n v="1"/>
    <s v="Claim generated for a loss"/>
    <s v="Claim Adjuster"/>
    <s v="Claim Center"/>
  </r>
  <r>
    <x v="4"/>
    <s v="Regional US P&amp;C Carrier"/>
    <s v="US"/>
    <s v="Noida, India"/>
    <s v="India"/>
    <s v="Gaurav Agarwal"/>
    <n v="10"/>
    <x v="1"/>
    <x v="1"/>
    <x v="1"/>
    <s v="Indexing"/>
    <s v="AACC Mail Processing"/>
    <s v="Reviews the misrouted documents and index those to the correct claim file "/>
    <s v="Personal"/>
    <x v="3"/>
    <s v="Auto/Property"/>
    <s v="Mid Size"/>
    <s v="Back Office"/>
    <s v="L3"/>
    <n v="1"/>
    <n v="4"/>
    <n v="3"/>
    <s v="FTE Based"/>
    <s v="USD"/>
    <n v="29414.285223749994"/>
    <n v="3"/>
    <n v="0.1"/>
    <n v="0.04"/>
    <n v="1.1000000000000001"/>
    <n v="4.24"/>
    <n v="0.25943396226415094"/>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x v="4"/>
    <s v="Regional US P&amp;C Carrier"/>
    <s v="US"/>
    <s v="Noida, India"/>
    <s v="India"/>
    <s v="Gaurav Agarwal"/>
    <n v="10"/>
    <x v="1"/>
    <x v="1"/>
    <x v="4"/>
    <s v="Requesting Police report"/>
    <s v="AACC Ordering Police Report"/>
    <s v="Draft requests to oder police report from an application basis adjuster's request"/>
    <s v="Personal"/>
    <x v="3"/>
    <s v="Auto/Property"/>
    <s v="Mid Size"/>
    <s v="Back Office"/>
    <s v="L3"/>
    <n v="1"/>
    <n v="2"/>
    <n v="3"/>
    <s v="FTE Based"/>
    <s v="USD"/>
    <n v="29414.285223749994"/>
    <n v="1"/>
    <n v="0.1"/>
    <n v="0.04"/>
    <n v="1.1000000000000001"/>
    <n v="2.2400000000000002"/>
    <n v="0.49107142857142855"/>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x v="4"/>
    <s v="Regional US P&amp;C Carrier"/>
    <s v="US"/>
    <s v="Cape Town, South Africa"/>
    <s v="South Africa"/>
    <s v="Faeekah Cornelius"/>
    <n v="4"/>
    <x v="1"/>
    <x v="1"/>
    <x v="1"/>
    <s v="After Hours Support"/>
    <s v="TL Assignments"/>
    <s v="Assignment of claims and exposures to the total loss adjuster per the daily log sheet"/>
    <s v="Personal"/>
    <x v="3"/>
    <s v="Auto/Property"/>
    <s v="Mid Size"/>
    <s v="Back Office"/>
    <s v="L1"/>
    <n v="1"/>
    <n v="2"/>
    <n v="2"/>
    <s v="FTE Based"/>
    <s v="USD"/>
    <n v="28463.005286999993"/>
    <n v="1.5"/>
    <n v="0.09"/>
    <n v="0.06"/>
    <n v="1.0900000000000001"/>
    <n v="2.74"/>
    <n v="0.3978102189781022"/>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x v="4"/>
    <s v="Regional US P&amp;C Carrier"/>
    <s v="US"/>
    <s v="Cape Town, South Africa"/>
    <s v="South Africa"/>
    <s v="Faeekah Cornelius"/>
    <n v="4"/>
    <x v="1"/>
    <x v="1"/>
    <x v="9"/>
    <s v="Bill Payment (Medical Legal, Non Medical, Vendor)"/>
    <s v="Vendor Payments / Legal Bill Invoice Payment"/>
    <s v="Issue payments to various vendors in claims systems.  Invoices are emailed. "/>
    <s v="Personal"/>
    <x v="3"/>
    <s v="Auto/Property"/>
    <s v="Mid Size"/>
    <s v="Back Office"/>
    <s v="L2"/>
    <n v="1"/>
    <n v="2"/>
    <n v="2"/>
    <s v="FTE Based"/>
    <s v="USD"/>
    <n v="30143.821585499994"/>
    <n v="2"/>
    <n v="0.09"/>
    <n v="0.06"/>
    <n v="1.0900000000000001"/>
    <n v="3.24"/>
    <n v="0.33641975308641975"/>
    <n v="252"/>
    <s v="NA"/>
    <s v="NA"/>
    <n v="2.88"/>
    <n v="0.95"/>
    <n v="0.95"/>
    <s v="DPO – Defect Per Opportunity"/>
    <s v="NA"/>
    <s v="NA"/>
    <s v="NA"/>
    <s v="NA"/>
    <s v="NA"/>
    <s v="NA"/>
    <s v="NA"/>
    <s v="NA"/>
    <s v="NA"/>
    <s v="NA"/>
    <s v="NA"/>
    <s v="Claim Adjuster"/>
    <s v="Structured"/>
    <s v="Structured"/>
    <n v="1"/>
    <s v="Payment issued to vendor"/>
    <s v="Claim Adjuster"/>
    <s v="Claim Center"/>
  </r>
  <r>
    <x v="4"/>
    <s v="Regional US P&amp;C Carrier"/>
    <s v="US"/>
    <s v="Cape Town, South Africa"/>
    <s v="South Africa"/>
    <s v="Faeekah Cornelius"/>
    <n v="4"/>
    <x v="1"/>
    <x v="1"/>
    <x v="1"/>
    <s v="After Hours Support"/>
    <s v="IA Supplement Messages"/>
    <s v="Send emails/voice mail messages received from repair facilities to regional dispatch mailboxes."/>
    <s v="Personal"/>
    <x v="3"/>
    <s v="Auto/Property"/>
    <s v="Mid Size"/>
    <s v="Back Office"/>
    <s v="L1"/>
    <n v="1"/>
    <n v="3"/>
    <n v="3"/>
    <s v="FTE Based"/>
    <s v="USD"/>
    <n v="28463.005286999993"/>
    <n v="5"/>
    <n v="0.09"/>
    <n v="0.06"/>
    <n v="1.0900000000000001"/>
    <n v="6.2399999999999993"/>
    <n v="0.1746794871794872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x v="4"/>
    <s v="Regional US P&amp;C Carrier"/>
    <s v="US"/>
    <s v="Cape Town, South Africa"/>
    <s v="South Africa"/>
    <s v="Faeekah Cornelius"/>
    <n v="4"/>
    <x v="1"/>
    <x v="1"/>
    <x v="8"/>
    <s v="Salvage Settlement"/>
    <s v="Subro - Post Salvage Proceeds"/>
    <s v="Salvage deficit payments processed for invoices received via email from vendor. "/>
    <s v="Personal"/>
    <x v="3"/>
    <s v="Auto/Property"/>
    <s v="Mid Size"/>
    <s v="Back Office"/>
    <s v="L2"/>
    <n v="1"/>
    <n v="2"/>
    <n v="2"/>
    <s v="FTE Based"/>
    <s v="USD"/>
    <n v="30143.821585499994"/>
    <n v="1"/>
    <n v="0.09"/>
    <n v="0.06"/>
    <n v="1.0900000000000001"/>
    <n v="2.2400000000000002"/>
    <n v="0.48660714285714285"/>
    <n v="2450"/>
    <s v="NA"/>
    <s v="NA"/>
    <n v="3"/>
    <n v="0.95"/>
    <n v="0.95"/>
    <s v="DPO – Defect Per Opportunity"/>
    <s v="NA"/>
    <s v="NA"/>
    <s v="NA"/>
    <s v="NA"/>
    <s v="NA"/>
    <s v="NA"/>
    <s v="NA"/>
    <s v="NA"/>
    <s v="NA"/>
    <s v="NA"/>
    <s v="NA"/>
    <s v="Claim Adjuster"/>
    <s v="Emails"/>
    <s v="Semi-Structured"/>
    <n v="1"/>
    <s v="Recovered amount posted in claims system"/>
    <s v="Claim Adjuster"/>
    <s v="Claim Center"/>
  </r>
  <r>
    <x v="4"/>
    <s v="Regional US P&amp;C Carrier"/>
    <s v="US"/>
    <s v="Cape Town, South Africa"/>
    <s v="South Africa"/>
    <s v="Faeekah Cornelius"/>
    <n v="4"/>
    <x v="1"/>
    <x v="1"/>
    <x v="1"/>
    <s v="After Hours Support"/>
    <s v="Return Check"/>
    <s v="Review of outstanding checks to verify funds owed, and void &amp; reissue checks as needed."/>
    <s v="Personal"/>
    <x v="3"/>
    <s v="Auto/Property"/>
    <s v="Mid Size"/>
    <s v="Back Office"/>
    <s v="L1"/>
    <n v="1"/>
    <n v="2"/>
    <n v="2"/>
    <s v="FTE Based"/>
    <s v="USD"/>
    <n v="28463.005286999993"/>
    <n v="1"/>
    <n v="0.09"/>
    <n v="0.06"/>
    <n v="1.0900000000000001"/>
    <n v="2.2400000000000002"/>
    <n v="0.48660714285714285"/>
    <n v="1010"/>
    <s v="NA"/>
    <s v="NA"/>
    <n v="4.59"/>
    <n v="0.95"/>
    <n v="0.95"/>
    <s v="DPO – Defect Per Opportunity"/>
    <s v="NA"/>
    <s v="NA"/>
    <s v="NA"/>
    <s v="NA"/>
    <s v="NA"/>
    <s v="NA"/>
    <s v="NA"/>
    <s v="NA"/>
    <s v="NA"/>
    <s v="NA"/>
    <s v="NA"/>
    <s v="Claim Adjuster"/>
    <s v="Emails"/>
    <s v="Semi-Structured"/>
    <n v="1"/>
    <s v="Checks voided "/>
    <s v="Claim Adjuster"/>
    <s v="Claim Center"/>
  </r>
  <r>
    <x v="4"/>
    <s v="Regional US P&amp;C Carrier"/>
    <s v="US"/>
    <s v="Cape Town, South Africa"/>
    <s v="South Africa"/>
    <s v="Faeekah Cornelius"/>
    <n v="4"/>
    <x v="1"/>
    <x v="1"/>
    <x v="1"/>
    <s v="After Hours Support"/>
    <s v="Transcription Request - Send"/>
    <s v="Locating recorded statements, identify wether recordings match, sending them to sysman folder to be transcribed. "/>
    <s v="Personal"/>
    <x v="3"/>
    <s v="Auto/Property"/>
    <s v="Mid Size"/>
    <s v="Voice"/>
    <s v="L2"/>
    <n v="1"/>
    <n v="2"/>
    <n v="2"/>
    <s v="FTE Based"/>
    <s v="USD"/>
    <n v="30143.821585499994"/>
    <n v="1.5"/>
    <n v="0.09"/>
    <n v="0.06"/>
    <n v="1.0900000000000001"/>
    <n v="2.74"/>
    <n v="0.3978102189781022"/>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x v="4"/>
    <s v="Regional US P&amp;C Carrier"/>
    <s v="US"/>
    <s v="Cape Town, South Africa"/>
    <s v="South Africa"/>
    <s v="Faeekah Cornelius"/>
    <n v="4"/>
    <x v="1"/>
    <x v="1"/>
    <x v="1"/>
    <s v="After Hours Support"/>
    <s v="Transcription Request - Receive"/>
    <s v="Locating transcribed statements in the sysman folder and uploading document to correct claim. "/>
    <s v="Personal"/>
    <x v="3"/>
    <s v="Auto/Property"/>
    <s v="Mid Size"/>
    <s v="Voice"/>
    <s v="L1"/>
    <n v="1"/>
    <n v="3"/>
    <n v="3"/>
    <s v="FTE Based"/>
    <s v="USD"/>
    <n v="28463.005286999993"/>
    <n v="0.5"/>
    <n v="0.09"/>
    <n v="0.06"/>
    <n v="1.0900000000000001"/>
    <n v="1.74"/>
    <n v="0.62643678160919547"/>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x v="4"/>
    <s v="Regional US P&amp;C Carrier"/>
    <s v="US"/>
    <s v="Cape Town, South Africa"/>
    <s v="South Africa"/>
    <s v="Faeekah Cornelius"/>
    <n v="4"/>
    <x v="1"/>
    <x v="1"/>
    <x v="1"/>
    <s v="After Hours Support"/>
    <s v="Claim File Copies - KCC/ICS"/>
    <s v="Claim file copy requests. "/>
    <s v="Personal"/>
    <x v="3"/>
    <s v="Auto/Property"/>
    <s v="Mid Size"/>
    <s v="Back Office"/>
    <s v="L2"/>
    <n v="1"/>
    <n v="2"/>
    <n v="2"/>
    <s v="FTE Based"/>
    <s v="USD"/>
    <n v="30143.821585499994"/>
    <n v="6.75"/>
    <n v="0.09"/>
    <n v="0.06"/>
    <n v="1.0900000000000001"/>
    <n v="7.9899999999999993"/>
    <n v="0.13642052565707136"/>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x v="4"/>
    <s v="Regional US P&amp;C Carrier"/>
    <s v="US"/>
    <s v="Cape Town, South Africa"/>
    <s v="South Africa"/>
    <s v="Faeekah Cornelius"/>
    <n v="4"/>
    <x v="1"/>
    <x v="1"/>
    <x v="1"/>
    <s v="After Hours Support"/>
    <s v="Letter Print File"/>
    <s v="Assignment of requested letters and check."/>
    <s v="Personal"/>
    <x v="3"/>
    <s v="Auto/Property"/>
    <s v="Mid Size"/>
    <s v="Back Office"/>
    <s v="L1"/>
    <n v="1"/>
    <n v="2"/>
    <n v="2"/>
    <s v="FTE Based"/>
    <s v="USD"/>
    <n v="28463.005286999993"/>
    <n v="0.25"/>
    <n v="0.09"/>
    <n v="0.06"/>
    <n v="1.0900000000000001"/>
    <n v="1.49"/>
    <n v="0.73154362416107388"/>
    <n v="105"/>
    <s v="NA"/>
    <s v="NA"/>
    <n v="4.1500000000000004"/>
    <n v="0.95"/>
    <n v="0.95"/>
    <s v="DPO – Defect Per Opportunity"/>
    <s v="NA"/>
    <s v="NA"/>
    <s v="NA"/>
    <s v="NA"/>
    <s v="NA"/>
    <s v="NA"/>
    <s v="NA"/>
    <s v="NA"/>
    <s v="NA"/>
    <s v="NA"/>
    <s v="NA"/>
    <s v="Claim Adjuster"/>
    <s v="Emails"/>
    <s v="Semi-Structured"/>
    <n v="1"/>
    <s v="Letters and Checks reissued "/>
    <s v="Claim Adjuster"/>
    <s v="Claim Center"/>
  </r>
  <r>
    <x v="4"/>
    <s v="Regional US P&amp;C Carrier"/>
    <s v="US"/>
    <s v="Cape Town, South Africa"/>
    <s v="South Africa"/>
    <s v="Faeekah Cornelius"/>
    <n v="4"/>
    <x v="1"/>
    <x v="1"/>
    <x v="1"/>
    <s v="Claim Setup and assignment"/>
    <s v="Arbitration Assignments"/>
    <s v="Assigning Claims to adjusters in order to litigate arbitration process"/>
    <s v="Personal"/>
    <x v="3"/>
    <s v="Auto/Property"/>
    <s v="Mid Size"/>
    <s v="Back Office"/>
    <s v="L1"/>
    <n v="1"/>
    <n v="2"/>
    <n v="2"/>
    <s v="FTE Based"/>
    <s v="USD"/>
    <n v="28463.005286999993"/>
    <n v="1"/>
    <n v="0.09"/>
    <n v="0.06"/>
    <n v="1.0900000000000001"/>
    <n v="2.2400000000000002"/>
    <n v="0.48660714285714285"/>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x v="4"/>
    <s v="Regional US P&amp;C Carrier"/>
    <s v="US"/>
    <s v="Cape Town, South Africa"/>
    <s v="South Africa"/>
    <s v="Faeekah Cornelius"/>
    <n v="4"/>
    <x v="1"/>
    <x v="1"/>
    <x v="1"/>
    <s v="Claim Setup and assignment"/>
    <s v="Salvage Assignments"/>
    <s v="Assignment of requests added to Salvage Assignment Queue."/>
    <s v="Personal"/>
    <x v="3"/>
    <s v="Auto/Property"/>
    <s v="Mid Size"/>
    <s v="Back Office"/>
    <s v="L1"/>
    <n v="1"/>
    <n v="2"/>
    <n v="2"/>
    <s v="FTE Based"/>
    <s v="USD"/>
    <n v="28463.005286999993"/>
    <n v="2"/>
    <n v="0.09"/>
    <n v="0.06"/>
    <n v="1.0900000000000001"/>
    <n v="3.24"/>
    <n v="0.33641975308641975"/>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x v="4"/>
    <s v="Regional US P&amp;C Carrier"/>
    <s v="US"/>
    <s v="Cape Town, South Africa"/>
    <s v="South Africa"/>
    <s v="Faeekah Cornelius"/>
    <n v="4"/>
    <x v="1"/>
    <x v="1"/>
    <x v="1"/>
    <s v="Claim Setup and assignment"/>
    <s v="PIP Assignments"/>
    <s v="Assignment and reassignment of claims and exposures to suitable adjusters according to live spreadsheet. "/>
    <s v="Personal"/>
    <x v="3"/>
    <s v="Auto/Property"/>
    <s v="Mid Size"/>
    <s v="Back Office"/>
    <s v="L1"/>
    <n v="1"/>
    <n v="2"/>
    <n v="2"/>
    <s v="FTE Based"/>
    <s v="USD"/>
    <n v="28463.005286999993"/>
    <n v="1.5"/>
    <n v="0.09"/>
    <n v="0.06"/>
    <n v="1.0900000000000001"/>
    <n v="2.74"/>
    <n v="0.3978102189781022"/>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x v="4"/>
    <s v="Regional US P&amp;C Carrier"/>
    <s v="US"/>
    <s v="Cape Town, South Africa"/>
    <s v="South Africa"/>
    <s v="Faeekah Cornelius"/>
    <n v="4"/>
    <x v="1"/>
    <x v="1"/>
    <x v="1"/>
    <s v="After Hours Support"/>
    <s v="Property Document Import Mailbox"/>
    <s v="Uploads of Property documents."/>
    <s v="Personal"/>
    <x v="3"/>
    <s v="Auto/Property"/>
    <s v="Mid Size"/>
    <s v="Back Office"/>
    <s v="L2"/>
    <n v="1"/>
    <n v="2"/>
    <n v="2"/>
    <s v="FTE Based"/>
    <s v="USD"/>
    <n v="30143.821585499994"/>
    <n v="1"/>
    <n v="0.09"/>
    <n v="0.06"/>
    <n v="1.0900000000000001"/>
    <n v="2.2400000000000002"/>
    <n v="0.48660714285714285"/>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x v="4"/>
    <s v="Regional US P&amp;C Carrier"/>
    <s v="US"/>
    <s v="Cape Town, South Africa"/>
    <s v="South Africa"/>
    <s v="Faeekah Cornelius"/>
    <n v="4"/>
    <x v="1"/>
    <x v="1"/>
    <x v="1"/>
    <s v="Indexing"/>
    <s v="Misrouted Documents Queue  "/>
    <s v="Routing/sending documents from incorrect claim file to the approriate claim file. "/>
    <s v="Personal"/>
    <x v="3"/>
    <s v="Auto/Property"/>
    <s v="Mid Size"/>
    <s v="Back Office"/>
    <s v="L2"/>
    <n v="1"/>
    <n v="2"/>
    <n v="2"/>
    <s v="FTE Based"/>
    <s v="USD"/>
    <n v="30143.821585499994"/>
    <n v="0.5"/>
    <n v="0.09"/>
    <n v="0.06"/>
    <n v="1.0900000000000001"/>
    <n v="1.74"/>
    <n v="0.62643678160919547"/>
    <n v="354"/>
    <s v="NA"/>
    <s v="NA"/>
    <n v="5.04"/>
    <n v="0.95"/>
    <n v="0.95"/>
    <s v="DPO – Defect Per Opportunity"/>
    <s v="NA"/>
    <s v="NA"/>
    <s v="NA"/>
    <s v="NA"/>
    <s v="NA"/>
    <s v="NA"/>
    <s v="NA"/>
    <s v="NA"/>
    <s v="NA"/>
    <s v="NA"/>
    <s v="NA"/>
    <s v="Claim Adjuster"/>
    <s v="Images"/>
    <s v="Structured"/>
    <n v="1"/>
    <s v="documents routed to the correct claim "/>
    <s v="Claim Adjuster"/>
    <s v="Claim Center,D360"/>
  </r>
  <r>
    <x v="4"/>
    <s v="Regional US P&amp;C Carrier"/>
    <s v="US"/>
    <s v="Cape Town, South Africa"/>
    <s v="South Africa"/>
    <s v="Faeekah Cornelius"/>
    <n v="4"/>
    <x v="1"/>
    <x v="1"/>
    <x v="1"/>
    <s v="Indexing"/>
    <s v="New Document Queue "/>
    <s v="Reasigning an activity to a new adjuster due to to the the previous adjusters absence. "/>
    <s v="Personal"/>
    <x v="3"/>
    <s v="Auto/Property"/>
    <s v="Mid Size"/>
    <s v="Back Office"/>
    <s v="L2"/>
    <n v="1"/>
    <n v="2"/>
    <n v="2"/>
    <s v="FTE Based"/>
    <s v="USD"/>
    <n v="30143.821585499994"/>
    <n v="0.5"/>
    <n v="0.09"/>
    <n v="0.06"/>
    <n v="1.0900000000000001"/>
    <n v="1.74"/>
    <n v="0.62643678160919547"/>
    <n v="731"/>
    <s v="NA"/>
    <s v="NA"/>
    <n v="5.04"/>
    <n v="0.95"/>
    <n v="0.95"/>
    <s v="DPO – Defect Per Opportunity"/>
    <s v="NA"/>
    <s v="NA"/>
    <s v="NA"/>
    <s v="NA"/>
    <s v="NA"/>
    <s v="NA"/>
    <s v="NA"/>
    <s v="NA"/>
    <s v="NA"/>
    <s v="NA"/>
    <s v="NA"/>
    <s v="Claim Adjuster"/>
    <s v="Images"/>
    <s v="Structured"/>
    <n v="1"/>
    <s v="claim assigned to alternate adjuster "/>
    <s v="Claim Adjuster"/>
    <s v="Claim Center"/>
  </r>
  <r>
    <x v="4"/>
    <s v="Regional US P&amp;C Carrier"/>
    <s v="US"/>
    <s v="Cape Town, South Africa"/>
    <s v="South Africa"/>
    <s v="Faeekah Cornelius"/>
    <n v="4"/>
    <x v="1"/>
    <x v="1"/>
    <x v="1"/>
    <s v="Claim Setup and assignment"/>
    <s v="CCO Requests"/>
    <s v="Policy update requests."/>
    <s v="Personal"/>
    <x v="3"/>
    <s v="Auto/Property"/>
    <s v="Mid Size"/>
    <s v="Back Office"/>
    <s v="L2"/>
    <n v="1"/>
    <n v="2"/>
    <n v="2"/>
    <s v="FTE Based"/>
    <s v="USD"/>
    <n v="30143.821585499994"/>
    <n v="1"/>
    <n v="0.09"/>
    <n v="0.06"/>
    <n v="1.0900000000000001"/>
    <n v="2.2400000000000002"/>
    <n v="0.48660714285714285"/>
    <n v="246"/>
    <s v="NA"/>
    <s v="NA"/>
    <n v="5.18"/>
    <n v="0.95"/>
    <n v="0.95"/>
    <s v="DPO – Defect Per Opportunity"/>
    <s v="NA"/>
    <s v="NA"/>
    <s v="NA"/>
    <s v="NA"/>
    <s v="NA"/>
    <s v="NA"/>
    <s v="NA"/>
    <s v="NA"/>
    <s v="NA"/>
    <s v="NA"/>
    <s v="NA"/>
    <s v="Claim Adjuster"/>
    <s v="Instructions in Application"/>
    <s v="Structured"/>
    <n v="1"/>
    <s v="claim updates "/>
    <s v="Claim Adjuster"/>
    <s v="Claim Center"/>
  </r>
  <r>
    <x v="4"/>
    <s v="Regional US P&amp;C Carrier"/>
    <s v="US"/>
    <s v="Cape Town, South Africa"/>
    <s v="South Africa"/>
    <s v="Faeekah Cornelius"/>
    <n v="4"/>
    <x v="1"/>
    <x v="1"/>
    <x v="7"/>
    <s v="Quality Management"/>
    <s v="QA Support"/>
    <s v="QA Support"/>
    <s v="Personal"/>
    <x v="3"/>
    <s v="Auto/Property"/>
    <s v="Mid Size"/>
    <s v="Back Office"/>
    <s v="L4"/>
    <s v="NA"/>
    <s v="NA"/>
    <s v="NA"/>
    <s v="FTE Based"/>
    <s v="USD"/>
    <n v="32906.960774999992"/>
    <n v="1"/>
    <n v="0.09"/>
    <n v="0.06"/>
    <n v="1.0900000000000001"/>
    <n v="2.2400000000000002"/>
    <n v="0.48660714285714285"/>
    <s v="N/A"/>
    <s v="NA"/>
    <s v="NA"/>
    <s v="NA"/>
    <n v="0.95"/>
    <n v="0.95"/>
    <s v="DPO – Defect Per Opportunity"/>
    <s v="NA"/>
    <s v="NA"/>
    <s v="NA"/>
    <s v="NA"/>
    <s v="NA"/>
    <s v="NA"/>
    <s v="NA"/>
    <s v="NA"/>
    <s v="NA"/>
    <s v="NA"/>
    <s v="NA"/>
    <s v="Claim Adjuster"/>
    <s v="Multiple"/>
    <s v="Semi-Structured"/>
    <n v="1"/>
    <s v="NA"/>
    <s v="NA"/>
    <s v="Claim Center, P8, NICE, MSTEAMS, INFINITY"/>
  </r>
  <r>
    <x v="4"/>
    <s v="Regional US P&amp;C Carrier"/>
    <s v="US"/>
    <s v="Cape Town, South Africa"/>
    <s v="South Africa"/>
    <s v="Faeekah Cornelius"/>
    <n v="4"/>
    <x v="1"/>
    <x v="1"/>
    <x v="1"/>
    <s v="After Hours Support"/>
    <s v="KPC Claims DD E-mail Return Mailbox"/>
    <s v="Downloading emails and audio/video files from KPC mailbox and upload them in D360"/>
    <s v="Personal"/>
    <x v="3"/>
    <s v="Auto/Property"/>
    <s v="Mid Size"/>
    <s v="Back Office"/>
    <s v="L2"/>
    <n v="1"/>
    <n v="2"/>
    <n v="2"/>
    <s v="FTE Based"/>
    <s v="USD"/>
    <n v="30143.821585499994"/>
    <n v="0.5"/>
    <n v="0.09"/>
    <n v="0.06"/>
    <n v="1.0900000000000001"/>
    <n v="1.74"/>
    <n v="0.62643678160919547"/>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x v="4"/>
    <s v="Regional US P&amp;C Carrier"/>
    <s v="US"/>
    <s v="Cape Town, South Africa"/>
    <s v="South Africa"/>
    <s v="Faeekah Cornelius"/>
    <n v="4"/>
    <x v="1"/>
    <x v="1"/>
    <x v="8"/>
    <s v="Info Gathering &amp; Analysis"/>
    <s v="Subro Arb Act Tracker"/>
    <s v="Collating a spreadsheet for all the activites assigned to adjusters/groups on previous day and upload on OneDrive for the  managers to access and retrieve data for their respective teams"/>
    <s v="Personal"/>
    <x v="3"/>
    <s v="Auto/Property"/>
    <s v="Mid Size"/>
    <s v="Back Office"/>
    <s v="L2"/>
    <n v="1"/>
    <n v="2"/>
    <n v="2"/>
    <s v="FTE Based"/>
    <s v="USD"/>
    <n v="30143.821585499994"/>
    <n v="0.5"/>
    <n v="0.09"/>
    <n v="0.06"/>
    <n v="1.0900000000000001"/>
    <n v="1.74"/>
    <n v="0.62643678160919547"/>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x v="4"/>
    <s v="Regional US P&amp;C Carrier"/>
    <s v="US"/>
    <s v="Cape Town, South Africa"/>
    <s v="South Africa"/>
    <s v="Faeekah Cornelius"/>
    <n v="4"/>
    <x v="1"/>
    <x v="1"/>
    <x v="9"/>
    <s v="Bill Payment (Medical Legal, Non Medical, Vendor)"/>
    <s v="AACC Vendor Payments"/>
    <s v="Issue payments to various vendors in claims systems.  Invoices are emailed. "/>
    <s v="Personal"/>
    <x v="3"/>
    <s v="Auto/Property"/>
    <s v="Mid Size"/>
    <s v="Back Office"/>
    <s v="L2"/>
    <n v="1"/>
    <n v="3"/>
    <n v="3"/>
    <s v="FTE Based"/>
    <s v="USD"/>
    <n v="30143.821585499994"/>
    <n v="2"/>
    <n v="0.09"/>
    <n v="0.06"/>
    <n v="1.0900000000000001"/>
    <n v="3.24"/>
    <n v="0.33641975308641975"/>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x v="4"/>
    <s v="Regional US P&amp;C Carrier"/>
    <s v="US"/>
    <s v="Cape Town, South Africa"/>
    <s v="South Africa"/>
    <s v="Faeekah Cornelius"/>
    <n v="4"/>
    <x v="1"/>
    <x v="1"/>
    <x v="4"/>
    <s v="Requesting Police report"/>
    <s v="AACC Ordering Police Report"/>
    <s v="Draft requests to oder police report from an application basis adjuster's request"/>
    <s v="Personal"/>
    <x v="3"/>
    <s v="Auto/Property"/>
    <s v="Mid Size"/>
    <s v="Back Office"/>
    <s v="L2"/>
    <n v="1"/>
    <n v="2"/>
    <n v="2"/>
    <s v="FTE Based"/>
    <s v="USD"/>
    <n v="30143.821585499994"/>
    <n v="0.5"/>
    <n v="0.09"/>
    <n v="0.06"/>
    <n v="1.0900000000000001"/>
    <n v="1.74"/>
    <n v="0.62643678160919547"/>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x v="4"/>
    <s v="Regional US P&amp;C Carrier"/>
    <s v="US"/>
    <s v="Cape Town, South Africa"/>
    <s v="South Africa"/>
    <s v="Faeekah Cornelius"/>
    <n v="4"/>
    <x v="1"/>
    <x v="1"/>
    <x v="1"/>
    <s v="Indexing"/>
    <s v="AACC Mail Processing"/>
    <s v="Reviews the misrouted documents and index those to the correct claim file "/>
    <s v="Personal"/>
    <x v="3"/>
    <s v="Auto/Property"/>
    <s v="Mid Size"/>
    <s v="Back Office"/>
    <s v="L2"/>
    <n v="1"/>
    <n v="3"/>
    <n v="3"/>
    <s v="FTE Based"/>
    <s v="USD"/>
    <n v="30143.821585499994"/>
    <n v="2.5"/>
    <n v="0.09"/>
    <n v="0.06"/>
    <n v="1.0900000000000001"/>
    <n v="3.74"/>
    <n v="0.29144385026737968"/>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x v="5"/>
    <s v="Large US Multi-line Specialty Carrier"/>
    <s v="US"/>
    <s v="Alabang, PHP"/>
    <s v="Philippines"/>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s v="Personal"/>
    <x v="2"/>
    <s v="Property, Auto"/>
    <s v="All"/>
    <s v="Voice"/>
    <s v="L3"/>
    <n v="2"/>
    <n v="5"/>
    <n v="6"/>
    <s v="FTE Based"/>
    <s v="USD"/>
    <n v="30000"/>
    <n v="35"/>
    <n v="3"/>
    <n v="2"/>
    <n v="5"/>
    <n v="45"/>
    <n v="0.1111111111111111"/>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x v="5"/>
    <s v="Large US Multi-line Specialty Carrier"/>
    <s v="US"/>
    <s v="Alabang, PHP"/>
    <s v="Philippines"/>
    <s v="Mark Redondo"/>
    <n v="4"/>
    <x v="1"/>
    <x v="1"/>
    <x v="1"/>
    <s v="First Notice of Loss Calls"/>
    <s v="FNOL"/>
    <s v="Files FNOL for property and auto claims_x000a_Receives calls checking status of claim/payment"/>
    <s v="Personal"/>
    <x v="4"/>
    <s v="Property, Auto"/>
    <s v="All"/>
    <s v="Voice"/>
    <s v="L3"/>
    <n v="2"/>
    <n v="2"/>
    <n v="12"/>
    <s v="FTE Based"/>
    <s v="USD"/>
    <n v="29786.16"/>
    <n v="52"/>
    <n v="4"/>
    <n v="4"/>
    <n v="8"/>
    <n v="68"/>
    <n v="0.11764705882352941"/>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x v="6"/>
    <s v="Top-10 US Commercial &amp; Specialty Carrier"/>
    <s v="US"/>
    <s v="Noida, India"/>
    <s v="India"/>
    <s v="Arpan Pandey, Varunjesh"/>
    <n v="6"/>
    <x v="1"/>
    <x v="1"/>
    <x v="9"/>
    <s v="Send Closing Documents"/>
    <s v="File Closure"/>
    <s v="Closing the file and sending closure letter"/>
    <s v="Commercial"/>
    <x v="3"/>
    <s v="Auto, Property, GL, Specialty lines, WC"/>
    <s v="Mid Size"/>
    <s v="Back Office"/>
    <s v="L1"/>
    <n v="1"/>
    <n v="2"/>
    <n v="3"/>
    <s v="Transaction Based "/>
    <s v="USD"/>
    <n v="0.65854268132330507"/>
    <n v="3.49"/>
    <n v="0"/>
    <n v="8.3333333333333329E-2"/>
    <n v="4"/>
    <n v="7.5733333333333341"/>
    <n v="0.528169014084507"/>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x v="6"/>
    <s v="Top-10 US Commercial &amp; Specialty Carrier"/>
    <s v="US"/>
    <s v="Noida, India"/>
    <s v="India"/>
    <s v="Arpan Pandey, Varunjesh"/>
    <n v="6"/>
    <x v="1"/>
    <x v="1"/>
    <x v="7"/>
    <s v="Case Management of File "/>
    <s v="File Reloads"/>
    <s v="Team works on the Claims for which the payment history is closed in ACT. Once the claim gets reload then the payment history opens/active in ACT."/>
    <s v="Commercial"/>
    <x v="3"/>
    <s v="Auto, Property, GL, Specialty lines, WC"/>
    <s v="Mid Size"/>
    <s v="Back Office"/>
    <s v="L1"/>
    <n v="1"/>
    <n v="2"/>
    <n v="2"/>
    <s v="Transaction Based "/>
    <s v="USD"/>
    <n v="1.0867599598259121"/>
    <n v="0.26"/>
    <n v="0"/>
    <n v="8.3333333333333329E-2"/>
    <n v="1"/>
    <n v="1.3433333333333333"/>
    <n v="0.74441687344913154"/>
    <n v="527"/>
    <s v="NA"/>
    <s v="NA"/>
    <n v="5.2"/>
    <n v="0.98"/>
    <n v="0.97"/>
    <s v="DPU – Defect Per Unit"/>
    <s v="NA"/>
    <s v="NA"/>
    <s v="NA"/>
    <s v="NA"/>
    <s v="NA"/>
    <s v="NA"/>
    <s v="NA"/>
    <s v="NA"/>
    <s v="NA"/>
    <s v="NA"/>
    <s v="NA"/>
    <s v="Claim Adjuster"/>
    <s v="Email"/>
    <s v="Semi-Structured"/>
    <n v="100"/>
    <s v="Email"/>
    <s v="Claim Adjuster"/>
    <s v="ClaimCenter/ACT/MS Outlook"/>
  </r>
  <r>
    <x v="6"/>
    <s v="Top-10 US Commercial &amp; Specialty Carrier"/>
    <s v="US"/>
    <s v="Noida, India"/>
    <s v="India"/>
    <s v="Arpan Pandey, Varunjesh"/>
    <n v="6"/>
    <x v="1"/>
    <x v="1"/>
    <x v="4"/>
    <s v="Claim Coding"/>
    <s v="ICD 9/10 Coding"/>
    <s v="This is the process of updating and entering the ICD Event Code and the ICD Diagnosis Code in ClaimCenter for Specialty, Auto General Liability and General Liability claims."/>
    <s v="Commercial"/>
    <x v="3"/>
    <s v="Auto, Property, GL, Specialty lines, WC"/>
    <s v="Mid Size"/>
    <s v="Back Office"/>
    <s v="L2"/>
    <n v="1"/>
    <n v="2"/>
    <n v="3"/>
    <s v="Transaction Based "/>
    <s v="USD"/>
    <n v="3.4890596026490064"/>
    <n v="1.1499999999999999"/>
    <n v="0"/>
    <n v="8.3333333333333329E-2"/>
    <n v="1"/>
    <n v="2.2333333333333334"/>
    <n v="0.44776119402985076"/>
    <n v="276"/>
    <s v="NA"/>
    <s v="NA"/>
    <n v="20"/>
    <n v="1"/>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s v="Commercial"/>
    <x v="3"/>
    <s v="Single LOB - WC"/>
    <s v="Mid Size"/>
    <s v="Back Office"/>
    <s v="L2"/>
    <n v="1"/>
    <n v="2"/>
    <n v="3"/>
    <s v="Transaction Based "/>
    <s v="USD"/>
    <n v="0.99774389604841573"/>
    <n v="0.2"/>
    <n v="0"/>
    <n v="8.3333333333333329E-2"/>
    <n v="0.5"/>
    <n v="0.78333333333333333"/>
    <n v="0.63829787234042556"/>
    <n v="617.00000000000011"/>
    <s v="NA"/>
    <s v="NA"/>
    <n v="5.67"/>
    <n v="0.98"/>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4"/>
    <s v="Coverage Verification"/>
    <s v="CA Independent Medical Review"/>
    <s v="Team review the medical documents to ensure that documents belong to the policy holder (injured worker)."/>
    <s v="Commercial"/>
    <x v="3"/>
    <s v="Single LOB - WC"/>
    <s v="Mid Size"/>
    <s v="Back Office"/>
    <s v="L3"/>
    <n v="1"/>
    <n v="2"/>
    <n v="3"/>
    <s v="Transaction Based "/>
    <s v="USD"/>
    <n v="2.2709173675218102"/>
    <n v="0.24"/>
    <n v="0"/>
    <n v="8.3333333333333329E-2"/>
    <n v="0.5"/>
    <n v="0.82333333333333325"/>
    <n v="0.60728744939271262"/>
    <n v="40"/>
    <s v="NA"/>
    <s v="NA"/>
    <n v="20.6809150326797"/>
    <n v="0.97"/>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4"/>
    <s v="Coverage Verification"/>
    <s v="CA Independent Medical Reviews Download"/>
    <s v="Team review the medical documents to ensure that documents belong to the policy holder (injured worker)."/>
    <s v="Commercial"/>
    <x v="3"/>
    <s v="Single LOB - WC"/>
    <s v="Mid Size"/>
    <s v="Back Office"/>
    <s v="L3"/>
    <n v="1"/>
    <n v="2"/>
    <n v="3"/>
    <s v="Transaction Based "/>
    <s v="USD"/>
    <n v="2.2709173675218102"/>
    <n v="7.0000000000000007E-2"/>
    <n v="0"/>
    <n v="8.3333333333333329E-2"/>
    <n v="0.5"/>
    <n v="0.65333333333333332"/>
    <n v="0.76530612244897955"/>
    <n v="38"/>
    <s v="NA"/>
    <s v="NA"/>
    <n v="20.6809150326797"/>
    <n v="0.97"/>
    <n v="0.97"/>
    <s v="DPU – Defect Per Unit"/>
    <s v="NA"/>
    <s v="NA"/>
    <s v="NA"/>
    <s v="NA"/>
    <s v="NA"/>
    <s v="NA"/>
    <s v="NA"/>
    <s v="NA"/>
    <s v="NA"/>
    <s v="NA"/>
    <s v="NA"/>
    <s v="Claim Adjuster"/>
    <s v="Maximus"/>
    <s v="Semi-Structured"/>
    <n v="100"/>
    <s v="Maximus"/>
    <s v="Claim Adjuster"/>
    <s v="Maximus/ClaimCenter"/>
  </r>
  <r>
    <x v="6"/>
    <s v="Top-10 US Commercial &amp; Specialty Carrier"/>
    <s v="US"/>
    <s v="Noida, India"/>
    <s v="India"/>
    <s v="Arpan Pandey, Varunjesh"/>
    <n v="6"/>
    <x v="1"/>
    <x v="1"/>
    <x v="1"/>
    <s v="Data entry "/>
    <s v="CM Admin Fee Prep (Excel Log)"/>
    <s v="Transfer documents and notes from old claim to re-keyed claim. "/>
    <s v="Personal"/>
    <x v="3"/>
    <s v="Auto/Property"/>
    <s v="Mid Size"/>
    <s v="Back Office"/>
    <s v="L1"/>
    <n v="1"/>
    <n v="2"/>
    <n v="2"/>
    <s v="Transaction Based "/>
    <s v="USD"/>
    <n v="0.43308703080413502"/>
    <n v="0"/>
    <n v="0"/>
    <n v="8.3333333333333329E-2"/>
    <n v="0.1"/>
    <n v="0.18333333333333335"/>
    <n v="0.54545454545454541"/>
    <n v="4"/>
    <s v="NA"/>
    <s v="NA"/>
    <n v="3.9440607632456501"/>
    <n v="0.97"/>
    <n v="0.97"/>
    <s v="DPU – Defect Per Unit"/>
    <s v="NA"/>
    <s v="NA"/>
    <s v="NA"/>
    <s v="NA"/>
    <s v="NA"/>
    <s v="NA"/>
    <s v="NA"/>
    <s v="NA"/>
    <s v="NA"/>
    <s v="NA"/>
    <s v="NA"/>
    <s v="Claim Adjuster"/>
    <s v="Email"/>
    <s v="Semi-Structured"/>
    <n v="100"/>
    <s v="Email"/>
    <s v="Claim Adjuster"/>
    <s v="MS Outlook"/>
  </r>
  <r>
    <x v="6"/>
    <s v="Top-10 US Commercial &amp; Specialty Carrier"/>
    <s v="US"/>
    <s v="Noida, India"/>
    <s v="India"/>
    <s v="Arpan Pandey, Varunjesh"/>
    <n v="6"/>
    <x v="1"/>
    <x v="1"/>
    <x v="8"/>
    <s v="Salvage Settlement"/>
    <s v="CM Admin Fee Entry (Pyramid Data Entry)"/>
    <s v="Salvage deficit payments processed for invoices received via email from vendor. "/>
    <s v="Personal"/>
    <x v="3"/>
    <s v="Auto/Property"/>
    <s v="Mid Size"/>
    <s v="Back Office"/>
    <s v="L2"/>
    <n v="1"/>
    <n v="2"/>
    <n v="3"/>
    <s v="Transaction Based "/>
    <s v="USD"/>
    <n v="0.43308703080413502"/>
    <n v="0.13"/>
    <n v="0"/>
    <n v="8.3333333333333329E-2"/>
    <n v="0.9"/>
    <n v="1.1133333333333333"/>
    <n v="0.80838323353293418"/>
    <n v="422"/>
    <s v="NA"/>
    <s v="NA"/>
    <n v="3.9440607632456501"/>
    <n v="0.97"/>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8"/>
    <s v="Initiate Recovery Collection &amp; processing"/>
    <s v="Impairment"/>
    <s v="Subro recovery payments to be posted and daily check deposits to be processed.  "/>
    <s v="Personal"/>
    <x v="3"/>
    <s v="Auto/Property"/>
    <s v="Mid Size"/>
    <s v="Back Office"/>
    <s v="L2"/>
    <n v="1"/>
    <n v="1"/>
    <n v="2"/>
    <s v="Transaction Based "/>
    <s v="USD"/>
    <n v="0.91206818181818183"/>
    <n v="0.05"/>
    <n v="0"/>
    <n v="8.3333333333333329E-2"/>
    <n v="0.5"/>
    <n v="0.6333333333333333"/>
    <n v="0.78947368421052633"/>
    <n v="42.000000000000007"/>
    <s v="NA"/>
    <s v="NA"/>
    <n v="4"/>
    <n v="1"/>
    <s v="NA"/>
    <s v="DPU – Defect Per Unit"/>
    <s v="NA"/>
    <s v="NA"/>
    <s v="NA"/>
    <s v="NA"/>
    <s v="NA"/>
    <s v="NA"/>
    <s v="NA"/>
    <s v="NA"/>
    <s v="NA"/>
    <s v="NA"/>
    <s v="NA"/>
    <s v="Claim Adjuster"/>
    <s v="ECE"/>
    <s v="Semi-Structured"/>
    <n v="100"/>
    <s v="Email"/>
    <s v="Claim Adjuster"/>
    <s v="ECE/MS Outlook"/>
  </r>
  <r>
    <x v="6"/>
    <s v="Top-10 US Commercial &amp; Specialty Carrier"/>
    <s v="US"/>
    <s v="Noida, India"/>
    <s v="India"/>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s v="Commercial"/>
    <x v="3"/>
    <s v="Auto, Property, GL, Specialty lines, WC"/>
    <s v="Mid Size"/>
    <s v="Back Office"/>
    <s v="L1"/>
    <n v="1"/>
    <n v="2"/>
    <n v="3"/>
    <s v="Transaction Based "/>
    <s v="USD"/>
    <n v="1.9127252401860217"/>
    <n v="6.51"/>
    <n v="0.6"/>
    <n v="8.3333333333333329E-2"/>
    <n v="7"/>
    <n v="14.193333333333332"/>
    <n v="0.49318929074682955"/>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x v="6"/>
    <s v="Top-10 US Commercial &amp; Specialty Carrier"/>
    <s v="US"/>
    <s v="Pune, India"/>
    <s v="India"/>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s v="Commercial"/>
    <x v="3"/>
    <s v="Auto/Property/GL/WC"/>
    <s v="Mid Size &amp; Large"/>
    <s v="Back Office"/>
    <s v="L3"/>
    <n v="1"/>
    <n v="4"/>
    <n v="4"/>
    <s v="Transaction Based "/>
    <s v="USD"/>
    <n v="6.8456070171474668"/>
    <n v="1"/>
    <n v="2.9815146094215862E-2"/>
    <n v="2.9815146094215862E-2"/>
    <n v="1.2224209898628504"/>
    <n v="2.2820512820512819"/>
    <n v="0.53566762477136143"/>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Pune, India"/>
    <s v="India"/>
    <s v="Arpan Pandey, Varunjesh"/>
    <n v="6"/>
    <x v="1"/>
    <x v="1"/>
    <x v="1"/>
    <s v="Indexing"/>
    <s v="Commercial Work Distribution &amp; Sorting"/>
    <s v="Review loss information and claims document to assess LOB and transfer claim to respective queue"/>
    <s v="Commercial"/>
    <x v="3"/>
    <s v="Auto/Property/GL/WC/Specialty HP"/>
    <s v="Mid Size &amp; Large"/>
    <s v="Back Office"/>
    <s v="L2"/>
    <n v="1"/>
    <n v="2"/>
    <n v="2"/>
    <s v="Transaction Based "/>
    <s v="USD"/>
    <n v="1.4447540771029352"/>
    <n v="1"/>
    <n v="2.9815146094215862E-2"/>
    <n v="2.9815146094215862E-2"/>
    <n v="1.2224209898628504"/>
    <n v="2.2820512820512819"/>
    <n v="0.53566762477136143"/>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x v="6"/>
    <s v="Top-10 US Commercial &amp; Specialty Carrier"/>
    <s v="US"/>
    <s v="Pune, India"/>
    <s v="India"/>
    <s v="Arpan Pandey, Varunjesh"/>
    <n v="6"/>
    <x v="1"/>
    <x v="1"/>
    <x v="1"/>
    <s v="Claim Setup and assignment"/>
    <s v="Specialty - HealthPro"/>
    <s v="Based on the loss information and documents set up a claim and assigned to adjuster"/>
    <s v="Commercial"/>
    <x v="3"/>
    <s v="Auto/Property/GL/WC/Specialty HP/DBA/TPA Oversight/Crawford/WC Tier 3"/>
    <s v="Mid Size &amp; Large"/>
    <s v="Back Office"/>
    <s v="L3"/>
    <n v="1"/>
    <n v="4"/>
    <n v="4"/>
    <s v="Transaction Based "/>
    <s v="USD"/>
    <n v="13.748152377553749"/>
    <n v="0"/>
    <n v="2.9815146094215862E-2"/>
    <n v="2.9815146094215862E-2"/>
    <n v="1.2224209898628504"/>
    <n v="1.2820512820512822"/>
    <n v="0.95348837209302328"/>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Pune, India"/>
    <s v="India"/>
    <s v="Arpan Pandey, Varunjesh"/>
    <n v="6"/>
    <x v="1"/>
    <x v="1"/>
    <x v="1"/>
    <s v="Indexing"/>
    <s v="Risktech and Specialty Policy Attachment"/>
    <s v="Request and attach policy document to the claim"/>
    <s v="Commercial"/>
    <x v="3"/>
    <s v="Auto/Property/GL/WC/Specialty HP/DBA/TPA Oversight/Crawford/WC Tier 3"/>
    <s v="Mid Size &amp; Large"/>
    <s v="Back Office"/>
    <s v="L2"/>
    <n v="1"/>
    <n v="1"/>
    <n v="2"/>
    <s v="Transaction Based "/>
    <s v="USD"/>
    <n v="4.2259056755260804"/>
    <n v="0.5"/>
    <n v="2.9815146094215862E-2"/>
    <n v="2.9815146094215862E-2"/>
    <n v="1.2224209898628504"/>
    <n v="1.7820512820512822"/>
    <n v="0.68596285762088005"/>
    <n v="970"/>
    <s v="NA"/>
    <s v="NA"/>
    <n v="11.7"/>
    <n v="1"/>
    <n v="0.97"/>
    <s v="DPU – Defect Per Unit"/>
    <s v="NA"/>
    <s v="NA"/>
    <s v="NA"/>
    <s v="NA"/>
    <s v="NA"/>
    <s v="NA"/>
    <s v="NA"/>
    <s v="NA"/>
    <s v="NA"/>
    <s v="NA"/>
    <s v="NA"/>
    <s v="Claim Adjuster"/>
    <s v="Emails"/>
    <s v="Semi-Structured"/>
    <n v="100"/>
    <s v="Instructions in Application"/>
    <s v="Claim Adjuster"/>
    <s v="Claim Center, ECE, MS Office"/>
  </r>
  <r>
    <x v="6"/>
    <s v="Top-10 US Commercial &amp; Specialty Carrier"/>
    <s v="US"/>
    <s v="Pune, India"/>
    <s v="India"/>
    <s v="Arpan Pandey, Varunjesh"/>
    <n v="6"/>
    <x v="1"/>
    <x v="1"/>
    <x v="7"/>
    <s v="Packet Prep, chronology summary"/>
    <s v="MOX Claim Set up"/>
    <s v="Audit all the fields and create medical summary for claim professionals"/>
    <s v="Commercial"/>
    <x v="3"/>
    <s v="WC"/>
    <s v="Mid Size &amp; Large"/>
    <s v="Back Office"/>
    <s v="L3"/>
    <n v="1"/>
    <n v="4"/>
    <n v="4"/>
    <s v="Transaction Based "/>
    <s v="USD"/>
    <n v="3.1836896212121211"/>
    <n v="2"/>
    <n v="2.9815146094215862E-2"/>
    <n v="2.9815146094215862E-2"/>
    <n v="1.2224209898628504"/>
    <n v="3.2820512820512824"/>
    <n v="0.37245639534883718"/>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x v="6"/>
    <s v="Top-10 US Commercial &amp; Specialty Carrier"/>
    <s v="US"/>
    <s v="Noida, India"/>
    <s v="India"/>
    <s v="Arpan Pandey, Varunjesh"/>
    <n v="6"/>
    <x v="1"/>
    <x v="1"/>
    <x v="9"/>
    <s v="Bill Payment (Medical Legal, Non Medical, Vendor)"/>
    <s v="Payment Transfer"/>
    <s v="purpose of this task is to assist claim field operations with the processes of making a payment transfer through claim center"/>
    <s v="Commercial"/>
    <x v="3"/>
    <s v="Auto, Property, GL, Specialty lines, WC"/>
    <s v="Mid Size"/>
    <s v="Back Office"/>
    <s v="L2"/>
    <n v="1"/>
    <n v="3"/>
    <n v="3"/>
    <s v="Transaction Based "/>
    <s v="USD"/>
    <n v="0.83822905982905949"/>
    <n v="1"/>
    <n v="2.9815146094215862E-2"/>
    <n v="2.9815146094215862E-2"/>
    <n v="1.2224209898628504"/>
    <n v="2.2820512820512819"/>
    <n v="0.53566762477136143"/>
    <n v="800"/>
    <s v="NA"/>
    <s v="NA"/>
    <n v="5.55"/>
    <n v="0.98"/>
    <n v="0.98"/>
    <s v="DPO – Defect Per Opportunity"/>
    <s v="NA"/>
    <s v="NA"/>
    <s v="NA"/>
    <s v="NA"/>
    <s v="NA"/>
    <s v="NA"/>
    <s v="NA"/>
    <s v="NA"/>
    <s v="NA"/>
    <s v="NA"/>
    <s v="NA"/>
    <m/>
    <s v="Instructions in Application"/>
    <s v="Structured"/>
    <n v="100"/>
    <s v="Multiple"/>
    <m/>
    <s v="Claim Center &amp; ACT"/>
  </r>
  <r>
    <x v="6"/>
    <s v="Top-10 US Commercial &amp; Specialty Carrier"/>
    <s v="US"/>
    <s v="Noida, India"/>
    <s v="India"/>
    <s v="Arpan Pandey, Varunjesh"/>
    <n v="6"/>
    <x v="1"/>
    <x v="1"/>
    <x v="9"/>
    <s v="Bill Payment (Medical Legal, Non Medical, Vendor)"/>
    <s v="Legal Bill Payment"/>
    <s v="In this task we make payments to Law firms, Vendors &amp; Insureds for any legal expense/cost involved"/>
    <s v="Commercial"/>
    <x v="3"/>
    <s v="Auto, Property, GL, Specialty lines, WC"/>
    <s v="Mid Size"/>
    <s v="Back Office"/>
    <s v="L1"/>
    <n v="1"/>
    <n v="4"/>
    <n v="4"/>
    <s v="Transaction Based "/>
    <s v="USD"/>
    <n v="1.0332730108114101"/>
    <n v="7"/>
    <n v="2.9815146094215862E-2"/>
    <n v="2.9815146094215862E-2"/>
    <n v="1.2224209898628504"/>
    <n v="8.2820512820512828"/>
    <n v="0.14759881920944631"/>
    <n v="9000"/>
    <s v="NA"/>
    <s v="NA"/>
    <n v="5.0207629291128004"/>
    <n v="0.98"/>
    <n v="0.98"/>
    <s v="DPO – Defect Per Opportunity"/>
    <s v="NA"/>
    <s v="NA"/>
    <s v="NA"/>
    <s v="NA"/>
    <s v="NA"/>
    <s v="NA"/>
    <s v="NA"/>
    <s v="NA"/>
    <s v="NA"/>
    <s v="NA"/>
    <s v="NA"/>
    <m/>
    <s v="Multiple"/>
    <s v="Structured"/>
    <n v="100"/>
    <s v="Multiple"/>
    <m/>
    <s v="Claim Center, Mobius, TeamConnect, T360 &amp; ACT"/>
  </r>
  <r>
    <x v="6"/>
    <s v="Top-10 US Commercial &amp; Specialty Carrier"/>
    <s v="US"/>
    <s v="Noida, India"/>
    <s v="India"/>
    <s v="Arpan Pandey, Varunjesh"/>
    <n v="6"/>
    <x v="1"/>
    <x v="1"/>
    <x v="1"/>
    <s v="Claim Setup and assignment"/>
    <s v="Reassign File Handler"/>
    <s v="Purpose of this task is to assign the claims/matters to the correct claim professional"/>
    <s v="Commercial"/>
    <x v="3"/>
    <s v="Auto, Property, GL, Specialty lines, WC"/>
    <s v="Mid Size"/>
    <s v="Back Office"/>
    <s v="L2"/>
    <n v="1"/>
    <n v="3"/>
    <n v="3"/>
    <s v="Transaction Based "/>
    <s v="USD"/>
    <n v="0.35"/>
    <n v="4"/>
    <n v="2.9815146094215862E-2"/>
    <n v="2.9815146094215862E-2"/>
    <n v="1.2224209898628504"/>
    <n v="5.2820512820512828"/>
    <n v="0.23142921652743281"/>
    <n v="900"/>
    <s v="NA"/>
    <s v="NA"/>
    <n v="1.6"/>
    <n v="0.98"/>
    <n v="0.98"/>
    <s v="DPO – Defect Per Opportunity"/>
    <s v="NA"/>
    <s v="NA"/>
    <s v="NA"/>
    <s v="NA"/>
    <s v="NA"/>
    <s v="NA"/>
    <s v="NA"/>
    <s v="NA"/>
    <s v="NA"/>
    <s v="NA"/>
    <s v="NA"/>
    <m/>
    <s v="ClaimCenter"/>
    <s v="Structured"/>
    <n v="100"/>
    <s v="ClaimCenter"/>
    <m/>
    <s v="Claim Center, TeamConnect &amp; T360"/>
  </r>
  <r>
    <x v="6"/>
    <s v="Top-10 US Commercial &amp; Specialty Carrier"/>
    <s v="US"/>
    <s v="Noida, India"/>
    <s v="India"/>
    <s v="Arpan Pandey, Varunjesh"/>
    <n v="6"/>
    <x v="1"/>
    <x v="1"/>
    <x v="9"/>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s v="Commercial"/>
    <x v="3"/>
    <s v="Auto, Property, GL, Specialty lines, WC"/>
    <s v="Mid Size"/>
    <s v="Back Office"/>
    <s v="L2"/>
    <n v="1"/>
    <n v="4"/>
    <n v="4"/>
    <s v="Transaction Based "/>
    <s v="USD"/>
    <n v="1.4266062991272288"/>
    <n v="2"/>
    <n v="2.9815146094215862E-2"/>
    <n v="2.9815146094215862E-2"/>
    <n v="1.2224209898628504"/>
    <n v="3.2820512820512824"/>
    <n v="0.37245639534883718"/>
    <n v="500"/>
    <s v="NA"/>
    <s v="NA"/>
    <n v="6.07"/>
    <n v="0.98"/>
    <n v="0.98"/>
    <s v="DPO – Defect Per Opportunity"/>
    <s v="NA"/>
    <s v="NA"/>
    <s v="NA"/>
    <s v="NA"/>
    <s v="NA"/>
    <s v="NA"/>
    <s v="NA"/>
    <s v="NA"/>
    <s v="NA"/>
    <s v="NA"/>
    <s v="NA"/>
    <m/>
    <s v="Emails"/>
    <s v="Structured"/>
    <n v="100"/>
    <s v="Folder"/>
    <m/>
    <s v="Claim Center, TeamConnect, T360 &amp; ACT"/>
  </r>
  <r>
    <x v="6"/>
    <s v="Top-10 US Commercial &amp; Specialty Carrier"/>
    <s v="US"/>
    <s v="Noida, India"/>
    <s v="India"/>
    <s v="Arpan Pandey, Varunjesh"/>
    <n v="6"/>
    <x v="1"/>
    <x v="1"/>
    <x v="9"/>
    <s v="Bill Payment (Medical Legal, Non Medical, Vendor)"/>
    <s v="Medical Bills Pending List"/>
    <s v="In this task we receive request to pay all the bills related to Medical on claim center"/>
    <s v="Commercial"/>
    <x v="3"/>
    <s v="Auto, Property, GL, Specialty lines, WC"/>
    <s v="Mid Size"/>
    <s v="Back Office"/>
    <s v="L2"/>
    <n v="1"/>
    <n v="4"/>
    <n v="4"/>
    <s v="Transaction Based "/>
    <s v="USD"/>
    <n v="1.9436601649132781"/>
    <n v="5"/>
    <n v="2.9815146094215862E-2"/>
    <n v="2.9815146094215862E-2"/>
    <n v="1.2224209898628504"/>
    <n v="6.2820512820512828"/>
    <n v="0.19458946369245372"/>
    <n v="4000"/>
    <s v="NA"/>
    <s v="NA"/>
    <n v="12.4"/>
    <n v="0.98"/>
    <n v="0.98"/>
    <s v="DPO – Defect Per Opportunity"/>
    <s v="NA"/>
    <s v="NA"/>
    <s v="NA"/>
    <s v="NA"/>
    <s v="NA"/>
    <s v="NA"/>
    <s v="NA"/>
    <s v="NA"/>
    <s v="NA"/>
    <s v="NA"/>
    <s v="NA"/>
    <m/>
    <s v="ClaimCenter"/>
    <s v="Structured"/>
    <n v="100"/>
    <s v="ClaimCenter"/>
    <m/>
    <s v="Claim Center,Conduent &amp; ACT"/>
  </r>
  <r>
    <x v="6"/>
    <s v="Top-10 US Commercial &amp; Specialty Carrier"/>
    <s v="US"/>
    <s v="Noida, India"/>
    <s v="India"/>
    <s v="Arpan Pandey, Varunjesh"/>
    <n v="6"/>
    <x v="1"/>
    <x v="1"/>
    <x v="9"/>
    <s v="Bill Payment (Medical Legal, Non Medical, Vendor)"/>
    <s v="Vehicle Registration Monthly Inquiry"/>
    <s v="This process describes the steps to review the vehicle registration monthly inquiry report and to identify the invoice and amounts for payment"/>
    <s v="Commercial"/>
    <x v="3"/>
    <s v="Auto, Property, GL, Specialty lines, WC"/>
    <s v="Mid Size"/>
    <s v="Back Office"/>
    <s v="L4"/>
    <s v="NA"/>
    <s v="NA"/>
    <s v="NA"/>
    <s v="Transaction Based "/>
    <s v="USD"/>
    <n v="1.1076664432029792"/>
    <n v="1"/>
    <n v="2.9815146094215862E-2"/>
    <n v="2.9815146094215862E-2"/>
    <n v="1.2224209898628504"/>
    <n v="2.2820512820512819"/>
    <n v="0.53566762477136143"/>
    <n v="21"/>
    <s v="NA"/>
    <s v="NA"/>
    <n v="4.09"/>
    <n v="0.98"/>
    <n v="0.98"/>
    <s v="DPO – Defect Per Opportunity"/>
    <s v="NA"/>
    <s v="NA"/>
    <s v="NA"/>
    <s v="NA"/>
    <s v="NA"/>
    <s v="NA"/>
    <s v="NA"/>
    <s v="NA"/>
    <s v="NA"/>
    <s v="NA"/>
    <s v="NA"/>
    <m/>
    <s v="Emails"/>
    <s v="Structured"/>
    <n v="100"/>
    <s v="Emails"/>
    <m/>
    <s v="Claim Center &amp; ACT"/>
  </r>
  <r>
    <x v="6"/>
    <s v="Top-10 US Commercial &amp; Specialty Carrier"/>
    <s v="US"/>
    <s v="Noida, India"/>
    <s v="India"/>
    <s v="Arpan Pandey, Varunjesh"/>
    <n v="6"/>
    <x v="1"/>
    <x v="1"/>
    <x v="8"/>
    <s v="Salvage Settlement"/>
    <s v="Close Recovery Indicator"/>
    <s v="In this task we need to close recovery portion in claimcenter and in ACT post recovery"/>
    <s v="Commercial"/>
    <x v="3"/>
    <s v="Auto, Property, GL, Specialty lines, WC"/>
    <s v="Mid Size"/>
    <s v="Back Office"/>
    <s v="L2"/>
    <n v="1"/>
    <n v="2"/>
    <n v="3"/>
    <s v="Transaction Based "/>
    <s v="USD"/>
    <n v="0.20710195674562304"/>
    <n v="2"/>
    <n v="2.9815146094215862E-2"/>
    <n v="2.9815146094215862E-2"/>
    <n v="1.2224209898628504"/>
    <n v="3.2820512820512824"/>
    <n v="0.37245639534883718"/>
    <n v="1250"/>
    <s v="NA"/>
    <s v="NA"/>
    <n v="1.08"/>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9"/>
    <s v="Non Medical Bill Review &amp; Approval"/>
    <s v="Wage Calculation"/>
    <s v="In this task team uses the wage calculator is used to eliminate the manual steps involved in validation and sanity checks "/>
    <s v="Commercial"/>
    <x v="3"/>
    <s v="Auto, Property, GL, Specialty lines, WC"/>
    <s v="Mid Size"/>
    <s v="Back Office"/>
    <s v="L3"/>
    <n v="1"/>
    <n v="4"/>
    <n v="4"/>
    <s v="Transaction Based "/>
    <s v="USD"/>
    <n v="6.488632362043794"/>
    <n v="1"/>
    <n v="2.9815146094215862E-2"/>
    <n v="2.9815146094215862E-2"/>
    <n v="1.2224209898628504"/>
    <n v="2.2820512820512819"/>
    <n v="0.53566762477136143"/>
    <n v="430"/>
    <s v="NA"/>
    <s v="NA"/>
    <n v="30.02"/>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4"/>
    <s v="Coverage Verification"/>
    <s v="Deductible Tracking"/>
    <s v="In this task team reviews the DT every 30 days until it's exausted"/>
    <s v="Commercial"/>
    <x v="3"/>
    <s v="Auto, Property, GL, Specialty lines, WC"/>
    <s v="Mid Size"/>
    <s v="Back Office"/>
    <s v="L2"/>
    <n v="1"/>
    <n v="2"/>
    <n v="3"/>
    <s v="Transaction Based "/>
    <s v="USD"/>
    <n v="2.54"/>
    <n v="3"/>
    <n v="2.9815146094215862E-2"/>
    <n v="2.9815146094215862E-2"/>
    <n v="1.2224209898628504"/>
    <n v="4.2820512820512828"/>
    <n v="0.28547556050689316"/>
    <n v="2500"/>
    <s v="NA"/>
    <s v="NA"/>
    <n v="11.25"/>
    <n v="0.97"/>
    <n v="0.97"/>
    <s v="DPO – Defect Per Opportunity"/>
    <s v="NA"/>
    <s v="NA"/>
    <s v="NA"/>
    <s v="NA"/>
    <s v="NA"/>
    <s v="NA"/>
    <s v="NA"/>
    <s v="NA"/>
    <s v="NA"/>
    <s v="NA"/>
    <s v="NA"/>
    <m/>
    <s v="ClaimCenter"/>
    <s v="Unstructured"/>
    <n v="100"/>
    <s v="ClaimCenter"/>
    <m/>
    <s v="Claim Center, TeamConnect, T360 &amp; ACT"/>
  </r>
  <r>
    <x v="6"/>
    <s v="Top-10 US Commercial &amp; Specialty Carrier"/>
    <s v="US"/>
    <s v="Noida, India"/>
    <s v="India"/>
    <s v="Arpan Pandey, Varunjesh"/>
    <n v="6"/>
    <x v="1"/>
    <x v="1"/>
    <x v="8"/>
    <s v="Initiate Recovery Collection &amp; processing"/>
    <s v="Second Injury Fund"/>
    <s v="Second Injury Fund is the dedicated fund for the purpose of reimbursing compensation payment made by th emmployers, insures or CP to their employees"/>
    <s v="Commercial"/>
    <x v="3"/>
    <s v="Auto, Property, GL, Specialty lines, WC"/>
    <s v="Mid Size"/>
    <s v="Back Office"/>
    <s v="L2"/>
    <n v="1"/>
    <n v="4"/>
    <n v="4"/>
    <s v="Transaction Based "/>
    <s v="USD"/>
    <n v="15.834927008447201"/>
    <n v="2"/>
    <n v="2.9815146094215862E-2"/>
    <n v="2.9815146094215862E-2"/>
    <n v="1.2224209898628504"/>
    <n v="3.2820512820512824"/>
    <n v="0.37245639534883718"/>
    <n v="250"/>
    <s v="NA"/>
    <s v="NA"/>
    <n v="72.27"/>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9"/>
    <s v="Duplicate Payment"/>
    <s v="Duplicate Payment"/>
    <s v="Identify Duplicate payments and initate recovery for the payments"/>
    <s v="Commercial"/>
    <x v="3"/>
    <s v="Auto, Property, GL, Specialty lines, WC"/>
    <s v="Mid Size"/>
    <s v="Back Office"/>
    <s v="L1"/>
    <n v="1"/>
    <n v="3"/>
    <n v="3"/>
    <s v="Transaction Based "/>
    <s v="USD"/>
    <n v="0.65228616666395833"/>
    <n v="1"/>
    <n v="2.9815146094215862E-2"/>
    <n v="2.9815146094215862E-2"/>
    <n v="1.2224209898628504"/>
    <n v="2.2820512820512819"/>
    <n v="0.53566762477136143"/>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x v="6"/>
    <s v="Top-10 US Commercial &amp; Specialty Carrier"/>
    <s v="US"/>
    <s v="Noida, India"/>
    <s v="India"/>
    <s v="Arpan Pandey, Varunjesh"/>
    <n v="6"/>
    <x v="1"/>
    <x v="1"/>
    <x v="9"/>
    <s v="Stop Payment"/>
    <s v="Stop Payment"/>
    <s v="Stop incorrect payments"/>
    <s v="Commercial"/>
    <x v="3"/>
    <s v="Auto, Property, GL, Specialty lines, WC"/>
    <s v="Mid Size"/>
    <s v="Back Office"/>
    <s v="L2"/>
    <n v="1"/>
    <n v="3"/>
    <n v="3"/>
    <s v="Transaction Based "/>
    <s v="USD"/>
    <n v="0.30012783471074367"/>
    <n v="1"/>
    <n v="2.9815146094215862E-2"/>
    <n v="2.9815146094215862E-2"/>
    <n v="1.2224209898628504"/>
    <n v="2.2820512820512819"/>
    <n v="0.53566762477136143"/>
    <n v="421"/>
    <s v="NA"/>
    <s v="Nov-Dec"/>
    <n v="1.41"/>
    <n v="0.98"/>
    <n v="0.98"/>
    <s v="DPU – Defect Per Unit"/>
    <s v="NA"/>
    <s v="NA"/>
    <s v="NA"/>
    <s v="NA"/>
    <s v="NA"/>
    <s v="NA"/>
    <s v="NA"/>
    <s v="NA"/>
    <s v="NA"/>
    <s v="NA"/>
    <s v="NA"/>
    <s v="Claim Adjuster"/>
    <s v="Instructions in Application"/>
    <s v="Semi-Structured"/>
    <n v="100"/>
    <s v="Multiple"/>
    <s v="Claim Adjuster"/>
    <s v="Claim Center, ACT, MS outlook,"/>
  </r>
  <r>
    <x v="6"/>
    <s v="Top-10 US Commercial &amp; Specialty Carrier"/>
    <s v="US"/>
    <s v="Noida, India"/>
    <s v="India"/>
    <s v="Arpan Pandey, Varunjesh"/>
    <n v="6"/>
    <x v="1"/>
    <x v="1"/>
    <x v="9"/>
    <s v="Bill Payment (Medical Legal, Non Medical, Vendor)"/>
    <s v="Manager Entry in ACT AZ and Check Release"/>
    <s v="Add AZ authority and release payment checks"/>
    <s v="Commercial"/>
    <x v="3"/>
    <s v="Auto, Property, GL, Specialty lines, WC"/>
    <s v="Mid Size"/>
    <s v="Back Office"/>
    <s v="L2"/>
    <n v="1"/>
    <n v="3"/>
    <n v="3"/>
    <s v="Transaction Based "/>
    <s v="USD"/>
    <n v="0.58512648617238017"/>
    <n v="2"/>
    <n v="2.9815146094215862E-2"/>
    <n v="2.9815146094215862E-2"/>
    <n v="1.2224209898628504"/>
    <n v="3.2820512820512824"/>
    <n v="0.37245639534883718"/>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x v="6"/>
    <s v="Top-10 US Commercial &amp; Specialty Carrier"/>
    <s v="US"/>
    <s v="Noida, India"/>
    <s v="India"/>
    <s v="Arpan Pandey, Varunjesh"/>
    <n v="6"/>
    <x v="1"/>
    <x v="1"/>
    <x v="9"/>
    <s v="Bill Payment (Medical Legal, Non Medical, Vendor)"/>
    <s v="Bill Payment - Non Workers Compensation, Bulk, Workers Compensation, Central Bill Pay Processing Unit"/>
    <s v="Paid Vendor invoices, Insured, Claimants, Injured workers"/>
    <s v="Commercial"/>
    <x v="3"/>
    <s v="Auto, Property, GL, Specialty lines, WC"/>
    <s v="Mid Size"/>
    <s v="Back Office"/>
    <s v="L2"/>
    <n v="1"/>
    <n v="3"/>
    <n v="3"/>
    <s v="Transaction Based "/>
    <s v="USD"/>
    <n v="1.3047727934174855"/>
    <n v="7.5"/>
    <n v="2.9815146094215862E-2"/>
    <n v="2.9815146094215862E-2"/>
    <n v="1.2224209898628504"/>
    <n v="8.7820512820512828"/>
    <n v="0.13919538278730267"/>
    <n v="11295"/>
    <s v="NA"/>
    <s v="Nov-Dec"/>
    <n v="6.9499387811524942"/>
    <n v="0.98"/>
    <n v="0.98"/>
    <s v="DPU – Defect Per Unit"/>
    <s v="NA"/>
    <s v="NA"/>
    <s v="NA"/>
    <s v="NA"/>
    <s v="NA"/>
    <s v="NA"/>
    <s v="NA"/>
    <s v="NA"/>
    <s v="NA"/>
    <s v="NA"/>
    <s v="NA"/>
    <s v="Claim Adjuster"/>
    <s v="Multiple"/>
    <s v="Semi-Structured"/>
    <n v="100"/>
    <s v="Multiple"/>
    <s v="Claim Adjuster"/>
    <s v="Claim Center, ACT, MS outlook, "/>
  </r>
  <r>
    <x v="6"/>
    <s v="Top-10 US Commercial &amp; Specialty Carrier"/>
    <s v="US"/>
    <s v="Noida, India"/>
    <s v="India"/>
    <s v="Arpan Pandey, Varunjesh"/>
    <n v="6"/>
    <x v="1"/>
    <x v="1"/>
    <x v="9"/>
    <s v="Bill Payment (Medical Legal, Non Medical, Vendor)"/>
    <s v="Bill Payment - Wilber Invoices, PIP Bills, Mitchell Bills, Glass (Geber) Invoices"/>
    <s v="Paid vendor invoices"/>
    <s v="Commercial"/>
    <x v="3"/>
    <s v="Auto, Property, GL, Specialty lines, WC"/>
    <s v="Mid Size"/>
    <s v="Back Office"/>
    <s v="L4"/>
    <n v="1"/>
    <n v="3"/>
    <n v="3"/>
    <s v="Transaction Based "/>
    <s v="USD"/>
    <n v="1.65"/>
    <n v="1.5"/>
    <n v="2.9815146094215862E-2"/>
    <n v="2.9815146094215862E-2"/>
    <n v="1.2224209898628504"/>
    <n v="2.7820512820512819"/>
    <n v="0.43939556317650846"/>
    <n v="577"/>
    <s v="NA"/>
    <s v="Nov-Dec"/>
    <n v="8"/>
    <n v="0.98"/>
    <n v="0.98"/>
    <s v="DPU – Defect Per Unit"/>
    <s v="NA"/>
    <s v="NA"/>
    <s v="NA"/>
    <s v="NA"/>
    <s v="NA"/>
    <s v="NA"/>
    <s v="NA"/>
    <s v="NA"/>
    <s v="NA"/>
    <s v="NA"/>
    <s v="NA"/>
    <s v="Claim Adjuster"/>
    <s v="Multiple"/>
    <s v="Semi-Structured"/>
    <n v="100"/>
    <s v="Multiple"/>
    <s v="Claim Adjuster"/>
    <s v="Claim Center, ACT, MS outlook, Michell Decision Point"/>
  </r>
  <r>
    <x v="6"/>
    <s v="Top-10 US Commercial &amp; Specialty Carrier"/>
    <s v="US"/>
    <s v="Noida, India"/>
    <s v="India"/>
    <s v="Arpan Pandey, Varunjesh"/>
    <n v="6"/>
    <x v="1"/>
    <x v="1"/>
    <x v="8"/>
    <s v="Initiate Recovery Collection &amp; processing"/>
    <s v="Recovery Vendor Bills Arbitration"/>
    <s v="Paid Recovery arbitration bills to vendor"/>
    <s v="Commercial"/>
    <x v="3"/>
    <s v="Auto, Property, GL, Specialty lines, WC"/>
    <s v="Mid Size"/>
    <s v="Back Office"/>
    <s v="L2"/>
    <n v="1"/>
    <n v="3"/>
    <n v="3"/>
    <s v="Transaction Based "/>
    <s v="USD"/>
    <n v="1.4393692162417371"/>
    <n v="0.25"/>
    <n v="2.9815146094215862E-2"/>
    <n v="2.9815146094215862E-2"/>
    <n v="1.2224209898628504"/>
    <n v="1.5320512820512822"/>
    <n v="0.79789821932470562"/>
    <n v="138"/>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8"/>
    <s v="Initiate Recovery Collection &amp; processing"/>
    <s v="SIU/Subrogation Bills Assign Pay"/>
    <s v="Paid SIU/Subrogation bills"/>
    <s v="Commercial"/>
    <x v="3"/>
    <s v="Auto, Property, GL, Specialty lines, WC"/>
    <s v="Mid Size"/>
    <s v="Back Office"/>
    <s v="L2"/>
    <n v="1"/>
    <n v="3"/>
    <n v="3"/>
    <s v="Transaction Based "/>
    <s v="USD"/>
    <n v="1.3043522102528782"/>
    <n v="0.25"/>
    <n v="2.9815146094215862E-2"/>
    <n v="2.9815146094215862E-2"/>
    <n v="1.2224209898628504"/>
    <n v="1.5320512820512822"/>
    <n v="0.79789821932470562"/>
    <n v="79"/>
    <s v="NA"/>
    <s v="Nov-Dec"/>
    <n v="7.03"/>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Crawford Cunningham Bill Payment"/>
    <s v="Indexing - This is a process of indexing for vendor Crawford Cunnigham Bills "/>
    <s v="Commercial"/>
    <x v="3"/>
    <s v="Auto, Property, GL, Specialty lines, WC"/>
    <s v="Mid Size"/>
    <s v="Back Office"/>
    <s v="L1"/>
    <n v="1"/>
    <n v="3"/>
    <n v="3"/>
    <s v="Transaction Based "/>
    <s v="USD"/>
    <n v="1.3425167416291901"/>
    <n v="0.25"/>
    <n v="2.9815146094215862E-2"/>
    <n v="2.9815146094215862E-2"/>
    <n v="1.2224209898628504"/>
    <n v="1.5320512820512822"/>
    <n v="0.79789821932470562"/>
    <n v="44"/>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Scheduled Payments Nearing Completion Report and Activity"/>
    <s v="Create activity to claim professional for notify scheduled payment nearing complition"/>
    <s v="Commercial"/>
    <x v="3"/>
    <s v="Auto, Property, GL, Specialty lines, WC"/>
    <s v="Mid Size"/>
    <s v="Back Office"/>
    <s v="L3"/>
    <n v="1"/>
    <n v="3"/>
    <n v="3"/>
    <s v="Transaction Based "/>
    <s v="USD"/>
    <n v="0.16550357919702599"/>
    <n v="1"/>
    <n v="2.9815146094215862E-2"/>
    <n v="2.9815146094215862E-2"/>
    <n v="1.2224209898628504"/>
    <n v="2.2820512820512819"/>
    <n v="0.53566762477136143"/>
    <n v="1200"/>
    <s v="NA"/>
    <s v="Nov-Dec"/>
    <n v="3.0141717706971298"/>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Oklahoma Settlement Tax Payments and Puerto Rico with Waivers "/>
    <s v="Indexing and Paid Oklahoma Settlement invoices, and paid Puerto Rico state invoices"/>
    <s v="Commercial"/>
    <x v="3"/>
    <s v="Auto, Property, GL, Specialty lines, WC"/>
    <s v="Mid Size"/>
    <s v="Back Office"/>
    <s v="L2"/>
    <n v="1"/>
    <n v="3"/>
    <n v="3"/>
    <s v="Transaction Based "/>
    <s v="USD"/>
    <n v="3.024318431372548"/>
    <n v="0.25"/>
    <n v="2.9815146094215862E-2"/>
    <n v="2.9815146094215862E-2"/>
    <n v="1.2224209898628504"/>
    <n v="1.5320512820512822"/>
    <n v="0.79789821932470562"/>
    <n v="18"/>
    <s v="NA"/>
    <s v="Nov-Dec"/>
    <n v="16.059999999999999"/>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7"/>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s v="Commercial"/>
    <x v="3"/>
    <s v="Auto, Property, GL, Specialty lines, WC"/>
    <s v="Mid Size"/>
    <s v="Back Office"/>
    <s v="L3"/>
    <n v="1"/>
    <n v="2"/>
    <n v="3"/>
    <s v="Transaction Based "/>
    <s v="USD"/>
    <n v="11.850603985045082"/>
    <n v="4.8600000000000003"/>
    <n v="0"/>
    <n v="8.3333333333333329E-2"/>
    <n v="5"/>
    <n v="9.9433333333333334"/>
    <n v="0.50284948038887023"/>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x v="6"/>
    <s v="Top-10 US Commercial &amp; Specialty Carrier"/>
    <s v="US"/>
    <s v="Noida, India"/>
    <s v="India"/>
    <s v="Arpan Pandey, Varunjesh"/>
    <n v="6"/>
    <x v="1"/>
    <x v="1"/>
    <x v="1"/>
    <s v="Claim Setup and assignment"/>
    <s v="Claim Activity Triage"/>
    <s v="This process is to assist with activity reassignments due to ALC changes. "/>
    <s v="Commercial"/>
    <x v="3"/>
    <s v="Auto, Property, GL, Specialty lines, WC"/>
    <s v="Mid Size"/>
    <s v="Back Office"/>
    <s v="L1"/>
    <n v="1"/>
    <n v="1"/>
    <n v="1"/>
    <s v="Transaction Based "/>
    <s v="USD"/>
    <n v="0.75850995112883368"/>
    <n v="1.97"/>
    <n v="0"/>
    <n v="8.3333333333333329E-2"/>
    <n v="2"/>
    <n v="4.0533333333333328"/>
    <n v="0.49342105263157904"/>
    <n v="4251"/>
    <s v="NA"/>
    <s v="NA"/>
    <n v="3"/>
    <n v="0.98"/>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1"/>
    <s v="Data entry "/>
    <s v="Statistical Coding Tasks"/>
    <s v="Statistical coding is the process of capturing claim data to apply existing policy information to a new claim at the suffix level."/>
    <s v="Commercial"/>
    <x v="3"/>
    <s v="Auto, Specialty lines, WC"/>
    <s v="Mid Size"/>
    <s v="Back Office"/>
    <s v="L2"/>
    <n v="1"/>
    <n v="2"/>
    <n v="3"/>
    <s v="Transaction Based "/>
    <s v="USD"/>
    <n v="1.3922597147073288"/>
    <n v="5"/>
    <n v="0"/>
    <n v="8.3333333333333329E-2"/>
    <n v="5"/>
    <n v="10.083333333333332"/>
    <n v="0.49586776859504139"/>
    <n v="6796"/>
    <s v="NA"/>
    <s v="NA"/>
    <n v="7"/>
    <n v="0.97"/>
    <n v="0.97"/>
    <s v="DPU – Defect Per Unit"/>
    <s v="NA"/>
    <s v="NA"/>
    <s v="NA"/>
    <s v="NA"/>
    <s v="NA"/>
    <s v="NA"/>
    <s v="NA"/>
    <s v="NA"/>
    <s v="NA"/>
    <s v="NA"/>
    <s v="NA"/>
    <s v="Claim Adjuster"/>
    <s v="ClaimCenter"/>
    <s v="Semi-Structured"/>
    <n v="100"/>
    <s v="ClaimCenter"/>
    <s v="Claim Adjuster"/>
    <s v="ClaimCenter/Covers"/>
  </r>
  <r>
    <x v="6"/>
    <s v="Top-10 US Commercial &amp; Specialty Carrier"/>
    <s v="US"/>
    <s v="Noida, India"/>
    <s v="India"/>
    <s v="Arpan Pandey, Varunjesh"/>
    <n v="6"/>
    <x v="1"/>
    <x v="1"/>
    <x v="9"/>
    <s v="Legal Document Review"/>
    <s v="Document Filing"/>
    <s v="Purpose of this task is to rename and upload legal documents in TeamConnect"/>
    <s v="Commercial"/>
    <x v="3"/>
    <s v="N/A"/>
    <s v="Mid Size"/>
    <s v="Back Office"/>
    <s v="L2"/>
    <n v="1"/>
    <n v="3"/>
    <n v="3"/>
    <s v="Transaction Based "/>
    <s v="USD"/>
    <n v="1.0866731707317074"/>
    <n v="5"/>
    <n v="0.3"/>
    <n v="0.11"/>
    <n v="5"/>
    <n v="10.41"/>
    <n v="0.48030739673390971"/>
    <n v="10000"/>
    <s v="NA"/>
    <s v="NA"/>
    <n v="5"/>
    <n v="0.97"/>
    <n v="0.97"/>
    <s v="DPU – Defect Per Unit"/>
    <s v="NA"/>
    <s v="NA"/>
    <s v="NA"/>
    <s v="NA"/>
    <s v="NA"/>
    <s v="NA"/>
    <s v="NA"/>
    <s v="NA"/>
    <s v="NA"/>
    <s v="NA"/>
    <s v="NA"/>
    <m/>
    <s v="Emails"/>
    <s v="Structured"/>
    <n v="100"/>
    <s v="TeamConnect"/>
    <m/>
    <s v="TeamConnect"/>
  </r>
  <r>
    <x v="6"/>
    <s v="Top-10 US Commercial &amp; Specialty Carrier"/>
    <s v="US"/>
    <s v="Noida, India"/>
    <s v="India"/>
    <s v="Arpan Pandey, Varunjesh"/>
    <n v="6"/>
    <x v="1"/>
    <x v="1"/>
    <x v="9"/>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s v="Commercial"/>
    <x v="3"/>
    <s v="Mutiple LOBs like - Auto, Property, GL, Specialty lines, WC. Etc."/>
    <s v="Mid Size"/>
    <s v="Back Office"/>
    <s v="L1"/>
    <n v="1"/>
    <n v="3"/>
    <n v="3"/>
    <s v="Transaction Based "/>
    <s v="USD"/>
    <n v="3.47"/>
    <n v="1"/>
    <n v="0.3"/>
    <n v="0.11"/>
    <n v="1"/>
    <n v="2.41"/>
    <n v="0.41493775933609955"/>
    <n v="70"/>
    <s v="NA"/>
    <s v="NA"/>
    <n v="15"/>
    <n v="0.97"/>
    <n v="0.97"/>
    <s v="DPU – Defect Per Unit"/>
    <s v="NA"/>
    <s v="NA"/>
    <s v="NA"/>
    <s v="NA"/>
    <s v="NA"/>
    <s v="NA"/>
    <s v="NA"/>
    <s v="NA"/>
    <s v="NA"/>
    <s v="NA"/>
    <s v="NA"/>
    <m/>
    <s v="ClaimCenter"/>
    <s v="Structured"/>
    <n v="100"/>
    <s v="ClaimCenter"/>
    <m/>
    <s v="Claim Center, TeamConnect"/>
  </r>
  <r>
    <x v="6"/>
    <s v="Top-10 US Commercial &amp; Specialty Carrier"/>
    <s v="US"/>
    <s v="Noida, India"/>
    <s v="India"/>
    <s v="Arpan Pandey, Varunjesh"/>
    <n v="6"/>
    <x v="1"/>
    <x v="1"/>
    <x v="9"/>
    <s v="Legal Document Review"/>
    <s v="CCG"/>
    <s v="Purpose of this task is to rename and file legal documents in TeamConnect. We also close, open and re-open the coverage matters in TeamConnect"/>
    <s v="Commercial"/>
    <x v="3"/>
    <s v="N/A"/>
    <s v="Mid Size"/>
    <s v="Back Office"/>
    <s v="L2"/>
    <n v="1"/>
    <n v="3"/>
    <n v="3"/>
    <s v="Transaction Based "/>
    <s v="USD"/>
    <n v="1.47"/>
    <n v="2"/>
    <n v="0.3"/>
    <n v="0.11"/>
    <n v="2"/>
    <n v="4.41"/>
    <n v="0.45351473922902491"/>
    <n v="1000"/>
    <s v="NA"/>
    <s v="NA"/>
    <n v="7.12"/>
    <n v="0.97"/>
    <n v="0.97"/>
    <s v="DPU – Defect Per Unit"/>
    <s v="NA"/>
    <s v="NA"/>
    <s v="NA"/>
    <s v="NA"/>
    <s v="NA"/>
    <s v="NA"/>
    <s v="NA"/>
    <s v="NA"/>
    <s v="NA"/>
    <s v="NA"/>
    <s v="NA"/>
    <m/>
    <s v="Emails"/>
    <s v="Structured"/>
    <n v="100"/>
    <s v="TeamConnect"/>
    <m/>
    <s v="Claim Center, TeamConnect"/>
  </r>
  <r>
    <x v="6"/>
    <s v="Top-10 US Commercial &amp; Specialty Carrier"/>
    <s v="US"/>
    <s v="Noida, India"/>
    <s v="India"/>
    <s v="Arpan Pandey, Varunjesh"/>
    <n v="6"/>
    <x v="1"/>
    <x v="1"/>
    <x v="9"/>
    <s v="Legal Referral"/>
    <s v="Legal Referral"/>
    <s v="In this task we set up matter in TeamConnect/T360, create litigation screen and send engagement letter to parties"/>
    <s v="Commercial"/>
    <x v="3"/>
    <s v="Mutiple LOBs like - Auto, Property, GL, Specialty lines, WC. Etc."/>
    <s v="Mid Size"/>
    <s v="Back Office"/>
    <s v="L3"/>
    <n v="1"/>
    <n v="3"/>
    <n v="3"/>
    <s v="Transaction Based "/>
    <s v="USD"/>
    <n v="7.2011102006897403"/>
    <n v="4"/>
    <n v="0.3"/>
    <n v="0.11"/>
    <n v="4"/>
    <n v="8.41"/>
    <n v="0.47562425683709869"/>
    <n v="1600"/>
    <s v="NA"/>
    <s v="NA"/>
    <n v="30"/>
    <n v="0.97"/>
    <n v="0.97"/>
    <s v="DPO – Defect Per Opportunity"/>
    <s v="NA"/>
    <s v="NA"/>
    <s v="NA"/>
    <s v="NA"/>
    <s v="NA"/>
    <s v="NA"/>
    <s v="NA"/>
    <s v="NA"/>
    <s v="NA"/>
    <s v="NA"/>
    <s v="NA"/>
    <m/>
    <s v="ClaimCenter"/>
    <s v="Structured"/>
    <n v="100"/>
    <s v="ClaimCenter"/>
    <m/>
    <s v="Claim Center, TeamConnect, T360 &amp; ACT"/>
  </r>
  <r>
    <x v="6"/>
    <s v="Top-10 US Commercial &amp; Specialty Carrier"/>
    <s v="US"/>
    <s v="Noida, India"/>
    <s v="India"/>
    <s v="Arpan Pandey, Varunjesh"/>
    <n v="6"/>
    <x v="1"/>
    <x v="1"/>
    <x v="9"/>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s v="Commercial"/>
    <x v="3"/>
    <s v="Mutiple LOBs like - Auto, Property, GL, Specialty lines, WC. Etc."/>
    <s v="Mid Size"/>
    <s v="Back Office"/>
    <s v="L3"/>
    <n v="1"/>
    <n v="3"/>
    <n v="3"/>
    <s v="Transaction Based "/>
    <s v="USD"/>
    <n v="6.02"/>
    <n v="1"/>
    <n v="0.3"/>
    <n v="0.11"/>
    <n v="1"/>
    <n v="2.41"/>
    <n v="0.41493775933609955"/>
    <n v="70"/>
    <s v="NA"/>
    <s v="NA"/>
    <n v="24"/>
    <n v="0.97"/>
    <n v="0.97"/>
    <s v="DPU – Defect Per Unit"/>
    <s v="NA"/>
    <s v="NA"/>
    <s v="NA"/>
    <s v="NA"/>
    <s v="NA"/>
    <s v="NA"/>
    <s v="NA"/>
    <s v="NA"/>
    <s v="NA"/>
    <s v="NA"/>
    <s v="NA"/>
    <m/>
    <s v="ClaimCenter/Email"/>
    <s v="Structured"/>
    <n v="100"/>
    <s v="ClaimCenter/Email"/>
    <m/>
    <s v="Claim Center, TeamConnect and T360"/>
  </r>
  <r>
    <x v="6"/>
    <s v="Top-10 US Commercial &amp; Specialty Carrier"/>
    <s v="US"/>
    <s v="Noida, India"/>
    <s v="India"/>
    <s v="Arpan Pandey, Varunjesh"/>
    <n v="6"/>
    <x v="1"/>
    <x v="1"/>
    <x v="9"/>
    <s v="Send Closing Documents"/>
    <s v="Legal Matter Update (Closing Request)"/>
    <s v="In this task we receive request to close the matter in T360"/>
    <s v="Commercial"/>
    <x v="3"/>
    <s v="Mutiple LOBs like - Auto, Property, GL, Specialty lines, WC. Etc."/>
    <s v="Mid Size"/>
    <s v="Back Office"/>
    <s v="L1"/>
    <n v="1"/>
    <n v="3"/>
    <n v="3"/>
    <s v="Transaction Based "/>
    <s v="USD"/>
    <n v="0.9"/>
    <n v="1"/>
    <n v="0.3"/>
    <n v="0.11"/>
    <n v="1"/>
    <n v="2.41"/>
    <n v="0.41493775933609955"/>
    <n v="60"/>
    <s v="NA"/>
    <s v="NA"/>
    <n v="2.04"/>
    <n v="0.97"/>
    <n v="0.97"/>
    <s v="DPU – Defect Per Unit"/>
    <s v="NA"/>
    <s v="NA"/>
    <s v="NA"/>
    <s v="NA"/>
    <s v="NA"/>
    <s v="NA"/>
    <s v="NA"/>
    <s v="NA"/>
    <s v="NA"/>
    <s v="NA"/>
    <s v="NA"/>
    <m/>
    <s v="ClaimCenter"/>
    <s v="Structured"/>
    <n v="100"/>
    <s v="ClaimCenter"/>
    <m/>
    <s v="Claim Center and T360"/>
  </r>
  <r>
    <x v="6"/>
    <s v="Top-10 US Commercial &amp; Specialty Carrier"/>
    <s v="US"/>
    <s v="Noida, India"/>
    <s v="India"/>
    <s v="Arpan Pandey, Varunjesh"/>
    <n v="0.2"/>
    <x v="1"/>
    <x v="1"/>
    <x v="9"/>
    <s v="Bill Payment (Medical Legal, Non Medical, Vendor)"/>
    <s v="Medical Bills Pending - First Script"/>
    <s v="EXL to receive monthly spreadsheet to process the First Script (Vendor) items, team to follow appropriate steps to issue payments and to update CNA comments on the spreadsheet."/>
    <s v="Commercial"/>
    <x v="5"/>
    <s v="WC"/>
    <s v="Mid Size"/>
    <s v="Back Office"/>
    <s v="L3"/>
    <n v="0.15"/>
    <n v="1"/>
    <n v="4"/>
    <s v="Transaction Based "/>
    <s v="USD"/>
    <n v="1.9436601649132781"/>
    <n v="1"/>
    <n v="0"/>
    <n v="0"/>
    <n v="0"/>
    <n v="1"/>
    <n v="0"/>
    <m/>
    <s v="NA"/>
    <s v="NA"/>
    <n v="8"/>
    <n v="0.97"/>
    <n v="0.98"/>
    <s v="DPU – Defect Per Unit"/>
    <s v="NA"/>
    <s v="NA"/>
    <s v="NA"/>
    <s v="NA"/>
    <s v="NA"/>
    <s v="NA"/>
    <s v="NA"/>
    <s v="NA"/>
    <s v="NA"/>
    <s v="NA"/>
    <s v="NA"/>
    <s v="CP"/>
    <s v="Individual Mailbox"/>
    <s v="Semi-Structured"/>
    <n v="100"/>
    <s v="ACT"/>
    <s v="Vendors"/>
    <s v="ACT, ClaimCenter, Mailbox"/>
  </r>
  <r>
    <x v="6"/>
    <s v="Top-10 US Commercial &amp; Specialty Carrier"/>
    <s v="US"/>
    <s v="Noida, India"/>
    <s v="India"/>
    <s v="Arpan Pandey, Varunjesh"/>
    <n v="0.2"/>
    <x v="1"/>
    <x v="1"/>
    <x v="9"/>
    <s v="Bill Payment (Medical Legal, Non Medical, Vendor)"/>
    <s v="Medical Bills Pending - EOR"/>
    <s v="EXL to issue payment on the bills as they appear on manual Database Payments application (PPT), EXL to receive bills on every Monday, Wednesday &amp; Friday."/>
    <s v="Commercial"/>
    <x v="5"/>
    <s v="WC"/>
    <s v="Mid Size"/>
    <s v="Back Office"/>
    <s v="L3"/>
    <n v="0.15"/>
    <n v="1"/>
    <n v="4"/>
    <s v="Transaction Based "/>
    <s v="USD"/>
    <n v="1.9436601649132781"/>
    <n v="4"/>
    <n v="0"/>
    <n v="0"/>
    <n v="0"/>
    <n v="4"/>
    <n v="0"/>
    <m/>
    <s v="NA"/>
    <s v="NA"/>
    <n v="8"/>
    <n v="0.97"/>
    <n v="0.98"/>
    <s v="DPU – Defect Per Unit"/>
    <s v="NA"/>
    <s v="NA"/>
    <s v="NA"/>
    <s v="NA"/>
    <s v="NA"/>
    <s v="NA"/>
    <s v="NA"/>
    <s v="NA"/>
    <s v="NA"/>
    <s v="NA"/>
    <s v="NA"/>
    <s v="CP"/>
    <s v="Manual Database Payments Application"/>
    <s v="Semi-Structured"/>
    <n v="100"/>
    <s v="ACT"/>
    <s v="Vendors"/>
    <s v="ACT, ClaimCenter, Mailbox"/>
  </r>
  <r>
    <x v="6"/>
    <s v="Top-10 US Commercial &amp; Specialty Carrier"/>
    <s v="US"/>
    <s v="Noida, India"/>
    <s v="India"/>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s v="Commercial"/>
    <x v="5"/>
    <s v="WC"/>
    <s v="Mid Size"/>
    <s v="Back Office"/>
    <s v="L3"/>
    <n v="1"/>
    <n v="2"/>
    <n v="3"/>
    <s v="Transaction Based "/>
    <s v="USD"/>
    <n v="10.701599999999999"/>
    <n v="7"/>
    <n v="0"/>
    <n v="8.3333333333333329E-2"/>
    <n v="0"/>
    <n v="7.083333333333333"/>
    <n v="0"/>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Noida, India"/>
    <s v="India"/>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s v="Commercial"/>
    <x v="3"/>
    <s v="Mutiple LOBs like - Auto, Property, GL, WC. Etc."/>
    <s v="All"/>
    <s v="Back Office"/>
    <s v="L3"/>
    <n v="1"/>
    <n v="2"/>
    <n v="3"/>
    <s v="Transaction Based "/>
    <s v="USD"/>
    <n v="2.75"/>
    <n v="1"/>
    <n v="0"/>
    <n v="8.3333333333333329E-2"/>
    <n v="0"/>
    <n v="1.0833333333333333"/>
    <n v="0"/>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Noida, India"/>
    <s v="India"/>
    <s v="Arpan Pandey, Varunjesh"/>
    <n v="1"/>
    <x v="1"/>
    <x v="1"/>
    <x v="1"/>
    <s v="Claim Setup and assignment"/>
    <s v="Crawford FNOL Follow Up"/>
    <s v="Follow up request on a pre filed loss is received which needs to be attached to the existing claim "/>
    <s v="Commercial"/>
    <x v="3"/>
    <s v="Mutiple LOBs like - Auto, Property, GL, WC. Etc."/>
    <s v="Small"/>
    <s v="Back Office"/>
    <s v="L3"/>
    <m/>
    <n v="1"/>
    <n v="1"/>
    <s v="Transaction Based "/>
    <s v="USD"/>
    <n v="3.44"/>
    <n v="3.9760638297872339E-2"/>
    <n v="0"/>
    <n v="0"/>
    <n v="0"/>
    <n v="3.9760638297872339E-2"/>
    <n v="0"/>
    <n v="25"/>
    <s v="NA"/>
    <s v="NA"/>
    <n v="14.95"/>
    <n v="1"/>
    <n v="0.97"/>
    <s v="DPU – Defect Per Unit"/>
    <s v="NA"/>
    <s v="NA"/>
    <s v="NA"/>
    <s v="NA"/>
    <s v="NA"/>
    <s v="NA"/>
    <s v="NA"/>
    <s v="NA"/>
    <s v="NA"/>
    <s v="NA"/>
    <s v="NA"/>
    <s v="C NA"/>
    <s v="Emails"/>
    <s v="Semi-Structured"/>
    <n v="100"/>
    <s v="ClaimCenter"/>
    <s v="Insureds / Agents"/>
    <s v="Claim center, ECE, MS Office, PDF, ECF, EPC"/>
  </r>
  <r>
    <x v="6"/>
    <s v="Top-10 US Commercial &amp; Specialty Carrier"/>
    <s v="US"/>
    <s v="Noida, India"/>
    <s v="India"/>
    <s v="Arpan Pandey, Varunjesh"/>
    <n v="1.5"/>
    <x v="1"/>
    <x v="1"/>
    <x v="9"/>
    <s v="Legal File Opening"/>
    <s v="T360 New User Set Up"/>
    <s v="We set up new user in T360 as per the IIQ requests we receive from onshore"/>
    <s v="Commercial"/>
    <x v="3"/>
    <s v="N/A"/>
    <s v="All"/>
    <s v="Back Office"/>
    <s v="L3"/>
    <n v="0"/>
    <n v="1"/>
    <n v="4"/>
    <s v="Transaction Based "/>
    <s v="USD"/>
    <n v="1.75"/>
    <n v="0.02"/>
    <n v="0"/>
    <n v="0"/>
    <n v="0"/>
    <n v="0.02"/>
    <n v="0"/>
    <n v="30"/>
    <s v="N/A"/>
    <s v="NA"/>
    <n v="7"/>
    <n v="0.97"/>
    <n v="0.97"/>
    <s v="DPU – Defect Per Unit"/>
    <s v="NA"/>
    <s v="NA"/>
    <s v="NA"/>
    <s v="NA"/>
    <s v="NA"/>
    <s v="NA"/>
    <s v="NA"/>
    <s v="NA"/>
    <s v="NA"/>
    <s v="NA"/>
    <s v="NA"/>
    <s v="NA"/>
    <s v="T360"/>
    <s v="Semi-Structured"/>
    <n v="100"/>
    <s v="T360"/>
    <s v="Claim Adjuster"/>
    <s v="T360"/>
  </r>
  <r>
    <x v="6"/>
    <s v="Top-10 US Commercial &amp; Specialty Carrier"/>
    <s v="US"/>
    <s v="Noida, India"/>
    <s v="India"/>
    <s v="Arpan Pandey, Varunjesh"/>
    <n v="3"/>
    <x v="1"/>
    <x v="1"/>
    <x v="7"/>
    <s v="Quality Management"/>
    <s v="Onshore Legal Referral QA"/>
    <s v="1. Complete transaction quality monitoring for tasks completed across Legal Referral, in accordance with the SOP_x000a_2. Complete QA sheet and report QA scores to onshore monthly, per the SOP"/>
    <s v="Commercial &amp; Specialty"/>
    <x v="3"/>
    <s v="WC, Auto, PMT, CNP, CUP, CUE, Speciality"/>
    <s v="All"/>
    <s v="Back Office"/>
    <s v="L3"/>
    <n v="1"/>
    <n v="5"/>
    <n v="5"/>
    <s v="Transaction Based "/>
    <s v="USD"/>
    <n v="7.529268292682926"/>
    <n v="5"/>
    <n v="0"/>
    <n v="0"/>
    <n v="1"/>
    <n v="6"/>
    <n v="0.16666666666666666"/>
    <n v="85"/>
    <n v="85"/>
    <s v="TBD"/>
    <n v="30"/>
    <n v="1"/>
    <n v="0.97"/>
    <s v="DPU – Defect Per Unit"/>
    <s v="DPU – Defect Per Unit"/>
    <s v="NA"/>
    <s v="NA"/>
    <s v="NA"/>
    <s v="NA"/>
    <s v="NA"/>
    <s v="NA"/>
    <s v="NA"/>
    <s v="NA"/>
    <s v="NA"/>
    <s v="NA"/>
    <s v="NA"/>
    <s v="Outside Counsel"/>
    <s v="Semi-Structured"/>
    <s v="Semi-Structured"/>
    <n v="0.5"/>
    <s v="Instructions in Application"/>
    <s v="ClaimCenter, T360, Outlook"/>
  </r>
  <r>
    <x v="6"/>
    <s v="Top-10 US Commercial &amp; Specialty Carrier"/>
    <s v="US"/>
    <s v="Noida, India"/>
    <s v="India"/>
    <s v="Arpan Pandey, Varunjesh"/>
    <n v="0.1"/>
    <x v="1"/>
    <x v="1"/>
    <x v="9"/>
    <s v="Indexing &amp; Scanning Non Medical bills"/>
    <s v="Court Docket and TeamConnect Uploads (LCGR)"/>
    <s v="We re-name and upload documents in TeamConnect as per the request receive from onshore team"/>
    <s v="Commercial"/>
    <x v="3"/>
    <s v="N/A"/>
    <s v="All"/>
    <s v="Back Office"/>
    <s v="L3"/>
    <n v="0"/>
    <n v="1"/>
    <n v="4"/>
    <s v="Transaction Based "/>
    <s v="USD"/>
    <n v="1.66"/>
    <n v="0.33"/>
    <n v="0"/>
    <n v="0"/>
    <n v="0"/>
    <n v="0.33"/>
    <n v="0"/>
    <n v="425"/>
    <s v="N/A"/>
    <s v="NA"/>
    <n v="7.23"/>
    <n v="0.97"/>
    <n v="0.97"/>
    <s v="DPU – Defect Per Unit"/>
    <s v="NA"/>
    <s v="NA"/>
    <s v="NA"/>
    <s v="NA"/>
    <s v="NA"/>
    <s v="NA"/>
    <s v="NA"/>
    <s v="NA"/>
    <s v="NA"/>
    <s v="NA"/>
    <s v="NA"/>
    <s v="NA"/>
    <s v="Email"/>
    <s v="Semi-Structured"/>
    <n v="100"/>
    <s v="TeamConnect"/>
    <s v="Attorneys"/>
    <s v="TeamConnect"/>
  </r>
  <r>
    <x v="6"/>
    <s v="Top-10 US Commercial &amp; Specialty Carrier"/>
    <s v="US"/>
    <s v="Noida, India"/>
    <s v="India"/>
    <s v="Arpan Pandey, Varunjesh"/>
    <n v="0.5"/>
    <x v="1"/>
    <x v="1"/>
    <x v="9"/>
    <s v="Indexing &amp; Scanning Non Medical bills"/>
    <s v="Legal Matter Update (Missing Information)"/>
    <s v="We update litigation screen as per the information provided in the activity"/>
    <s v="Commercial"/>
    <x v="3"/>
    <s v="Mutiple LOBs like - Auto, Property, GL, Specialty lines, WC. Etc."/>
    <s v="All"/>
    <s v="Back Office"/>
    <s v="L3"/>
    <n v="0"/>
    <n v="1"/>
    <n v="4"/>
    <s v="Transaction Based "/>
    <s v="USD"/>
    <n v="2.82"/>
    <n v="0.11"/>
    <n v="0"/>
    <n v="0"/>
    <n v="0"/>
    <n v="0.11"/>
    <n v="0"/>
    <n v="180"/>
    <s v="N/A"/>
    <s v="NA"/>
    <n v="6"/>
    <n v="0.97"/>
    <n v="0.97"/>
    <s v="DPU – Defect Per Unit"/>
    <s v="NA"/>
    <s v="NA"/>
    <s v="NA"/>
    <s v="NA"/>
    <s v="NA"/>
    <s v="NA"/>
    <s v="NA"/>
    <s v="NA"/>
    <s v="NA"/>
    <s v="NA"/>
    <s v="NA"/>
    <s v="NA"/>
    <s v="ClaimCenter"/>
    <s v="Semi-Structured"/>
    <n v="100"/>
    <s v="ClaimCenter"/>
    <s v="Claim Adjuster"/>
    <s v="ClaimCenter"/>
  </r>
  <r>
    <x v="6"/>
    <s v="Top-10 US Commercial &amp; Specialty Carrier"/>
    <s v="US"/>
    <s v="Noida, India"/>
    <s v="India"/>
    <s v="Arpan Pandey, Varunjesh"/>
    <n v="1.9"/>
    <x v="1"/>
    <x v="1"/>
    <x v="8"/>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s v="Commercial"/>
    <x v="1"/>
    <s v="Auto"/>
    <s v="Mid Size"/>
    <s v="Back Office"/>
    <s v="L3"/>
    <n v="0.3"/>
    <n v="2"/>
    <n v="2"/>
    <s v="Transaction Based "/>
    <s v="USD"/>
    <n v="7"/>
    <n v="0.5"/>
    <n v="0"/>
    <n v="0"/>
    <n v="0"/>
    <n v="0.5"/>
    <n v="0"/>
    <n v="257"/>
    <s v="N/A"/>
    <s v="NA"/>
    <n v="31.04"/>
    <n v="1"/>
    <n v="0.97"/>
    <s v="DPU – Defect Per Unit"/>
    <s v="NA"/>
    <s v="NA"/>
    <s v="NA"/>
    <s v="NA"/>
    <s v="NA"/>
    <s v="NA"/>
    <s v="NA"/>
    <s v="NA"/>
    <s v="NA"/>
    <s v="NA"/>
    <s v="NA"/>
    <s v="NA"/>
    <s v="Email"/>
    <s v="Semi-Structured"/>
    <s v="Semi-Structured"/>
    <s v="ClaimCenter"/>
    <s v="Claim Adjuster"/>
    <s v="ACT, ClaimCenter, Alacrity Solutions"/>
  </r>
  <r>
    <x v="6"/>
    <s v="Top-10 US Commercial &amp; Specialty Carrier"/>
    <s v="US"/>
    <s v="Noida, India"/>
    <s v="India"/>
    <s v="Arpan Pandey, Varunjesh"/>
    <n v="1.3"/>
    <x v="1"/>
    <x v="1"/>
    <x v="8"/>
    <s v="Initiate Recovery Collection &amp; processing"/>
    <s v="Spartan Referral"/>
    <s v="Objective is to prepare and send the Spartan referral sheet on Auto, Property &amp; WC claims - Where recovery is referred to Spartan (Recovery Vendor)"/>
    <s v="Commercial"/>
    <x v="6"/>
    <s v="Auto, WC &amp; Property"/>
    <s v="Mid Size"/>
    <s v="Back Office"/>
    <s v="L3"/>
    <n v="0.15"/>
    <n v="0.15"/>
    <n v="0.5"/>
    <s v="Transaction Based "/>
    <s v="USD"/>
    <n v="20.3"/>
    <n v="0.5"/>
    <n v="0"/>
    <n v="0"/>
    <n v="0"/>
    <n v="0.5"/>
    <n v="0"/>
    <n v="21"/>
    <s v="N/A"/>
    <s v="NA"/>
    <n v="90"/>
    <n v="1"/>
    <n v="0.97"/>
    <s v="DPU – Defect Per Unit"/>
    <s v="NA"/>
    <s v="NA"/>
    <s v="NA"/>
    <s v="NA"/>
    <s v="NA"/>
    <s v="NA"/>
    <s v="NA"/>
    <s v="NA"/>
    <s v="NA"/>
    <s v="NA"/>
    <s v="NA"/>
    <s v="NA"/>
    <s v="ClaimCenter"/>
    <s v="Semi-Structured"/>
    <n v="100"/>
    <s v="ClaimCenter"/>
    <s v="Spartan"/>
    <s v="ClaimCenter"/>
  </r>
  <r>
    <x v="6"/>
    <s v="Top-10 US Commercial &amp; Specialty Carrier"/>
    <s v="US"/>
    <s v="Noida, India"/>
    <s v="India"/>
    <s v="Arpan Pandey, Varunjesh"/>
    <n v="1.6"/>
    <x v="1"/>
    <x v="1"/>
    <x v="8"/>
    <s v="Initiate Recovery Collection &amp; processing"/>
    <s v="Cisco Referral"/>
    <s v="In this task team assigns to claims from spartan (Recovery Vendor) to Cisco (Collection Vendor) for further pursuit"/>
    <s v="Commercial"/>
    <x v="6"/>
    <s v="Auto, WC &amp; Property"/>
    <s v="Mid Size"/>
    <s v="Back Office"/>
    <s v="L3"/>
    <n v="0.15"/>
    <n v="0.15"/>
    <n v="1"/>
    <s v="Transaction Based "/>
    <s v="USD"/>
    <n v="1.1299999999999999"/>
    <n v="0.5"/>
    <n v="0"/>
    <n v="0"/>
    <n v="0"/>
    <n v="0.5"/>
    <n v="0"/>
    <n v="61"/>
    <s v="N/A"/>
    <s v="NA"/>
    <n v="5"/>
    <n v="1"/>
    <n v="0.97"/>
    <s v="DPU – Defect Per Unit"/>
    <s v="NA"/>
    <s v="NA"/>
    <s v="NA"/>
    <s v="NA"/>
    <s v="NA"/>
    <s v="NA"/>
    <s v="NA"/>
    <s v="NA"/>
    <s v="NA"/>
    <s v="NA"/>
    <s v="NA"/>
    <s v="NA"/>
    <s v="Email"/>
    <s v="Semi-Structured"/>
    <n v="100"/>
    <s v="ClaimCenter"/>
    <s v="Cisco"/>
    <s v="ClaimCenter"/>
  </r>
  <r>
    <x v="6"/>
    <s v="Top-10 US Commercial &amp; Specialty Carrier"/>
    <s v="US"/>
    <s v="Noida, India"/>
    <s v="India"/>
    <s v="Arpan Pandey, Varunjesh"/>
    <n v="8"/>
    <x v="1"/>
    <x v="2"/>
    <x v="6"/>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s v="Commercial"/>
    <x v="3"/>
    <s v="WC, Auto, PMT, CNP, CUP, CUE"/>
    <s v="All"/>
    <s v="Back Office"/>
    <s v="L3"/>
    <n v="2"/>
    <s v="2 to 4"/>
    <s v="6 to 8"/>
    <s v="Transaction Based "/>
    <s v="USD"/>
    <n v="22014.800000000003"/>
    <n v="4"/>
    <n v="0.1"/>
    <n v="0.2"/>
    <n v="1"/>
    <n v="5.3"/>
    <n v="0.18867924528301888"/>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x v="6"/>
    <s v="Top-10 US Commercial &amp; Specialty Carrier"/>
    <s v="US"/>
    <s v="Noida, India"/>
    <s v="India"/>
    <s v="Arpan Pandey, Varunjesh"/>
    <n v="8"/>
    <x v="1"/>
    <x v="2"/>
    <x v="6"/>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s v="Commercial"/>
    <x v="3"/>
    <s v="WC, Auto, PMT, CNP, CUP, CUE"/>
    <s v="All"/>
    <s v="Back Office"/>
    <s v="L3"/>
    <n v="2"/>
    <s v="2 to 4"/>
    <s v="6 to 8"/>
    <s v="Transaction Based "/>
    <s v="USD"/>
    <n v="22014.800000000003"/>
    <n v="6.42"/>
    <n v="0.4"/>
    <n v="0.3"/>
    <n v="1.22"/>
    <n v="8.34"/>
    <n v="0.14628297362110312"/>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x v="6"/>
    <s v="Top-10 US Commercial &amp; Specialty Carrier"/>
    <s v="US"/>
    <s v="Noida, India"/>
    <s v="India"/>
    <s v="Arpan Pandey, Varunjesh"/>
    <n v="8"/>
    <x v="1"/>
    <x v="2"/>
    <x v="10"/>
    <s v="Audit Scheduling"/>
    <s v="Audit Scheduling"/>
    <s v="Prepare Premium Audit schedule and communicate"/>
    <s v="Commercial"/>
    <x v="3"/>
    <s v="Package lines, Auto, Specialty lines, WC "/>
    <s v="All"/>
    <s v="Back Office"/>
    <s v="L3"/>
    <n v="1"/>
    <s v="2 to 4"/>
    <s v="2 to 4"/>
    <s v="Transaction Based "/>
    <s v="USD"/>
    <n v="23594"/>
    <n v="1"/>
    <n v="0"/>
    <n v="0.1"/>
    <n v="1"/>
    <n v="2.1"/>
    <n v="0.47619047619047616"/>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x v="6"/>
    <s v="Top-10 US Commercial &amp; Specialty Carrier"/>
    <s v="US"/>
    <s v="Noida, India"/>
    <s v="India"/>
    <s v="Arpan Pandey, Varunjesh"/>
    <n v="8"/>
    <x v="1"/>
    <x v="2"/>
    <x v="10"/>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s v="Commercial"/>
    <x v="3"/>
    <s v="Package lines, Auto, Specialty lines, WC "/>
    <s v="All"/>
    <s v="Back Office"/>
    <s v="L3"/>
    <n v="1"/>
    <s v="2 to 4"/>
    <s v="2 to 4"/>
    <s v="Transaction Based "/>
    <s v="USD"/>
    <n v="22014.800000000003"/>
    <n v="1.5"/>
    <n v="0"/>
    <n v="0.1"/>
    <n v="1.33"/>
    <n v="2.93"/>
    <n v="0.4539249146757679"/>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x v="6"/>
    <s v="Top-10 US Commercial &amp; Specialty Carrier"/>
    <s v="US"/>
    <s v="Noida, India"/>
    <s v="India"/>
    <s v="Arpan Pandey, Varunjesh"/>
    <n v="8"/>
    <x v="1"/>
    <x v="2"/>
    <x v="10"/>
    <s v="Field Audit"/>
    <s v="Physical Audit"/>
    <s v="The Premium Audit reviewers are responsible for reviewing policyholder records at the end of the policy period to determine the final, audited premium for coverage provided basis the Physical audit report"/>
    <s v="Commercial"/>
    <x v="3"/>
    <s v="Package lines, Auto, Specialty lines, WC "/>
    <s v="All"/>
    <s v="Back Office"/>
    <s v="L3"/>
    <n v="2"/>
    <s v="4 to 6"/>
    <s v="2 to 4"/>
    <s v="Transaction Based "/>
    <s v="USD"/>
    <n v="23594"/>
    <n v="1"/>
    <n v="0"/>
    <n v="0.1"/>
    <n v="1"/>
    <n v="2.1"/>
    <n v="0.47619047619047616"/>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Internet Audit"/>
    <s v="Internet Audit"/>
    <s v="The Premium Audit reviewers are responsible for reviewing policyholder records at the end of the policy period to determine the final, audited premium for coverage provided basis the Internet audit report"/>
    <s v="Commercial"/>
    <x v="3"/>
    <s v="Package lines, Auto, Specialty lines, WC "/>
    <s v="All"/>
    <s v="Back Office"/>
    <s v="L3"/>
    <n v="1"/>
    <s v="2 to 4"/>
    <s v="2 to 4"/>
    <s v="Transaction Based "/>
    <s v="USD"/>
    <n v="23594"/>
    <n v="1"/>
    <n v="0"/>
    <n v="0.1"/>
    <n v="1"/>
    <n v="2.1"/>
    <n v="0.47619047619047616"/>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Phone Audit"/>
    <s v="Telephone Audit"/>
    <s v="The Premium Audit reviewers are responsible for reviewing policyholder records at the end of the policy period to determine the final, audited premium for coverage provided basis the Telephone Audit report"/>
    <s v="Commercial"/>
    <x v="3"/>
    <s v="Package lines, Auto, Specialty lines, WC "/>
    <s v="All"/>
    <s v="Back Office"/>
    <s v="L3"/>
    <n v="1"/>
    <s v="2 to 4"/>
    <s v="2 to 4"/>
    <s v="Transaction Based "/>
    <s v="USD"/>
    <n v="23594"/>
    <n v="0.5"/>
    <n v="0"/>
    <n v="0.1"/>
    <n v="2"/>
    <n v="2.6"/>
    <n v="0.76923076923076916"/>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Premium Audit Endorsements"/>
    <s v="Premium Audit Endorsements"/>
    <s v="Adding States &amp; Codes into the policy basis Audit reports_x000a__x000a_Processing Endorsement if Automation Fails"/>
    <s v="Commercial"/>
    <x v="5"/>
    <s v="WC"/>
    <s v="All"/>
    <s v="Back Office"/>
    <s v="L3"/>
    <n v="1"/>
    <s v="4 to 6"/>
    <s v="2 to 4"/>
    <s v="Transaction Based "/>
    <s v="USD"/>
    <n v="23594"/>
    <n v="4"/>
    <n v="0"/>
    <n v="0.1"/>
    <n v="1"/>
    <n v="5.0999999999999996"/>
    <n v="0.19607843137254904"/>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x v="6"/>
    <s v="Top-10 US Commercial &amp; Specialty Carrier"/>
    <s v="US"/>
    <s v="Noida, India"/>
    <s v="India"/>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s v="Commercial"/>
    <x v="3"/>
    <s v="Auto, WC, CUP, Package Lines"/>
    <s v="All"/>
    <s v="Back Office"/>
    <s v="L3"/>
    <n v="1"/>
    <s v="4 to 6"/>
    <s v="2 to 4"/>
    <s v="Transaction Based "/>
    <s v="USD"/>
    <n v="22221.600000000002"/>
    <n v="9"/>
    <n v="1"/>
    <n v="0.4"/>
    <n v="1.1100000000000001"/>
    <n v="11.51"/>
    <n v="9.6437880104257176E-2"/>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x v="6"/>
    <s v="Top-10 US Commercial &amp; Specialty Carrier"/>
    <s v="US"/>
    <s v="Noida, India"/>
    <s v="India"/>
    <s v="Arpan Pandey, Varunjesh"/>
    <n v="8"/>
    <x v="1"/>
    <x v="2"/>
    <x v="5"/>
    <s v="Broker Correspondence"/>
    <s v="Solicitation - 45 Days, 90 Days, Financial Institution, Life Science, Non Standard"/>
    <s v="Solicitation letter is sent to Broker and Agent 45/90 Days prior to renewal of a policy. "/>
    <s v="Commercial"/>
    <x v="3"/>
    <s v="Auto, WC, CUP, Package Lines"/>
    <s v="All"/>
    <s v="Back Office"/>
    <s v="L3"/>
    <n v="1"/>
    <s v="4 to 6"/>
    <s v="4 to 6"/>
    <s v="Transaction Based "/>
    <s v="USD"/>
    <n v="22014.800000000003"/>
    <n v="3.5"/>
    <n v="0"/>
    <n v="0.5"/>
    <n v="1.05"/>
    <n v="5.05"/>
    <n v="0.20792079207920794"/>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x v="6"/>
    <s v="Top-10 US Commercial &amp; Specialty Carrier"/>
    <s v="US"/>
    <s v="Noida, India"/>
    <s v="India"/>
    <s v="Arpan Pandey, Varunjesh"/>
    <n v="8"/>
    <x v="1"/>
    <x v="2"/>
    <x v="6"/>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s v="Commercial"/>
    <x v="3"/>
    <s v="Auto, WC, CUP, Package Lines"/>
    <s v="Small"/>
    <s v="Back Office"/>
    <s v="L3"/>
    <n v="1"/>
    <s v="4 to 6"/>
    <s v="4 to 6"/>
    <s v="Transaction Based "/>
    <s v="USD"/>
    <n v="22014.800000000003"/>
    <n v="8"/>
    <n v="0"/>
    <n v="0.25"/>
    <n v="1.27"/>
    <n v="9.52"/>
    <n v="0.13340336134453781"/>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x v="6"/>
    <s v="Top-10 US Commercial &amp; Specialty Carrier"/>
    <s v="US"/>
    <s v="Noida, India"/>
    <s v="India"/>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s v="Commercial"/>
    <x v="3"/>
    <s v="Auto, WC, CUP, Package Lines"/>
    <s v="All"/>
    <s v="Back Office"/>
    <s v="L2"/>
    <n v="1"/>
    <s v="2 to 4"/>
    <s v="2 to 4"/>
    <s v="Transaction Based "/>
    <s v="USD"/>
    <n v="0.84"/>
    <n v="1"/>
    <n v="0"/>
    <n v="0.05"/>
    <n v="1"/>
    <n v="2.0499999999999998"/>
    <n v="0.48780487804878053"/>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x v="6"/>
    <s v="Top-10 US Commercial &amp; Specialty Carrier"/>
    <s v="US"/>
    <s v="Noida, India"/>
    <s v="India"/>
    <s v="Arpan Pandey, Varunjesh"/>
    <n v="8"/>
    <x v="1"/>
    <x v="2"/>
    <x v="3"/>
    <s v="Indexing"/>
    <s v="Indexing"/>
    <s v="Indexing - This is a process of creating tasks received in Endorsement Portal and routing them to appropriate teams based on request types."/>
    <s v="Commercial"/>
    <x v="3"/>
    <s v="Auto, WC, CUP, Package Lines"/>
    <s v="All"/>
    <s v="Back Office"/>
    <s v="L2"/>
    <n v="1"/>
    <s v="2 to 4"/>
    <s v="2 to 4"/>
    <s v="Transaction Based "/>
    <s v="USD"/>
    <n v="22014.800000000003"/>
    <n v="3"/>
    <n v="0"/>
    <n v="0.1"/>
    <n v="1"/>
    <n v="4.0999999999999996"/>
    <n v="0.24390243902439027"/>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x v="6"/>
    <s v="Top-10 US Commercial &amp; Specialty Carrier"/>
    <s v="US"/>
    <s v="Noida, India"/>
    <s v="India"/>
    <s v="Arpan Pandey, Varunjesh"/>
    <n v="8"/>
    <x v="1"/>
    <x v="2"/>
    <x v="11"/>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s v="Commercial"/>
    <x v="7"/>
    <s v="NA"/>
    <s v="All"/>
    <s v="Back Office"/>
    <s v="L3"/>
    <n v="2"/>
    <s v="4 to 6"/>
    <s v="4 to 6"/>
    <s v="Transaction Based "/>
    <s v="USD"/>
    <n v="22014.800000000003"/>
    <n v="0.75"/>
    <n v="0"/>
    <n v="0.05"/>
    <n v="1.33"/>
    <n v="2.13"/>
    <n v="0.62441314553990612"/>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x v="6"/>
    <s v="Top-10 US Commercial &amp; Specialty Carrier"/>
    <s v="US"/>
    <s v="Noida, India"/>
    <s v="India"/>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s v="Commercial"/>
    <x v="3"/>
    <s v="NA"/>
    <s v="All"/>
    <s v="Back Office"/>
    <s v="L3"/>
    <n v="2"/>
    <s v="4 to 6"/>
    <s v="6 to 8"/>
    <s v="Transaction Based "/>
    <s v="USD"/>
    <n v="385560"/>
    <n v="28"/>
    <n v="0"/>
    <n v="0.05"/>
    <n v="1.33"/>
    <n v="29.380000000000003"/>
    <n v="4.526889040163376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x v="6"/>
    <s v="Top-10 US Commercial &amp; Specialty Carrier"/>
    <s v="US"/>
    <s v="Noida, India"/>
    <s v="India"/>
    <s v="Arpan Pandey, Varunjesh"/>
    <n v="8"/>
    <x v="1"/>
    <x v="2"/>
    <x v="5"/>
    <s v="D&amp;B Scores"/>
    <s v="D&amp;B / Flood Map"/>
    <s v="D&amp;B / Flood Map - This is a process to find the D&amp;B financial credit score and Flood Map risk category of locations. The information gathered is updated in EPC and UWS for further handling by Underwriter. "/>
    <s v="Commercial"/>
    <x v="7"/>
    <s v="NA"/>
    <s v="All"/>
    <s v="Back Office"/>
    <s v="L3"/>
    <n v="2"/>
    <s v="4 to 6"/>
    <s v="4 to 6"/>
    <s v="Transaction Based "/>
    <s v="USD"/>
    <n v="22014.800000000003"/>
    <n v="0.9"/>
    <n v="0"/>
    <n v="0.05"/>
    <n v="1"/>
    <n v="1.9500000000000002"/>
    <n v="0.51282051282051277"/>
    <n v="1281"/>
    <s v="NA"/>
    <s v="NA"/>
    <n v="5"/>
    <s v="95% (3 Business Days)"/>
    <n v="0.98"/>
    <s v="DPU – Defect Per Unit"/>
    <s v="NA"/>
    <s v="NA"/>
    <s v="NA"/>
    <s v="NA"/>
    <s v="NA"/>
    <s v="NA"/>
    <s v="NA"/>
    <s v="NA"/>
    <s v="NA"/>
    <s v="NA"/>
    <s v="NA"/>
    <s v="Underwriter"/>
    <s v="Multiple"/>
    <s v="Structured"/>
    <s v="Client Application - 100% "/>
    <s v="Others"/>
    <s v="Others"/>
    <s v="Aspire, UWS, EPC, Swiss Re"/>
  </r>
  <r>
    <x v="6"/>
    <s v="Top-10 US Commercial &amp; Specialty Carrier"/>
    <s v="US"/>
    <s v="Noida, India"/>
    <s v="India"/>
    <s v="Arpan Pandey, Varunjesh"/>
    <n v="8"/>
    <x v="1"/>
    <x v="2"/>
    <x v="3"/>
    <s v="Customer service"/>
    <s v="SBSC Egain COI, Policy update,  Audit Queue,SBSC Endt"/>
    <s v="Address customer issues related to Audit submitted via message in applicable call center portal. "/>
    <s v="Commercial"/>
    <x v="7"/>
    <s v="NA"/>
    <s v="All"/>
    <s v="Back Office"/>
    <s v="L3"/>
    <n v="2"/>
    <s v="4 to 6"/>
    <s v="4 to 6"/>
    <s v="Transaction Based "/>
    <s v="USD"/>
    <n v="126359.99999999999"/>
    <n v="6.79"/>
    <n v="0"/>
    <n v="0.05"/>
    <n v="1"/>
    <n v="7.84"/>
    <n v="0.12755102040816327"/>
    <n v="3000"/>
    <s v="NA"/>
    <s v="NA"/>
    <n v="15"/>
    <s v="98% (2 Business days (48 hours))"/>
    <n v="0.98"/>
    <s v="DPU – Defect Per Unit"/>
    <s v="NA"/>
    <s v="NA"/>
    <s v="NA"/>
    <s v="NA"/>
    <s v="NA"/>
    <s v="NA"/>
    <s v="NA"/>
    <s v="NA"/>
    <s v="NA"/>
    <s v="NA"/>
    <s v="NA"/>
    <s v="Underwriter"/>
    <s v="Multiple"/>
    <s v="Structured"/>
    <s v="Client Application - 100% "/>
    <s v="Others"/>
    <s v="Others"/>
    <s v="Aspire, UWS, EPC, ECE"/>
  </r>
  <r>
    <x v="6"/>
    <s v="Top-10 US Commercial &amp; Specialty Carrier"/>
    <s v="US"/>
    <s v="Noida, India"/>
    <s v="India"/>
    <s v="Arpan Pandey, Varunjesh"/>
    <n v="8"/>
    <x v="1"/>
    <x v="2"/>
    <x v="5"/>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s v="Commercial"/>
    <x v="7"/>
    <s v="NA"/>
    <s v="All"/>
    <s v="Back Office"/>
    <s v="L3"/>
    <n v="2"/>
    <s v="4 to 6"/>
    <s v="4 to 6"/>
    <s v="Transaction Based "/>
    <s v="USD"/>
    <n v="302400"/>
    <n v="4.2"/>
    <n v="0"/>
    <n v="0.05"/>
    <n v="1"/>
    <n v="5.25"/>
    <n v="0.19047619047619047"/>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x v="6"/>
    <s v="Top-10 US Commercial &amp; Specialty Carrier"/>
    <s v="US"/>
    <s v="Noida, India"/>
    <s v="India"/>
    <s v="Arpan Pandey, Varunjesh"/>
    <n v="8"/>
    <x v="1"/>
    <x v="2"/>
    <x v="5"/>
    <s v="Loss Runs"/>
    <s v="CPC and PSS Loss Run"/>
    <s v="Team process Loss Runs post validating all required details."/>
    <s v="Commercial"/>
    <x v="3"/>
    <s v="Auto, Property, GL, Specialty lines, WC"/>
    <s v="All"/>
    <s v="Back Office"/>
    <s v="L3"/>
    <n v="2"/>
    <s v="6 to 8"/>
    <s v="4 to 6"/>
    <s v="Transaction Based "/>
    <s v="USD"/>
    <n v="22014.800000000003"/>
    <n v="4.4000000000000004"/>
    <n v="0.2"/>
    <n v="0.2"/>
    <n v="1.25"/>
    <n v="6.0500000000000007"/>
    <n v="0.2066115702479338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x v="6"/>
    <s v="Top-10 US Commercial &amp; Specialty Carrier"/>
    <s v="US"/>
    <s v="Noida, India"/>
    <s v="India"/>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s v="Commercial"/>
    <x v="1"/>
    <s v="Auto"/>
    <s v="All"/>
    <s v="Back Office"/>
    <s v="L3"/>
    <n v="2"/>
    <s v="6 to 8"/>
    <s v="6 to 8"/>
    <s v="Transaction Based "/>
    <s v="USD"/>
    <n v="22014.800000000003"/>
    <n v="1.86"/>
    <n v="0.2"/>
    <n v="0.2"/>
    <n v="1.08"/>
    <n v="3.3400000000000003"/>
    <n v="0.32335329341317365"/>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s v="US"/>
    <s v="Noida, India"/>
    <s v="India"/>
    <s v="Arpan Pandey, Varunjesh"/>
    <n v="8"/>
    <x v="1"/>
    <x v="2"/>
    <x v="3"/>
    <s v="DMV and MVR"/>
    <s v="MVR"/>
    <s v="MVR team validate all required details and add/delete order drivers in MVR web or handle it as an exception case"/>
    <s v="Commercial"/>
    <x v="1"/>
    <s v="Auto"/>
    <s v="All"/>
    <s v="Back Office"/>
    <s v="L3"/>
    <n v="2"/>
    <s v="6 to 8"/>
    <s v="4 to 6"/>
    <s v="Transaction Based "/>
    <s v="USD"/>
    <n v="22014.800000000003"/>
    <n v="2"/>
    <n v="0.2"/>
    <n v="0.2"/>
    <n v="1.5"/>
    <n v="3.9000000000000004"/>
    <n v="0.38461538461538458"/>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s v="US"/>
    <s v="Noida, India"/>
    <s v="India"/>
    <s v="Arpan Pandey, Varunjesh"/>
    <n v="8"/>
    <x v="1"/>
    <x v="2"/>
    <x v="3"/>
    <s v="Cancellation &amp; Reinstatement"/>
    <s v="Reinstatement"/>
    <s v="Team process reinstatement/cancellation in TAP, EPC or PC as per policy source and sends notification and notice to requester and multimedia"/>
    <s v="Commercial"/>
    <x v="3"/>
    <s v="Auto, Property, GL, Specialty lines, WC"/>
    <s v="All"/>
    <s v="Back Office"/>
    <s v="L3"/>
    <n v="2"/>
    <s v="6 to 8"/>
    <s v="4 to 6"/>
    <s v="Transaction Based "/>
    <s v="USD"/>
    <n v="22014.800000000003"/>
    <n v="5"/>
    <n v="0.2"/>
    <n v="0.2"/>
    <n v="2"/>
    <n v="7.4"/>
    <n v="0.27027027027027023"/>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s v="US"/>
    <s v="Noida, India"/>
    <s v="India"/>
    <s v="Arpan Pandey, Varunjesh"/>
    <n v="8"/>
    <x v="1"/>
    <x v="2"/>
    <x v="5"/>
    <s v="WC Filings/ CRITS"/>
    <s v="WC Crits"/>
    <s v="Process requires the team to access state websites to extract Bureau CRIT reports and post triaging assign to appropriate queues for further handling by onshore"/>
    <s v="Commercial"/>
    <x v="5"/>
    <s v="WC"/>
    <s v="All"/>
    <s v="Back Office"/>
    <s v="L3"/>
    <n v="2"/>
    <s v="6 to 8"/>
    <s v="4 to 6"/>
    <s v="Transaction Based "/>
    <s v="USD"/>
    <n v="22014.800000000003"/>
    <n v="1"/>
    <n v="0.2"/>
    <n v="0.1"/>
    <n v="1"/>
    <n v="2.2999999999999998"/>
    <n v="0.43478260869565222"/>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x v="6"/>
    <s v="Top-10 US Commercial &amp; Specialty Carrier"/>
    <s v="US"/>
    <s v="Noida, India"/>
    <s v="India"/>
    <s v="Arpan Pandey, Varunjesh"/>
    <n v="8"/>
    <x v="1"/>
    <x v="2"/>
    <x v="3"/>
    <s v="Cancellation &amp; Reinstatement"/>
    <s v="General Blend &amp; Cancellations"/>
    <s v="Team process reinstatement/cancellation in TAP, EPC or PC as per policy source and sends notification and notice to requester and multimedia"/>
    <s v="Commercial"/>
    <x v="3"/>
    <s v="Auto, Property, GL, Specialty lines, WC"/>
    <s v="All"/>
    <s v="Back Office"/>
    <s v="L3"/>
    <n v="2"/>
    <s v="6 to 8"/>
    <s v="4 to 6"/>
    <s v="Transaction Based "/>
    <s v="USD"/>
    <n v="22014.800000000003"/>
    <n v="2.5"/>
    <n v="0"/>
    <n v="0.1"/>
    <n v="1.2"/>
    <n v="3.8"/>
    <n v="0.31578947368421051"/>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s v="US"/>
    <s v="Noida, India"/>
    <s v="India"/>
    <s v="Arpan Pandey, Varunjesh"/>
    <n v="8"/>
    <x v="1"/>
    <x v="2"/>
    <x v="5"/>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s v="Commercial"/>
    <x v="3"/>
    <s v="Auto, WC, CUP, Package Lines"/>
    <s v="All"/>
    <s v="Back Office"/>
    <s v="L3"/>
    <n v="2"/>
    <s v="4 to 6"/>
    <s v="2 to 4"/>
    <s v="Transaction Based "/>
    <s v="USD"/>
    <n v="22014.800000000003"/>
    <n v="20"/>
    <n v="1"/>
    <n v="1"/>
    <n v="1.1000000000000001"/>
    <n v="23.1"/>
    <n v="4.7619047619047623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x v="6"/>
    <s v="Top-10 US Commercial &amp; Specialty Carrier"/>
    <s v="US"/>
    <s v="Noida, India"/>
    <s v="India"/>
    <s v="Arpan Pandey, Varunjesh"/>
    <n v="8"/>
    <x v="1"/>
    <x v="2"/>
    <x v="6"/>
    <s v="Renewal Issuance"/>
    <s v="Small Business Renewal - Non-legacy &amp; Mailbox"/>
    <s v="Making requested changes in the policy, including agency code change and issue the renewal"/>
    <s v="Commercial"/>
    <x v="8"/>
    <s v="Auto, WC, CUP, Package Lines"/>
    <s v="Small"/>
    <s v="Back Office"/>
    <s v="L3"/>
    <n v="1"/>
    <s v="4 to 6"/>
    <s v="4 to 6"/>
    <s v="Transaction Based "/>
    <s v="USD"/>
    <n v="2.61"/>
    <n v="4.5"/>
    <n v="0.5"/>
    <n v="0.1"/>
    <n v="1"/>
    <n v="6.1"/>
    <n v="0.163934426229508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x v="6"/>
    <s v="Top-10 US Commercial &amp; Specialty Carrier"/>
    <s v="US"/>
    <s v="Noida, India"/>
    <s v="India"/>
    <s v="Arpan Pandey, Varunjesh"/>
    <n v="2"/>
    <x v="1"/>
    <x v="2"/>
    <x v="6"/>
    <s v="Renewal Issuance"/>
    <s v="Small Business Renewal - Legacy lines"/>
    <s v="Making requested changes in the policy, including agency code change and issue the renewal"/>
    <s v="Commercial"/>
    <x v="8"/>
    <s v="Auto, WC, CUP, Package Lines"/>
    <s v="Small"/>
    <s v="Back Office"/>
    <s v="L3"/>
    <n v="1"/>
    <s v="4 to 6"/>
    <s v="4 to 6"/>
    <s v="Transaction Based "/>
    <s v="USD"/>
    <n v="3.11"/>
    <n v="2"/>
    <n v="0.5"/>
    <n v="0.1"/>
    <n v="1"/>
    <n v="3.6"/>
    <n v="0.27777777777777779"/>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x v="6"/>
    <s v="Top-10 US Commercial &amp; Specialty Carrier"/>
    <s v="US"/>
    <s v="Noida, India"/>
    <s v="India"/>
    <s v="Arpan Pandey, Varunjesh"/>
    <n v="2"/>
    <x v="1"/>
    <x v="2"/>
    <x v="3"/>
    <s v="Indexing"/>
    <s v="UT_ Doc attachment"/>
    <s v="We receive mails with in mail box from UT to update policies document to efile application"/>
    <s v="Commercial"/>
    <x v="3"/>
    <s v="D&amp;O , EPL , FDLS , CRIME ,IMS, FI BOND ,ICPL,DOAS , PEFS,ERISA"/>
    <s v="All"/>
    <s v="Back Office"/>
    <s v="L3"/>
    <n v="2"/>
    <s v="2 to 4"/>
    <s v="6 to 8"/>
    <s v="Transaction Based "/>
    <s v="USD"/>
    <n v="7.7"/>
    <n v="2.5"/>
    <n v="1"/>
    <n v="0.5"/>
    <n v="1"/>
    <n v="5"/>
    <n v="0.2"/>
    <n v="600"/>
    <n v="600"/>
    <s v="NA"/>
    <n v="30"/>
    <s v="100% (0+2)"/>
    <n v="0.99"/>
    <s v="DPU – Defect Per Unit"/>
    <s v="NA"/>
    <s v="NA"/>
    <s v="NA"/>
    <s v="NA"/>
    <s v="NA"/>
    <s v="NA"/>
    <s v="NA"/>
    <s v="NA"/>
    <s v="NA"/>
    <s v="NA"/>
    <s v="NA"/>
    <s v="UT/UW"/>
    <s v="Multiple"/>
    <s v="Unstructured"/>
    <s v="Shared mailbox:100%"/>
    <s v="Multiple"/>
    <s v="UT/UW"/>
    <s v="Efile application ,shared mail box, Share drive access"/>
  </r>
  <r>
    <x v="6"/>
    <s v="Top-10 US Commercial &amp; Specialty Carrier"/>
    <s v="US"/>
    <s v="Noida, India"/>
    <s v="India"/>
    <s v="Arpan Pandey, Varunjesh"/>
    <n v="2"/>
    <x v="1"/>
    <x v="2"/>
    <x v="5"/>
    <s v="Renewal Prep"/>
    <s v="Renewal Prep UWC"/>
    <s v="Renewal Prep is the task we do on account level and this processed once rollover has been completed. In this task we upddate UW checklist in RST based on our workflow"/>
    <s v="Commercial"/>
    <x v="3"/>
    <s v="WC, Auto, PMT, CNP, CUP, CUE"/>
    <s v="All"/>
    <s v="Back Office"/>
    <s v="L3"/>
    <n v="2"/>
    <s v="2 to 4"/>
    <s v="6 to 8"/>
    <s v="Transaction Based "/>
    <s v="USD"/>
    <n v="7.83"/>
    <n v="2"/>
    <n v="1"/>
    <n v="0.5"/>
    <n v="1"/>
    <n v="4.5"/>
    <n v="0.22222222222222221"/>
    <n v="400"/>
    <n v="400"/>
    <s v="NA"/>
    <n v="30"/>
    <s v="90 days"/>
    <n v="0.98"/>
    <s v="DPU – Defect Per Unit"/>
    <s v="NA"/>
    <s v="NA"/>
    <s v="NA"/>
    <s v="NA"/>
    <s v="NA"/>
    <s v="NA"/>
    <s v="NA"/>
    <s v="NA"/>
    <s v="NA"/>
    <s v="NA"/>
    <s v="NA"/>
    <s v="NA"/>
    <s v="Multiple"/>
    <s v="Structured"/>
    <s v="Aspire : 100%"/>
    <s v="Multiple"/>
    <s v="UT/UW"/>
    <s v="Aspire, UWS, EPC, TAP, Dashboard, DMF, RST and Mobius"/>
  </r>
  <r>
    <x v="6"/>
    <s v="Top-10 US Commercial &amp; Specialty Carrier"/>
    <s v="Canada"/>
    <s v="Noida, India"/>
    <s v="India"/>
    <s v="Arpan Pandey, Varunjesh"/>
    <n v="2"/>
    <x v="1"/>
    <x v="2"/>
    <x v="3"/>
    <s v="Endorsements intake and setup"/>
    <s v="Submission, Policy Support, Bill Payment, Booking, Premium Accounting"/>
    <s v="Submission, Policy Support, Bill Payment, Booking, Premium Accounting"/>
    <s v="Commercial"/>
    <x v="3"/>
    <s v="WC, Auto, Property, GL, Specialty"/>
    <s v="All"/>
    <s v="Back Office"/>
    <s v="L3"/>
    <n v="2"/>
    <s v="2 to 4"/>
    <s v="6 to 8"/>
    <s v="FTE Based"/>
    <s v="USD"/>
    <n v="28000"/>
    <n v="22.45"/>
    <n v="2"/>
    <n v="0"/>
    <n v="2.5499999999999998"/>
    <n v="27"/>
    <n v="9.4444444444444442E-2"/>
    <n v="4600"/>
    <n v="4600"/>
    <s v="NA"/>
    <s v="30"/>
    <s v="1 Day"/>
    <n v="0.97"/>
    <s v="Weighted DPU – Weighted Defect Per Unit"/>
    <s v="NA"/>
    <s v="NA"/>
    <s v="NA"/>
    <s v="NA"/>
    <s v="NA"/>
    <s v="NA"/>
    <s v="NA"/>
    <s v="NA"/>
    <s v="NA"/>
    <s v="NA"/>
    <s v="NA"/>
    <s v="CNA"/>
    <s v="Claim adjusters/ Claim case owner"/>
    <s v="Unstructured"/>
    <s v="NA"/>
    <s v="Multiple"/>
    <s v="UT/UW"/>
    <s v="CCIS, Efile, Senator, CCIS"/>
  </r>
  <r>
    <x v="6"/>
    <s v="Top-10 US Commercial &amp; Specialty Carrier"/>
    <s v="Canada"/>
    <s v="Noida, India"/>
    <s v="India"/>
    <s v="Arpan Pandey, Varunjesh"/>
    <n v="2"/>
    <x v="1"/>
    <x v="1"/>
    <x v="1"/>
    <s v="Claim Setup and assignment"/>
    <s v="FNOL"/>
    <s v="Renewal Prep is the task we do on account level and this processed once rollover has been completed. In this task we upddate UW checklist in RST based on our workflow"/>
    <s v="Commercial"/>
    <x v="3"/>
    <s v="WC, Auto, Property, GL, Specialty"/>
    <s v="All"/>
    <s v="Back Office"/>
    <s v="L3"/>
    <n v="2"/>
    <s v="2 to 4"/>
    <s v="6 to 8"/>
    <s v="FTE Based"/>
    <s v="USD"/>
    <n v="28000"/>
    <n v="2"/>
    <n v="1"/>
    <n v="0"/>
    <n v="1"/>
    <n v="4"/>
    <n v="0.25"/>
    <n v="300"/>
    <n v="300"/>
    <s v="NA"/>
    <s v="15"/>
    <s v="Same Day"/>
    <n v="0.97"/>
    <s v="Weighted DPU – Weighted Defect Per Unit"/>
    <s v="NA"/>
    <s v="NA"/>
    <s v="NA"/>
    <s v="NA"/>
    <s v="NA"/>
    <s v="NA"/>
    <s v="NA"/>
    <s v="NA"/>
    <s v="NA"/>
    <s v="NA"/>
    <s v="NA"/>
    <s v="CNA"/>
    <s v="Multiple"/>
    <s v="Unstructured"/>
    <s v="NA"/>
    <s v="Multiple"/>
    <s v="Claim Handlers, Adjusters"/>
    <s v="CCIS, Efile, Senator, CCIS"/>
  </r>
  <r>
    <x v="6"/>
    <s v="Top-10 US Commercial &amp; Specialty Carrier"/>
    <s v="US"/>
    <s v="Noida, India"/>
    <s v="India"/>
    <s v="Arpan Pandey, Varunjesh"/>
    <n v="1"/>
    <x v="1"/>
    <x v="2"/>
    <x v="3"/>
    <s v="Endorsements intake and setup"/>
    <s v="Hardy, Multinational, CSC"/>
    <s v="Allocation, Booking, Submission, Renewal, Filing"/>
    <s v="Specialty"/>
    <x v="3"/>
    <s v="Marine, Aviation, FS,, PS"/>
    <s v="All"/>
    <s v="Back Office"/>
    <s v="L3"/>
    <n v="2"/>
    <s v="2 to 4"/>
    <s v="6 to 8"/>
    <s v="FTE Based"/>
    <s v="GBP"/>
    <n v="21526"/>
    <n v="20"/>
    <n v="3"/>
    <n v="2"/>
    <n v="8"/>
    <n v="33"/>
    <n v="0.24242424242424243"/>
    <n v="2800"/>
    <n v="2800"/>
    <s v="NA"/>
    <s v="45"/>
    <s v="5 Day"/>
    <n v="0.98"/>
    <s v="Weighted DPU – Weighted Defect Per Unit"/>
    <s v="NA"/>
    <s v="NA"/>
    <s v="NA"/>
    <s v="NA"/>
    <s v="NA"/>
    <s v="NA"/>
    <s v="NA"/>
    <s v="NA"/>
    <s v="NA"/>
    <s v="NA"/>
    <s v="NA"/>
    <s v="CNA"/>
    <s v="Multiple"/>
    <s v="Unstructured"/>
    <s v="NA"/>
    <s v="Multiple"/>
    <s v="UT/UW"/>
    <s v="Jitbit, Senator Efile, Sharefile"/>
  </r>
  <r>
    <x v="6"/>
    <s v="Top-10 US Commercial &amp; Specialty Carrier"/>
    <s v="US"/>
    <s v="Noida, India"/>
    <s v="India"/>
    <s v="Arpan Pandey, Varunjesh"/>
    <n v="1"/>
    <x v="1"/>
    <x v="1"/>
    <x v="1"/>
    <s v="Claim Setup and assignment"/>
    <s v="FNOL, Payment"/>
    <s v="Claims Set Up and Payments"/>
    <s v="Specialty"/>
    <x v="3"/>
    <s v="Marine, Aviation, FS,, PS"/>
    <s v="All"/>
    <s v="Back Office"/>
    <s v="L3"/>
    <n v="2"/>
    <s v="2 to 4"/>
    <s v="6 to 8"/>
    <s v="FTE Based"/>
    <s v="GBP"/>
    <n v="21526"/>
    <n v="5"/>
    <n v="1"/>
    <n v="1"/>
    <n v="1"/>
    <n v="8"/>
    <n v="0.125"/>
    <n v="300"/>
    <n v="300"/>
    <s v="NA"/>
    <s v="30"/>
    <s v="1 Day"/>
    <n v="0.98"/>
    <s v="Weighted DPU – Weighted Defect Per Unit"/>
    <s v="NA"/>
    <s v="NA"/>
    <s v="NA"/>
    <s v="NA"/>
    <s v="NA"/>
    <s v="NA"/>
    <s v="NA"/>
    <s v="NA"/>
    <s v="NA"/>
    <s v="NA"/>
    <s v="NA"/>
    <s v="CNA"/>
    <s v="Multiple"/>
    <s v="Unstructured"/>
    <s v="NA"/>
    <s v="Multiple"/>
    <s v="Claim Handlers, Adjusters"/>
    <s v="Jitbit, Senator Efile, Sharefile"/>
  </r>
  <r>
    <x v="6"/>
    <s v="Top-10 US Commercial &amp; Specialty Carrier"/>
    <s v="US"/>
    <s v="Manila, PHP"/>
    <s v="Philippines"/>
    <s v="Mark Redondo"/>
    <n v="10"/>
    <x v="1"/>
    <x v="1"/>
    <x v="7"/>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s v="Commercial"/>
    <x v="5"/>
    <s v="WC"/>
    <s v="All"/>
    <s v="Blended"/>
    <s v="L1"/>
    <n v="2"/>
    <n v="3"/>
    <n v="3"/>
    <s v="Transaction Based "/>
    <s v="USD"/>
    <n v="27497.519999999997"/>
    <n v="1"/>
    <n v="0"/>
    <n v="0"/>
    <n v="0"/>
    <n v="1"/>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x v="6"/>
    <s v="Top-10 US Commercial &amp; Specialty Carrier"/>
    <s v="US"/>
    <s v="Manila, PHP"/>
    <s v="Philippines"/>
    <s v="Mark Redondo"/>
    <n v="10"/>
    <x v="1"/>
    <x v="1"/>
    <x v="7"/>
    <s v="Packet Prep, chronology summary"/>
    <s v="VP Regular, Extended, RX Summary, VP Tasks"/>
    <s v="Support Medical Case Managers (MCM) - Prepare the case before MCM handles them. Create clinical summaries and various adhoc tasks prior assigning to MCM. "/>
    <s v="Commercial"/>
    <x v="5"/>
    <s v="WC"/>
    <s v="All"/>
    <s v="Back Office"/>
    <s v="L3"/>
    <n v="2"/>
    <n v="3"/>
    <n v="5"/>
    <s v="Transaction Based "/>
    <s v="USD"/>
    <n v="31363.039999999997"/>
    <n v="3"/>
    <n v="1"/>
    <n v="1"/>
    <n v="0"/>
    <n v="5"/>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x v="6"/>
    <s v="Top-10 US Commercial &amp; Specialty Carrier"/>
    <s v="US"/>
    <s v="Manila, PHP"/>
    <s v="Philippines"/>
    <s v="Mark Redondo"/>
    <n v="10"/>
    <x v="1"/>
    <x v="1"/>
    <x v="7"/>
    <s v="Determine assignment"/>
    <s v="NCM Screener"/>
    <s v="Review the treatment/ referral request based on injury guidelines, state specific rules and assign them to onshore Nurse case manager. Determine if assignment is going to internal or external case manager."/>
    <s v="Commercial"/>
    <x v="5"/>
    <s v="WC"/>
    <s v="All"/>
    <s v="Back Office"/>
    <s v="L3"/>
    <n v="2"/>
    <n v="3"/>
    <n v="3"/>
    <s v="Transaction Based "/>
    <s v="USD"/>
    <n v="31363.039999999997"/>
    <n v="2"/>
    <n v="1"/>
    <n v="0"/>
    <n v="0"/>
    <n v="3"/>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x v="6"/>
    <s v="Top-10 US Commercial &amp; Specialty Carrier"/>
    <s v="US"/>
    <s v="Manila, PHP"/>
    <s v="Philippines"/>
    <s v="Mark Redondo"/>
    <n v="10"/>
    <x v="1"/>
    <x v="1"/>
    <x v="9"/>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s v="Commercial"/>
    <x v="5"/>
    <s v="WC"/>
    <s v="All"/>
    <s v="Back Office"/>
    <s v="L3"/>
    <n v="2"/>
    <n v="2"/>
    <n v="2"/>
    <s v="Transaction Based "/>
    <s v="USD"/>
    <n v="27497.519999999997"/>
    <n v="1"/>
    <n v="0"/>
    <n v="0"/>
    <n v="0"/>
    <n v="1"/>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x v="6"/>
    <s v="Top-10 US Commercial &amp; Specialty Carrier"/>
    <s v="US"/>
    <s v="Manila, PHP"/>
    <s v="Philippines"/>
    <s v="Mark Redondo"/>
    <n v="8"/>
    <x v="1"/>
    <x v="1"/>
    <x v="9"/>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s v="Commercial"/>
    <x v="5"/>
    <s v="WC"/>
    <s v="All"/>
    <s v="Back Office"/>
    <s v="L3"/>
    <n v="2"/>
    <n v="4"/>
    <n v="4"/>
    <s v="Transaction Based "/>
    <s v="USD"/>
    <n v="29016.720000000001"/>
    <n v="14"/>
    <n v="1"/>
    <n v="1"/>
    <n v="0"/>
    <n v="16"/>
    <n v="0"/>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x v="6"/>
    <s v="Top-10 US Commercial &amp; Specialty Carrier"/>
    <s v="US"/>
    <s v="Manila, PHP"/>
    <s v="Philippines"/>
    <s v="Mark Redondo"/>
    <n v="8"/>
    <x v="1"/>
    <x v="1"/>
    <x v="7"/>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s v="Commercial"/>
    <x v="5"/>
    <s v="WC"/>
    <s v="All"/>
    <s v="Blended"/>
    <s v="L3"/>
    <n v="2"/>
    <n v="4"/>
    <n v="2"/>
    <s v="Transaction Based "/>
    <s v="USD"/>
    <n v="37338.560000000005"/>
    <n v="2"/>
    <n v="0"/>
    <n v="0"/>
    <n v="0"/>
    <n v="2"/>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x v="6"/>
    <s v="Top-10 US Commercial &amp; Specialty Carrier"/>
    <s v="US"/>
    <s v="Manila, PHP"/>
    <s v="Philippines"/>
    <s v="Mark Redondo"/>
    <n v="8"/>
    <x v="1"/>
    <x v="2"/>
    <x v="12"/>
    <s v="Account Service and Coordination"/>
    <s v="Risk Control Review"/>
    <s v="Reviewing Closed Claims to identify the necessary data for Claim Studies."/>
    <s v="Commercial"/>
    <x v="5"/>
    <s v="WC"/>
    <s v="All"/>
    <s v="Back Office"/>
    <s v="L4"/>
    <n v="2"/>
    <n v="3"/>
    <n v="3"/>
    <s v="Transaction Based "/>
    <s v="USD"/>
    <n v="27497.519999999997"/>
    <n v="1"/>
    <n v="0"/>
    <n v="0"/>
    <n v="0"/>
    <n v="1"/>
    <n v="0"/>
    <n v="50"/>
    <n v="50"/>
    <s v="TBD"/>
    <s v="NA"/>
    <s v="N/A"/>
    <s v="N/A"/>
    <s v="Others"/>
    <s v="NA"/>
    <s v="NA"/>
    <s v="NA"/>
    <s v="NA"/>
    <s v="NA"/>
    <s v="NA"/>
    <s v="NA"/>
    <s v="NA"/>
    <s v="NA"/>
    <s v="NA"/>
    <s v="NA"/>
    <s v="NA"/>
    <s v="CNA "/>
    <s v="Semi-Structured"/>
    <s v="Semi-Structured"/>
    <s v="Instructions in Application"/>
    <s v="Risk Control Nurse, Injured workers, CN_A"/>
    <s v="Claim center, MS Access"/>
  </r>
  <r>
    <x v="6"/>
    <s v="Top-10 US Commercial &amp; Specialty Carrier"/>
    <s v="US"/>
    <s v="Manila, PHP"/>
    <s v="Philippines"/>
    <s v="Mark Redondo"/>
    <n v="7"/>
    <x v="1"/>
    <x v="2"/>
    <x v="3"/>
    <s v="Mailroom Ops and Scanning"/>
    <s v="Return Mail"/>
    <s v="Obtain correct mailing addresses for returned mails"/>
    <s v="Commercial"/>
    <x v="3"/>
    <s v="WC, Auto, PMT, CNP, CUP, CUE"/>
    <s v="All"/>
    <s v="Voice"/>
    <s v="L1"/>
    <n v="2"/>
    <n v="5"/>
    <n v="6"/>
    <s v="Transaction Based "/>
    <s v="USD"/>
    <n v="27497.519999999997"/>
    <n v="4"/>
    <n v="1"/>
    <n v="0"/>
    <n v="1"/>
    <n v="6"/>
    <n v="0.16666666666666666"/>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x v="6"/>
    <s v="Top-10 US Commercial &amp; Specialty Carrier"/>
    <s v="US"/>
    <s v="Manila, PHP"/>
    <s v="Philippines"/>
    <s v="Mark Redondo"/>
    <n v="6"/>
    <x v="1"/>
    <x v="1"/>
    <x v="9"/>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s v="Commercial"/>
    <x v="3"/>
    <s v="WC, Auto, PMT, CNP, CUP, CUE"/>
    <s v="All"/>
    <s v="Back Office"/>
    <s v="L3"/>
    <n v="2"/>
    <n v="2"/>
    <n v="2"/>
    <s v="Transaction Based "/>
    <s v="USD"/>
    <n v="1.06"/>
    <n v="3"/>
    <n v="0"/>
    <n v="1"/>
    <n v="1"/>
    <n v="5"/>
    <n v="0.2"/>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x v="6"/>
    <s v="Top-10 US Commercial &amp; Specialty Carrier"/>
    <s v="US"/>
    <s v="Manila, PHP"/>
    <s v="Philippines"/>
    <s v="Mark Redondo"/>
    <n v="8"/>
    <x v="1"/>
    <x v="1"/>
    <x v="7"/>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s v="Commercial"/>
    <x v="3"/>
    <s v="WC, Auto, PMT, CNP, CUP, CUE"/>
    <s v="All"/>
    <s v="Back Office"/>
    <s v="L3"/>
    <n v="2"/>
    <n v="1"/>
    <n v="4"/>
    <s v="Transaction Based "/>
    <s v="USD"/>
    <n v="1.06"/>
    <n v="1"/>
    <n v="0"/>
    <n v="0"/>
    <n v="0"/>
    <n v="1"/>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x v="7"/>
    <s v="Fortune 500 Global P&amp;C Carrier"/>
    <s v="Australia"/>
    <s v="Pune, India"/>
    <s v="India"/>
    <s v="Teresa Aldea"/>
    <n v="8"/>
    <x v="1"/>
    <x v="1"/>
    <x v="1"/>
    <s v="Indexing"/>
    <s v="Indexing"/>
    <s v="Documents received are indexed: either get attached to existing claim or moved to New Claims Queue to create a new claim"/>
    <s v="Commercial"/>
    <x v="1"/>
    <s v="Auto/Motor"/>
    <s v="Mid Size"/>
    <s v="Back Office"/>
    <s v="L2"/>
    <n v="1"/>
    <n v="2"/>
    <n v="4"/>
    <s v="FTE Based"/>
    <s v="AUD"/>
    <s v="AUD 31478"/>
    <n v="3"/>
    <n v="1"/>
    <n v="1"/>
    <n v="0"/>
    <n v="5"/>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x v="7"/>
    <s v="Fortune 500 Global P&amp;C Carrier"/>
    <s v="Australia"/>
    <s v="Pune, India"/>
    <s v="India"/>
    <s v="Teresa Aldea"/>
    <n v="8"/>
    <x v="1"/>
    <x v="1"/>
    <x v="1"/>
    <s v="Claim Setup and assignment"/>
    <s v="Motor Claims"/>
    <s v="New or existing claims are settled basis claims form, assessment report and repairer invoices submitted by the broker"/>
    <s v="Commercial"/>
    <x v="1"/>
    <s v="Auto/Motor"/>
    <s v="Mid Size"/>
    <s v="Back Office"/>
    <s v="L3"/>
    <n v="1"/>
    <n v="4"/>
    <n v="6"/>
    <s v="FTE Based"/>
    <s v="AUD"/>
    <s v="AUD 42534"/>
    <n v="11"/>
    <n v="1"/>
    <n v="1"/>
    <n v="5"/>
    <n v="18"/>
    <n v="0.27777777777777779"/>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x v="7"/>
    <s v="Fortune 500 Global P&amp;C Carrier"/>
    <s v="Australia"/>
    <s v="Pune, India"/>
    <s v="India"/>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x v="3"/>
    <s v="Motor and Marine"/>
    <s v="Mid Size &amp; Large"/>
    <s v="Back Office"/>
    <s v="L3"/>
    <n v="1"/>
    <n v="4"/>
    <n v="8"/>
    <s v="FTE Based"/>
    <s v="AUD"/>
    <s v="AUD 42534"/>
    <n v="12"/>
    <n v="1"/>
    <n v="1"/>
    <n v="2"/>
    <n v="16"/>
    <n v="0.125"/>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6"/>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s v="Commercial"/>
    <x v="3"/>
    <s v="Property, Construction and Engineering"/>
    <s v="Mid Size &amp; Large"/>
    <s v="Back Office"/>
    <s v="L3"/>
    <n v="1"/>
    <n v="4"/>
    <n v="8"/>
    <s v="FTE Based"/>
    <s v="AUD"/>
    <s v="AUD 42534"/>
    <n v="8"/>
    <n v="2"/>
    <n v="1"/>
    <n v="1"/>
    <n v="12"/>
    <n v="8.3333333333333329E-2"/>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x v="3"/>
    <s v="Accident &amp; Health, Financial Lines and Liability"/>
    <s v="Mid Size &amp; Large"/>
    <s v="Back Office"/>
    <s v="L3"/>
    <n v="1"/>
    <n v="4"/>
    <n v="8"/>
    <s v="FTE Based"/>
    <s v="AUD"/>
    <s v="AUD 42534"/>
    <n v="8"/>
    <n v="2"/>
    <n v="0"/>
    <n v="1"/>
    <n v="11"/>
    <n v="9.0909090909090912E-2"/>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s v="Commercial"/>
    <x v="3"/>
    <s v="IPZ"/>
    <s v="Mid Size &amp; Large"/>
    <s v="Back Office"/>
    <s v="L3"/>
    <n v="1"/>
    <n v="4"/>
    <n v="8"/>
    <s v="FTE Based"/>
    <s v="AUD"/>
    <s v="AUD 42534"/>
    <n v="4"/>
    <n v="1"/>
    <n v="0"/>
    <n v="1"/>
    <n v="6"/>
    <n v="0.16666666666666666"/>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x v="7"/>
    <s v="Fortune 500 Global P&amp;C Carrier"/>
    <s v="Australia"/>
    <s v="Pune, India"/>
    <s v="India"/>
    <s v="Teresa Aldea"/>
    <n v="8"/>
    <x v="1"/>
    <x v="2"/>
    <x v="5"/>
    <s v="New Business setup"/>
    <s v="Policy Servicing"/>
    <s v="Assisting Underwriters for processing of sendoing qutes , Bimnding of the policy ,  Endorsement, Renewal , CH, COC , LOA "/>
    <s v="Commercial"/>
    <x v="9"/>
    <s v="SME Packages"/>
    <s v="Small &amp; Mid Size"/>
    <s v="Back Office"/>
    <s v="L3"/>
    <n v="1"/>
    <n v="4"/>
    <n v="8"/>
    <s v="FTE Based"/>
    <s v="AUD"/>
    <s v="AUD 42534"/>
    <n v="10"/>
    <n v="1"/>
    <n v="1"/>
    <n v="2"/>
    <n v="14"/>
    <n v="0.14285714285714285"/>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x v="7"/>
    <s v="Fortune 500 Global P&amp;C Carrier"/>
    <s v="Australia"/>
    <s v="Pune, India"/>
    <s v="India"/>
    <s v="Teresa Aldea"/>
    <n v="8"/>
    <x v="1"/>
    <x v="2"/>
    <x v="2"/>
    <s v="Account Reconciliation"/>
    <s v="Packages Unmatched Cash"/>
    <s v="Reconcilation of unmatched Cash and tagging the cash received from broker onto the policies"/>
    <s v="Commercial"/>
    <x v="9"/>
    <s v="SME Packages"/>
    <s v="Small &amp; Mid Size"/>
    <s v="Back Office"/>
    <s v="L3"/>
    <n v="1"/>
    <n v="4"/>
    <n v="8"/>
    <s v="FTE Based"/>
    <s v="AUD"/>
    <s v="AUD 42534"/>
    <n v="4"/>
    <n v="1"/>
    <n v="0"/>
    <n v="1"/>
    <n v="6"/>
    <n v="0.16666666666666666"/>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x v="8"/>
    <s v="Large US Multi-Regional P&amp;C Carrier"/>
    <s v="US"/>
    <s v="Cape Town, South Africa"/>
    <s v="South Africa"/>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s v="Personal"/>
    <x v="3"/>
    <s v="Personal lines - Billing "/>
    <s v="Small &amp; Mid Size"/>
    <s v="Voice"/>
    <s v="L1"/>
    <n v="4"/>
    <s v="4 to 8"/>
    <n v="4"/>
    <s v="FTE Based"/>
    <s v="USD"/>
    <n v="35000"/>
    <n v="14"/>
    <n v="1"/>
    <n v="1"/>
    <n v="5"/>
    <n v="21"/>
    <n v="0.23809523809523808"/>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x v="8"/>
    <s v="Large US Multi-Regional P&amp;C Carrier"/>
    <s v="US"/>
    <s v="Cape Town, South Africa"/>
    <s v="South Africa"/>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s v="Personal"/>
    <x v="1"/>
    <s v="Auto"/>
    <s v="All"/>
    <s v="Voice"/>
    <s v="L2"/>
    <n v="3"/>
    <n v="5"/>
    <n v="8"/>
    <s v="FTE Based"/>
    <s v="USD"/>
    <n v="35000"/>
    <n v="10"/>
    <n v="1"/>
    <n v="1"/>
    <n v="5"/>
    <n v="17"/>
    <n v="0.29411764705882354"/>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x v="8"/>
    <s v="Large US Multi-Regional P&amp;C Carrier"/>
    <s v="US"/>
    <s v="Cape Town, South Africa"/>
    <s v="South Africa"/>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s v="Commercial"/>
    <x v="3"/>
    <s v="Commercial, Agency Billing"/>
    <s v="All"/>
    <s v="Voice"/>
    <s v="L2"/>
    <n v="3"/>
    <n v="5"/>
    <n v="8"/>
    <s v="FTE Based"/>
    <s v="USD"/>
    <n v="35000"/>
    <n v="18"/>
    <n v="1"/>
    <n v="1"/>
    <n v="5"/>
    <n v="25"/>
    <n v="0.2"/>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x v="9"/>
    <s v="Leading specialist (Re)insurance group of UK"/>
    <s v="UK"/>
    <s v="Pune, India"/>
    <s v="India"/>
    <s v="Deepak Pardeshi/Pranabendu Barman"/>
    <n v="2"/>
    <x v="1"/>
    <x v="2"/>
    <x v="5"/>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s v="London Market"/>
    <x v="3"/>
    <s v="Property and Casualty, Marine, Aviation and Aerospace, Credit and Political Risk, Property D&amp;F Reinsurance, Kidnap and Ransom, War Breach and Yacht"/>
    <s v="All"/>
    <s v="Back Office"/>
    <s v="L3"/>
    <n v="1"/>
    <n v="3"/>
    <n v="5"/>
    <s v="FTE Based"/>
    <s v="GBP"/>
    <s v="(FTE) : GBP 23473,(SME) : GBP 28295       (Supervisor) : GBP 37579"/>
    <n v="55.5"/>
    <n v="9"/>
    <n v="6"/>
    <n v="19.5"/>
    <n v="90"/>
    <n v="0.21666666666666667"/>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x v="10"/>
    <s v="Fortune 100 APAC P&amp;C Carrier"/>
    <s v="Australia"/>
    <s v="Pasay, PHP"/>
    <s v="Philippines"/>
    <s v="Jerome Estares"/>
    <s v="9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x v="3"/>
    <s v="• Lodgments_x000a_•  Motor &amp; Home Claims Enquiry_x000a_•  Fast Track Claims Management_x000a_•  Digital Lodgments_x000a_•  Supplier Payments"/>
    <s v="Mid Size"/>
    <s v="Voice"/>
    <s v="L2"/>
    <s v="1 week"/>
    <s v="5 weeks"/>
    <s v="2 week"/>
    <s v="FTE Based"/>
    <s v="AUD"/>
    <n v="22.64"/>
    <n v="113"/>
    <n v="11"/>
    <n v="9"/>
    <n v="11"/>
    <n v="144"/>
    <n v="7.6388888888888895E-2"/>
    <n v="14970"/>
    <s v="Home Lodgments - 892_x000a_Motor Claims - 8495_x000a_Home Claims - 5583"/>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0"/>
    <s v="Fortune 100 APAC P&amp;C Carrier"/>
    <s v="Australia"/>
    <s v="Cape Town, South Africa"/>
    <s v="South Africa"/>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x v="3"/>
    <s v="• Lodgments_x000a_•  Motor &amp; Home Claims Enquiry_x000a_•  Broker Lodgments_x000a_•  Digital Lodgments_x000a_•  Supplier Payments_x000a_•  Mailbox Management"/>
    <s v="Mid Size"/>
    <s v="Voice"/>
    <s v="L2"/>
    <s v="1 week"/>
    <s v="5 weeks"/>
    <s v="1 week"/>
    <s v="FTE Based"/>
    <s v="AUD"/>
    <s v="22.64 per hour"/>
    <n v="131"/>
    <n v="14"/>
    <n v="17"/>
    <n v="47"/>
    <n v="209"/>
    <n v="0.22488038277511962"/>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1"/>
    <s v="International speciality Insurance and Reinsurance"/>
    <s v="UK"/>
    <s v="Pune, India"/>
    <s v="India"/>
    <s v="Aghraja Bhatia, Deepak Bansal"/>
    <n v="1"/>
    <x v="1"/>
    <x v="2"/>
    <x v="5"/>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s v="London Market"/>
    <x v="3"/>
    <s v="Property and Casualty, Marine, Aviation and Aerospace, Credit and Political Risk, Property D&amp;F Reinsurance, Kidnap and Ransom, War Breach and Yatch"/>
    <s v="All"/>
    <s v="Back Office"/>
    <s v="L4"/>
    <n v="1"/>
    <n v="6"/>
    <n v="4"/>
    <s v="FTE Based"/>
    <s v="USD"/>
    <s v="$184,652.1 - Including all bands "/>
    <n v="49"/>
    <n v="14"/>
    <n v="6"/>
    <n v="4"/>
    <n v="73"/>
    <n v="5.4794520547945202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x v="11"/>
    <s v="International speciality Insurance and Reinsurance"/>
    <s v="UK"/>
    <s v="Pune, India"/>
    <s v="India"/>
    <s v="Aghraja Bhatia, Deepak Bansal"/>
    <n v="1"/>
    <x v="1"/>
    <x v="1"/>
    <x v="4"/>
    <s v="Claim Coding"/>
    <s v="Bureau and Non-Bureau Claim coding "/>
    <s v="Claim Coding "/>
    <s v="London Market"/>
    <x v="3"/>
    <s v="Property and Casualty, Marine, Aviation and Aerospace, Credit and Political Risk, Property D&amp;F Reinsurance, Kidnap and Ransom, War Breach and Yatch"/>
    <s v="All"/>
    <s v="Back Office"/>
    <s v="L4"/>
    <n v="1"/>
    <n v="6"/>
    <n v="4"/>
    <s v="FTE Based"/>
    <s v="USD"/>
    <s v="53715.10 - Including all bands "/>
    <n v="11"/>
    <n v="1"/>
    <n v="1"/>
    <n v="2"/>
    <n v="15"/>
    <n v="0.13333333333333333"/>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x v="12"/>
    <s v="Fortune 100 US P&amp;C Carrier"/>
    <s v="US"/>
    <s v="Cape Town, South Africa"/>
    <s v="South Africa"/>
    <s v="Bradley Somayi"/>
    <n v="1.5"/>
    <x v="1"/>
    <x v="1"/>
    <x v="1"/>
    <s v="First Notice of Loss Calls"/>
    <s v="FNOL"/>
    <s v="Handle FNOL calls for Auto and Property losses and setup claims on the system "/>
    <s v="Personal"/>
    <x v="4"/>
    <s v="Auto - 80-90%_x000a_Property - 10-20%"/>
    <s v="Large"/>
    <s v="Voice"/>
    <s v="L3"/>
    <n v="3"/>
    <n v="3"/>
    <n v="6"/>
    <s v="FTE Based"/>
    <s v="USD"/>
    <n v="36500"/>
    <n v="33"/>
    <n v="5"/>
    <n v="7"/>
    <n v="32"/>
    <n v="77"/>
    <n v="0.41558441558441561"/>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s v="US"/>
    <s v="Bogota, COL"/>
    <s v="Colombia"/>
    <s v="Bradley Somayi"/>
    <n v="1.5"/>
    <x v="1"/>
    <x v="1"/>
    <x v="1"/>
    <s v="First Notice of Loss Calls"/>
    <s v="FNOL"/>
    <s v="Handle FNOL calls for Auto and Property losses and setup claims on the system "/>
    <s v="Personal"/>
    <x v="4"/>
    <s v="Auto - 80-90%_x000a_Property - 10-20%"/>
    <s v="Large"/>
    <s v="Voice"/>
    <s v="L3"/>
    <n v="3"/>
    <n v="3"/>
    <n v="6"/>
    <s v="FTE Based"/>
    <s v="USD"/>
    <n v="41600"/>
    <n v="10"/>
    <n v="1"/>
    <n v="1"/>
    <n v="11"/>
    <n v="23"/>
    <n v="0.4782608695652174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s v="US"/>
    <s v="Cape Town, South Africa"/>
    <s v="South Africa"/>
    <s v="Bradley Somayi"/>
    <n v="1.5"/>
    <x v="1"/>
    <x v="3"/>
    <x v="13"/>
    <s v="General Inquiry"/>
    <s v="General Inquiry"/>
    <s v="Answers incoming billing, payment telephone calls from agents, policyholders and other parties according to procedure"/>
    <s v="Personal"/>
    <x v="4"/>
    <s v="Auto - 80-90%_x000a_Property - 10-20%"/>
    <s v="Large"/>
    <s v="Voice"/>
    <s v="L3"/>
    <n v="3"/>
    <n v="2"/>
    <n v="2"/>
    <s v="FTE Based"/>
    <s v="USD"/>
    <n v="36500"/>
    <n v="14"/>
    <n v="3"/>
    <n v="1"/>
    <n v="16"/>
    <n v="34"/>
    <n v="0.47058823529411764"/>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General Inquiry"/>
    <s v="General Inquiry"/>
    <s v="Answers incoming billing, payment telephone calls from agents, policyholders and other parties according to procedure"/>
    <s v="Personal"/>
    <x v="4"/>
    <s v="Auto - 80-90%_x000a_Property - 10-20%"/>
    <s v="Large"/>
    <s v="Voice"/>
    <s v="L3"/>
    <n v="3"/>
    <n v="2"/>
    <n v="2"/>
    <s v="FTE Based"/>
    <s v="USD"/>
    <n v="41600"/>
    <n v="2"/>
    <n v="0"/>
    <n v="1"/>
    <n v="3"/>
    <n v="6"/>
    <n v="0.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Guidewire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12"/>
    <n v="3"/>
    <n v="3"/>
    <n v="14"/>
    <n v="32"/>
    <n v="0.437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Query Resolution"/>
    <s v="Guidewire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41600"/>
    <n v="4"/>
    <n v="1"/>
    <n v="1"/>
    <n v="7"/>
    <n v="13"/>
    <n v="0.53846153846153844"/>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Tronweb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7"/>
    <n v="2"/>
    <n v="1"/>
    <n v="10"/>
    <n v="20"/>
    <n v="0.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Query Resolution"/>
    <s v="Tronweb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41600"/>
    <n v="4"/>
    <n v="1"/>
    <n v="0"/>
    <n v="6"/>
    <n v="11"/>
    <n v="0.54545454545454541"/>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V12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9"/>
    <n v="2"/>
    <n v="1"/>
    <n v="9"/>
    <n v="21"/>
    <n v="0.4285714285714285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Noida, India"/>
    <s v="India"/>
    <s v="Anurag Kumar Gupta"/>
    <n v="1"/>
    <x v="1"/>
    <x v="2"/>
    <x v="3"/>
    <s v="Indexing"/>
    <s v="Support Services"/>
    <s v="Team is responsible to index the policies and claims for UW and Return to sender"/>
    <s v="Personal"/>
    <x v="4"/>
    <s v="Auto - 80-90%_x000a_Property - 10-20%"/>
    <s v="Large"/>
    <s v="Back Office"/>
    <s v="L3"/>
    <n v="3"/>
    <n v="2"/>
    <n v="8"/>
    <s v="FTE Based"/>
    <s v="USD"/>
    <n v="36500"/>
    <n v="5"/>
    <n v="0"/>
    <n v="0.5"/>
    <n v="9"/>
    <n v="14.5"/>
    <n v="0.62068965517241381"/>
    <n v="75077"/>
    <s v="NA"/>
    <s v="November - February"/>
    <s v="1 - 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14"/>
    <s v="Prep Pricing"/>
    <s v="PL Validation"/>
    <s v="Process auto Endorsement/Cancellation/Reinstatement and policy related adjustments, Loss Runs, Inspections and quotes."/>
    <s v="Personal"/>
    <x v="4"/>
    <s v="Auto - 100%"/>
    <s v="Large"/>
    <s v="Back Office"/>
    <s v="L3"/>
    <n v="3"/>
    <n v="4"/>
    <n v="8"/>
    <s v="FTE Based"/>
    <s v="USD"/>
    <n v="36500"/>
    <n v="9"/>
    <n v="1"/>
    <n v="0.5"/>
    <n v="12"/>
    <n v="22.5"/>
    <n v="0.53333333333333333"/>
    <n v="21541"/>
    <s v="NA"/>
    <s v="November - February"/>
    <s v="3 - 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Endorsements intake and setup"/>
    <s v="PL Auto"/>
    <s v="Process endorsement on current and renewal term on Home policy"/>
    <s v="Personal"/>
    <x v="1"/>
    <s v="Auto - 100%"/>
    <s v="Large"/>
    <s v="Back Office"/>
    <s v="L3"/>
    <n v="3"/>
    <n v="4"/>
    <n v="8"/>
    <s v="FTE Based"/>
    <s v="USD"/>
    <n v="36500"/>
    <n v="10"/>
    <n v="0"/>
    <n v="1"/>
    <n v="15"/>
    <n v="26"/>
    <n v="0.57692307692307687"/>
    <n v="18860"/>
    <s v="NA"/>
    <s v="November - February"/>
    <s v="5 - 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Endorsements intake and setup"/>
    <s v="PL Property"/>
    <s v="Team review the eligibility criteria to giving the discount on premium prior to renewal basis historical trend"/>
    <s v="Personal"/>
    <x v="2"/>
    <s v="Property - 100%"/>
    <s v="Large"/>
    <s v="Back Office"/>
    <s v="L3"/>
    <n v="3"/>
    <n v="4"/>
    <n v="8"/>
    <s v="FTE Based"/>
    <s v="USD"/>
    <n v="36500"/>
    <n v="16"/>
    <n v="0"/>
    <n v="1"/>
    <n v="21"/>
    <n v="38"/>
    <n v="0.55263157894736847"/>
    <n v="5587"/>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CL Property"/>
    <s v="Commercial lines property endorsement is an optional addition to a commercial property insurance policy that provides mid-term changes to supplemental coverages and modifications to the standard policy. We also handles inspection, loss runs and quotes."/>
    <s v="Commercial"/>
    <x v="2"/>
    <s v="Property - 100%"/>
    <s v="Large"/>
    <s v="Back Office"/>
    <s v="L3"/>
    <n v="3"/>
    <n v="4"/>
    <n v="8"/>
    <s v="FTE Based"/>
    <s v="USD"/>
    <n v="36500"/>
    <n v="2"/>
    <n v="0"/>
    <n v="0.7"/>
    <n v="3"/>
    <n v="5.7"/>
    <n v="0.52631578947368418"/>
    <n v="1073"/>
    <s v="NA"/>
    <s v="November - February"/>
    <s v="10 - 1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CL Auto"/>
    <s v="Commercial lines auto endorsement is an optional addition to a commercial auto insurance policy that provides mid-term changes to supplemental coverages and modifications to the standard policy"/>
    <s v="Commercial"/>
    <x v="1"/>
    <s v="Auto - 100%"/>
    <s v="Large"/>
    <s v="Back Office"/>
    <s v="L3"/>
    <n v="3"/>
    <n v="4"/>
    <n v="8"/>
    <s v="FTE Based"/>
    <s v="USD"/>
    <n v="36500"/>
    <n v="9"/>
    <n v="0"/>
    <n v="0.3"/>
    <n v="12"/>
    <n v="21.3"/>
    <n v="0.56338028169014087"/>
    <n v="2708"/>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3"/>
    <x v="13"/>
    <s v="Quotes"/>
    <s v="Bookroll"/>
    <s v="Team is handling the quote to the agent as per the dec pages of the prior carrier of the insured"/>
    <s v="Personal"/>
    <x v="4"/>
    <s v="Auto - 80-90%_x000a_Property - 10-20%"/>
    <s v="Large"/>
    <s v="Back Office"/>
    <s v="L3"/>
    <n v="3"/>
    <n v="4"/>
    <n v="8"/>
    <s v="FTE Based"/>
    <s v="USD"/>
    <n v="36500"/>
    <n v="6"/>
    <n v="1"/>
    <n v="0.8"/>
    <n v="7"/>
    <n v="14.8"/>
    <n v="0.47297297297297297"/>
    <n v="390"/>
    <s v="NA"/>
    <s v="November - February"/>
    <s v="20 - 4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Tronweb"/>
    <s v="Team is handling the endorsement through tronweb application"/>
    <s v="Personal"/>
    <x v="4"/>
    <s v="Auto - 80-90%_x000a_Property - 10-20%"/>
    <s v="Large"/>
    <s v="Back Office"/>
    <s v="L3"/>
    <n v="3"/>
    <n v="4"/>
    <n v="8"/>
    <s v="FTE Based"/>
    <s v="USD"/>
    <n v="36500"/>
    <n v="2"/>
    <n v="0"/>
    <n v="0.2"/>
    <n v="4"/>
    <n v="6.2"/>
    <n v="0.64516129032258063"/>
    <n v="437"/>
    <s v="NA"/>
    <s v="November - February"/>
    <s v="13 - 1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V12"/>
    <s v="Team manages Insurance Premiums, Endorsement, Cancellation, Waive Fees, Reinstatement and policy related adjustments on legacy"/>
    <s v="Personal"/>
    <x v="4"/>
    <s v="Auto - 80-90%_x000a_Property - 10-20%"/>
    <s v="Large"/>
    <s v="Back Office"/>
    <s v="L3"/>
    <n v="3"/>
    <n v="4"/>
    <n v="8"/>
    <s v="FTE Based"/>
    <s v="USD"/>
    <n v="36500"/>
    <n v="9"/>
    <n v="0"/>
    <n v="0.5"/>
    <n v="11"/>
    <n v="20.5"/>
    <n v="0.53658536585365857"/>
    <n v="6352"/>
    <s v="NA"/>
    <s v="November - February"/>
    <s v="9 - 1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Premium Billing and Collections"/>
    <s v="Premium Accounting"/>
    <s v="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
    <s v="Personal"/>
    <x v="4"/>
    <s v="Auto - 80-90%_x000a_Property - 10-20%"/>
    <s v="Large"/>
    <s v="Back Office"/>
    <s v="L3"/>
    <n v="3"/>
    <n v="4"/>
    <n v="8"/>
    <s v="FTE Based"/>
    <s v="USD"/>
    <n v="36500"/>
    <n v="9"/>
    <n v="0"/>
    <n v="0.5"/>
    <n v="11"/>
    <n v="20.5"/>
    <n v="0.53658536585365857"/>
    <n v="9692"/>
    <s v="NA"/>
    <s v="November - February"/>
    <s v="7 - 8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
    <s v="Fortune 500 &amp; Large US Insurance carrier"/>
    <s v="US"/>
    <s v="Noida, India"/>
    <s v="India"/>
    <s v="Saurabh Sharma "/>
    <s v="9 months "/>
    <x v="1"/>
    <x v="1"/>
    <x v="8"/>
    <s v="Initiate Recovery Collection &amp; processing"/>
    <s v="Collision Recovery Specialist - Issuing Demand/Deductible"/>
    <s v="In this activity we issue demans to recover our insured vehicle repaired cost from adverse carrier and also issue deductible for both insured and third parties"/>
    <s v="Personal"/>
    <x v="1"/>
    <s v="Auto"/>
    <s v="All"/>
    <s v="Back Office"/>
    <s v="L2"/>
    <n v="2"/>
    <n v="1"/>
    <n v="8"/>
    <s v="FTE Based"/>
    <s v="USD"/>
    <s v="$26,838"/>
    <n v="4"/>
    <n v="0.5"/>
    <n v="0.25"/>
    <n v="2"/>
    <n v="6.75"/>
    <n v="0.29629629629629628"/>
    <n v="3695"/>
    <s v="NA"/>
    <s v="NA"/>
    <n v="1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E-Subro hub, Agero, Copart, CCS,CCC, Collect One "/>
  </r>
  <r>
    <x v="1"/>
    <s v="Fortune 500 &amp; Large US Insurance carrier"/>
    <s v="US"/>
    <s v="Noida, India"/>
    <s v="India"/>
    <s v="Saurabh Sharma "/>
    <s v="9 months "/>
    <x v="1"/>
    <x v="1"/>
    <x v="8"/>
    <s v="Initiate Recovery Collection &amp; processing"/>
    <s v="First Party Medical - Issuing Demand"/>
    <s v="In FPM, we issue demands to the adverse carriers for all the medical expenses we have incurred while treating our insured's injuries. We attached proofs and medical expenses and send the demands through mail, email or fax. We also send letters to attorneys and  law firms  if required"/>
    <s v="Personal"/>
    <x v="1"/>
    <s v="Auto"/>
    <s v="All"/>
    <s v="Back Office"/>
    <s v="L2"/>
    <n v="2"/>
    <n v="1"/>
    <n v="8"/>
    <s v="FTE Based"/>
    <s v="USD"/>
    <s v="$26,838"/>
    <n v="1.1100000000000001"/>
    <n v="0.5"/>
    <n v="0.25"/>
    <n v="2"/>
    <n v="3.8600000000000003"/>
    <n v="0.51813471502590669"/>
    <n v="591.66666666666663"/>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8"/>
    <s v="Initiate Recovery Collection &amp; processing"/>
    <s v="Property Damage Specialist - Issuing Check"/>
    <s v="In this activity, we issue checks to the other parties for property damages via checks only after confirming all the details of the payee are correct and matches with the activity"/>
    <s v="Personal"/>
    <x v="1"/>
    <s v="Auto"/>
    <s v="All"/>
    <s v="Back Office"/>
    <s v="L2"/>
    <n v="2"/>
    <n v="1"/>
    <n v="8"/>
    <s v="FTE Based"/>
    <s v="USD"/>
    <s v="$26,838"/>
    <n v="0.68"/>
    <n v="0.5"/>
    <n v="0.25"/>
    <n v="2"/>
    <n v="3.43"/>
    <n v="0.58309037900874627"/>
    <n v="1648.3333333333333"/>
    <s v="NA"/>
    <s v="NA"/>
    <n v="4.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8"/>
    <s v="Initiate Recovery Collection &amp; processing"/>
    <s v="Vendor - Manual List Review &amp; Issuing Deductible"/>
    <s v="In vendor, we check if we have recovered enough money which is higher than the insured's deductible. If we have recovered more than the insured's deductible amount, we go ahead and issue the deductible of the insured after making sure the insured is yet to recieve the deductible "/>
    <s v="Personal"/>
    <x v="1"/>
    <s v="Auto"/>
    <s v="All"/>
    <s v="Back Office"/>
    <s v="L2"/>
    <n v="2"/>
    <n v="1"/>
    <n v="8"/>
    <s v="FTE Based"/>
    <s v="USD"/>
    <s v="$26,838"/>
    <n v="0.21"/>
    <n v="0.5"/>
    <n v="0.25"/>
    <n v="2"/>
    <n v="2.96"/>
    <n v="0.67567567567567566"/>
    <n v="347.33333333333331"/>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Upload Litigations Documents"/>
    <s v="Receive an email in outlook from adjuster wherein we have to  check the subject line with claim number and upload the documents on claim center and then activity assign to the adjuster."/>
    <s v="Personal"/>
    <x v="3"/>
    <s v="GL"/>
    <s v="All"/>
    <s v="Back Office"/>
    <s v="L3"/>
    <n v="2"/>
    <n v="2"/>
    <n v="14"/>
    <s v="FTE Based"/>
    <s v="USD"/>
    <s v="$30600"/>
    <n v="0.39"/>
    <n v="0.18181818181818182"/>
    <n v="9.0909090909090912E-2"/>
    <n v="0.5"/>
    <n v="1.1627272727272726"/>
    <n v="0.43002345582486323"/>
    <n v="619"/>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Outlook and CMS"/>
  </r>
  <r>
    <x v="1"/>
    <s v="Fortune 500 &amp; Large US Insurance carrier"/>
    <s v="US"/>
    <s v="Noida, India"/>
    <s v="India"/>
    <s v="Saurabh Sharma "/>
    <s v="9 months "/>
    <x v="1"/>
    <x v="1"/>
    <x v="4"/>
    <s v="Gathering relevant reports"/>
    <s v="Medicare Welcome Packet"/>
    <s v="Receive an activity in claim center with letter number - (99801/101188) in which, we have to generate the letter to attorney or Injured party via mail or email."/>
    <s v="Personal"/>
    <x v="3"/>
    <s v="GL"/>
    <s v="All"/>
    <s v="Back Office"/>
    <s v="L3"/>
    <n v="2"/>
    <n v="2"/>
    <n v="14"/>
    <s v="FTE Based"/>
    <s v="USD"/>
    <s v="$30600"/>
    <n v="0.28000000000000003"/>
    <n v="0.18181818181818182"/>
    <n v="9.0909090909090912E-2"/>
    <n v="0.5"/>
    <n v="1.0527272727272727"/>
    <n v="0.47495682210708118"/>
    <n v="368.33333333333331"/>
    <s v="NA"/>
    <s v="NA"/>
    <n v="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Initiating Medicare case reporting"/>
    <s v="We find the beneficiary on government portal i.e CMS WEBSITE in which we put the details of beneficiary such as: DOB, LAST NAME, DOL, SSN number and add the Diagnosis Code (ICD CODE) and create Case ID. After that we assign the activity to the adjuster."/>
    <s v="Personal"/>
    <x v="3"/>
    <s v="GL"/>
    <s v="All"/>
    <s v="Back Office"/>
    <s v="L3"/>
    <n v="2"/>
    <n v="2"/>
    <n v="14"/>
    <s v="FTE Based"/>
    <s v="USD"/>
    <s v="$30600"/>
    <n v="0.23"/>
    <n v="0.18181818181818182"/>
    <n v="9.0909090909090912E-2"/>
    <n v="0.5"/>
    <n v="1.0027272727272729"/>
    <n v="0.49864007252946502"/>
    <n v="330.66666666666669"/>
    <s v="NA"/>
    <s v="NA"/>
    <n v="2.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MAP/PDP"/>
    <s v="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
    <s v="Personal"/>
    <x v="3"/>
    <s v="GL"/>
    <s v="All"/>
    <s v="Back Office"/>
    <s v="L3"/>
    <n v="2"/>
    <n v="2"/>
    <n v="14"/>
    <s v="FTE Based"/>
    <s v="USD"/>
    <s v="$30600"/>
    <n v="5.82"/>
    <n v="0.18181818181818182"/>
    <n v="9.0909090909090912E-2"/>
    <n v="5"/>
    <n v="11.092727272727274"/>
    <n v="0.45074577938042942"/>
    <n v="1639.3333333333333"/>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Release Follow-Up"/>
    <s v="In this activity, we share the email with the claimant to complete the signing process per the instructions on the document"/>
    <s v="Personal"/>
    <x v="3"/>
    <s v="GL"/>
    <s v="All"/>
    <s v="Back Office"/>
    <s v="L3"/>
    <n v="2"/>
    <n v="2"/>
    <n v="14"/>
    <s v="FTE Based"/>
    <s v="USD"/>
    <s v="$30600"/>
    <n v="0.01"/>
    <n v="0.18181818181818182"/>
    <n v="9.0909090909090912E-2"/>
    <n v="1"/>
    <n v="1.2827272727272727"/>
    <n v="0.77958894401133949"/>
    <n v="8.6666666666666661"/>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NY Checks"/>
    <s v="Docs are provided in the claim, according to which we issue the checks to provider and attorney."/>
    <s v="Personal"/>
    <x v="3"/>
    <s v="GL"/>
    <s v="All"/>
    <s v="Back Office"/>
    <s v="L3"/>
    <n v="2"/>
    <n v="2"/>
    <n v="14"/>
    <s v="FTE Based"/>
    <s v="USD"/>
    <s v="$30600"/>
    <n v="1.03"/>
    <n v="0.18181818181818182"/>
    <n v="9.0909090909090912E-2"/>
    <n v="1"/>
    <n v="2.3027272727272727"/>
    <n v="0.43426766679826295"/>
    <n v="521.33333333333337"/>
    <s v="NA"/>
    <s v="NA"/>
    <n v="11.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Expert Issue Payment"/>
    <s v="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
    <s v="Personal"/>
    <x v="3"/>
    <s v="GL"/>
    <s v="All"/>
    <s v="Back Office"/>
    <s v="L3"/>
    <n v="2"/>
    <n v="2"/>
    <n v="14"/>
    <s v="FTE Based"/>
    <s v="USD"/>
    <s v="$30600"/>
    <n v="0.34"/>
    <n v="0.18181818181818182"/>
    <n v="9.0909090909090912E-2"/>
    <n v="0.5"/>
    <n v="1.1127272727272728"/>
    <n v="0.44934640522875813"/>
    <n v="242.33333333333334"/>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FPM Packages"/>
    <s v="In this activity, letter is created via using related template, in which injured party's Medpay limit is mentioned. Thereafter it is send via Esign/Mail/Email."/>
    <s v="Personal"/>
    <x v="3"/>
    <s v="GL"/>
    <s v="All"/>
    <s v="Back Office"/>
    <s v="L3"/>
    <n v="2"/>
    <n v="2"/>
    <n v="14"/>
    <s v="FTE Based"/>
    <s v="USD"/>
    <s v="$30600"/>
    <n v="0.9"/>
    <n v="0.18181818181818182"/>
    <n v="9.0909090909090912E-2"/>
    <n v="1"/>
    <n v="2.1727272727272728"/>
    <n v="0.46025104602510458"/>
    <n v="1135"/>
    <s v="NA"/>
    <s v="NA"/>
    <n v="2"/>
    <s v="1 business day "/>
    <s v="Compliance% - 98.50%, Handling% -  95%"/>
    <s v="Weighted DPO – Weighted Defect Per Opportunity"/>
    <s v="NA"/>
    <s v="NA"/>
    <s v="Manual Data retrieval  and reporting "/>
    <s v="NA"/>
    <s v="NA"/>
    <s v="NA"/>
    <s v="NA"/>
    <s v="NA"/>
    <s v=")"/>
    <s v="NA"/>
    <s v="NA"/>
    <s v="Client's claims department / adjusters"/>
    <s v="Multiple"/>
    <s v="Structured"/>
    <s v="NA"/>
    <s v="Multiple"/>
    <m/>
    <m/>
  </r>
  <r>
    <x v="1"/>
    <s v="Fortune 500 &amp; Large US Insurance carrier"/>
    <s v="US"/>
    <s v="Noida, India"/>
    <s v="India"/>
    <s v="Saurabh Sharma "/>
    <s v="9 months "/>
    <x v="1"/>
    <x v="1"/>
    <x v="4"/>
    <s v="Gathering relevant reports"/>
    <s v="NILC"/>
    <s v="In this activity, we update the profiles of the adjusters by adding Personal Standard Auto/English"/>
    <s v="Personal"/>
    <x v="3"/>
    <s v="GL"/>
    <s v="All"/>
    <s v="Back Office"/>
    <s v="L3"/>
    <n v="2"/>
    <n v="2"/>
    <n v="14"/>
    <s v="FTE Based"/>
    <s v="USD"/>
    <s v="$30600"/>
    <n v="2"/>
    <n v="0.18181818181818182"/>
    <n v="9.0909090909090912E-2"/>
    <n v="2"/>
    <n v="4.2727272727272725"/>
    <n v="0.46808510638297873"/>
    <n v="719.33333333333337"/>
    <s v="NA"/>
    <s v="NA"/>
    <s v="60-90 seconds/profile update "/>
    <s v="1 hour"/>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Captiva Claims Indexing – Physical Paper/Faxes"/>
    <s v="When a document is received in captiva application we check for alignment, then review the document and upload to the releavant policy and claims as necessary. In case of invalid documents exception is mentioned on the cases as invalid documents and assignment is closed"/>
    <s v="Specialty"/>
    <x v="7"/>
    <s v="ES&amp;S"/>
    <s v="All"/>
    <s v="Back Office"/>
    <s v="L3"/>
    <n v="2"/>
    <n v="9"/>
    <n v="7"/>
    <s v="FTE Based"/>
    <s v="USD"/>
    <s v="$25476"/>
    <n v="0.24"/>
    <n v="0.5"/>
    <n v="0.25"/>
    <n v="1"/>
    <n v="1.99"/>
    <n v="0.50251256281407031"/>
    <n v="662"/>
    <s v="NA"/>
    <s v="NA"/>
    <n v="1.88"/>
    <s v="1 business day "/>
    <s v="Handling% - 95%"/>
    <s v="DPU – Defect Per Unit"/>
    <s v="NA"/>
    <s v="NA"/>
    <s v="Manual Data retrieval  and reporting "/>
    <s v="NA"/>
    <s v="NA"/>
    <s v="NA"/>
    <s v="NA"/>
    <s v="NA"/>
    <s v="NA"/>
    <s v="NA"/>
    <s v="NA"/>
    <s v="Client's claims department / adjusters"/>
    <s v="Multiple"/>
    <s v="Semi-Structured"/>
    <s v="NA"/>
    <s v="Multiple"/>
    <m/>
    <s v="Guidewire_x000a_WP Macro_x000a_ODEI_x000a_Inbox_x000a_Omniview_x000a_Compex_x000a_LSI"/>
  </r>
  <r>
    <x v="1"/>
    <s v="Fortune 500 &amp; Large US Insurance carrier"/>
    <s v="US"/>
    <s v="Noida, India"/>
    <s v="India"/>
    <s v="Saurabh Sharma "/>
    <s v="9 months "/>
    <x v="1"/>
    <x v="1"/>
    <x v="4"/>
    <s v="Gathering relevant reports"/>
    <s v="Medical Records (Compex, LSI, MCS)"/>
    <s v=" In this activity we review all 3 inboxes for medical records and upload documents to the relevant claim, review and remove all blank pages and align docs in right direction and then ingested to the appropriate claim file in OmniView Claims workflow."/>
    <s v="Specialty"/>
    <x v="7"/>
    <s v="ES&amp;S"/>
    <s v="All"/>
    <s v="Back Office"/>
    <s v="L3"/>
    <n v="2"/>
    <n v="9"/>
    <n v="7"/>
    <s v="FTE Based"/>
    <s v="USD"/>
    <s v="$25476"/>
    <n v="0"/>
    <n v="0"/>
    <n v="0"/>
    <n v="0"/>
    <n v="0"/>
    <e v="#DIV/0!"/>
    <n v="0"/>
    <s v="NA"/>
    <s v="NA"/>
    <n v="2.6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ODEI ingestion of claims correspondence (Claims Inboxes) - Reports/Legal/Property"/>
    <s v="Emails are ingested into Omniview by selecting an Outlook &quot;button&quot; called ODEI that will send to Omniview for ingestion into the claim file correspondence after verifying notes &amp; Instructions on the email"/>
    <s v="Specialty"/>
    <x v="7"/>
    <s v="ES&amp;S"/>
    <s v="All"/>
    <s v="Back Office"/>
    <s v="L3"/>
    <n v="2"/>
    <n v="9"/>
    <n v="7"/>
    <s v="FTE Based"/>
    <s v="USD"/>
    <s v="$25476"/>
    <n v="7.85"/>
    <n v="0.5"/>
    <n v="0.25"/>
    <n v="1"/>
    <n v="9.6"/>
    <n v="0.10416666666666667"/>
    <n v="26202.333333333332"/>
    <s v="NA"/>
    <s v="NA"/>
    <n v="0.67"/>
    <s v="3 hours"/>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Restitution Letters"/>
    <s v="In Claim center,when activity is received we check for restitution instructions, loss description.Create restitution letter using template and then format it with stationery requirement. Then send the letter and ingest in Omniview"/>
    <s v="Specialty"/>
    <x v="7"/>
    <s v="ES&amp;S"/>
    <s v="All"/>
    <s v="Back Office"/>
    <s v="L3"/>
    <n v="2"/>
    <n v="9"/>
    <n v="7"/>
    <s v="FTE Based"/>
    <s v="USD"/>
    <s v="$25476"/>
    <n v="0"/>
    <n v="0"/>
    <n v="0"/>
    <n v="0"/>
    <n v="0"/>
    <e v="#DIV/0!"/>
    <n v="0"/>
    <s v="NA"/>
    <s v="NA"/>
    <n v="6.4"/>
    <s v="3 days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ESS Claims File Copy Requests (Copy Center)"/>
    <s v="Open letter and check for Police report and Indeminity amount, Then create letter as per police report and indeminity with address mentioned.Send the leter and ingest in Omniview"/>
    <s v="Specialty"/>
    <x v="7"/>
    <s v="ES&amp;S"/>
    <s v="All"/>
    <s v="Back Office"/>
    <s v="L3"/>
    <n v="2"/>
    <n v="9"/>
    <n v="7"/>
    <s v="FTE Based"/>
    <s v="USD"/>
    <s v="$25476"/>
    <n v="0.33"/>
    <n v="0.5"/>
    <n v="0.25"/>
    <n v="1"/>
    <n v="2.08"/>
    <n v="0.48076923076923073"/>
    <n v="295.66666666666669"/>
    <s v="NA"/>
    <s v="NA"/>
    <n v="3"/>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ESS Claims Word Processing Letters (Claims Handling Letters)"/>
    <s v="Create letters as per the instructions and required templates. Send the letter via email and cc claim processors.Same to be uploaded on releavent claims through Omniview"/>
    <s v="Specialty"/>
    <x v="7"/>
    <s v="ES&amp;S"/>
    <s v="All"/>
    <s v="Back Office"/>
    <s v="L3"/>
    <n v="2"/>
    <n v="9"/>
    <n v="7"/>
    <s v="FTE Based"/>
    <s v="USD"/>
    <s v="$25476"/>
    <n v="5.15"/>
    <n v="0.5"/>
    <n v="0.25"/>
    <n v="1"/>
    <n v="6.9"/>
    <n v="0.14492753623188406"/>
    <n v="1852.6666666666667"/>
    <s v="NA"/>
    <s v="NA"/>
    <n v="9"/>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Medical Records &amp; Bills"/>
    <s v="We have to obtain the authorization from Claim Center, in COMPEX click on - Order and then Start new order and update the required fields (DOL, SSN/DOB, Claim#) and update the Providers address and upload the Auth form in Compex. We will receive the report on NW Outlook"/>
    <s v="Specialty"/>
    <x v="7"/>
    <s v="ESS​​"/>
    <s v="All"/>
    <s v="Back Office"/>
    <s v="L3"/>
    <n v="2"/>
    <n v="3"/>
    <n v="4"/>
    <s v="FTE Based"/>
    <s v="USD"/>
    <s v="$33084"/>
    <n v="2"/>
    <n v="0.2"/>
    <n v="0.1"/>
    <n v="0.4"/>
    <n v="2.7"/>
    <n v="0.14814814814814814"/>
    <n v="13.8"/>
    <s v="NA"/>
    <s v="NA"/>
    <n v="5"/>
    <s v="1 business day "/>
    <s v="Handling% - 95%"/>
    <s v="DPU – Defect Per Unit"/>
    <s v="NA"/>
    <s v="NA"/>
    <s v="Manual Data retrieval  and reporting "/>
    <s v="NA"/>
    <s v="NA"/>
    <s v="NA"/>
    <s v="NA"/>
    <s v="NA"/>
    <s v="NA"/>
    <s v="NA"/>
    <s v="NA"/>
    <s v="Client's claims department / adjusters"/>
    <s v="Multiple"/>
    <s v="Semi-Structured"/>
    <s v="NA"/>
    <s v="Multiple"/>
    <m/>
    <s v="Outlook, Claims centre, KA Pages, Carfax, Compex, Core Logic, Ethos, CAB, Accurint, Mitchell, ISO claims, Jury verdict, Metropolitian,ISG"/>
  </r>
  <r>
    <x v="1"/>
    <s v="Fortune 500 &amp; Large US Insurance carrier"/>
    <s v="US"/>
    <s v="Noida, India"/>
    <s v="India"/>
    <s v="Saurabh Sharma "/>
    <s v="9 months "/>
    <x v="1"/>
    <x v="1"/>
    <x v="4"/>
    <s v="Evidence gathering"/>
    <s v="Mitchell Referral &amp; Report"/>
    <s v="We have to obtain the medical records/bills from Claim Center/Omniview, Login to Mitchell._x000a_Update the required fields (Claim#, DOL). On the next page upload the medical records and bills &amp; select the package asked by the adjuster."/>
    <s v="Specialty"/>
    <x v="7"/>
    <s v="ESS &amp; CL​​"/>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Fire Report/Police Report"/>
    <s v="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
    <s v="Specialty"/>
    <x v="7"/>
    <s v="ESS &amp; CL​​"/>
    <s v="All"/>
    <s v="Back Office"/>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Weather report"/>
    <s v="After receiving the activity in Claim Center. Login to Core logic. Select Wind/Hail and update the required fields (DOL, Claim#, Loss loc). Select submit and add to cart then place the order for weather report."/>
    <s v="Specialty"/>
    <x v="7"/>
    <s v="ESS &amp; CL​​"/>
    <s v="All"/>
    <s v="Back Office"/>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Accurint/ISO/Jury Verdict  Research"/>
    <s v="In this activity We search for Carrier,VIN,Vehicle Registration &amp; Handling procedures,Ower search and other details through accurint application and raise the request for the required information as a report which is received through NW outlook_x000a_In ISOreaserch  we search for all prior losses associated with VIN and persons mentioned on the request.Same is optained as a PDF and the documet is uploaded to claim_x000a_ center_x000a_In Jury Verdict Rteaserch  we search for jury verdict information with the injuries and other accident related information."/>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ISG /Ethos (Surveillance/social media/Medical Canvass)"/>
    <s v="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Onboarding /System Access Requests"/>
    <s v="This is the process where we are creating request for access for NW new joiners and also the existing employees any request for application , New laptop issue &amp; any other system access requests_x000a_ "/>
    <s v="Specialty"/>
    <x v="7"/>
    <s v="ESS &amp; CL​​"/>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Carfax"/>
    <s v="This activity is processed through Claim Center. Login to CARFAX.  We Update the required fields (Claim#, VIN, DOL).  And look for details related to Vehicles involved in the accident .We can order Vehicle history report, Vehicle title report and total loss report."/>
    <s v="Specialty"/>
    <x v="7"/>
    <s v="ESS​​"/>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Central Analysis Bureau"/>
    <s v="This activity is processed through Claim Center. Login to CAB. Select carrier central. Update the company name, driver name, party involved (Loss state) and click on search"/>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Distribute Claim Development Reports (CDRs)"/>
    <s v="1.  This is a report prepared when reserves reach a specified threshold, or a claim meets specific criteria. Criteria varies based on the line of business_x000a_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_x000a__x000a_"/>
    <s v="Specialty"/>
    <x v="7"/>
    <s v="ESS &amp; CL​​"/>
    <s v="All"/>
    <s v="Back Office"/>
    <s v="L3"/>
    <n v="2"/>
    <n v="3"/>
    <n v="4"/>
    <s v="FTE Based"/>
    <s v="USD"/>
    <s v="$33084"/>
    <n v="2"/>
    <n v="0.2"/>
    <n v="0.1"/>
    <n v="0.4"/>
    <n v="2.7"/>
    <n v="0.14814814814814814"/>
    <n v="13.8"/>
    <s v="NA"/>
    <s v="NA"/>
    <n v="25"/>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xternal Distribution"/>
    <s v="ACS-Repair Monitoring"/>
    <s v="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
    <s v="Personal"/>
    <x v="2"/>
    <s v="Property"/>
    <s v="All"/>
    <s v="Back Office"/>
    <s v="L3"/>
    <n v="2"/>
    <n v="4"/>
    <n v="4"/>
    <s v="FTE Based"/>
    <s v="USD"/>
    <s v="$26442"/>
    <n v="5.3"/>
    <n v="0.4"/>
    <n v="0.2"/>
    <n v="1"/>
    <n v="6.9"/>
    <n v="0.14492753623188406"/>
    <n v="5323.25"/>
    <s v="NA"/>
    <s v="NA"/>
    <n v="10"/>
    <s v="NA"/>
    <s v="Compliance% - 98.50%, Handling% -  95%"/>
    <s v="Weighted DPO – Weighted Defect Per Opportunity"/>
    <s v="NA"/>
    <s v="NA"/>
    <s v="Manual Data retrieval  and reporting "/>
    <s v="NA"/>
    <s v="NA"/>
    <s v="NA"/>
    <s v="NA"/>
    <s v="NA"/>
    <s v="NA"/>
    <s v="NA"/>
    <s v="NA"/>
    <s v="Client's claims department / adjusters"/>
    <s v="Multiple"/>
    <s v="Unstructured"/>
    <s v="NA"/>
    <s v="Multiple"/>
    <m/>
    <s v="Claims centre, KA pages, Xact Analysis, Xactimate, Seek now, Mica, CRS, My ALE, Outlook"/>
  </r>
  <r>
    <x v="1"/>
    <s v="Fortune 500 &amp; Large US Insurance carrier"/>
    <s v="US"/>
    <s v="Noida, India"/>
    <s v="India"/>
    <s v="Saurabh Sharma "/>
    <s v="9 months "/>
    <x v="1"/>
    <x v="1"/>
    <x v="9"/>
    <s v="Non Medical Bill Review &amp; Approval"/>
    <s v="ACS-ALE Processing"/>
    <s v="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
    <s v="Personal"/>
    <x v="2"/>
    <s v="Property"/>
    <s v="All"/>
    <s v="Back Office"/>
    <s v="L3"/>
    <n v="2"/>
    <n v="4"/>
    <n v="4"/>
    <s v="FTE Based"/>
    <s v="USD"/>
    <s v="$26442"/>
    <n v="5.2"/>
    <n v="0.4"/>
    <n v="0.2"/>
    <n v="1"/>
    <n v="6.8000000000000007"/>
    <n v="0.14705882352941174"/>
    <n v="1771.4166666666667"/>
    <s v="NA"/>
    <s v="NA"/>
    <n v="5"/>
    <s v="5 days "/>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s v="US"/>
    <s v="Noida, India"/>
    <s v="India"/>
    <s v="Saurabh Sharma "/>
    <s v="9 months "/>
    <x v="1"/>
    <x v="1"/>
    <x v="9"/>
    <s v="Bill Payment (Medical Legal, Non Medical, Vendor)"/>
    <s v="ACS-Match Receipts "/>
    <s v="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
    <s v="Personal"/>
    <x v="2"/>
    <s v="Property"/>
    <s v="All"/>
    <s v="Back Office"/>
    <s v="L3"/>
    <n v="2"/>
    <n v="4"/>
    <n v="4"/>
    <s v="FTE Based"/>
    <s v="USD"/>
    <s v="$26442"/>
    <n v="2.25"/>
    <n v="0.4"/>
    <n v="0.2"/>
    <n v="1"/>
    <n v="3.85"/>
    <n v="0.25974025974025972"/>
    <n v="20.25"/>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s v="US"/>
    <s v="Noida, India"/>
    <s v="India"/>
    <s v="Saurabh Sharma "/>
    <s v="9 months "/>
    <x v="1"/>
    <x v="1"/>
    <x v="4"/>
    <s v="Evidence gathering"/>
    <s v="ACS-Match Receipts"/>
    <s v="ACS-Match Receipts - Building structure"/>
    <s v="Personal"/>
    <x v="2"/>
    <s v="Property"/>
    <s v="All"/>
    <s v="Back Office"/>
    <s v="L3"/>
    <n v="2"/>
    <n v="4"/>
    <n v="4"/>
    <s v="FTE Based"/>
    <s v="USD"/>
    <s v="$26442"/>
    <n v="0.38"/>
    <n v="0.4"/>
    <n v="0.2"/>
    <n v="1"/>
    <n v="1.98"/>
    <n v="0.50505050505050508"/>
    <n v="11.583333333333334"/>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s v="US"/>
    <s v="Noida, India"/>
    <s v="India"/>
    <s v="Saurabh Sharma "/>
    <s v="9 months "/>
    <x v="1"/>
    <x v="1"/>
    <x v="7"/>
    <s v="Case Management of File "/>
    <s v="ACS-REM"/>
    <s v="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
    <s v="Personal"/>
    <x v="2"/>
    <s v="Property"/>
    <s v="All"/>
    <s v="Back Office"/>
    <s v="L3"/>
    <n v="2"/>
    <n v="4"/>
    <n v="4"/>
    <s v="FTE Based"/>
    <s v="USD"/>
    <s v="$26442"/>
    <n v="1.87"/>
    <n v="0.4"/>
    <n v="0.2"/>
    <n v="1"/>
    <n v="3.47"/>
    <n v="0.28818443804034583"/>
    <n v="1529.1666666666667"/>
    <s v="NA"/>
    <s v="NA"/>
    <n v="3"/>
    <s v="4 hours"/>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s v="US"/>
    <s v="Noida, India"/>
    <s v="India"/>
    <s v="Saurabh Sharma "/>
    <s v="2 months "/>
    <x v="1"/>
    <x v="1"/>
    <x v="9"/>
    <s v="Legal Document Review"/>
    <s v="Dispatch"/>
    <s v="Dispatching suits and arbs to the associates received in shared mailbox"/>
    <s v="Personal"/>
    <x v="3"/>
    <s v="Multi/ Combination"/>
    <s v="All"/>
    <s v="Back Office"/>
    <s v="L3"/>
    <n v="2"/>
    <n v="4"/>
    <n v="4"/>
    <s v="FTE Based"/>
    <s v="USD"/>
    <s v="$30600"/>
    <n v="2"/>
    <n v="0.33"/>
    <n v="0.33"/>
    <n v="3"/>
    <n v="5.66"/>
    <n v="0.53003533568904593"/>
    <s v="Not defined"/>
    <s v="Not defined"/>
    <s v="Not defined"/>
    <s v="Not defined"/>
    <s v="Same business day_x000a_(Cut off 3:30 PM EST)"/>
    <s v="-"/>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s v="US"/>
    <s v="Noida, India"/>
    <s v="India"/>
    <s v="Saurabh Sharma "/>
    <s v="2 months "/>
    <x v="1"/>
    <x v="1"/>
    <x v="9"/>
    <s v="Legal Document Review"/>
    <s v="Input"/>
    <s v="Intake of new suits and arbitrations from process servers and opening new legal matters in Claim Center with state-specific field requirements and standards"/>
    <s v="Personal"/>
    <x v="3"/>
    <s v="Multi/ Combination"/>
    <s v="All"/>
    <s v="Back Office"/>
    <s v="L3"/>
    <n v="2"/>
    <n v="4"/>
    <n v="4"/>
    <s v="FTE Based"/>
    <s v="USD"/>
    <s v="$30600"/>
    <n v="2"/>
    <n v="0.33"/>
    <n v="0.33"/>
    <n v="3"/>
    <n v="5.66"/>
    <n v="0.53003533568904593"/>
    <s v="1412 (Input and Prep)"/>
    <s v="1412 (Input and Prep)"/>
    <s v="Not defined"/>
    <n v="6"/>
    <s v="24 hours"/>
    <s v="Compliance% - (Input) - 98%_x000a_Handling% - (Input)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s v="US"/>
    <s v="Noida, India"/>
    <s v="India"/>
    <s v="Saurabh Sharma "/>
    <s v="2 months "/>
    <x v="1"/>
    <x v="1"/>
    <x v="9"/>
    <s v="Legal Document Review"/>
    <s v="Prep"/>
    <s v="Reviewing suit and arbitration papers and preparing defense documents"/>
    <s v="Personal"/>
    <x v="3"/>
    <s v="Multi/ Combination"/>
    <s v="All"/>
    <s v="Back Office"/>
    <s v="L3"/>
    <n v="2"/>
    <n v="4"/>
    <n v="4"/>
    <s v="FTE Based"/>
    <s v="USD"/>
    <s v="$30600"/>
    <n v="2"/>
    <n v="0.33"/>
    <n v="0.33"/>
    <n v="3"/>
    <n v="5.66"/>
    <n v="0.53003533568904593"/>
    <s v="1412 (Input and Prep)"/>
    <s v="1412 (Input and Prep)"/>
    <s v="Not defined"/>
    <n v="35"/>
    <s v="48 hours"/>
    <s v="Compliance% - (Prep) - 98%_x000a_Handling% - (Prep)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3"/>
    <s v="Fortune 100 US P&amp;C Carrier"/>
    <s v="US"/>
    <s v="Manila, PHP"/>
    <s v="Philippines"/>
    <s v="Mark Pabon"/>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316"/>
    <n v="58"/>
    <n v="23"/>
    <n v="9"/>
    <n v="20"/>
    <n v="110"/>
    <n v="0.18181818181818182"/>
    <n v="43186.857142857145"/>
    <n v="23385.31650449522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Cebu, PHP"/>
    <s v="Philippines"/>
    <s v="Mark Pabon"/>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316"/>
    <n v="50"/>
    <n v="19"/>
    <n v="7"/>
    <n v="0"/>
    <n v="76"/>
    <n v="0"/>
    <n v="43186.857142857145"/>
    <n v="19801.54063836191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Cape Town, South Africa"/>
    <s v="South Africa"/>
    <s v="Rhoda Singh"/>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700"/>
    <n v="36"/>
    <n v="19"/>
    <n v="3"/>
    <n v="16"/>
    <n v="74"/>
    <n v="0.21621621621621623"/>
    <n v="37336.285714285717"/>
    <n v="15238.412021872995"/>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George, South Africa"/>
    <s v="South Africa"/>
    <s v="Rhoda Singh"/>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700"/>
    <n v="53"/>
    <n v="16"/>
    <n v="7"/>
    <n v="13"/>
    <n v="89"/>
    <n v="0.14606741573033707"/>
    <n v="37336.285714285717"/>
    <n v="22097.873692412719"/>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5"/>
    <s v="Large US Multi-line Specialty Carrier"/>
    <s v="US"/>
    <s v="Noida, India"/>
    <s v="India"/>
    <s v="Ramesh Kumar, Devashish Dhingra"/>
    <n v="5"/>
    <x v="1"/>
    <x v="4"/>
    <x v="15"/>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Commercial"/>
    <x v="3"/>
    <s v="Auto, WC, CUP, Package Lines"/>
    <s v="Large"/>
    <s v="Back Office"/>
    <s v="L4"/>
    <n v="2"/>
    <n v="4"/>
    <n v="4"/>
    <s v="FTE Based"/>
    <s v="USD"/>
    <s v="Analysts - $41955.36/ annum  Supervisor - $47994.6/ annum"/>
    <n v="5"/>
    <s v="NA"/>
    <n v="1"/>
    <n v="3"/>
    <n v="9"/>
    <n v="0.33333333333333331"/>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x v="5"/>
    <s v="Large US Multi-line Specialty Carrier"/>
    <s v="US"/>
    <s v="Pune, India"/>
    <s v="India"/>
    <s v="Ruchika,, Yusuf Bhavnagarwala"/>
    <n v="6"/>
    <x v="2"/>
    <x v="1"/>
    <x v="4"/>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s v="Personal"/>
    <x v="2"/>
    <s v="NA"/>
    <s v="All"/>
    <s v="Back Office"/>
    <s v="L2"/>
    <n v="2"/>
    <n v="6"/>
    <n v="6"/>
    <s v="FTE Based"/>
    <s v="USD"/>
    <n v="21057.798279999995"/>
    <n v="14"/>
    <n v="0"/>
    <n v="1"/>
    <n v="2"/>
    <n v="17"/>
    <n v="0.11764705882352941"/>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x v="7"/>
    <s v="Fortune 500 Global P&amp;C Carrier"/>
    <s v="Australia"/>
    <s v="Alabang, PHP"/>
    <s v="Philippines"/>
    <s v="Teresa Aldea"/>
    <n v="1"/>
    <x v="1"/>
    <x v="1"/>
    <x v="8"/>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s v="Commercial"/>
    <x v="1"/>
    <s v="Auto/Motor"/>
    <s v="Small &amp; Mid Size"/>
    <s v="Back Office"/>
    <s v="L4"/>
    <n v="1"/>
    <n v="4"/>
    <n v="4"/>
    <s v="FTE Based"/>
    <s v="AUD"/>
    <n v="47983"/>
    <n v="7"/>
    <n v="2"/>
    <n v="1"/>
    <n v="2"/>
    <n v="12"/>
    <n v="0.16666666666666666"/>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x v="7"/>
    <s v="Fortune 500 Global P&amp;C Carrier"/>
    <s v="Australia"/>
    <s v="Pasay, PHP"/>
    <s v="Philippines"/>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s v="Commercial"/>
    <x v="1"/>
    <s v="Auto/Motor"/>
    <s v="Mid Size &amp; Large"/>
    <s v="Voice"/>
    <s v="L3"/>
    <n v="1"/>
    <n v="1"/>
    <n v="2"/>
    <s v="FTE Based"/>
    <s v="AUD"/>
    <n v="46500"/>
    <n v="15"/>
    <n v="1"/>
    <n v="2"/>
    <n v="4"/>
    <n v="22"/>
    <n v="0.18181818181818182"/>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x v="14"/>
    <s v="Top-3 UK P&amp;C Carrier"/>
    <s v="UK"/>
    <s v="Noida, India"/>
    <s v="India"/>
    <s v="Gauri Jain Sharma"/>
    <n v="9"/>
    <x v="1"/>
    <x v="3"/>
    <x v="13"/>
    <s v="Webchat - Query resolution, General Inquiry"/>
    <s v="Webchat"/>
    <s v="Motor Policy new business support, servicing, cancellation, renewal  and upselling of breakdown cover"/>
    <s v="Personal"/>
    <x v="10"/>
    <s v="Motor"/>
    <s v="Large"/>
    <s v="Voice"/>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s v="UK"/>
    <s v="Pune, India"/>
    <s v="India"/>
    <s v="Gauri Jain Sharma"/>
    <n v="9"/>
    <x v="1"/>
    <x v="3"/>
    <x v="13"/>
    <s v="Webchat - Query resolution, General Inquiry"/>
    <s v="Webchat"/>
    <s v="Motor Policy new business support, servicing, cancellation, renewal  and upselling of breakdown cover"/>
    <s v="Personal"/>
    <x v="10"/>
    <s v="Motor"/>
    <s v="Large"/>
    <s v="Voice"/>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s v="UK"/>
    <s v="Noida, India"/>
    <s v="India"/>
    <s v="Gauri Jain Sharma"/>
    <n v="14"/>
    <x v="1"/>
    <x v="3"/>
    <x v="13"/>
    <s v="MTA Processing"/>
    <s v="Business Support"/>
    <s v="Indexing, Midterm amendments,issuing COC,Chase of documents and outstanding premium, Renewal,Cancellation and Correspondance "/>
    <s v="Personal"/>
    <x v="3"/>
    <s v="Motor, Home, Pet, Travel and Premium Collections"/>
    <s v="Large"/>
    <s v="Back Office"/>
    <s v="L3"/>
    <n v="1"/>
    <n v="4"/>
    <n v="8"/>
    <s v="FTE Based"/>
    <s v="GBP"/>
    <n v="19728.674435945301"/>
    <n v="51"/>
    <n v="0"/>
    <n v="4"/>
    <n v="3"/>
    <n v="58"/>
    <n v="5.1724137931034482E-2"/>
    <n v="55891"/>
    <s v="Home, Pet and Travel - 10,000_x000a_Motor - 30,000_x000a_Collection - 8,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s v="UK"/>
    <s v="Pune, India"/>
    <s v="India"/>
    <s v="Gauri Jain Sharma"/>
    <n v="12"/>
    <x v="1"/>
    <x v="3"/>
    <x v="13"/>
    <s v="MTA Processing"/>
    <s v="Business Support"/>
    <s v="Indexing, Midterm amendments,issuing COC,Chase of documents and outstanding premium, Renewal,Cancellation and Correspondance "/>
    <s v="Personal"/>
    <x v="3"/>
    <s v="Motor, Home, Pet, Travel and Premium Collections"/>
    <s v="Large"/>
    <s v="Back Office"/>
    <s v="L3"/>
    <n v="1"/>
    <n v="4"/>
    <n v="8"/>
    <s v="FTE Based"/>
    <s v="GBP"/>
    <n v="19728.674435945301"/>
    <n v="22"/>
    <n v="0"/>
    <n v="1"/>
    <n v="4"/>
    <n v="27"/>
    <n v="0.14814814814814814"/>
    <n v="24110"/>
    <s v="Home, Pet and Travel - 10,000_x000a_Motor - 15,000_x000a_Collection - 7,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s v="UK"/>
    <s v="Noida, India"/>
    <s v="India"/>
    <s v="Gauri Jain Sharma"/>
    <n v="12"/>
    <x v="1"/>
    <x v="3"/>
    <x v="13"/>
    <s v="General Inquiry"/>
    <s v="Customer Assurance"/>
    <s v="Conducting risk assessments for Business Support, Webchat &amp; Telephony"/>
    <s v="Personal"/>
    <x v="3"/>
    <s v="Motor, Home, Pet, Travel ,Premium Collections &amp; Webchat"/>
    <s v="Large"/>
    <s v="Blended"/>
    <s v="L3"/>
    <n v="1"/>
    <n v="5"/>
    <n v="8"/>
    <s v="FTE Based"/>
    <s v="GBP"/>
    <n v="26331.005396191202"/>
    <n v="9"/>
    <n v="0"/>
    <n v="1"/>
    <n v="3"/>
    <n v="13"/>
    <n v="0.23076923076923078"/>
    <n v="6000"/>
    <s v="N/A"/>
    <s v="NA"/>
    <s v="AHT ranging from 2 minutes to 30 minutes"/>
    <s v="Weekly and Monthly"/>
    <n v="0.95"/>
    <s v="Others"/>
    <s v="Challenges"/>
    <s v="TAT"/>
    <s v="NA"/>
    <s v="NA"/>
    <s v="NA"/>
    <s v="N/A"/>
    <s v="N/A"/>
    <s v="NA"/>
    <s v="NA"/>
    <s v="NA"/>
    <s v="Now 100% of the calls are being audited by machines Vs a sample that was done by human_x000a_Implementation of Genesys to replace Salesforce"/>
    <s v="Onshore"/>
    <s v="Multiple"/>
    <s v="Structured"/>
    <s v="Genesys -48%                                 Sheet-52%"/>
    <s v="Multiple"/>
    <s v="Operations Team"/>
    <s v="AVD Based Applications_x000a_MS Office_x000a_Chrome_x000a_AVAYA_x000a_Khronos"/>
  </r>
  <r>
    <x v="14"/>
    <s v="Top-3 UK P&amp;C Carrier"/>
    <s v="UK"/>
    <s v="Pune, India"/>
    <s v="India"/>
    <s v="Meeta Sarkar"/>
    <n v="8"/>
    <x v="1"/>
    <x v="1"/>
    <x v="9"/>
    <s v="Bill Payment (Medical Legal, Non Medical, Vendor)"/>
    <s v="Commercial Claims"/>
    <s v="Claim progression towards closure, Payments to PH/TP/Sols, update to PH via brokers, Recovery from TPI"/>
    <s v="Commercial"/>
    <x v="11"/>
    <s v="Motor, Property &amp; Liability"/>
    <s v="Large"/>
    <s v="Blended"/>
    <s v="L2 &amp; L3"/>
    <n v="3"/>
    <n v="4"/>
    <n v="12"/>
    <s v="FTE Based"/>
    <s v="GBP"/>
    <s v="£26300 £21300"/>
    <n v="24"/>
    <n v="5"/>
    <n v="2"/>
    <n v="1"/>
    <n v="32"/>
    <n v="3.1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x v="14"/>
    <s v="Top-3 UK P&amp;C Carrier"/>
    <s v="UK"/>
    <s v="Noida, India"/>
    <s v="India"/>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x v="1"/>
    <s v="Motor"/>
    <s v="Large"/>
    <s v="Blended"/>
    <s v="L2"/>
    <n v="1"/>
    <n v="4"/>
    <n v="8"/>
    <s v="FTE Based"/>
    <s v="GBP"/>
    <n v="20190"/>
    <n v="45"/>
    <n v="8"/>
    <n v="5"/>
    <n v="8"/>
    <n v="66"/>
    <n v="0.12121212121212122"/>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s v="UK"/>
    <s v="Pune, India"/>
    <s v="India"/>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x v="1"/>
    <s v="Motor"/>
    <s v="Large"/>
    <s v="Blended"/>
    <s v="L2"/>
    <n v="1"/>
    <n v="4"/>
    <n v="8"/>
    <s v="FTE Based"/>
    <s v="GBP"/>
    <n v="20190"/>
    <n v="35"/>
    <n v="8"/>
    <n v="5"/>
    <n v="8"/>
    <n v="56"/>
    <n v="0.14285714285714285"/>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s v="UK"/>
    <s v="Noida, India"/>
    <s v="India"/>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x v="1"/>
    <s v="Auto"/>
    <s v="Large"/>
    <s v="Voice"/>
    <s v="L3"/>
    <n v="2"/>
    <n v="4"/>
    <n v="8"/>
    <s v="FTE Based"/>
    <s v="GBP"/>
    <n v="26300"/>
    <n v="89"/>
    <n v="30"/>
    <n v="23"/>
    <n v="20"/>
    <n v="162"/>
    <n v="0.12345679012345678"/>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s v="UK"/>
    <s v="Pune, India"/>
    <s v="India"/>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x v="1"/>
    <s v="Auto"/>
    <s v="Large"/>
    <s v="Voice"/>
    <s v="L3"/>
    <n v="2"/>
    <n v="4"/>
    <n v="8"/>
    <s v="FTE Based"/>
    <s v="GBP"/>
    <n v="26300"/>
    <n v="88"/>
    <n v="30"/>
    <n v="23"/>
    <n v="20"/>
    <n v="161"/>
    <n v="0.12422360248447205"/>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s v="UK"/>
    <s v="Noida, India"/>
    <s v="India"/>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x v="1"/>
    <s v="Auto"/>
    <s v="Large"/>
    <s v="Back Office"/>
    <s v="L1 &amp; L2"/>
    <n v="2"/>
    <n v="1"/>
    <n v="4"/>
    <s v="FTE Based"/>
    <s v="GBP"/>
    <s v="£13,100/ £14,300"/>
    <n v="13"/>
    <n v="3"/>
    <n v="2"/>
    <n v="2"/>
    <n v="20"/>
    <n v="0.1"/>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s v="UK"/>
    <s v="Noida, India"/>
    <s v="India"/>
    <s v="Meeta Sarkar"/>
    <n v="12.2"/>
    <x v="1"/>
    <x v="1"/>
    <x v="9"/>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s v="Personal"/>
    <x v="2"/>
    <s v="Property"/>
    <s v="Mid Size"/>
    <s v="Blended"/>
    <s v="L2"/>
    <n v="1"/>
    <n v="3"/>
    <n v="8"/>
    <s v="FTE Based"/>
    <s v="USD/GBP"/>
    <s v="Home VO -  £19700_x000a_Home BO - £13,400"/>
    <n v="5"/>
    <n v="0.5"/>
    <n v="0.5"/>
    <n v="2"/>
    <n v="8"/>
    <n v="0.25"/>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x v="14"/>
    <s v="Top-3 UK P&amp;C Carrier"/>
    <s v="UK"/>
    <s v="Noida, India"/>
    <s v="India"/>
    <s v="Meeta Sarkar"/>
    <n v="11"/>
    <x v="1"/>
    <x v="1"/>
    <x v="8"/>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s v="Personal"/>
    <x v="2"/>
    <s v="Property"/>
    <s v="Mid Size"/>
    <s v="Blended"/>
    <s v="L2"/>
    <n v="1"/>
    <n v="2"/>
    <n v="8"/>
    <s v="FTE Based"/>
    <s v="GBP"/>
    <n v="19700"/>
    <n v="5"/>
    <n v="0.5"/>
    <n v="0.5"/>
    <n v="2"/>
    <n v="8"/>
    <n v="0.25"/>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x v="14"/>
    <s v="Top-3 UK P&amp;C Carrier"/>
    <s v="UK"/>
    <s v="Noida, India"/>
    <s v="India"/>
    <s v="Meeta Sarkar"/>
    <n v="12.3"/>
    <x v="1"/>
    <x v="1"/>
    <x v="9"/>
    <s v="Bill Payment (Medical Legal, Non Medical, Vendor)"/>
    <s v="Invoicing VO and Invoicing BO"/>
    <s v="The process involves making payments to motor suppliers and repairers once the invoice is received. Each invoice needs to be reviewed as per the process map."/>
    <s v="Personal"/>
    <x v="1"/>
    <s v="Auto"/>
    <s v="Large"/>
    <s v="Blended"/>
    <s v="L2"/>
    <n v="1"/>
    <n v="1.6"/>
    <n v="4"/>
    <s v="FTE Based"/>
    <s v="GBP"/>
    <s v="Invoicing VO - £19700_x000a_Invoicing BO - £13900"/>
    <n v="42"/>
    <n v="2.5"/>
    <n v="2.5"/>
    <n v="4"/>
    <n v="51"/>
    <n v="7.8431372549019607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x v="14"/>
    <s v="Top-3 UK P&amp;C Carrier"/>
    <s v="UK"/>
    <s v="Noida, India"/>
    <s v="India"/>
    <s v="Meeta Sarkar"/>
    <n v="14"/>
    <x v="1"/>
    <x v="1"/>
    <x v="9"/>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s v="Personal"/>
    <x v="1"/>
    <s v="Auto"/>
    <s v="Large"/>
    <s v="Back Office"/>
    <s v="L2"/>
    <n v="1"/>
    <n v="1"/>
    <n v="4"/>
    <s v="FTE Based"/>
    <s v="GBP"/>
    <s v=" £13900"/>
    <n v="3"/>
    <n v="0.5"/>
    <n v="0.5"/>
    <n v="1"/>
    <n v="5"/>
    <n v="0.2"/>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x v="14"/>
    <s v="Top-3 UK P&amp;C Carrier"/>
    <s v="UK"/>
    <s v="Pune, India"/>
    <s v="India"/>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x v="1"/>
    <s v="Auto"/>
    <s v="Large"/>
    <s v="Back Office"/>
    <s v="L1 &amp; L2"/>
    <n v="2"/>
    <n v="1"/>
    <n v="4"/>
    <s v="FTE Based"/>
    <s v="GBP"/>
    <s v="£13,100/ £14,300"/>
    <n v="14"/>
    <n v="3"/>
    <n v="2"/>
    <n v="2"/>
    <n v="21"/>
    <n v="9.5238095238095233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s v="UK"/>
    <s v="Noida, India"/>
    <s v="India"/>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x v="1"/>
    <s v="Auto"/>
    <s v="Large"/>
    <s v="Blended"/>
    <s v="L3"/>
    <n v="2"/>
    <n v="3"/>
    <n v="8"/>
    <s v="FTE Based"/>
    <s v="GBP"/>
    <n v="21300"/>
    <n v="8"/>
    <n v="3"/>
    <n v="3"/>
    <n v="3"/>
    <n v="17"/>
    <n v="0.17647058823529413"/>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4"/>
    <s v="Top-3 UK P&amp;C Carrier"/>
    <s v="UK"/>
    <s v="Pune, India"/>
    <s v="India"/>
    <s v="Meeta Sarkar"/>
    <n v="1.7"/>
    <x v="1"/>
    <x v="1"/>
    <x v="4"/>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s v="Personal"/>
    <x v="1"/>
    <s v="Auto"/>
    <s v="Large"/>
    <s v="Blended"/>
    <s v="L3"/>
    <n v="2"/>
    <n v="3"/>
    <n v="8"/>
    <s v="FTE Based"/>
    <s v="GBP"/>
    <n v="21300"/>
    <n v="10"/>
    <n v="1"/>
    <n v="1"/>
    <n v="1"/>
    <n v="13"/>
    <n v="7.6923076923076927E-2"/>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x v="14"/>
    <s v="Top-3 UK P&amp;C Carrier"/>
    <s v="UK"/>
    <s v="Pune, India"/>
    <s v="India"/>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x v="12"/>
    <s v="Landlord, VAN,  Trades Person, Bread and Breakfast , Hair and Beauty,Motor,Property,Churchill , VW,Shop,Hotel,SME,"/>
    <s v="Large"/>
    <s v="Back Office"/>
    <s v="L2 to L3"/>
    <n v="4"/>
    <n v="10"/>
    <n v="13"/>
    <s v="FTE Based"/>
    <s v="GBP"/>
    <n v="20122.969076575031"/>
    <n v="34"/>
    <m/>
    <n v="2"/>
    <n v="3"/>
    <n v="39"/>
    <n v="7.6923076923076927E-2"/>
    <n v="65000"/>
    <s v="Finance-60,000,Business Support- 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s v="UK"/>
    <s v="Noida, India"/>
    <s v="India"/>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x v="12"/>
    <s v="Landlord, VAN,  Trades Person, Bread and Breakfast , Hair and Beauty,Motor,Property,Churchill , VW,Shop,Hotel,SME,"/>
    <s v="Large"/>
    <s v="Back Office"/>
    <s v="L2 to L3"/>
    <n v="4"/>
    <n v="10"/>
    <n v="13"/>
    <s v="FTE Based"/>
    <s v="GBP"/>
    <n v="20122.969076575031"/>
    <n v="14"/>
    <m/>
    <n v="1"/>
    <n v="1"/>
    <n v="16"/>
    <n v="6.25E-2"/>
    <n v="25000"/>
    <s v="Finance-10,000,Business Support- 1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s v="UK"/>
    <s v="Pune, India"/>
    <s v="India"/>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s v="Commercial"/>
    <x v="3"/>
    <s v="Landlord, VAN,  Trades Person, Bread and Breakfast , Hair and Beauty,Motor,Property,Churchill , VW,Shop,Hotel,SME,"/>
    <s v="Large"/>
    <s v="Voice"/>
    <s v="L3"/>
    <n v="4"/>
    <n v="10"/>
    <n v="13"/>
    <s v="FTE Based"/>
    <s v="GBP"/>
    <n v="26331.00539619122"/>
    <n v="6"/>
    <n v="0"/>
    <n v="1"/>
    <n v="3"/>
    <n v="10"/>
    <n v="0.3"/>
    <n v="640"/>
    <s v="BCTU-150, Telephony- 50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x v="14"/>
    <s v="Top-3 UK P&amp;C Carrier"/>
    <s v="UK"/>
    <s v="Pune, India"/>
    <s v="India"/>
    <s v="Gauri Jain Sharma"/>
    <s v="1.5 months"/>
    <x v="1"/>
    <x v="2"/>
    <x v="5"/>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s v="Commercial"/>
    <x v="12"/>
    <s v="Landlord, Tradesman,Shops"/>
    <s v="Large"/>
    <s v="Back Office"/>
    <s v="L4"/>
    <n v="4"/>
    <n v="9"/>
    <n v="12"/>
    <s v="FTE Based"/>
    <s v="GBP"/>
    <n v="22734.691262692486"/>
    <n v="1"/>
    <n v="0"/>
    <n v="0"/>
    <n v="1"/>
    <n v="2"/>
    <n v="0.5"/>
    <n v="800"/>
    <n v="800"/>
    <s v="Jan, Feb,Mar"/>
    <s v="30 Min"/>
    <s v="24 hours"/>
    <s v="N/A"/>
    <s v="Others"/>
    <s v="N/A"/>
    <s v="N/A"/>
    <s v="System issues"/>
    <s v="N/A"/>
    <s v="N/A"/>
    <s v="N/A"/>
    <s v="N/A"/>
    <s v="NA"/>
    <s v="NA"/>
    <s v="NA"/>
    <s v="NA"/>
    <s v="NA"/>
    <s v="Emails"/>
    <s v="Structured"/>
    <n v="1"/>
    <s v="Emails, Vlog"/>
    <s v="Brokers"/>
    <s v="MS Outlook, Chrome,MS offoce, Experian,Claim Centre, Geo Sphere"/>
  </r>
  <r>
    <x v="14"/>
    <s v="Top-3 UK P&amp;C Carrier"/>
    <s v="UK"/>
    <s v="Cape Town, South Africa"/>
    <s v="South Africa"/>
    <s v="Meeta Sarkar/ Pierre De Villiers"/>
    <n v="9"/>
    <x v="1"/>
    <x v="1"/>
    <x v="1"/>
    <s v="Claim Setup and assignment"/>
    <s v="FNOL"/>
    <s v="Capturing the details of the claim, processing of all details on the system"/>
    <s v="Personal"/>
    <x v="12"/>
    <s v="Motor Insurance"/>
    <s v="Large"/>
    <s v="Voice"/>
    <s v="L2"/>
    <n v="1"/>
    <n v="5"/>
    <n v="12"/>
    <s v="FTE Based"/>
    <s v="GBP"/>
    <s v="27580 GBP (16 GBP per hour per FTE)"/>
    <n v="65"/>
    <n v="9"/>
    <n v="10"/>
    <n v="20"/>
    <n v="104"/>
    <n v="0.1923076923076923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x v="14"/>
    <s v="Top-3 UK P&amp;C Carrier"/>
    <s v="UK"/>
    <s v="Cape Town, South Africa"/>
    <s v="South Africa"/>
    <s v="Pierre De Villiers / Sodiqa Karlie"/>
    <n v="10"/>
    <x v="1"/>
    <x v="3"/>
    <x v="16"/>
    <s v="General Inquiry"/>
    <s v="Sales &amp; Service"/>
    <s v="Sales and Servicing all customers and supporting with general information's and any mid-term changes to their policy. Also support on the renewal and retentions of customers"/>
    <s v="Personal"/>
    <x v="12"/>
    <s v="Motor Insurance"/>
    <s v="Large"/>
    <s v="Voice"/>
    <s v="L2"/>
    <n v="1"/>
    <n v="6"/>
    <n v="12"/>
    <s v="FTE Based"/>
    <s v="GBP"/>
    <s v="27250 GBP (16 GBP per hour per FTE)"/>
    <n v="250"/>
    <n v="22"/>
    <n v="30"/>
    <n v="30"/>
    <n v="332"/>
    <n v="9.036144578313253E-2"/>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x v="14"/>
    <s v="Top-3 UK P&amp;C Carrier"/>
    <s v="UK"/>
    <s v="Pune, India"/>
    <s v="India"/>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x v="1"/>
    <s v="Auto"/>
    <s v="Large"/>
    <s v="Blended"/>
    <s v="L3"/>
    <n v="2"/>
    <n v="3"/>
    <n v="8"/>
    <s v="FTE Based"/>
    <s v="GBP"/>
    <n v="21300"/>
    <n v="12"/>
    <n v="3"/>
    <n v="3"/>
    <n v="3"/>
    <n v="21"/>
    <n v="0.14285714285714285"/>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5"/>
    <s v="Leading Global Insurer and Reinsurer"/>
    <s v="US"/>
    <s v="Cape Town, South Africa"/>
    <s v="South Africa"/>
    <s v="Faeekah Cornelius"/>
    <n v="4"/>
    <x v="1"/>
    <x v="1"/>
    <x v="1"/>
    <s v="Claim Setup and assignment"/>
    <s v="FNOL"/>
    <s v="New claim set up or existing claim inquiry search"/>
    <s v="Commercial"/>
    <x v="3"/>
    <s v="Auto, WC, Property, GL, Excess Casualty"/>
    <s v="All"/>
    <s v="Voice"/>
    <s v="L1"/>
    <n v="4"/>
    <n v="2"/>
    <n v="8"/>
    <s v="FTE Based"/>
    <s v="USD"/>
    <n v="37648.21"/>
    <n v="8"/>
    <n v="1"/>
    <n v="1"/>
    <n v="4"/>
    <n v="14"/>
    <n v="0.2857142857142857"/>
    <n v="400"/>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x v="15"/>
    <s v="Leading Global Insurer and Reinsurer"/>
    <s v="US"/>
    <s v="Noida, India"/>
    <s v="India"/>
    <s v="Bir"/>
    <n v="5"/>
    <x v="1"/>
    <x v="2"/>
    <x v="3"/>
    <s v="Endorsements intake and setup"/>
    <s v="Draft and Final Endorsement"/>
    <s v="Perform rating, issue endorsement, update Agent, insured &amp; home office copy for the change processed_x000a_"/>
    <s v="Commercial"/>
    <x v="3"/>
    <s v="Auto, WC, Umbrella, GL, IM, Property, Energy, Wholesale"/>
    <s v="All"/>
    <s v="Back Office"/>
    <s v="L3"/>
    <n v="2"/>
    <s v="2 to 4"/>
    <s v="8 to 10"/>
    <s v="FTE Based"/>
    <s v="USD"/>
    <n v="29608"/>
    <n v="18"/>
    <n v="1"/>
    <n v="1"/>
    <n v="2"/>
    <n v="22"/>
    <n v="9.0909090909090912E-2"/>
    <n v="1755"/>
    <s v="NA"/>
    <n v="0"/>
    <n v="30"/>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5"/>
    <s v="Validate and Update Policy info (Limits, Exposure State, Exposure, FEIN, Address, Name Insured, Employers Liability etc.)"/>
    <s v="Specimen Forms"/>
    <s v="Budling of Forms "/>
    <s v="Commercial"/>
    <x v="3"/>
    <s v="Auto, WC, Umbrella, GL, IM, Property, Energy, Wholesale"/>
    <s v="All"/>
    <s v="Back Office"/>
    <s v="L3"/>
    <n v="2"/>
    <s v="2 to 4"/>
    <s v="8 to 10"/>
    <s v="FTE Based"/>
    <s v="USD"/>
    <n v="29608"/>
    <n v="1"/>
    <n v="0"/>
    <n v="0"/>
    <n v="1"/>
    <n v="2"/>
    <n v="0.5"/>
    <n v="15"/>
    <s v="NA"/>
    <s v="NA"/>
    <n v="60"/>
    <s v="2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2"/>
    <s v="Unpaid items and written premiums"/>
    <s v="Payment Dues Reminder"/>
    <s v="Sending reminder when payments are due"/>
    <s v="Commercial"/>
    <x v="3"/>
    <s v="Auto, WC, Umbrella, GL, IM, Property, Energy, Wholesale"/>
    <s v="All"/>
    <s v="Back Office"/>
    <s v="L3"/>
    <n v="2"/>
    <s v="2 to 4"/>
    <s v="8 to 10"/>
    <s v="FTE Based"/>
    <s v="USD"/>
    <n v="29608"/>
    <n v="2"/>
    <n v="0"/>
    <n v="0"/>
    <n v="0"/>
    <n v="2"/>
    <n v="0"/>
    <n v="400"/>
    <s v="NA"/>
    <s v="NA"/>
    <n v="15"/>
    <s v="8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3"/>
    <s v="Non Renewals/Renewal notice"/>
    <s v="Conditional Renewal Notices"/>
    <s v="Review the conditions for policy to be renewed"/>
    <s v="Commercial"/>
    <x v="3"/>
    <s v="Auto, WC, Umbrella, GL, IM, Property, Energy, Wholesale"/>
    <s v="All"/>
    <s v="Back Office"/>
    <s v="L3"/>
    <n v="2"/>
    <s v="2 to 4"/>
    <s v="8 to 10"/>
    <s v="FTE Based"/>
    <s v="USD"/>
    <n v="29608"/>
    <n v="3"/>
    <n v="0"/>
    <n v="0"/>
    <n v="1"/>
    <n v="4"/>
    <n v="0.25"/>
    <n v="550"/>
    <s v="NA"/>
    <s v="NA"/>
    <n v="20"/>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3"/>
    <s v="Cancellation notice"/>
    <s v="Notices of Cancellation/ Notices of Reinstatement"/>
    <s v="Create the notice of cancellation due to non-payment of premium_x000a_Create the reinstatement notice after Insured pays the premium"/>
    <s v="Commercial"/>
    <x v="3"/>
    <s v="Auto, WC, Umbrella, GL, IM, Property, Energy, Wholesale"/>
    <s v="All"/>
    <s v="Back Office"/>
    <s v="L3"/>
    <n v="2"/>
    <s v="2 to 4"/>
    <s v="8 to 10"/>
    <s v="FTE Based"/>
    <s v="USD"/>
    <n v="29608"/>
    <n v="1"/>
    <n v="0"/>
    <n v="0"/>
    <n v="0"/>
    <n v="1"/>
    <n v="0"/>
    <n v="40"/>
    <s v="NA"/>
    <s v="NA"/>
    <n v="15"/>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5"/>
    <s v="Renewal Prep"/>
    <s v="Bind"/>
    <s v="Review the specific booking/binding instructions in RBI sheet and launch the rating workbook to complete the transmittal to send the booking information to Policy Management_x000a__x000a_"/>
    <s v="Commercial"/>
    <x v="3"/>
    <s v="Auto, WC, Umbrella, GL, IM, Property, Energy, Wholesale"/>
    <s v="All"/>
    <s v="Back Office"/>
    <s v="L3"/>
    <n v="2"/>
    <s v="2 to 4"/>
    <s v="8 to 10"/>
    <s v="FTE Based"/>
    <s v="USD"/>
    <n v="29608"/>
    <n v="7"/>
    <n v="1"/>
    <n v="1"/>
    <n v="0"/>
    <n v="9"/>
    <n v="0"/>
    <n v="412"/>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6"/>
    <s v="Renewal Issuance"/>
    <s v="Draft and Final Issuance"/>
    <s v="Verify/update policy information &amp; Issuing information per Acord App_x000a_"/>
    <s v="Commercial"/>
    <x v="3"/>
    <s v="Auto, WC, Umbrella, GL, IM, Property, Energy, Wholesale"/>
    <s v="All"/>
    <s v="Back Office"/>
    <s v="L3"/>
    <n v="2"/>
    <s v="2 to 4"/>
    <s v="8 to 10"/>
    <s v="FTE Based"/>
    <s v="USD"/>
    <n v="29608"/>
    <n v="11"/>
    <n v="1"/>
    <n v="1"/>
    <n v="1"/>
    <n v="14"/>
    <n v="7.1428571428571425E-2"/>
    <n v="657"/>
    <s v="NA"/>
    <s v="NA"/>
    <n v="69"/>
    <s v="3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s v="US"/>
    <s v="Noida, India"/>
    <s v="India"/>
    <s v="Bir"/>
    <n v="5"/>
    <x v="1"/>
    <x v="2"/>
    <x v="11"/>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s v="Commercial"/>
    <x v="3"/>
    <s v="Auto, WC, Umbrella, GL, IM, Property, Energy, Wholesale"/>
    <s v="All"/>
    <s v="Back Office"/>
    <s v="L3"/>
    <n v="2"/>
    <s v="2 to 4"/>
    <s v="8 to 10"/>
    <s v="FTE Based"/>
    <s v="USD"/>
    <n v="29608"/>
    <n v="17"/>
    <n v="1"/>
    <n v="0"/>
    <n v="3"/>
    <n v="21"/>
    <n v="0.14285714285714285"/>
    <n v="746"/>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s v="US"/>
    <s v="Noida, India"/>
    <s v="India"/>
    <s v="Bir"/>
    <n v="5"/>
    <x v="1"/>
    <x v="2"/>
    <x v="11"/>
    <s v="Prepare Written Quote/ Proposal"/>
    <s v="Clearance and Submission"/>
    <s v="Initial submission task has been received in the intake box in the image right application, we set up all the files as per the procedure and working on the escape application as per the submission request"/>
    <s v="Commercial"/>
    <x v="3"/>
    <s v="Auto, WC, Umbrella, GL, IM, Property, Energy, Wholesale"/>
    <s v="All"/>
    <s v="Back Office"/>
    <s v="L3"/>
    <n v="2"/>
    <s v="2 to 4"/>
    <s v="8 to 10"/>
    <s v="FTE Based"/>
    <s v="USD"/>
    <n v="27255"/>
    <n v="53"/>
    <n v="1"/>
    <n v="3"/>
    <n v="2"/>
    <n v="59"/>
    <n v="3.3898305084745763E-2"/>
    <n v="11718"/>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x v="15"/>
    <s v="Leading Global Insurer and Reinsurer"/>
    <s v="US"/>
    <s v="Noida, India"/>
    <s v="India"/>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s v="Commercial"/>
    <x v="3"/>
    <s v="Auto, Property, GL, Financial lines"/>
    <s v="All"/>
    <s v="Back Office"/>
    <s v="L3"/>
    <n v="2"/>
    <s v="2 to 4"/>
    <s v="8 to 10"/>
    <s v="FTE Based"/>
    <s v="USD"/>
    <n v="35028.25"/>
    <n v="11"/>
    <n v="1"/>
    <n v="1"/>
    <n v="2"/>
    <n v="15"/>
    <n v="0.13333333333333333"/>
    <n v="2050"/>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x v="15"/>
    <s v="Leading Global Insurer and Reinsurer"/>
    <s v="US"/>
    <s v="Noida, India"/>
    <s v="India"/>
    <s v="Bir"/>
    <n v="5"/>
    <x v="1"/>
    <x v="1"/>
    <x v="9"/>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s v="Commercial"/>
    <x v="3"/>
    <s v="Auto, Property, GL, Financial lines"/>
    <s v="All"/>
    <s v="Back Office"/>
    <s v="L3"/>
    <n v="2"/>
    <n v="2"/>
    <n v="2"/>
    <s v="FTE Based"/>
    <s v="USD"/>
    <n v="35028"/>
    <n v="2"/>
    <n v="0"/>
    <n v="1"/>
    <n v="1"/>
    <n v="4"/>
    <n v="0.25"/>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x v="8"/>
    <s v="Large US Multi-Regional P&amp;C Carrier"/>
    <s v="US"/>
    <s v="Noida, India"/>
    <s v="India"/>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x v="3"/>
    <s v="GL, Auto, Umbrella, Package, WC, BOP, Inland Marine and Specialty"/>
    <s v="Small &amp; Mid Size"/>
    <s v="Back Office"/>
    <s v="L1"/>
    <n v="1"/>
    <s v="4 to 6"/>
    <n v="4"/>
    <s v="FTE Based"/>
    <s v="USD"/>
    <n v="31000"/>
    <n v="20"/>
    <n v="1"/>
    <n v="1"/>
    <n v="1"/>
    <n v="23"/>
    <n v="4.3478260869565216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s v="US"/>
    <s v="Pune, India"/>
    <s v="India"/>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x v="3"/>
    <s v="GL, Auto, Umbrella, Package, WC, BOP, Inland Marine and Specialty"/>
    <s v="Small &amp; Mid Size"/>
    <s v="Back Office"/>
    <s v="L1"/>
    <n v="1"/>
    <s v="4 to 6"/>
    <n v="4"/>
    <s v="FTE Based"/>
    <s v="USD"/>
    <n v="31000"/>
    <n v="20"/>
    <n v="2"/>
    <n v="1"/>
    <n v="1"/>
    <n v="24"/>
    <n v="4.1666666666666664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s v="US"/>
    <s v="Noida, India"/>
    <s v="India"/>
    <s v="Rajesh Kodath"/>
    <n v="12"/>
    <x v="1"/>
    <x v="2"/>
    <x v="6"/>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s v="Commercial"/>
    <x v="3"/>
    <s v="GL, Auto, Umbrella, Package, WC, BOP, Inland Marine and Specialty"/>
    <s v="Small &amp; Mid Size"/>
    <s v="Back Office"/>
    <s v="L3"/>
    <n v="1"/>
    <s v="4 to 6"/>
    <n v="4"/>
    <s v="FTE Based"/>
    <s v="USD"/>
    <n v="32000"/>
    <n v="67"/>
    <n v="8"/>
    <n v="1"/>
    <n v="20"/>
    <n v="96"/>
    <n v="0.2083333333333333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x v="8"/>
    <s v="Large US Multi-Regional P&amp;C Carrier"/>
    <s v="US"/>
    <s v="Noida, India"/>
    <s v="India"/>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s v="Commercial"/>
    <x v="3"/>
    <s v="Bond"/>
    <s v="All"/>
    <s v="Back Office"/>
    <s v="L1"/>
    <n v="1"/>
    <s v="4 to 6"/>
    <n v="4"/>
    <s v="FTE Based"/>
    <s v="USD"/>
    <n v="33000"/>
    <n v="2"/>
    <n v="1"/>
    <n v="0"/>
    <n v="1"/>
    <n v="4"/>
    <n v="0.25"/>
    <n v="250"/>
    <s v="NA"/>
    <s v="Jan &amp; July"/>
    <n v="6"/>
    <s v="90% (0+1 working days)"/>
    <n v="0.92"/>
    <s v="DPU – Defect Per Unit"/>
    <s v="NA"/>
    <s v="NA"/>
    <s v="NA"/>
    <s v="NA"/>
    <s v="NA"/>
    <s v="NA"/>
    <s v="NA"/>
    <s v="NA"/>
    <s v="NA"/>
    <s v="NA"/>
    <s v="NA"/>
    <s v="UW/Agency"/>
    <s v="Multiple"/>
    <s v="Semi-Structured"/>
    <s v="NA"/>
    <s v="Others"/>
    <s v="UW/Raters"/>
    <s v="Citrix, CAAMS, IPS, APEX, "/>
  </r>
  <r>
    <x v="8"/>
    <s v="Large US Multi-Regional P&amp;C Carrier"/>
    <s v="US"/>
    <s v="Pune, India"/>
    <s v="India"/>
    <s v="Rajesh Kodath"/>
    <n v="13"/>
    <x v="1"/>
    <x v="2"/>
    <x v="6"/>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s v="Commercial &amp; Specialty"/>
    <x v="3"/>
    <s v="Auto, WC, Commercial Package Policies, Umbrella , Inland Marine &amp; Specialty"/>
    <s v="All"/>
    <s v="Back Office"/>
    <s v="L3"/>
    <n v="2"/>
    <n v="4"/>
    <n v="4"/>
    <s v="FTE Based"/>
    <s v="USD"/>
    <n v="33000"/>
    <n v="45"/>
    <n v="12"/>
    <n v="8"/>
    <n v="7"/>
    <n v="72"/>
    <n v="9.7222222222222224E-2"/>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s v="Commercial &amp; Specialty"/>
    <x v="3"/>
    <s v="Auto, WC, Commercial Package Policies, Umbrella , Inland Marine &amp; Specialty"/>
    <s v="Small"/>
    <s v="Back Office"/>
    <s v="L3"/>
    <n v="2"/>
    <n v="4"/>
    <n v="4"/>
    <s v="FTE Based"/>
    <s v="USD"/>
    <n v="33000"/>
    <n v="45"/>
    <n v="12"/>
    <n v="8"/>
    <n v="7"/>
    <n v="72"/>
    <n v="9.7222222222222224E-2"/>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x v="8"/>
    <s v="Large US Multi-Regional P&amp;C Carrier"/>
    <s v="US"/>
    <s v="Pune, India"/>
    <s v="India"/>
    <s v="Rajesh Kodath"/>
    <n v="14"/>
    <x v="1"/>
    <x v="2"/>
    <x v="6"/>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s v="Commercial &amp; Specialty"/>
    <x v="3"/>
    <s v="Auto, WC, Commercial Package Policies, Umbrella  &amp; Specialty"/>
    <s v="Small"/>
    <s v="Back Office"/>
    <s v="L3"/>
    <n v="2"/>
    <n v="4"/>
    <n v="4"/>
    <s v="FTE Based"/>
    <s v="USD"/>
    <n v="33000"/>
    <n v="13"/>
    <n v="10"/>
    <n v="1"/>
    <n v="5"/>
    <n v="29"/>
    <n v="0.17241379310344829"/>
    <n v="3154.3333333333335"/>
    <s v="ALL LOBs"/>
    <s v="NA"/>
    <n v="30"/>
    <s v="TAT -24 Hrs._x000a_"/>
    <n v="0.92"/>
    <s v="DPU – Defect Per Unit"/>
    <s v="NA"/>
    <s v="NA"/>
    <s v="NA"/>
    <s v="NA"/>
    <s v="NA"/>
    <s v="NA"/>
    <s v="NA"/>
    <s v="NA"/>
    <s v="NA"/>
    <s v="NA"/>
    <s v="NA"/>
    <s v="Agent, TP"/>
    <s v="Multiple"/>
    <s v="Semi-Structured"/>
    <s v="NA"/>
    <s v="NA"/>
    <s v="Agent, TP"/>
    <s v="Citrix, CAAMS, IPS, APEX, "/>
  </r>
  <r>
    <x v="8"/>
    <s v="Large US Multi-Regional P&amp;C Carrier"/>
    <s v="US"/>
    <s v="Pune, India"/>
    <s v="India"/>
    <s v="Rajesh Kodath"/>
    <n v="14"/>
    <x v="1"/>
    <x v="2"/>
    <x v="5"/>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s v="Commercial &amp; Specialty"/>
    <x v="3"/>
    <s v="Auto, WC, Commercial Package Policies, Umbrella  &amp; Specialty"/>
    <s v="All"/>
    <s v="Back Office"/>
    <s v="L3"/>
    <n v="2"/>
    <n v="4"/>
    <n v="4"/>
    <s v="FTE Based"/>
    <s v="USD"/>
    <n v="33000"/>
    <n v="13"/>
    <n v="10"/>
    <n v="1"/>
    <n v="5"/>
    <n v="29"/>
    <n v="0.17241379310344829"/>
    <n v="1493.1666666666667"/>
    <s v="ALL LOBs"/>
    <s v="NA"/>
    <n v="30"/>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3"/>
    <x v="1"/>
    <x v="2"/>
    <x v="11"/>
    <s v="Record Keeping"/>
    <s v="NAICS Validation"/>
    <s v="Identify and record accurate classifications for all businesses flowing through the Small Commercial Consolidation process."/>
    <s v="Commercial &amp; Specialty"/>
    <x v="3"/>
    <s v="Auto, WC, Commercial Package Policies, Umbrella _x000a_Business Owners’ Policy"/>
    <s v="All"/>
    <s v="Back Office"/>
    <s v="L4"/>
    <n v="2"/>
    <n v="4"/>
    <n v="4"/>
    <s v="FTE Based"/>
    <s v="USD"/>
    <n v="36000"/>
    <n v="6"/>
    <n v="2"/>
    <n v="1"/>
    <n v="1"/>
    <n v="10"/>
    <n v="0.1"/>
    <n v="1050.5"/>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11"/>
    <s v="New Business Quotes/ Rating"/>
    <s v="Uderwriting Assistant"/>
    <s v="Prep the account and provide the Quote information to Rating and  UW when referred to UW"/>
    <s v="Commercial &amp; Specialty"/>
    <x v="3"/>
    <s v="Auto, WC, Commercial Package Policies, Umbrella  &amp; Business Owners’ Policy"/>
    <s v="All"/>
    <s v="Back Office"/>
    <s v="L4"/>
    <n v="2"/>
    <n v="4"/>
    <n v="4"/>
    <s v="FTE Based"/>
    <s v="USD"/>
    <n v="36000"/>
    <n v="20"/>
    <n v="2"/>
    <n v="1"/>
    <n v="1"/>
    <n v="24"/>
    <n v="4.1666666666666664E-2"/>
    <n v="247.33333333333334"/>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3"/>
    <s v="Quality Audit"/>
    <s v="NA"/>
    <s v="The process involves auditing of policies processed onshore by Hanover"/>
    <s v="Commercial &amp; Specialty"/>
    <x v="3"/>
    <s v="Auto, WC, Commercial Package Policies, Umbrella  &amp; Business Owners’ Policy"/>
    <s v="All"/>
    <s v="Back Office"/>
    <s v="L4"/>
    <n v="2"/>
    <n v="4"/>
    <n v="4"/>
    <s v="FTE Based"/>
    <s v="USD"/>
    <n v="45000"/>
    <n v="13"/>
    <n v="0"/>
    <n v="1"/>
    <n v="1"/>
    <n v="15"/>
    <n v="6.6666666666666666E-2"/>
    <n v="1984.3333333333333"/>
    <s v="ALL LOBs"/>
    <s v="NA"/>
    <n v="30"/>
    <s v="NA"/>
    <n v="0.92"/>
    <s v="DPU – Defect Per Unit"/>
    <s v="NA"/>
    <s v="NA"/>
    <s v="NA"/>
    <s v="NA"/>
    <s v="NA"/>
    <s v="NA"/>
    <s v="NA"/>
    <s v="NA"/>
    <s v="NA"/>
    <s v="NA"/>
    <s v="NA"/>
    <s v="Hanover"/>
    <s v="Multiple"/>
    <s v="Semi-Structured"/>
    <s v="NA"/>
    <s v="NA"/>
    <s v="Internal"/>
    <s v="Citrix, CAAMS, IPS, APEX, "/>
  </r>
  <r>
    <x v="8"/>
    <s v="Large US Multi-Regional P&amp;C Carrier"/>
    <s v="US"/>
    <s v="Pune, India"/>
    <s v="India"/>
    <s v="Rajesh Kodath"/>
    <n v="14"/>
    <x v="1"/>
    <x v="2"/>
    <x v="5"/>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s v="Commercial &amp; Specialty"/>
    <x v="1"/>
    <s v="Motor"/>
    <s v="Small &amp; Mid Size"/>
    <s v="Back Office"/>
    <s v="L3"/>
    <n v="2"/>
    <n v="4"/>
    <n v="4"/>
    <s v="FTE Based"/>
    <s v="USD"/>
    <n v="31000"/>
    <n v="3"/>
    <n v="0"/>
    <n v="0"/>
    <n v="2"/>
    <n v="5"/>
    <n v="0.4"/>
    <n v="2625.75"/>
    <s v="ALL LOBs"/>
    <s v="NA"/>
    <n v="12"/>
    <s v="TAT -24 Hrs._x000a_"/>
    <n v="0.92"/>
    <s v="DPU – Defect Per Unit"/>
    <s v="NA"/>
    <s v="NA"/>
    <s v="NA"/>
    <s v="NA"/>
    <s v="NA"/>
    <s v="NA"/>
    <s v="NA"/>
    <s v="NA"/>
    <s v="NA"/>
    <s v="NA"/>
    <s v="NA"/>
    <s v="DMV"/>
    <s v="Multiple"/>
    <s v="Semi-Structured"/>
    <s v="NA"/>
    <s v="NA"/>
    <s v="Internal - DMV"/>
    <s v="Citrix, CAAMS, IPS, APEX, "/>
  </r>
  <r>
    <x v="8"/>
    <s v="Large US Multi-Regional P&amp;C Carrier"/>
    <s v="US"/>
    <s v="Noida, India"/>
    <s v="India"/>
    <s v="Rajesh Kodath"/>
    <n v="14"/>
    <x v="1"/>
    <x v="2"/>
    <x v="3"/>
    <s v="Non Renewals/Renewal notice"/>
    <s v="Oden"/>
    <s v="This task includes generating legal notices using ODEN system. Some of the possible notices are cancellation, reinstatement, non-renewal, conditional cancellation, conditional renewal etc."/>
    <s v="Personal"/>
    <x v="3"/>
    <s v="Auto, Property, Umbrella, Watercraft"/>
    <s v="Small, Mid Size &amp; Large"/>
    <s v="Back Office"/>
    <s v="L2"/>
    <n v="1"/>
    <n v="4"/>
    <n v="8"/>
    <s v="FTE Based"/>
    <s v="USD"/>
    <n v="31773.37"/>
    <n v="0.7126892902754971"/>
    <n v="0"/>
    <n v="0"/>
    <n v="0"/>
    <n v="0.7126892902754971"/>
    <n v="0"/>
    <n v="1250"/>
    <s v="NA"/>
    <s v="NA"/>
    <n v="5"/>
    <s v="4 Hours"/>
    <n v="0.95"/>
    <s v="DPU – Defect Per Unit"/>
    <s v="NA"/>
    <s v="NA"/>
    <s v="NA"/>
    <s v="NA"/>
    <s v="NA"/>
    <s v="NA"/>
    <s v="NA"/>
    <s v="NA"/>
    <s v="NA"/>
    <s v="NA"/>
    <s v="NA"/>
    <s v="UW"/>
    <s v="Instructions in Application"/>
    <s v="Semi-Structured"/>
    <s v="NA"/>
    <s v="Emails"/>
    <s v="Agent, TP"/>
    <s v="Edge, PMS, POS, TAP Sales, Oden tool"/>
  </r>
  <r>
    <x v="8"/>
    <s v="Large US Multi-Regional P&amp;C Carrier"/>
    <s v="US"/>
    <s v="Noida, India"/>
    <s v="India"/>
    <s v="Souvick Paul"/>
    <n v="16"/>
    <x v="1"/>
    <x v="2"/>
    <x v="6"/>
    <s v="New Business Issuance"/>
    <s v="Quoting"/>
    <s v="Validate prior information and enter that information in TAP Sale Creating Quotation behalf of Hanover"/>
    <s v="Personal"/>
    <x v="13"/>
    <s v="Auto, Home, Motorcycle, Umbrella, Watercraft"/>
    <s v="Small, Mid Size &amp; Large"/>
    <s v="Back Office"/>
    <s v="L2"/>
    <n v="1"/>
    <n v="4"/>
    <n v="12"/>
    <s v="FTE Based"/>
    <s v="USD"/>
    <n v="33093"/>
    <n v="34"/>
    <n v="1"/>
    <n v="1"/>
    <n v="2"/>
    <n v="38"/>
    <n v="5.2631578947368418E-2"/>
    <n v="10000"/>
    <s v="NA"/>
    <s v="NA"/>
    <n v="22"/>
    <s v="24 Hrs"/>
    <n v="0.92"/>
    <s v="DPU – Defect Per Unit"/>
    <s v="NA"/>
    <s v="NA"/>
    <s v="NA"/>
    <s v="NA"/>
    <s v="NA"/>
    <s v="NA"/>
    <s v="NA"/>
    <s v="NA"/>
    <s v="NA"/>
    <s v="NA"/>
    <s v="NA"/>
    <s v="Agent"/>
    <s v="Multiple"/>
    <s v="Unstructured"/>
    <n v="1"/>
    <s v="PDFs"/>
    <s v="Agents"/>
    <s v="PACE,SharePoint, EDGE, McOps"/>
  </r>
  <r>
    <x v="8"/>
    <s v="Large US Multi-Regional P&amp;C Carrier"/>
    <s v="US"/>
    <s v="Noida, India"/>
    <s v="India"/>
    <s v="Souvick Paul"/>
    <n v="16"/>
    <x v="1"/>
    <x v="2"/>
    <x v="6"/>
    <s v="Finalize Issuance of policies"/>
    <s v="Non-Quoting"/>
    <s v="Validate prior information and enter that information in Excel spreadsheet and creating letters (Prequote &amp; Issuance)"/>
    <s v="Personal"/>
    <x v="13"/>
    <s v="Auto, Home, Motorcycle, Umbrella, Watercraft"/>
    <s v="Small, Mid Size &amp; Large"/>
    <s v="Back Office"/>
    <s v="L1"/>
    <n v="1"/>
    <n v="1"/>
    <n v="4"/>
    <s v="FTE Based"/>
    <s v="USD"/>
    <n v="33093"/>
    <n v="3"/>
    <n v="0.25"/>
    <n v="0.1"/>
    <n v="1"/>
    <n v="4.3499999999999996"/>
    <n v="0.22988505747126439"/>
    <n v="15000"/>
    <s v="NA"/>
    <s v="NA"/>
    <n v="2"/>
    <s v="24 Hrs"/>
    <n v="0.95"/>
    <s v="DPU – Defect Per Unit"/>
    <s v="NA"/>
    <s v="NA"/>
    <s v="NA"/>
    <s v="NA"/>
    <s v="NA"/>
    <s v="NA"/>
    <s v="NA"/>
    <s v="NA"/>
    <s v="NA"/>
    <s v="NA"/>
    <s v="NA"/>
    <s v="Agent"/>
    <s v="Multiple"/>
    <s v="Unstructured"/>
    <n v="1"/>
    <s v="PDFs"/>
    <s v="Agents"/>
    <s v="PACE,SharePoint, EDGE"/>
  </r>
  <r>
    <x v="8"/>
    <s v="Large US Multi-Regional P&amp;C Carrier"/>
    <s v="US"/>
    <s v="Noida, India"/>
    <s v="India"/>
    <s v="Souvick Paul"/>
    <n v="16"/>
    <x v="1"/>
    <x v="2"/>
    <x v="3"/>
    <s v="Quality Audit"/>
    <s v="COE"/>
    <s v="Validate prior information and enter that information in TAP Sale Creating Quotation behalf of Hanover"/>
    <s v="Personal"/>
    <x v="13"/>
    <s v="Auto, Home, Motorcycle, Umbrella, Watercraft"/>
    <s v="Small, Mid Size &amp; Large"/>
    <s v="Back Office"/>
    <s v="L2"/>
    <n v="1"/>
    <n v="4"/>
    <n v="12"/>
    <s v="FTE Based"/>
    <s v="USD"/>
    <n v="45694"/>
    <n v="17"/>
    <n v="0.25"/>
    <n v="0.9"/>
    <n v="0"/>
    <n v="18.149999999999999"/>
    <n v="0"/>
    <n v="10000"/>
    <s v="NA"/>
    <s v="NA"/>
    <n v="15"/>
    <s v="24 Hrs"/>
    <n v="0.92"/>
    <s v="DPU – Defect Per Unit"/>
    <s v="NA"/>
    <s v="NA"/>
    <s v="NA"/>
    <s v="NA"/>
    <s v="NA"/>
    <s v="NA"/>
    <s v="NA"/>
    <s v="NA"/>
    <s v="NA"/>
    <s v="NA"/>
    <s v="NA"/>
    <s v="Agent"/>
    <s v="Multiple"/>
    <s v="Unstructured"/>
    <n v="1"/>
    <s v="PDFs"/>
    <s v="Agents"/>
    <s v="PACE,SharePoint, EDGE, McOps"/>
  </r>
  <r>
    <x v="8"/>
    <s v="Large US Multi-Regional P&amp;C Carrier"/>
    <s v="US"/>
    <s v="Noida, India"/>
    <s v="India"/>
    <s v="Souvick Paul"/>
    <n v="16"/>
    <x v="1"/>
    <x v="2"/>
    <x v="3"/>
    <s v="Customer service"/>
    <s v="PMT"/>
    <s v="EXL is assisting Hanover on multiple request type, like new business quote, policy verification, endorsement, cancellation &amp; reinstatement as per the request via inform to requestor and update the policy if needed."/>
    <s v="Personal"/>
    <x v="13"/>
    <s v="Auto, Home, Motorcycle, Umbrella, Watercraft"/>
    <s v="Small &amp; Mid Size"/>
    <s v="Back Office"/>
    <s v="L3"/>
    <n v="2"/>
    <n v="4"/>
    <n v="12"/>
    <s v="FTE Based"/>
    <s v="USD"/>
    <n v="31773"/>
    <n v="49"/>
    <n v="3"/>
    <n v="1"/>
    <n v="1"/>
    <n v="54"/>
    <n v="1.8518518518518517E-2"/>
    <n v="83514"/>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6"/>
    <x v="1"/>
    <x v="2"/>
    <x v="3"/>
    <s v="Customer service"/>
    <s v="UW"/>
    <s v="EXL is assisting underwriting departments in verifying their risks by review the inspection &amp; losses via validation replacement cost, identify hazards &amp; underwriting concerns, and offer loss control recommendations when appropriate."/>
    <s v="Personal"/>
    <x v="13"/>
    <s v="Auto, Home, Motorcycle, Umbrella, Watercraft"/>
    <s v="Small &amp; Mid Size"/>
    <s v="Back Office"/>
    <s v="L3"/>
    <n v="2"/>
    <n v="4"/>
    <n v="12"/>
    <s v="FTE Based"/>
    <s v="USD"/>
    <n v="31773"/>
    <n v="8"/>
    <n v="2"/>
    <n v="1"/>
    <n v="1"/>
    <n v="12"/>
    <n v="8.3333333333333329E-2"/>
    <n v="3823"/>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6"/>
    <x v="1"/>
    <x v="2"/>
    <x v="3"/>
    <s v="Customer service"/>
    <s v="Margin"/>
    <s v="EXL is assisting Hanover on temporary or short-term margin work by validating the changes, inform to agent and update the policy if needed."/>
    <s v="Personal"/>
    <x v="13"/>
    <s v="Auto, Home, Motorcycle, Umbrella, Watercraft"/>
    <s v="Small &amp; Mid Size"/>
    <s v="Back Office"/>
    <s v="L3"/>
    <n v="2"/>
    <n v="4"/>
    <n v="12"/>
    <s v="FTE Based"/>
    <s v="USD"/>
    <n v="31773"/>
    <n v="1"/>
    <n v="1"/>
    <n v="0"/>
    <n v="0"/>
    <n v="2"/>
    <n v="0"/>
    <n v="650"/>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4"/>
    <x v="1"/>
    <x v="1"/>
    <x v="1"/>
    <s v="Indexing"/>
    <s v="Indexing"/>
    <s v="&gt; Document management team working through Kofax to tag incoming documents with existing claims_x000a_&gt; Upload &amp; download the documents as per the request from onshore"/>
    <s v="Personal"/>
    <x v="13"/>
    <s v="GL, Auto, Property"/>
    <s v="Small &amp; Mid Size"/>
    <s v="Back Office"/>
    <s v="L1"/>
    <n v="1"/>
    <n v="4"/>
    <n v="2"/>
    <s v="FTE Based"/>
    <s v="USD"/>
    <n v="31773.37"/>
    <n v="4"/>
    <n v="0"/>
    <n v="0"/>
    <n v="0"/>
    <n v="4"/>
    <n v="0"/>
    <n v="30500"/>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x v="8"/>
    <s v="Large US Multi-Regional P&amp;C Carrier"/>
    <s v="US"/>
    <s v="Noida, India"/>
    <s v="India"/>
    <s v="Souvick Paul"/>
    <n v="14"/>
    <x v="1"/>
    <x v="1"/>
    <x v="1"/>
    <s v="Indexing"/>
    <s v="Indexing"/>
    <s v="&gt; Document management team working through Kofax to tag incoming documents with existing claims_x000a_&gt; Upload &amp; download the documents as per the request from onshore"/>
    <s v="Commercial"/>
    <x v="13"/>
    <s v="GL, Auto, Property"/>
    <s v="Small &amp; Mid Size"/>
    <s v="Back Office"/>
    <s v="L1"/>
    <n v="1"/>
    <n v="4"/>
    <n v="2"/>
    <s v="FTE Based"/>
    <s v="USD"/>
    <n v="31773.37"/>
    <n v="1"/>
    <n v="0"/>
    <n v="0"/>
    <n v="0"/>
    <n v="1"/>
    <n v="0"/>
    <n v="7600"/>
    <s v="NA"/>
    <s v="NA"/>
    <n v="2"/>
    <s v="2 Hours"/>
    <n v="0.95"/>
    <s v="DPU – Defect Per Unit"/>
    <s v="NA"/>
    <s v="NA"/>
    <s v="NA"/>
    <s v="NA"/>
    <s v="NA"/>
    <s v="NA"/>
    <s v="NA"/>
    <s v="NA"/>
    <s v="NA"/>
    <s v="NA"/>
    <s v="NA"/>
    <s v="Agent, Adjuster, Vendor"/>
    <s v="Multiple"/>
    <s v="Semi-Structured"/>
    <s v="NA"/>
    <s v="Emails"/>
    <s v="Agent, Adjuster, Vendor"/>
    <s v="CMX, Kofax, Excel"/>
  </r>
  <r>
    <x v="8"/>
    <s v="Large US Multi-Regional P&amp;C Carrier"/>
    <s v="US"/>
    <s v="Noida, India"/>
    <s v="India"/>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Personal"/>
    <x v="13"/>
    <s v="GL, Auto, Property"/>
    <s v="Small &amp; Mid Size"/>
    <s v="Back Office"/>
    <s v="L1"/>
    <n v="1"/>
    <n v="4"/>
    <n v="8"/>
    <s v="FTE Based"/>
    <s v="USD"/>
    <n v="31773.37"/>
    <n v="7"/>
    <n v="1"/>
    <n v="1"/>
    <n v="0"/>
    <n v="9"/>
    <n v="0"/>
    <n v="6650"/>
    <s v="NA"/>
    <s v="NA"/>
    <n v="10"/>
    <s v="2 Hours"/>
    <n v="0.94"/>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Commercial"/>
    <x v="13"/>
    <s v="GL, Auto, Property"/>
    <s v="Small &amp; Mid Size"/>
    <s v="Back Office"/>
    <s v="L1"/>
    <n v="1"/>
    <n v="4"/>
    <n v="8"/>
    <s v="FTE Based"/>
    <s v="USD"/>
    <n v="31773.37"/>
    <n v="2"/>
    <n v="0"/>
    <n v="0"/>
    <n v="1"/>
    <n v="3"/>
    <n v="0.33333333333333331"/>
    <n v="1650"/>
    <s v="NA"/>
    <s v="NA"/>
    <n v="10"/>
    <s v="2 Hours"/>
    <n v="0.94"/>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s v="Personal"/>
    <x v="13"/>
    <s v="GL, Auto, Property"/>
    <s v="Small &amp; Mid Size"/>
    <s v="Back Office"/>
    <s v="L1"/>
    <n v="1"/>
    <n v="4"/>
    <n v="4"/>
    <s v="FTE Based"/>
    <s v="USD"/>
    <n v="31773.37"/>
    <n v="30"/>
    <n v="2"/>
    <n v="0"/>
    <n v="1"/>
    <n v="33"/>
    <n v="3.0303030303030304E-2"/>
    <n v="305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s v="US"/>
    <s v="Noida, India"/>
    <s v="India"/>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s v="Commercial"/>
    <x v="13"/>
    <s v="GL, Auto, Property"/>
    <s v="Small &amp; Mid Size"/>
    <s v="Back Office"/>
    <s v="L1"/>
    <n v="1"/>
    <n v="4"/>
    <n v="4"/>
    <s v="FTE Based"/>
    <s v="USD"/>
    <n v="31773.37"/>
    <n v="3"/>
    <n v="1"/>
    <n v="0"/>
    <n v="0"/>
    <n v="4"/>
    <n v="0"/>
    <n v="76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s v="US"/>
    <s v="Noida, India"/>
    <s v="India"/>
    <s v="Souvick Paul"/>
    <n v="14"/>
    <x v="1"/>
    <x v="1"/>
    <x v="1"/>
    <s v="Claim Setup and assignment"/>
    <s v="Utilities"/>
    <s v="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
    <s v="Personal"/>
    <x v="13"/>
    <s v="GL, Auto, Property"/>
    <s v="Small &amp; Mid Size"/>
    <s v="Back Office"/>
    <s v="L1"/>
    <n v="1"/>
    <n v="4"/>
    <n v="8"/>
    <s v="FTE Based"/>
    <s v="USD"/>
    <n v="31773.37"/>
    <n v="5"/>
    <n v="1"/>
    <n v="1"/>
    <n v="0"/>
    <n v="7"/>
    <n v="0"/>
    <n v="6650"/>
    <s v="NA"/>
    <s v="NA"/>
    <n v="20"/>
    <s v="48 Hours"/>
    <n v="0.92"/>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6"/>
    <x v="1"/>
    <x v="2"/>
    <x v="2"/>
    <s v="New Agent Set-up"/>
    <s v="Agency Licensing"/>
    <s v="Setting up New agency code and giving access for downloads to agencies. Validating authorities, license and all, for producers prior to appointing"/>
    <s v="Personal"/>
    <x v="13"/>
    <s v="Auto, Home, Motorcycle, Umbrella, Watercraft"/>
    <s v="Small &amp; Mid Size"/>
    <s v="Back Office"/>
    <s v="L2"/>
    <n v="2"/>
    <n v="8"/>
    <n v="12"/>
    <s v="FTE Based"/>
    <s v="USD"/>
    <n v="31773"/>
    <n v="4"/>
    <n v="1"/>
    <n v="0"/>
    <n v="0"/>
    <n v="5"/>
    <n v="0"/>
    <n v="7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s v="US"/>
    <s v="Noida, India"/>
    <s v="India"/>
    <s v="Souvick Paul"/>
    <n v="16"/>
    <x v="1"/>
    <x v="2"/>
    <x v="2"/>
    <s v="New Agent Set-up"/>
    <s v="Agency Licensing"/>
    <s v="Setting up New agency code and giving access for downloads to agencies. Validating authorities, license and all, for producers prior to appointing"/>
    <s v="Commercial"/>
    <x v="13"/>
    <s v="Auto, Home, Motorcycle, Umbrella, Watercraft"/>
    <s v="Small &amp; Mid Size"/>
    <s v="Back Office"/>
    <s v="L2"/>
    <n v="2"/>
    <n v="8"/>
    <n v="12"/>
    <s v="FTE Based"/>
    <s v="USD"/>
    <n v="31773"/>
    <n v="1"/>
    <n v="0"/>
    <n v="0"/>
    <n v="1"/>
    <n v="2"/>
    <n v="0.5"/>
    <n v="2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s v="US"/>
    <s v="Noida, India"/>
    <s v="India"/>
    <s v="Souvick Paul"/>
    <n v="16"/>
    <x v="1"/>
    <x v="2"/>
    <x v="3"/>
    <s v="Premium Billing and Collections"/>
    <s v="Financial Operations"/>
    <s v="Premium checks along with agent/policy details are received and Posting payment on the policies. Approving the reimbursement based on the request from business."/>
    <s v="Personal"/>
    <x v="13"/>
    <s v="Auto, Home, Motorcycle, Umbrella, Watercraft"/>
    <s v="Small &amp; Mid Size"/>
    <s v="Back Office"/>
    <s v="L2"/>
    <n v="2"/>
    <n v="4"/>
    <n v="12"/>
    <s v="FTE Based"/>
    <s v="USD"/>
    <n v="31773"/>
    <n v="9"/>
    <n v="1"/>
    <n v="1"/>
    <n v="1"/>
    <n v="12"/>
    <n v="8.3333333333333329E-2"/>
    <n v="300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8"/>
    <s v="Large US Multi-Regional P&amp;C Carrier"/>
    <s v="US"/>
    <s v="Noida, India"/>
    <s v="India"/>
    <s v="Souvick Paul"/>
    <n v="16"/>
    <x v="1"/>
    <x v="2"/>
    <x v="3"/>
    <s v="Premium Billing and Collections"/>
    <s v="Financial Operations"/>
    <s v="Premium checks along with agent/policy details are received and Posting payment on the policies. Approving the reimbursement based on the request from business."/>
    <s v="Commercial"/>
    <x v="13"/>
    <s v="Auto, Home, Motorcycle, Umbrella, Watercraft"/>
    <s v="Small &amp; Mid Size"/>
    <s v="Back Office"/>
    <s v="L2"/>
    <n v="2"/>
    <n v="4"/>
    <n v="12"/>
    <s v="FTE Based"/>
    <s v="USD"/>
    <n v="31773"/>
    <n v="1.7"/>
    <n v="0"/>
    <n v="0"/>
    <n v="0"/>
    <n v="1.7"/>
    <n v="0"/>
    <n v="125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16"/>
    <s v="Fortune 100 APAC P&amp;C Carrier"/>
    <s v="Australia"/>
    <s v="Cape Town, South Africa"/>
    <s v="South Africa"/>
    <s v="Phenyo Nong / Yunus Bayat "/>
    <n v="5"/>
    <x v="2"/>
    <x v="2"/>
    <x v="5"/>
    <s v="New Business setup"/>
    <s v="New Business setup"/>
    <s v="We service customers in the AUTO/Property, we set up policy, amend, cancel and renew policies"/>
    <s v="Personal"/>
    <x v="3"/>
    <s v="Auto / Property "/>
    <s v="Small"/>
    <s v="Voice"/>
    <s v="L3"/>
    <n v="2"/>
    <s v="6 to 7"/>
    <n v="8"/>
    <s v="FTE Based"/>
    <s v="AUD"/>
    <s v="23.70/Hour"/>
    <n v="125"/>
    <n v="10"/>
    <n v="12"/>
    <n v="24"/>
    <n v="171"/>
    <n v="0.14035087719298245"/>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x v="16"/>
    <s v="Fortune 100 APAC P&amp;C Carrier"/>
    <s v="Australia"/>
    <s v="Manila, PHP"/>
    <s v="Philippines"/>
    <s v="Red Dayao / Verna Arzadon"/>
    <n v="7"/>
    <x v="1"/>
    <x v="1"/>
    <x v="1"/>
    <s v="Data entry "/>
    <s v="Claims Management"/>
    <s v="Manage Claims from validation to finalization"/>
    <s v="Personal"/>
    <x v="3"/>
    <s v="Property"/>
    <s v="Small, Mid Size &amp; Large"/>
    <s v="Blended"/>
    <s v="L2"/>
    <n v="2"/>
    <n v="4"/>
    <n v="4"/>
    <s v="FTE Based"/>
    <s v="AUD"/>
    <s v="22.70/Hour"/>
    <n v="70"/>
    <n v="4"/>
    <n v="4"/>
    <n v="8"/>
    <n v="86"/>
    <n v="9.3023255813953487E-2"/>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x v="16"/>
    <s v="Fortune 100 APAC P&amp;C Carrier"/>
    <s v="Australia"/>
    <s v="Noida, India"/>
    <s v="India"/>
    <s v="Red Dayao / Verna Arzadon"/>
    <n v="7"/>
    <x v="1"/>
    <x v="1"/>
    <x v="1"/>
    <s v="Indexing"/>
    <s v="Classification of documents"/>
    <s v="Staff classify the documents related to claims &amp; Policy received thourgh Email/Fax/Post"/>
    <s v="Personal"/>
    <x v="3"/>
    <s v="DCT AUS &amp; NZ"/>
    <s v="Small &amp; Mid Size"/>
    <s v="Back Office"/>
    <s v="L2"/>
    <n v="1"/>
    <n v="4"/>
    <n v="4"/>
    <s v="FTE Based"/>
    <s v="AUD"/>
    <n v="23436"/>
    <n v="13"/>
    <n v="2"/>
    <n v="1"/>
    <n v="1"/>
    <n v="17"/>
    <n v="5.882352941176470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6"/>
    <s v="Fortune 100 APAC P&amp;C Carrier"/>
    <s v="Australia"/>
    <s v="Noida, India"/>
    <s v="India"/>
    <s v="Red Dayao / Verna Arzadon"/>
    <n v="7"/>
    <x v="1"/>
    <x v="1"/>
    <x v="1"/>
    <s v="Indexing"/>
    <s v="Classification of documents"/>
    <s v="Staff classify the documents related to claims &amp; Policy received thourgh Email/Fax/Post"/>
    <s v="Commercial"/>
    <x v="3"/>
    <s v="DCT AUS &amp; NZ"/>
    <s v="Small &amp; Mid Size"/>
    <s v="Back Office"/>
    <s v="L2"/>
    <n v="1"/>
    <n v="4"/>
    <n v="4"/>
    <s v="FTE Based"/>
    <s v="AUD"/>
    <n v="23436"/>
    <n v="13"/>
    <n v="1"/>
    <n v="1"/>
    <n v="1"/>
    <n v="16"/>
    <n v="6.2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7"/>
    <s v="Fortune 500 Global P&amp;C Carrier"/>
    <s v="US"/>
    <s v="Manila, PHP"/>
    <s v="Philippines"/>
    <s v="Michelle Fontamillas"/>
    <n v="9"/>
    <x v="1"/>
    <x v="1"/>
    <x v="7"/>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s v="Commercial"/>
    <x v="5"/>
    <s v="WC"/>
    <s v="Large"/>
    <s v="Blended"/>
    <s v="L3"/>
    <n v="1"/>
    <n v="5"/>
    <n v="6"/>
    <s v="FTE Based"/>
    <s v="USD"/>
    <n v="24490.33"/>
    <n v="42.66"/>
    <n v="6"/>
    <n v="1"/>
    <n v="7.34"/>
    <n v="57"/>
    <n v="0.1287719298245614"/>
    <n v="22134"/>
    <n v="32000"/>
    <s v="January &amp; October"/>
    <s v="8 Minutes"/>
    <n v="0.98"/>
    <n v="0.98"/>
    <s v="DPO – Defect Per Opportunity"/>
    <s v="NA"/>
    <s v="NA"/>
    <s v="Attrition"/>
    <s v="TAT &amp; QA"/>
    <s v="Multi/ Combination"/>
    <s v="SWM, Other automation tool,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Time and Billing, Claims Connect, Medwise, SWM/Smart Work Management Dashboard, MS Outlook, MS Teams, Concentra Portal"/>
  </r>
  <r>
    <x v="17"/>
    <s v="Fortune 500 Global P&amp;C Carrier"/>
    <s v="US"/>
    <s v="Manila, PHP"/>
    <s v="Philippines"/>
    <s v="Michelle Fontamillas"/>
    <n v="8"/>
    <x v="1"/>
    <x v="1"/>
    <x v="1"/>
    <s v="Claim Setup and assignment"/>
    <s v="Referral and Triage"/>
    <s v="Assignment of NCMs or Client Integrated Nurses on claims as necessary. Requests can be from an automated system or adjusters/other nurses and reviewed using a list of client-approved criteria._x000a_"/>
    <s v="Commercial"/>
    <x v="5"/>
    <s v="WC"/>
    <s v="Mid Size"/>
    <s v="Back Office"/>
    <s v="L3"/>
    <n v="1"/>
    <n v="3"/>
    <n v="4"/>
    <s v="FTE Based"/>
    <s v="USD"/>
    <n v="24490.33"/>
    <n v="6.37"/>
    <n v="1"/>
    <n v="0.5"/>
    <n v="1.63"/>
    <n v="9.5"/>
    <n v="0.17157894736842105"/>
    <n v="3543"/>
    <n v="4700"/>
    <s v="January &amp; October"/>
    <s v="24.24 minutes"/>
    <n v="0.98"/>
    <n v="0.98"/>
    <s v="DPO – Defect Per Opportunity"/>
    <s v="NA"/>
    <s v="NA"/>
    <s v="Attrition"/>
    <s v="QA"/>
    <s v="Multi/ Combination"/>
    <s v="SWM, Other automation tool,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Claims Connect,  SWM/Smart Work Management Dashboard, MS Outlook, MS Teams, Share Point, Serrela, "/>
  </r>
  <r>
    <x v="17"/>
    <s v="Fortune 500 Global P&amp;C Carrier"/>
    <s v="US"/>
    <s v="Manila, PHP"/>
    <s v="Philippines"/>
    <s v="Michelle Fontamillas"/>
    <n v="6"/>
    <x v="2"/>
    <x v="1"/>
    <x v="7"/>
    <s v="Identify claims for closing"/>
    <s v="Return to Work Coordinator"/>
    <s v="Nurse associates review and classify claims based on current work status parameters.  If it is determined, the claim will be sent to RTW nurses onshore for further review._x000a_"/>
    <s v="Commercial"/>
    <x v="5"/>
    <s v="WC"/>
    <s v="Small"/>
    <s v="Back Office"/>
    <s v="L3"/>
    <n v="1"/>
    <n v="4"/>
    <n v="6"/>
    <s v="FTE Based"/>
    <s v="USD"/>
    <n v="24490.33"/>
    <n v="2"/>
    <n v="0"/>
    <n v="0"/>
    <n v="0"/>
    <n v="2"/>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x v="17"/>
    <s v="Fortune 500 Global P&amp;C Carrier"/>
    <s v="US"/>
    <s v="Manila, PHP"/>
    <s v="Philippines"/>
    <s v="Michelle Fontamillas"/>
    <n v="9"/>
    <x v="1"/>
    <x v="1"/>
    <x v="7"/>
    <s v="Utilization Review"/>
    <s v="Intake and Closure"/>
    <s v="Intake Unit is responsible to  receive the request, review it for completeness and assign it to the USRN at EXL for complete Clinical Review. Closure Unit is responsible of sending out decision letters _x000a__x000a_"/>
    <s v="Commercial"/>
    <x v="5"/>
    <s v="WC"/>
    <s v="Specialized"/>
    <s v="Blended"/>
    <s v="L2"/>
    <n v="1"/>
    <n v="3"/>
    <n v="6"/>
    <s v="FTE Based"/>
    <s v="USD"/>
    <n v="24490.33"/>
    <n v="33.29"/>
    <n v="1"/>
    <n v="2.5"/>
    <n v="8.7100000000000009"/>
    <n v="45.5"/>
    <n v="0.19142857142857145"/>
    <n v="17677"/>
    <n v="15000"/>
    <s v="January &amp; October"/>
    <s v="Intake: 18.75 min_x000a_Closure NY: 5.06 min._x000a_Closure Non - NY: 6.68 min."/>
    <s v="TAT 1: 70%_x000a_TAT 2: 99.6%_x000a_TAT 3: 99. 9%"/>
    <s v="Quality: 95%"/>
    <s v="DPO – Defect Per Opportunity"/>
    <s v="NA"/>
    <s v="NA"/>
    <s v="1. Attrition_x000a_2. Backlogs_x000a_3. MEI"/>
    <s v="UR TAT"/>
    <s v="Robotics"/>
    <s v="1. SWM _x000a_2. AIM Implemented Ideas"/>
    <s v="Productivity gains"/>
    <s v="Extraction Tool"/>
    <s v="UR Extraction Tool"/>
    <s v="Increased Efficiency"/>
    <s v="NA"/>
    <s v="Requests received by fax and  worked by EXL nurse"/>
    <s v="Multiple"/>
    <s v="Structured"/>
    <s v="30% PDF &amp; 70% MS Office Document Imaging_x000a_"/>
    <s v="Instructions in Application"/>
    <s v="Injured Workers, Claims Professionals, providers, Facility, Atty., NCM"/>
    <s v="Review Stat,  Claims Connect, MS Teams, AWS, Share point, MS Outook, SWM"/>
  </r>
  <r>
    <x v="17"/>
    <s v="Fortune 500 Global P&amp;C Carrier"/>
    <s v="US"/>
    <s v="Manila, PHP"/>
    <s v="Philippines"/>
    <s v="Michelle Fontamillas"/>
    <n v="9"/>
    <x v="1"/>
    <x v="1"/>
    <x v="7"/>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s v="Commercial"/>
    <x v="5"/>
    <s v="WC"/>
    <s v="Specialized"/>
    <s v="Blended"/>
    <s v="L3"/>
    <n v="1"/>
    <n v="6"/>
    <n v="10"/>
    <s v="FTE Based"/>
    <s v="USD"/>
    <n v="24490.33"/>
    <n v="29.32"/>
    <n v="4"/>
    <n v="3"/>
    <n v="21.68"/>
    <n v="58"/>
    <n v="0.37379310344827588"/>
    <n v="8359"/>
    <n v="7200"/>
    <s v="January &amp; October"/>
    <s v="32.4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Review Stat"/>
    <s v="Instructions in Application"/>
    <s v="Injured Workers, Claims Professionals, providers, Facility, Atty., NCM"/>
    <s v="Review Stat,  Claims Connect, MS Teams, AWS, Share point, MS Outook, SWM"/>
  </r>
  <r>
    <x v="17"/>
    <s v="Fortune 500 Global P&amp;C Carrier"/>
    <s v="US"/>
    <s v="Manila, PHP"/>
    <s v="Philippines"/>
    <s v="Michelle Fontamillas"/>
    <n v="7"/>
    <x v="1"/>
    <x v="1"/>
    <x v="7"/>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s v="Commercial"/>
    <x v="5"/>
    <s v="WC"/>
    <s v="Specialized"/>
    <s v="Voice"/>
    <s v="L2"/>
    <n v="1"/>
    <n v="2"/>
    <n v="10"/>
    <s v="FTE Based"/>
    <s v="USD"/>
    <n v="24490.33"/>
    <n v="7"/>
    <n v="1"/>
    <n v="0.5"/>
    <n v="1"/>
    <n v="9.5"/>
    <n v="0.10526315789473684"/>
    <n v="2428"/>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WS"/>
    <s v="Instructions in Application"/>
    <s v="Injured Workers, Claims Professionals, providers, Facility, Atty., NCM"/>
    <s v="Review Stat,  Claims Connect, MS Teams, AWS, Share point, MS Outook, SWM"/>
  </r>
  <r>
    <x v="17"/>
    <s v="Fortune 500 Global P&amp;C Carrier"/>
    <s v="US"/>
    <s v="Manila, PHP"/>
    <s v="Philippines"/>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s v="Commercial"/>
    <x v="5"/>
    <s v="WC Claims (except requests from Staff Legal   **Liability Claims (for vendor physician review requests only)_x000a_"/>
    <s v="Specialized"/>
    <s v="Back Office"/>
    <s v="L2"/>
    <n v="1"/>
    <n v="4"/>
    <n v="8"/>
    <s v="FTE Based"/>
    <s v="USD"/>
    <n v="24490.33"/>
    <n v="0.5"/>
    <n v="1"/>
    <n v="0"/>
    <n v="0.5"/>
    <n v="2"/>
    <n v="0.25"/>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7"/>
    <s v="Fortune 500 Global P&amp;C Carrier"/>
    <s v="US"/>
    <s v="Manila, PHP"/>
    <s v="Philippines"/>
    <s v="Michelle Fontamillas"/>
    <n v="3"/>
    <x v="1"/>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s v="Commercial"/>
    <x v="5"/>
    <s v="WC"/>
    <s v="Specialized"/>
    <s v="Back Office"/>
    <s v="L1"/>
    <n v="1"/>
    <n v="1"/>
    <n v="4"/>
    <s v="FTE Based"/>
    <s v="USD"/>
    <n v="24490.33"/>
    <n v="7.67"/>
    <n v="1"/>
    <n v="0.5"/>
    <n v="5.83"/>
    <n v="15"/>
    <n v="0.38866666666666666"/>
    <n v="21846"/>
    <n v="20000"/>
    <s v="January &amp; October"/>
    <s v="7.67 minutes"/>
    <n v="0.95"/>
    <n v="0.98"/>
    <s v="DPO – Defect Per Opportunity"/>
    <s v="NA"/>
    <s v="NA"/>
    <s v="Attrition"/>
    <s v="Service Levels"/>
    <s v="Multi/ Combination"/>
    <s v="SWM, Other automation tool, etc."/>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x v="17"/>
    <s v="Fortune 500 Global P&amp;C Carrier"/>
    <s v="US"/>
    <s v="Manila, PHP"/>
    <s v="Philippines"/>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s v="Commercial"/>
    <x v="5"/>
    <s v="WC"/>
    <s v="Specialized"/>
    <s v="Back Office"/>
    <s v="L2"/>
    <n v="1"/>
    <n v="1"/>
    <n v="4"/>
    <s v="FTE Based"/>
    <s v="USD"/>
    <n v="24490.33"/>
    <n v="0.5"/>
    <n v="0"/>
    <n v="0"/>
    <n v="1.5"/>
    <n v="2"/>
    <n v="0.75"/>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8"/>
    <s v="Large APAC P&amp;C Carrier"/>
    <s v="Australia"/>
    <s v="Alabang, PHP"/>
    <s v="Philippines"/>
    <s v="Verna  Arzadon"/>
    <n v="5.9"/>
    <x v="1"/>
    <x v="3"/>
    <x v="13"/>
    <s v="General Inquiry"/>
    <s v="Voice Policy enquiries, endorsements, payment, online support "/>
    <s v="Policy Servicing Contact Center for Personal insurance handling Queries, Changes to policy, Documents, Payments/direct debit, Password Reset walkthrough, Self-servce Support "/>
    <s v="Personal"/>
    <x v="3"/>
    <s v="Motor and Home "/>
    <s v="All"/>
    <s v="Voice"/>
    <s v="L2"/>
    <n v="1"/>
    <n v="4"/>
    <n v="2"/>
    <s v="FTE Based"/>
    <s v="AUD"/>
    <n v="35409.32"/>
    <n v="197"/>
    <n v="9"/>
    <n v="7"/>
    <n v="30"/>
    <n v="243"/>
    <n v="0.12345679012345678"/>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AHT/Compliancxe"/>
    <s v="NPS/OSAT"/>
    <s v="NA"/>
    <s v="NA"/>
    <s v="NA"/>
    <s v="1.A demonstration of the AI Coach solution and an accompanying discussion on Point Automation are in the process of being scheduled with the new leadership team at Suncorp_x000a__x000a_."/>
    <s v="1- AI Coach (OPS Sponsored) - AI Solution that will provide coaching nudges and gamified performance management and PKTs)_x000a_2 - Assess potential automation opportunities across all solutions and processes running within Citrix, regardless of platform or application.. _x000a_"/>
    <s v="TBD"/>
    <s v="NA"/>
    <s v="Customer"/>
    <s v="Calls"/>
    <s v="Semi-Structured"/>
    <s v="100% Calls"/>
    <s v="NA"/>
    <s v="Customer, Sales"/>
    <s v="Mainframe,Protect and Customer Workbench"/>
  </r>
  <r>
    <x v="18"/>
    <s v="Large APAC P&amp;C Carrier"/>
    <s v="Australia"/>
    <s v="Alabang, PHP"/>
    <s v="Philippines"/>
    <s v="Verna  Arzadon"/>
    <n v="2.6"/>
    <x v="1"/>
    <x v="3"/>
    <x v="13"/>
    <s v="Webchat - Query resolution, General Inquiry"/>
    <s v="Chat, Email Support Policy enquiries, endorsements, payment"/>
    <s v="Policy Servicing through Chat and Email Support, Personal insurance handling Queries, Changes to policy, Documents, Payments/direct debit, Password Reset, Self-servce Support "/>
    <s v="Personal"/>
    <x v="3"/>
    <s v="Motor and Home "/>
    <s v="All"/>
    <s v="Voice"/>
    <s v="L2"/>
    <n v="1"/>
    <n v="6"/>
    <n v="4"/>
    <s v="FTE Based"/>
    <s v="AUD"/>
    <n v="34545.68"/>
    <n v="90"/>
    <n v="5"/>
    <n v="3"/>
    <n v="14"/>
    <n v="112"/>
    <n v="0.125"/>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SYNC GOS/Live chat ASA/HD Required"/>
    <s v="NPS/OSAT"/>
    <s v="NA"/>
    <s v="NA"/>
    <s v="NA"/>
    <s v="1.A demonstration of the AI Coach solution and an accompanying discussion on Point Automation are in the process of being scheduled with the new leadership team at Suncorp_x000a_2- Presented Chat AI - With the current leadership re-ogranization will be pushed to Reset."/>
    <s v="1- Deploy AI Coach (OPS Sponsored)_x000a_Assess opportunity to Automate inside Suncorp_x000a_2- Chat AI (Smart Chat AI) Tool "/>
    <s v="1- TBD _x000a_2- 6.6 (Original Calculation)"/>
    <s v="NA"/>
    <s v="Customer"/>
    <s v="EMAIL and CHAT"/>
    <s v="Semi-Structured"/>
    <s v="100% CHAT/Email"/>
    <s v="NA"/>
    <s v="Customer, Sales"/>
    <s v="Mainframe,Protect and Customer Workbench"/>
  </r>
  <r>
    <x v="19"/>
    <s v="UK General Insurance Carrier"/>
    <s v="UK"/>
    <s v="Cape Town, South Africa"/>
    <s v="South Africa"/>
    <s v="Denver Vieira, Nontobeko Mfeka"/>
    <n v="2"/>
    <x v="1"/>
    <x v="3"/>
    <x v="16"/>
    <s v="Renewal Processing and Issuance"/>
    <s v="Webchat and Inbound Calls"/>
    <s v="Handling incoming calls and chats from customers regarding various querries like mid-term amendments, renewals cancellations, complaints, payments, billing, general queries, etc. "/>
    <s v="Personal"/>
    <x v="4"/>
    <s v="Personal Auto"/>
    <s v="All"/>
    <s v="Voice and Webchat"/>
    <s v="L3"/>
    <n v="2"/>
    <n v="4"/>
    <n v="4"/>
    <s v="FTE Based"/>
    <s v="GBP"/>
    <n v="1244988"/>
    <n v="60"/>
    <n v="7"/>
    <n v="4"/>
    <n v="12"/>
    <n v="83"/>
    <n v="0.14457831325301204"/>
    <n v="55000"/>
    <s v="Calls: 20000_x000a_Chats: 35000"/>
    <s v="Oct - Dec"/>
    <s v="Calls: 540 to 570 sec_x000a_Chats: 900 to 950 sec"/>
    <s v="NA"/>
    <n v="0.9"/>
    <s v="DPO – Defect Per Opportunity"/>
    <s v="Net Lock Down (staffing delivery per interval): 100%"/>
    <s v="Compliance: 95%"/>
    <s v="Quality - following all regulatory / compliance scripts _x000a_Net Lock Down Delivery - 100% delivery can be challenging with spikes in absences, etc."/>
    <s v="CSAT (Target 70%)"/>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x v="20"/>
    <s v="Fortune 100 Global P&amp;C Carrier"/>
    <s v="US"/>
    <s v="Pune, India"/>
    <s v="India"/>
    <s v="Rashmi Arora"/>
    <s v="12 months"/>
    <x v="1"/>
    <x v="2"/>
    <x v="11"/>
    <s v="Renewal Quotes/ Rating"/>
    <s v="Generating Quotes"/>
    <s v="Generating quotes for Auto policies by following instructions"/>
    <s v="Commercial"/>
    <x v="1"/>
    <s v="AUTO"/>
    <s v="Mid Size"/>
    <s v="Back Office"/>
    <s v="L3"/>
    <n v="1"/>
    <n v="6"/>
    <n v="7"/>
    <s v="FTE Based"/>
    <s v="USD"/>
    <n v="22264"/>
    <n v="8"/>
    <n v="0"/>
    <n v="1"/>
    <n v="1"/>
    <n v="10"/>
    <n v="0.1"/>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x v="20"/>
    <s v="Fortune 100 Global P&amp;C Carrier"/>
    <s v="US"/>
    <s v="Pune, India"/>
    <s v="India"/>
    <s v="Rashmi Arora"/>
    <s v="12 months"/>
    <x v="1"/>
    <x v="2"/>
    <x v="6"/>
    <s v="Finalize Issuance of policies"/>
    <s v="Issuing Policy"/>
    <s v="Issuance policies for finalised quotes by updating forms and fill-ins as per AA instructions"/>
    <s v="Commercial"/>
    <x v="1"/>
    <s v="AUTO"/>
    <s v="Mid Size"/>
    <s v="Back Office"/>
    <s v="L3"/>
    <n v="1"/>
    <n v="3"/>
    <n v="8"/>
    <s v="FTE Based"/>
    <s v="USD"/>
    <n v="22264"/>
    <n v="7"/>
    <n v="0"/>
    <n v="0.5"/>
    <n v="1"/>
    <n v="8.5"/>
    <n v="0.11764705882352941"/>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x v="20"/>
    <s v="Fortune 100 Global P&amp;C Carrier"/>
    <s v="US"/>
    <s v="Pune, India"/>
    <s v="India"/>
    <s v="Rashmi Arora"/>
    <s v="12 months"/>
    <x v="1"/>
    <x v="2"/>
    <x v="11"/>
    <s v="Renewal Quotes/ Rating"/>
    <s v="Comparing Forms "/>
    <s v="Comparing forms of renewal quotes and old quote to match and finalize forms"/>
    <s v="Commercial"/>
    <x v="1"/>
    <s v="AUTO"/>
    <s v="Mid Size &amp; Large"/>
    <s v="Back Office"/>
    <s v="L3"/>
    <n v="1"/>
    <n v="3"/>
    <n v="5"/>
    <s v="FTE Based"/>
    <s v="USD"/>
    <n v="22264"/>
    <n v="7"/>
    <n v="0"/>
    <n v="0.5"/>
    <n v="2"/>
    <n v="9.5"/>
    <n v="0.21052631578947367"/>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x v="20"/>
    <s v="Fortune 100 Global P&amp;C Carrier"/>
    <s v="US"/>
    <s v="Pune, India"/>
    <s v="India"/>
    <s v="Rashmi Arora"/>
    <s v="12 months"/>
    <x v="1"/>
    <x v="2"/>
    <x v="11"/>
    <s v="New Business Quotes/ Rating"/>
    <s v="Generating Quotes"/>
    <s v="Generating quotes for WC policies by following AA instructions"/>
    <s v="Commercial"/>
    <x v="5"/>
    <s v="WC"/>
    <s v="Mid Size &amp; Large"/>
    <s v="Back Office"/>
    <s v="L3"/>
    <n v="1"/>
    <n v="5"/>
    <n v="8"/>
    <s v="FTE Based"/>
    <s v="USD"/>
    <n v="22264"/>
    <n v="11"/>
    <n v="0"/>
    <n v="1"/>
    <n v="2"/>
    <n v="14"/>
    <n v="0.1428571428571428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x v="20"/>
    <s v="Fortune 100 Global P&amp;C Carrier"/>
    <s v="US"/>
    <s v="Pune, India"/>
    <s v="India"/>
    <s v="Rashmi Arora"/>
    <s v="12 months"/>
    <x v="1"/>
    <x v="2"/>
    <x v="10"/>
    <s v="Premium Audit Endorsements"/>
    <s v="Premium Audit"/>
    <s v="Auditing finalized premium after the renewal / new business issuance for every policy"/>
    <s v="Commercial"/>
    <x v="5"/>
    <s v="WC"/>
    <s v="Mid Size &amp; Large"/>
    <s v="Back Office"/>
    <s v="L3"/>
    <n v="1"/>
    <n v="4"/>
    <n v="6"/>
    <s v="FTE Based"/>
    <s v="USD"/>
    <n v="22264"/>
    <n v="10"/>
    <n v="0"/>
    <n v="1"/>
    <n v="2"/>
    <n v="13"/>
    <n v="0.1538461538461538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x v="20"/>
    <s v="Fortune 100 Global P&amp;C Carrier"/>
    <s v="US"/>
    <s v="Pune, India"/>
    <s v="India"/>
    <s v="Rashmi Arora"/>
    <s v="12 months"/>
    <x v="1"/>
    <x v="2"/>
    <x v="6"/>
    <s v="Finalize Issuance of policies"/>
    <s v="Issuing Policy"/>
    <s v="Issuance policies for finalised quotes by updating forms and fill-ins as per AA instructions. Updating Experience mods for midterms."/>
    <s v="Commercial"/>
    <x v="5"/>
    <s v="WC"/>
    <s v="Mid Size &amp; Large"/>
    <s v="Back Office"/>
    <s v="L3"/>
    <n v="1"/>
    <n v="4"/>
    <n v="8"/>
    <s v="FTE Based"/>
    <s v="USD"/>
    <n v="22264"/>
    <n v="8"/>
    <n v="0"/>
    <n v="1"/>
    <n v="1"/>
    <n v="10"/>
    <n v="0.1"/>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x v="20"/>
    <s v="Fortune 100 Global P&amp;C Carrier"/>
    <s v="US"/>
    <s v="Pune, India"/>
    <s v="India"/>
    <s v="Rashmi Arora"/>
    <s v="12 months"/>
    <x v="1"/>
    <x v="2"/>
    <x v="6"/>
    <s v="Finalize Issuance of policies"/>
    <s v="Issuing Policy"/>
    <s v="Issuance policies for finalised quotes by updating forms and fill-ins as per AA instructions. Updating Experience mods for midterms."/>
    <s v="Commercial"/>
    <x v="5"/>
    <s v="WC"/>
    <s v="Mid Size &amp; Large"/>
    <s v="Back Office"/>
    <s v="L3"/>
    <n v="1"/>
    <n v="3"/>
    <n v="4"/>
    <s v="FTE Based"/>
    <s v="USD"/>
    <n v="22264"/>
    <n v="3"/>
    <n v="0"/>
    <n v="0"/>
    <n v="2"/>
    <n v="5"/>
    <n v="0.4"/>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x v="20"/>
    <s v="Fortune 100 Global P&amp;C Carrier"/>
    <s v="US"/>
    <s v="Pune, India"/>
    <s v="India"/>
    <s v="Rashmi Arora"/>
    <s v="12 months"/>
    <x v="1"/>
    <x v="2"/>
    <x v="5"/>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s v="Commercial"/>
    <x v="3"/>
    <s v="Auto_x000a_GL_x000a_Property_x000a_WC _x000a_Inland Marine"/>
    <s v="All"/>
    <s v="Back Office"/>
    <s v="L3"/>
    <n v="1"/>
    <n v="7"/>
    <n v="6"/>
    <s v="FTE Based"/>
    <s v="USD"/>
    <n v="22264"/>
    <n v="3"/>
    <n v="0"/>
    <n v="0"/>
    <n v="1"/>
    <n v="4"/>
    <n v="0.2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x v="20"/>
    <s v="Fortune 100 Global P&amp;C Carrier"/>
    <s v="US"/>
    <s v="Pune, India"/>
    <s v="India"/>
    <s v="Rashmi Arora"/>
    <s v="12 months"/>
    <x v="1"/>
    <x v="2"/>
    <x v="5"/>
    <s v="Validate and Update Policy info (Limits, Exposure State, Exposure, FEIN, Address, Name Insured, Employers Liability etc.)"/>
    <s v="Policy Assembly"/>
    <s v="Updating forms of the GL policies as per broker instruction and finalizing the policy"/>
    <s v="Commercial"/>
    <x v="14"/>
    <s v="GL"/>
    <s v="Mid Size &amp; Large"/>
    <s v="Back Office"/>
    <s v="L3"/>
    <n v="1"/>
    <n v="5"/>
    <n v="4"/>
    <s v="FTE Based"/>
    <s v="USD"/>
    <n v="22264"/>
    <n v="1"/>
    <n v="0"/>
    <n v="0"/>
    <n v="1"/>
    <n v="2"/>
    <n v="0.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s v="US"/>
    <s v="Pune, India"/>
    <s v="India"/>
    <s v="Rashmi Arora"/>
    <s v="12 months"/>
    <x v="1"/>
    <x v="2"/>
    <x v="6"/>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s v="Commercial"/>
    <x v="2"/>
    <s v="Property"/>
    <s v="Mid Size &amp; Large"/>
    <s v="Back Office"/>
    <s v="L3"/>
    <n v="1"/>
    <n v="9"/>
    <n v="7"/>
    <s v="FTE Based"/>
    <s v="USD"/>
    <n v="22264"/>
    <n v="4"/>
    <n v="0"/>
    <n v="0.5"/>
    <n v="2"/>
    <n v="6.5"/>
    <n v="0.30769230769230771"/>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x v="20"/>
    <s v="Fortune 100 Global P&amp;C Carrier"/>
    <s v="US"/>
    <s v="Pune, India"/>
    <s v="India"/>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s v="Commercial"/>
    <x v="15"/>
    <s v="General Liability"/>
    <s v="Mid Size"/>
    <s v="Back Office"/>
    <s v="L3"/>
    <n v="1"/>
    <n v="8"/>
    <n v="11"/>
    <s v="FTE Based"/>
    <s v="USD"/>
    <n v="22264"/>
    <n v="9"/>
    <n v="0"/>
    <n v="0.5"/>
    <n v="0"/>
    <n v="9.5"/>
    <n v="0"/>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x v="20"/>
    <s v="Fortune 100 Global P&amp;C Carrier"/>
    <s v="US"/>
    <s v="Pune, India"/>
    <s v="India"/>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s v="Commercial"/>
    <x v="15"/>
    <s v="General Liability"/>
    <s v="Large"/>
    <s v="Back Office"/>
    <s v="L3"/>
    <n v="1"/>
    <n v="8"/>
    <n v="11"/>
    <s v="FTE Based"/>
    <s v="USD"/>
    <n v="22264"/>
    <n v="5"/>
    <n v="0"/>
    <n v="0.5"/>
    <n v="1"/>
    <n v="6.5"/>
    <n v="0.1538461538461538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x v="20"/>
    <s v="Fortune 100 Global P&amp;C Carrier"/>
    <s v="US"/>
    <s v="Pune, India"/>
    <s v="India"/>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s v="Commercial"/>
    <x v="5"/>
    <s v="WC"/>
    <s v="Mid Size &amp; Large"/>
    <s v="Back Office"/>
    <s v="L3"/>
    <n v="1"/>
    <n v="5"/>
    <n v="4"/>
    <s v="FTE Based"/>
    <s v="USD"/>
    <n v="22264"/>
    <n v="1"/>
    <n v="0"/>
    <n v="0"/>
    <n v="1"/>
    <n v="2"/>
    <n v="0.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x v="20"/>
    <s v="Fortune 100 Global P&amp;C Carrier"/>
    <s v="US"/>
    <s v="Pune, India"/>
    <s v="India"/>
    <s v="Rashmi Arora"/>
    <s v="12 months"/>
    <x v="1"/>
    <x v="2"/>
    <x v="3"/>
    <s v="Endorsements intake and setup"/>
    <s v="Policy Maintainance/Amendments"/>
    <s v="Work received post Issuance where team need to update add delete named insured, forms, exposure, class code and add/amend location address "/>
    <s v="Commercial"/>
    <x v="5"/>
    <s v="WC"/>
    <s v="Mid Size &amp; Large"/>
    <s v="Back Office"/>
    <s v="L3"/>
    <n v="1"/>
    <n v="8"/>
    <n v="9"/>
    <s v="FTE Based"/>
    <s v="USD"/>
    <n v="24300"/>
    <n v="6"/>
    <n v="0"/>
    <n v="1"/>
    <n v="2"/>
    <n v="9"/>
    <n v="0.22222222222222221"/>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x v="20"/>
    <s v="Fortune 100 Global P&amp;C Carrier"/>
    <s v="US"/>
    <s v="Pune, India"/>
    <s v="India"/>
    <s v="Rashmi Arora"/>
    <s v="12 months"/>
    <x v="1"/>
    <x v="2"/>
    <x v="11"/>
    <s v="Endorsements Quotes/ Rating"/>
    <s v="Rate Validation"/>
    <s v="&gt;Work received post Issuance, Request generated due to new information added in the midterm, original document is updated to include changes., Rater completes an excel template with account information &amp; Premium details"/>
    <s v="Commercial"/>
    <x v="5"/>
    <s v="WC"/>
    <s v="Mid Size"/>
    <s v="Back Office"/>
    <s v="L3"/>
    <n v="1"/>
    <n v="3"/>
    <n v="2"/>
    <s v="FTE Based"/>
    <s v="USD"/>
    <n v="22264"/>
    <n v="3"/>
    <n v="0"/>
    <n v="0"/>
    <n v="1"/>
    <n v="4"/>
    <n v="0.2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x v="20"/>
    <s v="Fortune 100 Global P&amp;C Carrier"/>
    <s v="US"/>
    <s v="Pune, India"/>
    <s v="India"/>
    <s v="Rashmi Arora"/>
    <s v="6 months"/>
    <x v="1"/>
    <x v="2"/>
    <x v="11"/>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s v="Commercial"/>
    <x v="16"/>
    <s v="Auto, GL, Prop, WC, Crime"/>
    <s v="Mid Size"/>
    <s v="Back Office"/>
    <s v="L3"/>
    <n v="1"/>
    <n v="6"/>
    <n v="6"/>
    <s v="FTE Based"/>
    <s v="USD"/>
    <n v="22264"/>
    <n v="4"/>
    <n v="0"/>
    <n v="0.5"/>
    <n v="2"/>
    <n v="6.5"/>
    <n v="0.30769230769230771"/>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x v="20"/>
    <s v="Fortune 100 Global P&amp;C Carrier"/>
    <s v="US"/>
    <s v="Pune, India"/>
    <s v="India"/>
    <s v="Rashmi Arora"/>
    <s v="6 months"/>
    <x v="1"/>
    <x v="2"/>
    <x v="6"/>
    <s v="New Business Issuance"/>
    <s v="Issuing Policy"/>
    <s v="Issuance policies for finalised quotes by updating forms and fill-ins as per AA instructions"/>
    <s v="Commercial"/>
    <x v="1"/>
    <s v="AUTO"/>
    <s v="Large"/>
    <s v="Back Office"/>
    <s v="L3"/>
    <n v="1"/>
    <n v="6"/>
    <n v="16"/>
    <s v="FTE Based"/>
    <s v="USD"/>
    <n v="22264"/>
    <n v="3"/>
    <n v="0"/>
    <n v="0.5"/>
    <n v="2"/>
    <n v="5.5"/>
    <n v="0.3636363636363636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x v="20"/>
    <s v="Fortune 100 Global P&amp;C Carrier"/>
    <s v="US"/>
    <s v="Pune, India"/>
    <s v="India"/>
    <s v="Rashmi Arora"/>
    <s v="6 months"/>
    <x v="1"/>
    <x v="2"/>
    <x v="11"/>
    <s v="New Business Quotes/ Rating"/>
    <s v="Generating Quotes"/>
    <s v="Generating quotes for Auto policies by following AA instructions"/>
    <s v="Commercial"/>
    <x v="1"/>
    <s v="AUTO"/>
    <s v="Large"/>
    <s v="Back Office"/>
    <s v="L3"/>
    <n v="1"/>
    <n v="6"/>
    <n v="7"/>
    <s v="FTE Based"/>
    <s v="USD"/>
    <n v="22264"/>
    <n v="4"/>
    <n v="0"/>
    <n v="0.5"/>
    <n v="2"/>
    <n v="6.5"/>
    <n v="0.30769230769230771"/>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14"/>
    <s v="General Liability"/>
    <s v="Mid Size &amp; Large"/>
    <s v="Back Office"/>
    <s v="L3"/>
    <n v="1"/>
    <n v="10"/>
    <n v="11"/>
    <s v="FTE Based"/>
    <s v="USD"/>
    <n v="24300"/>
    <n v="7"/>
    <n v="0"/>
    <n v="0.5"/>
    <n v="4"/>
    <n v="11.5"/>
    <n v="0.34782608695652173"/>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x v="20"/>
    <s v="Fortune 100 Global P&amp;C Carrier"/>
    <s v="US"/>
    <s v="Pune, India"/>
    <s v="India"/>
    <s v="Rashmi Arora"/>
    <s v="6 months"/>
    <x v="1"/>
    <x v="2"/>
    <x v="5"/>
    <s v="Validate and Update Policy info (Limits, Exposure State, Exposure, FEIN, Address, Name Insured, Employers Liability etc.)"/>
    <s v="Policy Assembly"/>
    <s v="Updating forms of the GL policies as per broker instruction and finalizing the policy"/>
    <s v="Commercial"/>
    <x v="14"/>
    <s v="GL"/>
    <s v="Mid Size &amp; Large"/>
    <s v="Back Office"/>
    <s v="L3"/>
    <n v="1"/>
    <n v="5"/>
    <n v="4"/>
    <s v="FTE Based"/>
    <s v="USD"/>
    <n v="22264"/>
    <n v="3"/>
    <n v="0"/>
    <n v="0.5"/>
    <n v="2"/>
    <n v="5.5"/>
    <n v="0.3636363636363636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2"/>
    <s v="Property"/>
    <s v="Large"/>
    <s v="Back Office"/>
    <s v="L3"/>
    <n v="1"/>
    <n v="4"/>
    <n v="12"/>
    <s v="FTE Based"/>
    <s v="USD"/>
    <n v="24300"/>
    <n v="7"/>
    <n v="0"/>
    <n v="0"/>
    <n v="3"/>
    <n v="10"/>
    <n v="0.3"/>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2"/>
    <s v="Property"/>
    <s v="Mid Size &amp; Large"/>
    <s v="Back Office"/>
    <s v="L3"/>
    <n v="1"/>
    <n v="4"/>
    <n v="12"/>
    <s v="FTE Based"/>
    <s v="USD"/>
    <n v="24300"/>
    <n v="2"/>
    <n v="0"/>
    <n v="0"/>
    <n v="2"/>
    <n v="4"/>
    <n v="0.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s v="US"/>
    <s v="Pune, India"/>
    <s v="India"/>
    <s v="Rashmi Arora"/>
    <s v="6 months"/>
    <x v="1"/>
    <x v="2"/>
    <x v="11"/>
    <s v="New Business Quotes/ Rating"/>
    <s v="Policy Assignment"/>
    <s v="Assigning policy numbers for all LOB which has come to us as submission"/>
    <s v="Commercial"/>
    <x v="16"/>
    <s v="Auto, GL, Prop, WC"/>
    <s v="All"/>
    <s v="Back Office"/>
    <s v="L3"/>
    <n v="1"/>
    <n v="3"/>
    <n v="4"/>
    <s v="FTE Based"/>
    <s v="USD"/>
    <n v="22264"/>
    <n v="1"/>
    <n v="0"/>
    <n v="0"/>
    <n v="0"/>
    <n v="1"/>
    <n v="0"/>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x v="20"/>
    <s v="Fortune 100 Global P&amp;C Carrier"/>
    <s v="US"/>
    <s v="Pune, India"/>
    <s v="India"/>
    <s v="Rashmi Arora"/>
    <s v="6 months"/>
    <x v="1"/>
    <x v="2"/>
    <x v="5"/>
    <s v="Renewal Prep"/>
    <s v="Process UW Pre-Renewal"/>
    <s v="Pre renewal of existing policies according to eligibility criterias, Losses, TIV, Premium limits etc"/>
    <s v="Commercial"/>
    <x v="3"/>
    <s v="MA Excess Casualty, E-Breakdown, In. Marine &amp; Property"/>
    <s v="Large"/>
    <s v="Back Office"/>
    <s v="L3"/>
    <n v="1"/>
    <n v="7"/>
    <n v="8"/>
    <s v="FTE Based"/>
    <s v="USD"/>
    <n v="22264"/>
    <n v="7"/>
    <n v="0"/>
    <n v="1"/>
    <n v="4"/>
    <n v="12"/>
    <n v="0.33333333333333331"/>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x v="20"/>
    <s v="Fortune 100 Global P&amp;C Carrier"/>
    <s v="US"/>
    <s v="Pune, India"/>
    <s v="India"/>
    <s v="Rashmi Arora"/>
    <s v="6 months"/>
    <x v="1"/>
    <x v="2"/>
    <x v="5"/>
    <s v="Renewal Prep"/>
    <s v="Process UW Pre-Renewal"/>
    <s v="Pre renewal according to exping accounts"/>
    <s v="Commercial"/>
    <x v="16"/>
    <s v="Auto, GL, Prop, WC, Government Line and School Lines, Crime, Liquor Liability"/>
    <s v="Mid Size"/>
    <s v="Back Office"/>
    <s v="L3"/>
    <n v="1"/>
    <n v="6"/>
    <n v="4"/>
    <s v="FTE Based"/>
    <s v="USD"/>
    <n v="22264"/>
    <n v="1"/>
    <n v="0"/>
    <n v="0"/>
    <n v="0"/>
    <n v="1"/>
    <n v="0"/>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x v="20"/>
    <s v="Fortune 100 Global P&amp;C Carrier"/>
    <s v="US"/>
    <s v="Pune, India"/>
    <s v="India"/>
    <s v="Rashmi Arora"/>
    <s v="6 months"/>
    <x v="1"/>
    <x v="2"/>
    <x v="5"/>
    <s v="Renewal Prep"/>
    <s v="Process Pre-Renewal CNR"/>
    <s v="Sending templates to the UW and sending Drafts to the insured with Condistions of the renewal / non-renewal of the policies"/>
    <s v="Commercial"/>
    <x v="3"/>
    <s v="Auto, GL, Prop, WC, Umbrella, Excess Casualty, Inland Marine, Crime"/>
    <s v="Mid Size &amp; Large"/>
    <s v="Back Office"/>
    <s v="L3"/>
    <n v="1"/>
    <n v="4"/>
    <n v="5"/>
    <s v="FTE Based"/>
    <s v="USD"/>
    <n v="22264"/>
    <n v="5"/>
    <n v="0"/>
    <n v="0"/>
    <n v="1"/>
    <n v="6"/>
    <n v="0.16666666666666666"/>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x v="20"/>
    <s v="Fortune 100 Global P&amp;C Carrier"/>
    <s v="US"/>
    <s v="Pune, India"/>
    <s v="India"/>
    <s v="Rashmi Arora"/>
    <s v="6 months"/>
    <x v="1"/>
    <x v="2"/>
    <x v="5"/>
    <s v="Renewal Prep"/>
    <s v="Process Signed Docs"/>
    <s v="Generate policy documents, calculate premium and send it to Insured for Signing"/>
    <s v="Commercial"/>
    <x v="3"/>
    <s v="Auto, GL, Prop, WC, UM/UIM, Umbrella, Inland Marine, Liquor, RRR (rail road protection)"/>
    <s v="Mid Size &amp; Large"/>
    <s v="Back Office"/>
    <s v="L3"/>
    <n v="1"/>
    <n v="6"/>
    <n v="4"/>
    <s v="FTE Based"/>
    <s v="USD"/>
    <n v="22264"/>
    <n v="7"/>
    <n v="0"/>
    <n v="0"/>
    <n v="2"/>
    <n v="9"/>
    <n v="0.22222222222222221"/>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x v="20"/>
    <s v="Fortune 100 Global P&amp;C Carrier"/>
    <s v="US"/>
    <s v="Pune, India"/>
    <s v="India"/>
    <s v="Rashmi Arora"/>
    <s v="1 month"/>
    <x v="1"/>
    <x v="2"/>
    <x v="3"/>
    <s v="Endorsements intake and setup"/>
    <s v="Policy Maintainance/Amendments"/>
    <s v="Work received post Issuance where team need to update add delete named insured, forms, exposure, class code and add/amend location address "/>
    <s v="Commercial"/>
    <x v="1"/>
    <s v="AUTO"/>
    <s v="Mid Size &amp; Large"/>
    <s v="Back Office"/>
    <s v="L3"/>
    <n v="1"/>
    <n v="2"/>
    <n v="8"/>
    <s v="FTE Based"/>
    <s v="USD"/>
    <n v="24300"/>
    <n v="6"/>
    <n v="0"/>
    <n v="0"/>
    <n v="3"/>
    <n v="9"/>
    <n v="0.33333333333333331"/>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x v="20"/>
    <s v="Fortune 100 Global P&amp;C Carrier"/>
    <s v="US"/>
    <s v="Pune, India"/>
    <s v="India"/>
    <s v="Rashmi Arora"/>
    <s v="1 month"/>
    <x v="1"/>
    <x v="2"/>
    <x v="6"/>
    <s v="New Business Issuance"/>
    <s v="Issuing Policy"/>
    <s v="Issuance policies for finalised quotes by updating forms and fill-ins as per AA instructions"/>
    <s v="Commercial"/>
    <x v="14"/>
    <s v="General Liability"/>
    <s v="Mid Size &amp; Large"/>
    <s v="Back Office"/>
    <s v="L3"/>
    <n v="1"/>
    <n v="4"/>
    <n v="8"/>
    <s v="FTE Based"/>
    <s v="USD"/>
    <n v="22264"/>
    <n v="11"/>
    <n v="0"/>
    <n v="1"/>
    <n v="4"/>
    <n v="16"/>
    <n v="0.2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x v="20"/>
    <s v="Fortune 100 Global P&amp;C Carrier"/>
    <s v="US"/>
    <s v="Manila, PHP"/>
    <s v="Philippines"/>
    <s v="Ruth Verzonilla"/>
    <n v="5"/>
    <x v="1"/>
    <x v="1"/>
    <x v="4"/>
    <s v="Inquiry calls from providers (medical bill review; bill intake; medical billing form and payment)"/>
    <s v="PSU"/>
    <s v="Intake of medical provider calls regarding WC medical bill status"/>
    <s v="Commercial"/>
    <x v="5"/>
    <s v="Single LOB - WC"/>
    <s v="All"/>
    <s v="Voice"/>
    <s v="L3"/>
    <n v="1.4"/>
    <n v="3"/>
    <s v="15 days"/>
    <s v="FTE Based"/>
    <s v="USD"/>
    <n v="27183"/>
    <n v="18.489999999999998"/>
    <n v="4"/>
    <n v="1.5"/>
    <n v="5.5"/>
    <n v="29.49"/>
    <n v="0.18650389962699221"/>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x v="20"/>
    <s v="Fortune 100 Global P&amp;C Carrier"/>
    <s v="US"/>
    <s v="Manila, PHP"/>
    <s v="Philippines"/>
    <s v="Ruth Verzonilla"/>
    <n v="5"/>
    <x v="1"/>
    <x v="1"/>
    <x v="9"/>
    <s v="Medical Bill Review and Repricing"/>
    <s v="CRS"/>
    <s v="Review of WC medical bills based on State specific WC guidelines, CPT/ICD, CPT modifier etc."/>
    <s v="Commercial"/>
    <x v="5"/>
    <s v="Single LOB - WC"/>
    <s v="All"/>
    <s v="Back Office"/>
    <s v="L4"/>
    <n v="0.8"/>
    <n v="4"/>
    <s v="20 days"/>
    <s v="FTE Based"/>
    <s v="USD"/>
    <n v="36765"/>
    <n v="7.08"/>
    <n v="2"/>
    <n v="1"/>
    <n v="3"/>
    <n v="13.08"/>
    <n v="0.2293577981651376"/>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x v="20"/>
    <s v="Fortune 100 Global P&amp;C Carrier"/>
    <s v="US"/>
    <s v="Manila, PHP"/>
    <s v="Philippines"/>
    <s v="Ruth Verzonilla"/>
    <n v="3"/>
    <x v="2"/>
    <x v="1"/>
    <x v="4"/>
    <s v="Inquiry calls from providers (medical bill review; bill intake; medical billing form and payment)"/>
    <s v="UM Calls"/>
    <s v="Intake of medical provider calls and members regarding UR status"/>
    <s v="Commercial"/>
    <x v="5"/>
    <s v="Single LOB - WC"/>
    <s v="All"/>
    <s v="Voice"/>
    <s v="L3"/>
    <n v="1.4"/>
    <n v="2"/>
    <s v="15 days"/>
    <s v="FTE Based"/>
    <s v="USD"/>
    <n v="27183"/>
    <n v="3.2"/>
    <n v="1"/>
    <n v="1"/>
    <n v="1"/>
    <n v="6.2"/>
    <n v="0.16129032258064516"/>
    <n v="4693"/>
    <s v="TBD"/>
    <s v="March, May, June &amp; August"/>
    <s v="NA"/>
    <s v="NA"/>
    <n v="0.96"/>
    <s v="DPO – Defect Per Opportunity"/>
    <s v="ABA% 4%"/>
    <s v="AHT 166 secs"/>
    <s v="NA"/>
    <s v="NA"/>
    <s v="NA"/>
    <s v="NA"/>
    <s v="NA"/>
    <s v="NA"/>
    <s v="NA"/>
    <s v="NA"/>
    <s v="NA"/>
    <s v="Medical Providers, Members"/>
    <s v="Others"/>
    <s v="Semi-Structured"/>
    <n v="1"/>
    <s v="Others"/>
    <s v="Medical Providers"/>
    <s v="ECM"/>
  </r>
  <r>
    <x v="20"/>
    <s v="Fortune 100 Global P&amp;C Carrier"/>
    <s v="US"/>
    <s v="Manila, PHP"/>
    <s v="Philippines"/>
    <s v="Ruth Verzonilla"/>
    <n v="2"/>
    <x v="1"/>
    <x v="1"/>
    <x v="9"/>
    <s v="Bill Payment (Medical Legal, Non Medical, Vendor)"/>
    <s v="MBR OP"/>
    <s v="Review of overpayment and refund for WC medical bills "/>
    <s v="Commercial"/>
    <x v="5"/>
    <s v="Single LOB - WC"/>
    <s v="All"/>
    <s v="Blended"/>
    <s v="L3"/>
    <n v="0.8"/>
    <n v="3"/>
    <n v="15"/>
    <s v="FTE Based"/>
    <s v="USD"/>
    <n v="27183"/>
    <n v="4.1500000000000004"/>
    <n v="0"/>
    <n v="0"/>
    <n v="0"/>
    <n v="4.1500000000000004"/>
    <n v="0"/>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x v="20"/>
    <s v="Fortune 100 Global P&amp;C Carrier"/>
    <s v="US"/>
    <s v="Noida, India"/>
    <s v="India"/>
    <s v="Bhuwan Dass"/>
    <n v="5"/>
    <x v="1"/>
    <x v="1"/>
    <x v="1"/>
    <s v="Adjuster License Management (addition/renewal/removal)"/>
    <s v="CM Contact"/>
    <s v="Addition of new (or existing) agent for NI business"/>
    <s v="Commercial"/>
    <x v="3"/>
    <s v="WC, Auto, Property"/>
    <s v="All"/>
    <s v="Back Office"/>
    <s v="L2"/>
    <n v="1"/>
    <n v="3"/>
    <s v="8 WK"/>
    <s v="FTE Based"/>
    <s v="USD"/>
    <n v="28906.52"/>
    <n v="0"/>
    <n v="1"/>
    <n v="1"/>
    <n v="1"/>
    <n v="3"/>
    <n v="0.33333333333333331"/>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mpliance Notice"/>
    <s v="Possible addition as well as appointment for new (or existing) agent for NI business"/>
    <s v="Commercial"/>
    <x v="3"/>
    <s v="WC, Auto, Property"/>
    <s v="All"/>
    <s v="Back Office"/>
    <s v="L2"/>
    <n v="1"/>
    <n v="3"/>
    <s v="8 WK"/>
    <s v="FTE Based"/>
    <s v="USD"/>
    <n v="25140.33"/>
    <n v="1"/>
    <n v="1"/>
    <n v="0"/>
    <n v="1"/>
    <n v="3"/>
    <n v="0.33333333333333331"/>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mpliance Notice Appt"/>
    <s v="Appointment for existing agent for NI business"/>
    <s v="Commercial"/>
    <x v="3"/>
    <s v="WC, Auto, Property"/>
    <s v="All"/>
    <s v="Back Office"/>
    <s v="L2"/>
    <n v="1"/>
    <n v="3"/>
    <s v="8 WK"/>
    <s v="FTE Based"/>
    <s v="USD"/>
    <n v="25140.33"/>
    <n v="0"/>
    <n v="1"/>
    <n v="0"/>
    <n v="1"/>
    <n v="2"/>
    <n v="0.5"/>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ntracts/Agreements"/>
    <s v="Logging and filing of returned/signed agency agreement"/>
    <s v="Commercial"/>
    <x v="3"/>
    <s v="WC, Auto, Property"/>
    <s v="All"/>
    <s v="Back Office"/>
    <s v="L2"/>
    <n v="1"/>
    <n v="3"/>
    <s v="8 WK"/>
    <s v="FTE Based"/>
    <s v="USD"/>
    <n v="25140.33"/>
    <n v="1"/>
    <n v="1"/>
    <n v="0"/>
    <n v="1"/>
    <n v="3"/>
    <n v="0.33333333333333331"/>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Nonresident Appointment"/>
    <s v="Non-Resident appointment for both agent and agency for applicable line of business to specific agency code(s) as well as opening product lines within Safeco"/>
    <s v="Commercial"/>
    <x v="3"/>
    <s v="WC, Auto, Property"/>
    <s v="All"/>
    <s v="Back Office"/>
    <s v="L2"/>
    <n v="1"/>
    <n v="3"/>
    <s v="8 WK"/>
    <s v="FTE Based"/>
    <s v="USD"/>
    <n v="25140.33"/>
    <n v="1.21"/>
    <n v="0"/>
    <n v="0"/>
    <n v="1"/>
    <n v="2.21"/>
    <n v="0.45248868778280543"/>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art II Termination"/>
    <s v="Termination of appointments for Agency and last agent after an Agency Termination"/>
    <s v="Commercial"/>
    <x v="3"/>
    <s v="WC, Auto, Property"/>
    <s v="All"/>
    <s v="Back Office"/>
    <s v="L2"/>
    <n v="1"/>
    <n v="3"/>
    <s v="8 WK"/>
    <s v="FTE Based"/>
    <s v="USD"/>
    <n v="25140.33"/>
    <n v="0.19"/>
    <n v="0"/>
    <n v="0"/>
    <n v="0"/>
    <n v="0.19"/>
    <n v="0"/>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Appointment"/>
    <s v="Addition of new agent for applicable line of business requested to specific agency code(s)"/>
    <s v="Commercial"/>
    <x v="3"/>
    <s v="WC, Auto, Property"/>
    <s v="All"/>
    <s v="Back Office"/>
    <s v="L2"/>
    <n v="1"/>
    <n v="3"/>
    <s v="8 WK"/>
    <s v="FTE Based"/>
    <s v="USD"/>
    <n v="25140.33"/>
    <n v="3.61"/>
    <n v="0"/>
    <n v="0"/>
    <n v="0"/>
    <n v="3.61"/>
    <n v="0"/>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Transfer"/>
    <s v="Addition of new agent for applicable line of business requested to specific agency code(s)"/>
    <s v="Commercial"/>
    <x v="3"/>
    <s v="WC, Auto, Property"/>
    <s v="All"/>
    <s v="Back Office"/>
    <s v="L2"/>
    <n v="1"/>
    <n v="3"/>
    <s v="8 WK"/>
    <s v="FTE Based"/>
    <s v="USD"/>
    <n v="25140.33"/>
    <n v="0.08"/>
    <n v="0"/>
    <n v="0"/>
    <n v="0"/>
    <n v="0.08"/>
    <n v="0"/>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Termination"/>
    <s v="Termination of individual agent from specific agency relationship"/>
    <s v="Commercial"/>
    <x v="3"/>
    <s v="WC, Auto, Property"/>
    <s v="All"/>
    <s v="Back Office"/>
    <s v="L2"/>
    <n v="1"/>
    <n v="3"/>
    <s v="8 WK"/>
    <s v="FTE Based"/>
    <s v="USD"/>
    <n v="25140.33"/>
    <n v="1.77"/>
    <n v="0"/>
    <n v="0"/>
    <n v="0"/>
    <n v="1.77"/>
    <n v="0"/>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HardStop"/>
    <s v="In this task we appoint agent and agency for commercial line of business"/>
    <s v="Commercial"/>
    <x v="3"/>
    <s v="WC, Auto, Property"/>
    <s v="All"/>
    <s v="Back Office"/>
    <s v="L2"/>
    <n v="1"/>
    <n v="3"/>
    <s v="8 WK"/>
    <s v="FTE Based"/>
    <s v="USD"/>
    <n v="25140.33"/>
    <n v="0"/>
    <n v="0"/>
    <n v="0"/>
    <n v="0"/>
    <n v="0"/>
    <e v="#DIV/0!"/>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License Validation"/>
    <s v="This task is for commercial lines only. In this task we resolve compliance of both agency and agent"/>
    <s v="Commercial"/>
    <x v="3"/>
    <s v="WC, Auto, Property"/>
    <s v="All"/>
    <s v="Back Office"/>
    <s v="L2"/>
    <n v="1"/>
    <n v="3"/>
    <s v="8 WK"/>
    <s v="FTE Based"/>
    <s v="USD"/>
    <n v="25140.33"/>
    <n v="0"/>
    <n v="0"/>
    <n v="0"/>
    <n v="0"/>
    <n v="0"/>
    <e v="#DIV/0!"/>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Address Change(Same State) - USRM Adjusters"/>
    <s v="Address to be changed on NIPR website. EXL to complete the address change request within 2 Business Days from the date of request"/>
    <s v="Commercial"/>
    <x v="3"/>
    <s v="WC, Auto, Property"/>
    <s v="All"/>
    <s v="Back Office"/>
    <s v="L2"/>
    <n v="1"/>
    <n v="3"/>
    <s v="8 WK"/>
    <s v="FTE Based"/>
    <s v="USD"/>
    <n v="28906.52"/>
    <n v="0"/>
    <n v="1"/>
    <n v="1"/>
    <n v="0"/>
    <n v="2"/>
    <n v="0"/>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Terminations - USRM Adjusters"/>
    <s v="Completed within 3 business days of updating Term Report on WIP Tracker on Sharepoint"/>
    <s v="Commercial"/>
    <x v="3"/>
    <s v="WC, Auto, Property"/>
    <s v="All"/>
    <s v="Back Office"/>
    <s v="L2"/>
    <n v="1"/>
    <n v="3"/>
    <s v="8 WK"/>
    <s v="FTE Based"/>
    <s v="USD"/>
    <n v="25140.33"/>
    <n v="0.54"/>
    <n v="0"/>
    <n v="0"/>
    <n v="0"/>
    <n v="0.54"/>
    <n v="0"/>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Web CE Terminations - USRM Adjusters"/>
    <s v="Completed within 3 business days of updating Term Report on WIP Tracker on Sharepoint"/>
    <s v="Commercial"/>
    <x v="3"/>
    <s v="WC, Auto, Property"/>
    <s v="All"/>
    <s v="Back Office"/>
    <s v="L2"/>
    <n v="1"/>
    <n v="3"/>
    <s v="8 WK"/>
    <s v="FTE Based"/>
    <s v="USD"/>
    <n v="25140.33"/>
    <n v="0.54"/>
    <n v="0"/>
    <n v="0"/>
    <n v="0"/>
    <n v="0.54"/>
    <n v="0"/>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Name Changes - USRM Adjusters"/>
    <s v="EXL to complete in-scope activities of the name change request within 25 calendar days from the date of receiving request"/>
    <s v="Commercial"/>
    <x v="3"/>
    <s v="WC, Auto, Property"/>
    <s v="All"/>
    <s v="Back Office"/>
    <s v="L2"/>
    <n v="1"/>
    <n v="3"/>
    <s v="8 WK"/>
    <s v="FTE Based"/>
    <s v="USD"/>
    <n v="25140.33"/>
    <n v="0.08"/>
    <n v="0"/>
    <n v="0"/>
    <n v="0"/>
    <n v="0.08"/>
    <n v="0"/>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Customer Communications (USRM Adjusters)"/>
    <s v="All Emails received before 3 PM would be processed in 1 Business Day"/>
    <s v="Commercial"/>
    <x v="3"/>
    <s v="WC, Auto, Property"/>
    <s v="All"/>
    <s v="Back Office"/>
    <s v="L2"/>
    <n v="1"/>
    <n v="3"/>
    <s v="8 WK"/>
    <s v="FTE Based"/>
    <s v="USD"/>
    <n v="25140.33"/>
    <n v="5.85"/>
    <n v="0"/>
    <n v="0"/>
    <n v="0"/>
    <n v="5.85"/>
    <n v="0"/>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Intake - USRM Adjusters"/>
    <s v="All Emails received before 3 PM would be processed in 1 Business Day"/>
    <s v="Commercial"/>
    <x v="3"/>
    <s v="WC, Auto, Property"/>
    <s v="All"/>
    <s v="Back Office"/>
    <s v="L2"/>
    <n v="1"/>
    <n v="5"/>
    <s v="8 WK"/>
    <s v="FTE Based"/>
    <s v="USD"/>
    <n v="25140.33"/>
    <n v="0.06"/>
    <n v="0"/>
    <n v="0"/>
    <n v="0"/>
    <n v="0.06"/>
    <n v="0"/>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Initial Licensing - USRM Adjusters"/>
    <s v="Setup licensing for resident state / designated home state within 5 business days"/>
    <s v="Commercial"/>
    <x v="3"/>
    <s v="WC, Auto, Property"/>
    <s v="All"/>
    <s v="Back Office"/>
    <s v="L2"/>
    <n v="1"/>
    <n v="5"/>
    <s v="8 WK"/>
    <s v="FTE Based"/>
    <s v="USD"/>
    <n v="25140.33"/>
    <n v="0.13"/>
    <n v="0"/>
    <n v="0"/>
    <n v="0"/>
    <n v="0.13"/>
    <n v="0"/>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Reciprocals - USRM Adjusters"/>
    <s v="Setup licensing for all states (for reciprocals) wherever needed within 5 business days "/>
    <s v="Commercial"/>
    <x v="3"/>
    <s v="WC, Auto, Property"/>
    <s v="All"/>
    <s v="Back Office"/>
    <s v="L2"/>
    <n v="1"/>
    <n v="5"/>
    <s v="8 WK"/>
    <s v="FTE Based"/>
    <s v="USD"/>
    <n v="25140.33"/>
    <n v="0.09"/>
    <n v="0"/>
    <n v="0"/>
    <n v="0"/>
    <n v="0.09"/>
    <n v="0"/>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Appointment - USRM Adjusters"/>
    <s v="Setup appointment for Florida on state website &amp; for New Mexico on Sircon within 5 business days"/>
    <s v="Commercial"/>
    <x v="3"/>
    <s v="WC, Auto, Property"/>
    <s v="All"/>
    <s v="Back Office"/>
    <s v="L2"/>
    <n v="1"/>
    <n v="5"/>
    <s v="8 WK"/>
    <s v="FTE Based"/>
    <s v="USD"/>
    <n v="25140.33"/>
    <n v="0.02"/>
    <n v="0"/>
    <n v="0"/>
    <n v="0"/>
    <n v="0.02"/>
    <n v="0"/>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CE Review - USRM Adjusters"/>
    <s v="CE follow up requested 30 Calendar days prior to resident expiration date"/>
    <s v="Commercial"/>
    <x v="3"/>
    <s v="WC, Auto, Property"/>
    <s v="All"/>
    <s v="Back Office"/>
    <s v="L2"/>
    <n v="1"/>
    <n v="3"/>
    <s v="8 WK"/>
    <s v="FTE Based"/>
    <s v="USD"/>
    <n v="25140.33"/>
    <n v="0.72"/>
    <n v="0"/>
    <n v="0"/>
    <n v="0"/>
    <n v="0.72"/>
    <n v="0"/>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Renewals - USRM Adjusters"/>
    <s v="All renewals to be completed within 30 calender days of state opening for birtdate, appraiser and Manual"/>
    <s v="Commercial"/>
    <x v="3"/>
    <s v="WC, Auto, Property"/>
    <s v="All"/>
    <s v="Back Office"/>
    <s v="L2"/>
    <n v="1"/>
    <n v="3"/>
    <s v="8 WK"/>
    <s v="FTE Based"/>
    <s v="USD"/>
    <n v="25140.33"/>
    <n v="3.5"/>
    <n v="0"/>
    <n v="0"/>
    <n v="0"/>
    <n v="3.5"/>
    <n v="0"/>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Commercial"/>
    <x v="3"/>
    <s v="WC, Auto, Property"/>
    <s v="All"/>
    <s v="Back Office"/>
    <s v="L2"/>
    <n v="1"/>
    <n v="3"/>
    <s v="8 WK"/>
    <s v="FTE Based"/>
    <s v="USD"/>
    <n v="25140.33"/>
    <n v="1.43"/>
    <n v="0"/>
    <n v="0"/>
    <n v="0"/>
    <n v="1.43"/>
    <n v="0"/>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x v="20"/>
    <s v="Fortune 100 Global P&amp;C Carrier"/>
    <s v="US"/>
    <s v="Noida, India"/>
    <s v="India"/>
    <s v="Bhuwan Dass"/>
    <n v="5"/>
    <x v="1"/>
    <x v="1"/>
    <x v="1"/>
    <s v="Adjuster Onboarding/Off-boarding"/>
    <s v="New Hire Intake - USRM Producers"/>
    <s v="Orientation Checklist sent to new hire along with relevant PX Packet within 1 business day of receiving the request from Liberty "/>
    <s v="Commercial"/>
    <x v="3"/>
    <s v="WC, Auto, Property"/>
    <s v="All"/>
    <s v="Back Office"/>
    <s v="L2"/>
    <n v="1"/>
    <n v="1"/>
    <s v="1 WK"/>
    <s v="FTE Based"/>
    <s v="USD"/>
    <n v="25140.33"/>
    <n v="0"/>
    <n v="0"/>
    <n v="0"/>
    <n v="0"/>
    <n v="0"/>
    <e v="#DIV/0!"/>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Intake- USRM IA Partnership"/>
    <s v="Registration Email sent to new hire within 1 business day of receiving the request from Liberty "/>
    <s v="Commercial"/>
    <x v="3"/>
    <s v="WC, Auto, Property"/>
    <s v="All"/>
    <s v="Back Office"/>
    <s v="L2"/>
    <n v="1"/>
    <n v="1"/>
    <s v="1 WK"/>
    <s v="FTE Based"/>
    <s v="USD"/>
    <n v="25140.33"/>
    <n v="0.5"/>
    <n v="0"/>
    <n v="0"/>
    <n v="0"/>
    <n v="0.5"/>
    <n v="0"/>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Initial Licensing - USRM Producers"/>
    <s v="Apply for resident license within 2 business days of passing exam"/>
    <s v="Commercial"/>
    <x v="3"/>
    <s v="WC, Auto, Property"/>
    <s v="All"/>
    <s v="Back Office"/>
    <s v="L2"/>
    <n v="1"/>
    <n v="1"/>
    <s v="1 WK"/>
    <s v="FTE Based"/>
    <s v="USD"/>
    <n v="25140.33"/>
    <n v="1.19"/>
    <n v="0"/>
    <n v="0"/>
    <n v="0"/>
    <n v="1.19"/>
    <n v="0"/>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Reciprocals - USRM Producers"/>
    <s v="Apply for nonresident licenses within 5 business days of resident license approval or new request."/>
    <s v="Commercial"/>
    <x v="3"/>
    <s v="WC, Auto, Property"/>
    <s v="All"/>
    <s v="Back Office"/>
    <s v="L2"/>
    <n v="1"/>
    <n v="1"/>
    <s v="1 WK"/>
    <s v="FTE Based"/>
    <s v="USD"/>
    <n v="25140.33"/>
    <n v="0.19"/>
    <n v="0"/>
    <n v="0"/>
    <n v="0"/>
    <n v="0.19"/>
    <n v="0"/>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appointment - USRM Producers"/>
    <s v="Non-JIT EE  appointments within 7 business days from EE license approval"/>
    <s v="Commercial"/>
    <x v="3"/>
    <s v="WC, Auto, Property"/>
    <s v="All"/>
    <s v="Back Office"/>
    <s v="L2"/>
    <n v="1"/>
    <n v="1"/>
    <s v="1 WK"/>
    <s v="FTE Based"/>
    <s v="USD"/>
    <n v="25140.33"/>
    <n v="0.19"/>
    <n v="0"/>
    <n v="0"/>
    <n v="0"/>
    <n v="0.19"/>
    <n v="0"/>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appointment- USRM IA Partnership"/>
    <s v="Once registration email is received for IA, appointments start for respective states"/>
    <s v="Commercial"/>
    <x v="3"/>
    <s v="WC, Auto, Property"/>
    <s v="All"/>
    <s v="Back Office"/>
    <s v="L2"/>
    <n v="1"/>
    <n v="1"/>
    <s v="1 WK"/>
    <s v="FTE Based"/>
    <s v="USD"/>
    <n v="25140.33"/>
    <n v="0.5"/>
    <n v="0"/>
    <n v="0"/>
    <n v="0"/>
    <n v="0.5"/>
    <n v="0"/>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E Review - USRM Producers"/>
    <s v="CE follow up requested 30 Calendar days prior to resident expiration date"/>
    <s v="Commercial"/>
    <x v="3"/>
    <s v="WC, Auto, Property"/>
    <s v="All"/>
    <s v="Back Office"/>
    <s v="L2"/>
    <n v="1"/>
    <n v="3"/>
    <s v="8 WK"/>
    <s v="FTE Based"/>
    <s v="USD"/>
    <n v="41076.14"/>
    <n v="0"/>
    <n v="0"/>
    <n v="1"/>
    <n v="0"/>
    <n v="1"/>
    <n v="0"/>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Renewals - USRM Producers"/>
    <s v="Renewals to be completed 30 days prior to expiration date (if CE done)"/>
    <s v="Commercial"/>
    <x v="3"/>
    <s v="WC, Auto, Property"/>
    <s v="All"/>
    <s v="Back Office"/>
    <s v="L2"/>
    <n v="1"/>
    <n v="3"/>
    <s v="8 WK"/>
    <s v="FTE Based"/>
    <s v="USD"/>
    <n v="25140.33"/>
    <n v="4.21"/>
    <n v="0"/>
    <n v="0"/>
    <n v="0"/>
    <n v="4.21"/>
    <n v="0"/>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ustomer Communications - USRM Producers"/>
    <s v="Emails have to be responded within 2 business days of receiving in the mailbox."/>
    <s v="Commercial"/>
    <x v="3"/>
    <s v="WC, Auto, Property"/>
    <s v="All"/>
    <s v="Back Office"/>
    <s v="L2"/>
    <n v="1"/>
    <n v="3"/>
    <s v="8 WK"/>
    <s v="FTE Based"/>
    <s v="USD"/>
    <n v="25140.33"/>
    <n v="4.42"/>
    <n v="0"/>
    <n v="0"/>
    <n v="0"/>
    <n v="4.42"/>
    <n v="0"/>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ustomer Communications - USRM IA Partnership"/>
    <s v="Emails have to be responded within 2 business days of receiving in the mailbox."/>
    <s v="Commercial"/>
    <x v="3"/>
    <s v="WC, Auto, Property"/>
    <s v="All"/>
    <s v="Back Office"/>
    <s v="L2"/>
    <n v="1"/>
    <n v="3"/>
    <s v="8 WK"/>
    <s v="FTE Based"/>
    <s v="USD"/>
    <n v="25140.33"/>
    <n v="0.5"/>
    <n v="0"/>
    <n v="0"/>
    <n v="0"/>
    <n v="0.5"/>
    <n v="0"/>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ddress Changes (same state) - USRM Producers"/>
    <s v="Address to be changed on NIPR website. EXL to complete the address change request within 2 Business Days from the date of request"/>
    <s v="Commercial"/>
    <x v="3"/>
    <s v="WC, Auto, Property"/>
    <s v="All"/>
    <s v="Back Office"/>
    <s v="L2"/>
    <n v="1"/>
    <n v="3"/>
    <s v="8 WK"/>
    <s v="FTE Based"/>
    <s v="USD"/>
    <n v="25140.33"/>
    <n v="0.28000000000000003"/>
    <n v="0"/>
    <n v="0"/>
    <n v="0"/>
    <n v="0.28000000000000003"/>
    <n v="0"/>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Name Changes - USRM Producers"/>
    <s v="EXL to complete in-scope activities of the name change request within 25 calendar days from the date of receiving request"/>
    <s v="Commercial"/>
    <x v="3"/>
    <s v="WC, Auto, Property"/>
    <s v="All"/>
    <s v="Back Office"/>
    <s v="L2"/>
    <n v="1"/>
    <n v="3"/>
    <s v="8 WK"/>
    <s v="FTE Based"/>
    <s v="USD"/>
    <n v="25140.33"/>
    <n v="0.02"/>
    <n v="0"/>
    <n v="0"/>
    <n v="0"/>
    <n v="0.02"/>
    <n v="0"/>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s v="Commercial"/>
    <x v="3"/>
    <s v="WC, Auto, Property"/>
    <s v="All"/>
    <s v="Back Office"/>
    <s v="L2"/>
    <n v="1"/>
    <n v="3"/>
    <s v="8 WK"/>
    <s v="FTE Based"/>
    <s v="USD"/>
    <n v="25140.33"/>
    <n v="0.88"/>
    <n v="0"/>
    <n v="0"/>
    <n v="0"/>
    <n v="0.88"/>
    <n v="0"/>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Terminations - USRM Producers"/>
    <s v="Completed within 3 business days of updating Term Report on WIP Tracker on Sharepoint"/>
    <s v="Commercial"/>
    <x v="3"/>
    <s v="WC, Auto, Property"/>
    <s v="All"/>
    <s v="Back Office"/>
    <s v="L2"/>
    <n v="1"/>
    <n v="3"/>
    <s v="8 WK"/>
    <s v="FTE Based"/>
    <s v="USD"/>
    <n v="25140.33"/>
    <n v="0.4"/>
    <n v="0"/>
    <n v="0"/>
    <n v="0"/>
    <n v="0.4"/>
    <n v="0"/>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Web CE Terminations - USRM Producers"/>
    <s v="Completed within 3 business days of updating Term Report on WIP Tracker on Sharepoint"/>
    <s v="Commercial"/>
    <x v="3"/>
    <s v="WC, Auto, Property"/>
    <s v="All"/>
    <s v="Back Office"/>
    <s v="L2"/>
    <n v="1"/>
    <n v="3"/>
    <s v="8 WK"/>
    <s v="FTE Based"/>
    <s v="USD"/>
    <n v="25140.33"/>
    <n v="0.4"/>
    <n v="0"/>
    <n v="0"/>
    <n v="0"/>
    <n v="0.4"/>
    <n v="0"/>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Terminations - USRM IA Partnership"/>
    <s v="Completed within 3 business days of updating Term Report on WIP Tracker on Sharepoint"/>
    <s v="Commercial"/>
    <x v="3"/>
    <s v="WC, Auto, Property"/>
    <s v="All"/>
    <s v="Back Office"/>
    <s v="L2"/>
    <n v="1"/>
    <n v="3"/>
    <s v="8 WK"/>
    <s v="FTE Based"/>
    <s v="USD"/>
    <n v="25140.33"/>
    <n v="0.5"/>
    <n v="0"/>
    <n v="0"/>
    <n v="0"/>
    <n v="0.5"/>
    <n v="0"/>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ddress Change(Same State) - GRS Adjusters"/>
    <s v="Address to be changed on NIPR website. EXL to complete the address change request within 2 Business Days from the date of request"/>
    <s v="Commercial"/>
    <x v="3"/>
    <s v="WC, Auto, Property"/>
    <s v="All"/>
    <s v="Back Office"/>
    <s v="L2"/>
    <n v="1"/>
    <n v="3"/>
    <s v="8 WK"/>
    <s v="FTE Based"/>
    <s v="USD"/>
    <n v="25140.33"/>
    <n v="3"/>
    <n v="0"/>
    <n v="0"/>
    <n v="0"/>
    <n v="3"/>
    <n v="0"/>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Terminations - GRS Adjusters"/>
    <s v="Completed within 3 business days of updating Term Report on WIP Tracker on Sharepoint"/>
    <s v="Commercial"/>
    <x v="3"/>
    <s v="WC, Auto, Property"/>
    <s v="All"/>
    <s v="Back Office"/>
    <s v="L2"/>
    <n v="1"/>
    <n v="3"/>
    <s v="8 WK"/>
    <s v="FTE Based"/>
    <s v="USD"/>
    <n v="25140.33"/>
    <n v="0"/>
    <n v="0"/>
    <n v="0"/>
    <n v="0"/>
    <n v="0"/>
    <e v="#DIV/0!"/>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Name Changes - GRS Adjusters"/>
    <s v="EXL to complete in-scope activities of the name change request within 25 calendar days from the date of receiving request"/>
    <s v="Commercial"/>
    <x v="3"/>
    <s v="WC, Auto, Property"/>
    <s v="All"/>
    <s v="Back Office"/>
    <s v="L2"/>
    <n v="1"/>
    <n v="3"/>
    <s v="8 WK"/>
    <s v="FTE Based"/>
    <s v="USD"/>
    <n v="25140.33"/>
    <n v="0"/>
    <n v="0"/>
    <n v="0"/>
    <n v="0"/>
    <n v="0"/>
    <e v="#DIV/0!"/>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Customer Communications - GRS Adjusters"/>
    <s v="All Emails received before 3 PM would be processed in 1 Business Day"/>
    <s v="Commercial"/>
    <x v="3"/>
    <s v="WC, Auto, Property"/>
    <s v="All"/>
    <s v="Back Office"/>
    <s v="L2"/>
    <n v="1"/>
    <n v="3"/>
    <s v="8 WK"/>
    <s v="FTE Based"/>
    <s v="USD"/>
    <n v="25140.33"/>
    <n v="0"/>
    <n v="0"/>
    <n v="0"/>
    <n v="0"/>
    <n v="0"/>
    <e v="#DIV/0!"/>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Web CE Termination - GRS Adjusters"/>
    <s v="Completed within 3 business days of updating Term Report on WIP Tracker on Sharepoint"/>
    <s v="Commercial"/>
    <x v="3"/>
    <s v="WC, Auto, Property"/>
    <s v="All"/>
    <s v="Back Office"/>
    <s v="L2"/>
    <n v="1"/>
    <n v="3"/>
    <s v="8 WK"/>
    <s v="FTE Based"/>
    <s v="USD"/>
    <n v="25140.33"/>
    <n v="0"/>
    <n v="0"/>
    <n v="0"/>
    <n v="0"/>
    <n v="0"/>
    <e v="#DIV/0!"/>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Intake - GRS Adjusters"/>
    <s v="All Emails received before 3 PM would be processed in 1 Business Day"/>
    <s v="Commercial"/>
    <x v="3"/>
    <s v="WC, Auto, Property"/>
    <s v="All"/>
    <s v="Back Office"/>
    <s v="L2"/>
    <n v="1"/>
    <n v="5"/>
    <s v="8 WK"/>
    <s v="FTE Based"/>
    <s v="USD"/>
    <n v="25140.33"/>
    <n v="0"/>
    <n v="0"/>
    <n v="0"/>
    <n v="0"/>
    <n v="0"/>
    <e v="#DIV/0!"/>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Initial Licensing - GRS Adjusters"/>
    <s v="Setup licensing for resident state / designated home state within 5 business days"/>
    <s v="Commercial"/>
    <x v="3"/>
    <s v="WC, Auto, Property"/>
    <s v="All"/>
    <s v="Back Office"/>
    <s v="L2"/>
    <n v="1"/>
    <n v="5"/>
    <s v="8 WK"/>
    <s v="FTE Based"/>
    <s v="USD"/>
    <n v="25140.33"/>
    <n v="0"/>
    <n v="0"/>
    <n v="0"/>
    <n v="0"/>
    <n v="0"/>
    <e v="#DIV/0!"/>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Reciprocals - GRS Adjusters"/>
    <s v="Setup licensing for all states (for reciprocals) wherever needed within 5 business days "/>
    <s v="Commercial"/>
    <x v="3"/>
    <s v="WC, Auto, Property"/>
    <s v="All"/>
    <s v="Back Office"/>
    <s v="L2"/>
    <n v="1"/>
    <n v="5"/>
    <s v="8 WK"/>
    <s v="FTE Based"/>
    <s v="USD"/>
    <n v="25140.33"/>
    <n v="0"/>
    <n v="0"/>
    <n v="0"/>
    <n v="0"/>
    <n v="0"/>
    <e v="#DIV/0!"/>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Appointment - GRS Adjusters"/>
    <s v="Setup appointment for Florida on state website &amp; for New Mexico on Sircon within 5 business days"/>
    <s v="Commercial"/>
    <x v="3"/>
    <s v="WC, Auto, Property"/>
    <s v="All"/>
    <s v="Back Office"/>
    <s v="L2"/>
    <n v="1"/>
    <n v="5"/>
    <s v="8 WK"/>
    <s v="FTE Based"/>
    <s v="USD"/>
    <n v="25140.33"/>
    <n v="0"/>
    <n v="0"/>
    <n v="0"/>
    <n v="0"/>
    <n v="0"/>
    <e v="#DIV/0!"/>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CE Review - GRS Adjusters"/>
    <s v="CE follow up requested 30 Calendar days prior to resident expiration date"/>
    <s v="Commercial"/>
    <x v="3"/>
    <s v="WC, Auto, Property"/>
    <s v="All"/>
    <s v="Back Office"/>
    <s v="L2"/>
    <n v="1"/>
    <n v="3"/>
    <s v="8 WK"/>
    <s v="FTE Based"/>
    <s v="USD"/>
    <n v="25140.33"/>
    <n v="0"/>
    <n v="0"/>
    <n v="0"/>
    <n v="0"/>
    <n v="0"/>
    <e v="#DIV/0!"/>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Renewals - GRS Adjusters"/>
    <s v="All renewals to be completed within 30 calender days of state opening for birtdate, appraiser and Manual"/>
    <s v="Commercial"/>
    <x v="3"/>
    <s v="WC, Auto, Property"/>
    <s v="All"/>
    <s v="Back Office"/>
    <s v="L2"/>
    <n v="1"/>
    <n v="3"/>
    <s v="8 WK"/>
    <s v="FTE Based"/>
    <s v="USD"/>
    <n v="25140.33"/>
    <n v="0"/>
    <n v="0"/>
    <n v="0"/>
    <n v="0"/>
    <n v="0"/>
    <e v="#DIV/0!"/>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Commercial"/>
    <x v="3"/>
    <s v="WC, Auto, Property"/>
    <s v="All"/>
    <s v="Back Office"/>
    <s v="L2"/>
    <n v="1"/>
    <n v="3"/>
    <s v="8 WK"/>
    <s v="FTE Based"/>
    <s v="USD"/>
    <n v="25140.33"/>
    <n v="0"/>
    <n v="0"/>
    <n v="0"/>
    <n v="1"/>
    <n v="1"/>
    <n v="1"/>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Initial Acknowledgement Letters"/>
    <s v="Formwork"/>
    <s v="Send formwork letter to claimant/Customer/Attorney for worker compensation  as per claim details and as per State guideline, to let them know about their rights and contact person."/>
    <s v="Commercial"/>
    <x v="3"/>
    <s v="Auto_x000a_GL_x000a_Property_x000a_WC "/>
    <s v="All"/>
    <s v="Back Office"/>
    <s v="L2"/>
    <n v="1"/>
    <s v="2 to 4"/>
    <s v="Multiple as per sub activities"/>
    <s v="FTE Based"/>
    <s v="USD"/>
    <n v="23196"/>
    <n v="12.27"/>
    <n v="1"/>
    <n v="1"/>
    <n v="3.7300000000000004"/>
    <n v="18"/>
    <n v="0.20722222222222225"/>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x v="20"/>
    <s v="Fortune 100 Global P&amp;C Carrier"/>
    <s v="US"/>
    <s v="Noida, India"/>
    <s v="India"/>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s v="Commercial"/>
    <x v="3"/>
    <s v="Auto_x000a_GL_x000a_Property_x000a_WC "/>
    <s v="All"/>
    <s v="Back Office"/>
    <s v="L2"/>
    <n v="1"/>
    <s v="2 to 4"/>
    <s v="Multiple as per sub activities"/>
    <s v="FTE Based"/>
    <s v="USD"/>
    <n v="23196"/>
    <n v="2.67"/>
    <n v="1"/>
    <n v="0"/>
    <n v="2.33"/>
    <n v="6"/>
    <n v="0.38833333333333336"/>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x v="20"/>
    <s v="Fortune 100 Global P&amp;C Carrier"/>
    <s v="US"/>
    <s v="Noida, India"/>
    <s v="India"/>
    <s v="Bhuwan Dass"/>
    <n v="6"/>
    <x v="1"/>
    <x v="1"/>
    <x v="1"/>
    <s v="Indexing"/>
    <s v="CSLN"/>
    <s v="Received Lien Notices or Lien releases from the state for worker compensation/auto/property/GL claims and combine them with the appropriate claim and processing application. And notify the case owner for further processing."/>
    <s v="Commercial"/>
    <x v="3"/>
    <s v="Auto_x000a_GL_x000a_Property_x000a_WC "/>
    <s v="All"/>
    <s v="Back Office"/>
    <s v="L2"/>
    <n v="1"/>
    <s v="2 to 4"/>
    <s v="Multiple as per sub activities"/>
    <s v="FTE Based"/>
    <s v="USD"/>
    <n v="23196"/>
    <n v="0.83"/>
    <n v="1"/>
    <n v="0"/>
    <n v="1.17"/>
    <n v="3"/>
    <n v="0.38999999999999996"/>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x v="20"/>
    <s v="Fortune 100 Global P&amp;C Carrier"/>
    <s v="US"/>
    <s v="Noida, India"/>
    <s v="India"/>
    <s v="Bhuwan Dass"/>
    <n v="6"/>
    <x v="1"/>
    <x v="1"/>
    <x v="4"/>
    <s v="Triaging for SIU, Subro"/>
    <s v="SIU"/>
    <s v="We receive ICN numbers for claims in a spreadsheet and we have to find the settlement details for a particular ICN through On Demand and Exprs and update the spreadsheet accordingly."/>
    <s v="Commercial"/>
    <x v="3"/>
    <s v="WC"/>
    <s v="All"/>
    <s v="Back Office"/>
    <s v="L2"/>
    <n v="1"/>
    <s v="1 to 2"/>
    <s v="Multiple as per sub activities"/>
    <s v="FTE Based"/>
    <s v="USD"/>
    <n v="23196"/>
    <n v="2.36"/>
    <n v="1"/>
    <n v="0"/>
    <n v="0.64000000000000012"/>
    <n v="4"/>
    <n v="0.16000000000000003"/>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x v="20"/>
    <s v="Fortune 100 Global P&amp;C Carrier"/>
    <s v="US"/>
    <s v="Noida, India"/>
    <s v="India"/>
    <s v="Bhuwan Dass"/>
    <n v="6"/>
    <x v="1"/>
    <x v="1"/>
    <x v="4"/>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s v="Commercial"/>
    <x v="3"/>
    <s v="Auto_x000a_GL_x000a_Property_x000a_WC "/>
    <s v="All"/>
    <s v="Back Office"/>
    <s v="L2"/>
    <n v="1"/>
    <s v="2 to 4"/>
    <s v="Multiple as per sub activities"/>
    <s v="FTE Based"/>
    <s v="USD"/>
    <n v="23196"/>
    <n v="20.6"/>
    <n v="1"/>
    <n v="1"/>
    <n v="5.3999999999999986"/>
    <n v="28"/>
    <n v="0.19285714285714281"/>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x v="20"/>
    <s v="Fortune 100 Global P&amp;C Carrier"/>
    <s v="US"/>
    <s v="Noida, India"/>
    <s v="India"/>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s v="Commercial"/>
    <x v="3"/>
    <s v="Auto_x000a_GL_x000a_Property_x000a_WC "/>
    <s v="All"/>
    <s v="Back Office"/>
    <s v="L2"/>
    <n v="1"/>
    <s v="2 to 4"/>
    <s v="Multiple as per sub activities"/>
    <s v="FTE Based"/>
    <s v="USD"/>
    <n v="21178"/>
    <n v="10.76"/>
    <n v="1"/>
    <n v="1"/>
    <n v="3.24"/>
    <n v="16"/>
    <n v="0.20250000000000001"/>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x v="20"/>
    <s v="Fortune 100 Global P&amp;C Carrier"/>
    <s v="US"/>
    <s v="Noida, India"/>
    <s v="India"/>
    <s v="NA"/>
    <n v="0"/>
    <x v="2"/>
    <x v="1"/>
    <x v="1"/>
    <s v="Claim Setup and assignment"/>
    <s v="LRU UPS"/>
    <s v="UPS Triage documents are received, reviewed and a claim is created assigned in Client applications"/>
    <s v="Commercial"/>
    <x v="3"/>
    <s v="Auto_x000a_GL_x000a_Property_x000a_WC "/>
    <s v="All"/>
    <s v="Back Office"/>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s v="US"/>
    <s v="Noida, India"/>
    <s v="India"/>
    <s v="NA"/>
    <n v="0"/>
    <x v="2"/>
    <x v="1"/>
    <x v="1"/>
    <s v="Indexing"/>
    <s v="PF Phoenix Upload"/>
    <s v="Requests received in inbox are routed to different work queue as per procedure (This is a work upload task for other teams)"/>
    <s v="Commercial"/>
    <x v="3"/>
    <s v="Auto_x000a_GL_x000a_Property_x000a_WC "/>
    <s v="All"/>
    <s v="Back Office"/>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s v="US"/>
    <s v="Noida, India"/>
    <s v="India"/>
    <s v="Bhuwan Dass"/>
    <n v="6"/>
    <x v="1"/>
    <x v="1"/>
    <x v="4"/>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s v="Commercial"/>
    <x v="3"/>
    <s v="Auto_x000a_GL_x000a_Property_x000a_WC "/>
    <s v="All"/>
    <s v="Back Office"/>
    <s v="L2"/>
    <n v="1"/>
    <s v="2 to 4"/>
    <s v="Multiple as per sub activities"/>
    <s v="FTE Based"/>
    <s v="USD"/>
    <n v="23196"/>
    <n v="6.04"/>
    <n v="1"/>
    <n v="0"/>
    <n v="1.96"/>
    <n v="9"/>
    <n v="0.21777777777777776"/>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x v="20"/>
    <s v="Fortune 100 Global P&amp;C Carrier"/>
    <s v="US"/>
    <s v="Noida, India"/>
    <s v="India"/>
    <s v="Bhuwan Dass"/>
    <n v="6"/>
    <x v="1"/>
    <x v="1"/>
    <x v="9"/>
    <s v="Subpoena Reviews"/>
    <s v="Litigation management"/>
    <s v="Processing worker compensation claims pdfs, hearing notices pdfs and pre-authorization request for medicals and notify to case owner/claimant/attorney by processing applications/outlook"/>
    <s v="Commercial"/>
    <x v="3"/>
    <s v="Auto_x000a_GL_x000a_Property_x000a_WC "/>
    <s v="All"/>
    <s v="Back Office"/>
    <s v="L2"/>
    <n v="1"/>
    <s v="2 to 4"/>
    <s v="Multiple as per sub activities"/>
    <s v="FTE Based"/>
    <s v="USD"/>
    <n v="23196"/>
    <n v="8.16"/>
    <n v="1"/>
    <n v="1"/>
    <n v="2.84"/>
    <n v="13"/>
    <n v="0.21846153846153846"/>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x v="20"/>
    <s v="Fortune 100 Global P&amp;C Carrier"/>
    <s v="US"/>
    <s v="Noida, India"/>
    <s v="India"/>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s v="Commercial"/>
    <x v="3"/>
    <s v="WC"/>
    <s v="All"/>
    <s v="Back Office"/>
    <s v="L2"/>
    <n v="1"/>
    <s v="2 to 4"/>
    <s v="Multiple as per sub activities"/>
    <s v="FTE Based"/>
    <s v="USD"/>
    <n v="23196"/>
    <n v="4.8499999999999996"/>
    <n v="1"/>
    <n v="1"/>
    <n v="3.1500000000000004"/>
    <n v="10"/>
    <n v="0.3150000000000000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x v="20"/>
    <s v="Fortune 100 Global P&amp;C Carrier"/>
    <s v="US"/>
    <s v="Noida, India"/>
    <s v="India"/>
    <s v="Bhuwan Dass"/>
    <n v="5"/>
    <x v="1"/>
    <x v="1"/>
    <x v="9"/>
    <s v="Bill Payment (Medical Legal, Non Medical, Vendor)"/>
    <s v="SIF &amp; COLA"/>
    <s v="Request reimbursement from state for indemnity/medical cost by submitting proofs of payments made by Liberty mutual (Documents)."/>
    <s v="Commercial"/>
    <x v="3"/>
    <s v="Auto_x000a_GL_x000a_Property_x000a_WC "/>
    <s v="All"/>
    <s v="Back Office"/>
    <s v="L2"/>
    <n v="1"/>
    <s v="2 to 4"/>
    <s v="Multiple as per sub activities"/>
    <s v="FTE Based"/>
    <s v="USD"/>
    <n v="23196"/>
    <n v="5"/>
    <n v="1"/>
    <n v="0"/>
    <n v="2"/>
    <n v="8"/>
    <n v="0.25"/>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x v="20"/>
    <s v="Fortune 100 Global P&amp;C Carrier"/>
    <s v="US"/>
    <s v="Noida, India"/>
    <s v="India"/>
    <s v="Bhuwan Dass"/>
    <n v="6"/>
    <x v="1"/>
    <x v="1"/>
    <x v="9"/>
    <s v="Bill Payment (Medical Legal, Non Medical, Vendor)"/>
    <s v="ExPRS WC Payment"/>
    <s v="Payments are issued to Injured workers, Medical providers or Vendors as per applicable procedure and State rules."/>
    <s v="Commercial"/>
    <x v="3"/>
    <s v="WC"/>
    <s v="All"/>
    <s v="Back Office"/>
    <s v="L3"/>
    <n v="1"/>
    <s v="3 to 5"/>
    <s v="Multiple as per sub activities"/>
    <s v="FTE Based"/>
    <s v="USD"/>
    <n v="23196"/>
    <n v="8.19"/>
    <n v="1"/>
    <n v="1"/>
    <n v="3.8100000000000005"/>
    <n v="14"/>
    <n v="0.27214285714285719"/>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x v="20"/>
    <s v="Fortune 100 Global P&amp;C Carrier"/>
    <s v="US"/>
    <s v="Noida, India"/>
    <s v="India"/>
    <s v="Bhuwan Dass"/>
    <n v="6"/>
    <x v="1"/>
    <x v="1"/>
    <x v="9"/>
    <s v="Bill Payment (Medical Legal, Non Medical, Vendor)"/>
    <s v="VIA &amp; Bulk Payments"/>
    <s v="Payments are issued to Vendors and Attorney as per applicable procedure."/>
    <s v="Commercial"/>
    <x v="3"/>
    <s v="Auto_x000a_GL_x000a_Property_x000a_WC "/>
    <s v="All"/>
    <s v="Back Office"/>
    <s v="L3"/>
    <n v="1"/>
    <s v="2 to 4"/>
    <s v="Multiple as per sub activities"/>
    <s v="FTE Based"/>
    <s v="USD"/>
    <n v="23196"/>
    <n v="10.76"/>
    <n v="1"/>
    <n v="0"/>
    <n v="4.24"/>
    <n v="16"/>
    <n v="0.26500000000000001"/>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x v="20"/>
    <s v="Fortune 100 Global P&amp;C Carrier"/>
    <s v="US"/>
    <s v="Noida, India"/>
    <s v="India"/>
    <s v="Bhuwan Dass"/>
    <n v="6"/>
    <x v="1"/>
    <x v="1"/>
    <x v="9"/>
    <s v="Bill Payment (Medical Legal, Non Medical, Vendor)"/>
    <s v="Receivable"/>
    <s v="Payments are received and applied in applicable systems as per remmitance."/>
    <s v="Commercial"/>
    <x v="3"/>
    <s v="Auto_x000a_GL_x000a_Property_x000a_WC "/>
    <s v="All"/>
    <s v="Back Office"/>
    <s v="L3"/>
    <n v="1"/>
    <s v="3 to 5"/>
    <s v="Multiple as per sub activities"/>
    <s v="FTE Based"/>
    <s v="USD"/>
    <n v="23196"/>
    <n v="5.1100000000000003"/>
    <n v="1"/>
    <n v="1"/>
    <n v="3.8899999999999997"/>
    <n v="11"/>
    <n v="0.35363636363636358"/>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x v="20"/>
    <s v="Fortune 100 Global P&amp;C Carrier"/>
    <s v="US"/>
    <s v="Noida, India"/>
    <s v="India"/>
    <s v="Bhuwan Dass"/>
    <n v="6"/>
    <x v="1"/>
    <x v="1"/>
    <x v="9"/>
    <s v="Bill Payment (Medical Legal, Non Medical, Vendor)"/>
    <s v="Payments Support"/>
    <s v="Bank Details and providers are added in system so that payments team can issue payment as applicable."/>
    <s v="Commercial"/>
    <x v="3"/>
    <s v="Auto_x000a_GL_x000a_Property_x000a_WC "/>
    <s v="All"/>
    <s v="Back Office"/>
    <s v="L3"/>
    <n v="1"/>
    <s v="2 to 4"/>
    <s v="Multiple as per sub activities"/>
    <s v="FTE Based"/>
    <s v="USD"/>
    <n v="23196"/>
    <n v="1.75"/>
    <n v="1"/>
    <n v="0"/>
    <n v="2.25"/>
    <n v="5"/>
    <n v="0.45"/>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x v="20"/>
    <s v="Fortune 100 Global P&amp;C Carrier"/>
    <s v="US"/>
    <s v="Noida, India"/>
    <s v="India"/>
    <s v="Bhuwan Dass"/>
    <n v="6"/>
    <x v="1"/>
    <x v="1"/>
    <x v="4"/>
    <s v="Evidence gathering"/>
    <s v="Vendor Referral"/>
    <s v="Investigation (Social Media Investigation, Surveillance, Recorded Interview, Alive and Well check activity etc.) for WC claims as per claim adjuster requests"/>
    <s v="Commercial"/>
    <x v="3"/>
    <s v="Auto_x000a_GL_x000a_Property_x000a_WC "/>
    <s v="All"/>
    <s v="Back Office"/>
    <s v="L2"/>
    <n v="1"/>
    <s v="2 to 4"/>
    <s v="Multiple as per sub activities"/>
    <s v="FTE Based"/>
    <s v="USD"/>
    <n v="23196"/>
    <n v="3.47"/>
    <n v="1"/>
    <n v="0"/>
    <n v="2.5299999999999998"/>
    <n v="7"/>
    <n v="0.36142857142857138"/>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x v="20"/>
    <s v="Fortune 100 Global P&amp;C Carrier"/>
    <s v="US"/>
    <s v="Noida, India"/>
    <s v="India"/>
    <s v="Bhuwan Dass"/>
    <n v="7"/>
    <x v="1"/>
    <x v="1"/>
    <x v="4"/>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s v="Commercial"/>
    <x v="3"/>
    <s v="Auto_x000a_GL_x000a_Property_x000a_WC "/>
    <s v="All"/>
    <s v="Back Office"/>
    <s v="L2"/>
    <n v="1"/>
    <s v="2 to 4"/>
    <s v="Multiple as per sub activities"/>
    <s v="FTE Based"/>
    <s v="USD"/>
    <n v="21178"/>
    <n v="5.54"/>
    <n v="1"/>
    <n v="0"/>
    <n v="2.46"/>
    <n v="9"/>
    <n v="0.27333333333333332"/>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x v="20"/>
    <s v="Fortune 100 Global P&amp;C Carrier"/>
    <s v="US"/>
    <s v="Noida, India"/>
    <s v="India"/>
    <s v="Bhuwan Dass"/>
    <n v="4"/>
    <x v="1"/>
    <x v="1"/>
    <x v="4"/>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s v="Commercial"/>
    <x v="3"/>
    <s v="Auto_x000a_GL_x000a_Property_x000a_WC "/>
    <s v="All"/>
    <s v="Back Office"/>
    <s v="L2"/>
    <n v="1"/>
    <s v="2 to 4"/>
    <n v="4"/>
    <s v="FTE Based"/>
    <s v="USD"/>
    <n v="23196"/>
    <n v="10.9"/>
    <n v="1"/>
    <n v="1"/>
    <n v="3.0999999999999996"/>
    <n v="16"/>
    <n v="0.19374999999999998"/>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x v="20"/>
    <s v="Fortune 100 Global P&amp;C Carrier"/>
    <s v="US"/>
    <s v="Noida, India"/>
    <s v="India"/>
    <s v="Bhuwan Dass"/>
    <n v="5"/>
    <x v="1"/>
    <x v="1"/>
    <x v="7"/>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s v="Commercial"/>
    <x v="3"/>
    <s v="WC"/>
    <s v="All"/>
    <s v="Back Office"/>
    <s v="L2"/>
    <n v="1"/>
    <s v="2 to 4"/>
    <s v="Multiple as per sub activities"/>
    <s v="FTE Based"/>
    <s v="USD"/>
    <n v="23196"/>
    <n v="4.75"/>
    <n v="1"/>
    <n v="0"/>
    <n v="2.25"/>
    <n v="8"/>
    <n v="0.28125"/>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x v="20"/>
    <s v="Fortune 100 Global P&amp;C Carrier"/>
    <s v="US"/>
    <s v="Noida, India"/>
    <s v="India"/>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s v="Commercial"/>
    <x v="1"/>
    <s v="Auto_x000a_"/>
    <s v="Mid Size"/>
    <s v="Voice"/>
    <s v="L3"/>
    <n v="1"/>
    <s v="4 to 6"/>
    <n v="4"/>
    <s v="FTE Based"/>
    <s v="USD"/>
    <n v="27745"/>
    <n v="5.58"/>
    <n v="1"/>
    <n v="0"/>
    <n v="2.42"/>
    <n v="9"/>
    <n v="0.2688888888888889"/>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x v="20"/>
    <s v="Fortune 100 Global P&amp;C Carrier"/>
    <s v="US"/>
    <s v="Noida, India"/>
    <s v="India"/>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s v="Commercial"/>
    <x v="3"/>
    <s v="Auto_x000a_GL_x000a_Property_x000a_WC "/>
    <s v="All"/>
    <s v="Back Office"/>
    <s v="L3"/>
    <n v="1"/>
    <s v="4 to 6"/>
    <s v="Multiple as per sub activities"/>
    <s v="FTE Based"/>
    <s v="USD"/>
    <n v="23196"/>
    <n v="5.09"/>
    <n v="1"/>
    <n v="0"/>
    <n v="2.91"/>
    <n v="9"/>
    <n v="0.32333333333333336"/>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x v="20"/>
    <s v="Fortune 100 Global P&amp;C Carrier"/>
    <s v="US"/>
    <s v="Noida, India"/>
    <s v="India"/>
    <s v="Bhuwan Dass"/>
    <n v="0.1"/>
    <x v="1"/>
    <x v="1"/>
    <x v="9"/>
    <s v="Bill Payment (Medical Legal, Non Medical, Vendor)"/>
    <s v="Attestation"/>
    <s v=" This process evaluates and verifies financial information to provide assurance on its accuracy and reliability."/>
    <s v="Commercial"/>
    <x v="3"/>
    <s v="Auto_x000a_GL_x000a_Property_x000a_WC "/>
    <s v="All"/>
    <s v="Back Office"/>
    <s v="L3"/>
    <n v="1"/>
    <s v="4 to 6"/>
    <s v="Multiple as per sub activities"/>
    <s v="FTE Based"/>
    <s v="USD"/>
    <n v="23196"/>
    <n v="6.14"/>
    <n v="1"/>
    <n v="1"/>
    <n v="4.8600000000000003"/>
    <n v="13"/>
    <n v="0.37384615384615388"/>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x v="20"/>
    <s v="Fortune 100 Global P&amp;C Carrier"/>
    <s v="US"/>
    <s v="Noida, India"/>
    <s v="India"/>
    <s v="Bhuwan Dass"/>
    <n v="6"/>
    <x v="1"/>
    <x v="1"/>
    <x v="9"/>
    <s v="Non Medical Bill Review &amp; Approval"/>
    <s v="eReview"/>
    <s v="This is pre- bill processing review to validate the data with scanned image on exception thrown cases at the time of scanning for missing information  _x000a_"/>
    <s v="Commercial"/>
    <x v="5"/>
    <s v="WC"/>
    <s v="All"/>
    <s v="Back Office"/>
    <s v="L2"/>
    <n v="1"/>
    <n v="4"/>
    <s v="8 WK"/>
    <s v="FTE Based"/>
    <s v="USD"/>
    <n v="27577"/>
    <n v="11.82"/>
    <n v="2"/>
    <n v="1"/>
    <n v="2.1799999999999997"/>
    <n v="17"/>
    <n v="0.12823529411764703"/>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x v="20"/>
    <s v="Fortune 100 Global P&amp;C Carrier"/>
    <s v="US"/>
    <s v="Noida, India"/>
    <s v="India"/>
    <s v="Bhuwan Dass"/>
    <n v="6"/>
    <x v="1"/>
    <x v="1"/>
    <x v="9"/>
    <s v="Non Medical Bill Review &amp; Approval"/>
    <s v="MSR Original"/>
    <s v="Decision to pay or deny a bill is taken basis State handling guidelines and Claim Adjuster’s recommendation after adjudication"/>
    <s v="Commercial"/>
    <x v="5"/>
    <s v="WC"/>
    <s v="All"/>
    <s v="Back Office"/>
    <s v="L3"/>
    <n v="2"/>
    <n v="4"/>
    <s v="8 WK"/>
    <s v="FTE Based"/>
    <s v="USD"/>
    <n v="27577"/>
    <n v="37.43"/>
    <n v="5"/>
    <n v="3"/>
    <n v="8.57"/>
    <n v="54"/>
    <n v="0.1587037037037037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s v="US"/>
    <s v="Noida, India"/>
    <s v="India"/>
    <s v="Bhuwan Dass"/>
    <n v="4"/>
    <x v="1"/>
    <x v="1"/>
    <x v="9"/>
    <s v="Non Medical Bill Review &amp; Approval"/>
    <s v="MSR Recon"/>
    <s v="Team reviews the bill processed incorrectly in original submission &amp; resulted into under payment or incorrect denial"/>
    <s v="Commercial"/>
    <x v="5"/>
    <s v="WC"/>
    <s v="All"/>
    <s v="Back Office"/>
    <s v="L4"/>
    <n v="2"/>
    <n v="6"/>
    <s v="8 WK"/>
    <s v="FTE Based"/>
    <s v="USD"/>
    <n v="30330"/>
    <n v="18.63"/>
    <n v="2"/>
    <n v="1"/>
    <n v="6.370000000000001"/>
    <n v="28"/>
    <n v="0.22750000000000004"/>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s v="US"/>
    <s v="Noida, India"/>
    <s v="India"/>
    <s v="Bhuwan Dass"/>
    <n v="4"/>
    <x v="1"/>
    <x v="1"/>
    <x v="9"/>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s v="Commercial"/>
    <x v="5"/>
    <s v="WC"/>
    <s v="All"/>
    <s v="Back Office"/>
    <s v="L3"/>
    <n v="1"/>
    <n v="4"/>
    <s v="4 WK"/>
    <s v="FTE Based"/>
    <s v="USD"/>
    <n v="27577.483830000001"/>
    <n v="8.5"/>
    <n v="1"/>
    <n v="1"/>
    <n v="3.5"/>
    <n v="14"/>
    <n v="0.25"/>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x v="20"/>
    <s v="Fortune 100 Global P&amp;C Carrier"/>
    <s v="US"/>
    <s v="Noida, India"/>
    <s v="India"/>
    <s v="Bhuwan Dass"/>
    <n v="4"/>
    <x v="1"/>
    <x v="1"/>
    <x v="9"/>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s v="Commercial"/>
    <x v="5"/>
    <s v="WC"/>
    <s v="All"/>
    <s v="Back Office"/>
    <s v="L3"/>
    <n v="1"/>
    <n v="4"/>
    <s v="4 WK"/>
    <s v="FTE Based"/>
    <s v="USD"/>
    <n v="27577.483830000001"/>
    <n v="2.2999999999999998"/>
    <n v="1"/>
    <n v="1"/>
    <n v="0.70000000000000018"/>
    <n v="5"/>
    <n v="0.14000000000000004"/>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s v="US"/>
    <s v="Noida, India"/>
    <s v="India"/>
    <s v="Bhuwan Dass"/>
    <n v="4"/>
    <x v="1"/>
    <x v="1"/>
    <x v="9"/>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s v="Commercial"/>
    <x v="5"/>
    <s v="WC"/>
    <s v="All"/>
    <s v="Back Office"/>
    <s v="L3"/>
    <n v="1"/>
    <n v="4"/>
    <s v="4 WK"/>
    <s v="FTE Based"/>
    <s v="USD"/>
    <n v="27577.483830000001"/>
    <n v="0.8"/>
    <n v="0"/>
    <n v="0"/>
    <n v="0.19999999999999996"/>
    <n v="1"/>
    <n v="0.19999999999999996"/>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s v="US"/>
    <s v="Noida, India"/>
    <s v="India"/>
    <s v="Bhuwan Dass"/>
    <n v="4"/>
    <x v="1"/>
    <x v="1"/>
    <x v="9"/>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s v="Commercial"/>
    <x v="5"/>
    <s v="WC"/>
    <s v="All"/>
    <s v="Back Office"/>
    <s v="L1"/>
    <n v="1"/>
    <n v="4"/>
    <s v="4 WK"/>
    <s v="FTE Based"/>
    <s v="USD"/>
    <n v="20502"/>
    <n v="7.8"/>
    <n v="0"/>
    <n v="0"/>
    <n v="2.2000000000000002"/>
    <n v="10"/>
    <n v="0.22000000000000003"/>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x v="20"/>
    <s v="Fortune 100 Global P&amp;C Carrier"/>
    <s v="US"/>
    <s v="Noida, India"/>
    <s v="India"/>
    <s v="Bhuwan Dass"/>
    <n v="0.1"/>
    <x v="1"/>
    <x v="1"/>
    <x v="9"/>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s v="Commercial"/>
    <x v="5"/>
    <s v="Single LOB - WC"/>
    <s v="All"/>
    <s v="Back Office"/>
    <s v="L4"/>
    <n v="2"/>
    <n v="12"/>
    <n v="10"/>
    <s v="FTE Based"/>
    <s v="USD"/>
    <n v="26460"/>
    <n v="10.53"/>
    <n v="0"/>
    <n v="1"/>
    <n v="5.47"/>
    <n v="17"/>
    <n v="0.321764705882352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x v="13"/>
    <s v="Fortune 100 US P&amp;C Carrier"/>
    <s v="US"/>
    <s v="Noida &amp; Pune, India"/>
    <e v="#N/A"/>
    <s v="Meeta Sarkar, Varunjesh Bhambri"/>
    <n v="1.2"/>
    <x v="2"/>
    <x v="1"/>
    <x v="8"/>
    <s v="Initiate Recovery Collection &amp; processing"/>
    <s v="Subro  -ERT"/>
    <s v="ERT- perform authorized subrogation services to reach agreement for settlement with Third Party Carriers (TPCs) who are US Arbitration Forum Members (the “Arb Members”)"/>
    <s v="Personal"/>
    <x v="1"/>
    <s v="Auto"/>
    <s v="All"/>
    <s v="Blended"/>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Meeta Sarkar, Varunjesh Bhambri"/>
    <n v="1.2"/>
    <x v="2"/>
    <x v="1"/>
    <x v="8"/>
    <s v="Initiate Recovery Collection &amp; processing"/>
    <s v="Subro - ART"/>
    <s v="ART- perform authorized subrogation services to reach agreement for settlement with Third Party Carriers (TPCs) who are not members of E-Subro Hub"/>
    <s v="Personal"/>
    <x v="1"/>
    <s v="Auto"/>
    <s v="All"/>
    <s v="Blended"/>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Meeta Sarkar, Varunjesh Bhambri"/>
    <n v="1.2"/>
    <x v="2"/>
    <x v="1"/>
    <x v="8"/>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s v="Personal"/>
    <x v="1"/>
    <s v="Auto"/>
    <s v="All"/>
    <s v="Blended"/>
    <s v="L3"/>
    <n v="1"/>
    <n v="3"/>
    <n v="4"/>
    <s v="FTE Based"/>
    <s v="USD"/>
    <n v="30658.560000000001"/>
    <n v="20"/>
    <n v="0"/>
    <n v="1"/>
    <n v="4"/>
    <n v="25"/>
    <n v="0.16"/>
    <n v="4572.75"/>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Varunjesh Bhambri, Meeta Sarkar"/>
    <n v="11"/>
    <x v="2"/>
    <x v="2"/>
    <x v="6"/>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s v="Commercial"/>
    <x v="9"/>
    <s v="Auto and Property Business"/>
    <s v="All"/>
    <s v="Back Office"/>
    <s v="L2"/>
    <n v="0.4"/>
    <n v="2"/>
    <n v="4"/>
    <s v="FTE Based"/>
    <s v="USD"/>
    <n v="21548.799999999999"/>
    <n v="2"/>
    <n v="0"/>
    <n v="0"/>
    <n v="0.4"/>
    <n v="2.4"/>
    <n v="0.16666666666666669"/>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Pune, India"/>
    <s v="India"/>
    <s v="Varunjesh Bhambri, Meeta Sarkar"/>
    <n v="11"/>
    <x v="1"/>
    <x v="2"/>
    <x v="3"/>
    <s v="Endorsements intake and setup"/>
    <s v="Allstate Business Insurance-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_x000a_Within UW Support, the team also provides administrative assitance through work allocation (identifying the correct request type and routing to the correct department. This 1 FTE work is the only active Commercial Lines process"/>
    <s v="Commercial"/>
    <x v="3"/>
    <s v="Auto and Property Business"/>
    <s v="All"/>
    <s v="Back Office"/>
    <s v="L2"/>
    <n v="0.4"/>
    <n v="2"/>
    <s v="2 week"/>
    <s v="FTE Based"/>
    <s v="USD"/>
    <n v="14.49"/>
    <n v="1"/>
    <n v="1"/>
    <n v="0.5"/>
    <n v="1"/>
    <n v="3.5"/>
    <n v="0.2857142857142857"/>
    <n v="2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Noida &amp; Pune, India"/>
    <e v="#N/A"/>
    <s v="Varunjesh Bhambri, Meeta Sarkar"/>
    <n v="11"/>
    <x v="2"/>
    <x v="2"/>
    <x v="11"/>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s v="Commercial"/>
    <x v="3"/>
    <s v="Auto and Property Business"/>
    <s v="All"/>
    <s v="Back Office"/>
    <s v="L2"/>
    <n v="0.4"/>
    <n v="2"/>
    <n v="4"/>
    <s v="FTE Based"/>
    <s v="USD"/>
    <n v="21548.799999999999"/>
    <n v="4"/>
    <n v="1"/>
    <n v="1"/>
    <n v="0.8"/>
    <n v="6.8"/>
    <n v="0.1176470588235294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Noida &amp; Pune, India"/>
    <e v="#N/A"/>
    <s v="Varunjesh Bhambri, Meeta Sarkar"/>
    <n v="11"/>
    <x v="2"/>
    <x v="2"/>
    <x v="3"/>
    <s v="Endorsements intake and setup"/>
    <s v="Allstate Business Insurance - QV"/>
    <s v="Allstate Business Insurance Quality Assurance (ABI QA) - review and evaluate selected audit files representative of the different types of audits performed and sharing regular report with clients"/>
    <s v="Commercial"/>
    <x v="3"/>
    <s v="Auto and Property Business"/>
    <s v="All"/>
    <s v="Back Office"/>
    <s v="L4"/>
    <n v="0.4"/>
    <n v="4"/>
    <s v="4 Week"/>
    <s v="FTE Based"/>
    <s v="USD"/>
    <n v="28641.599999999999"/>
    <n v="1"/>
    <n v="0"/>
    <n v="0"/>
    <n v="1"/>
    <n v="2"/>
    <n v="0.5"/>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x v="13"/>
    <s v="Fortune 100 US P&amp;C Carrier"/>
    <s v="US"/>
    <s v="Noida &amp; Pune, India"/>
    <e v="#N/A"/>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s v="Commercial"/>
    <x v="3"/>
    <s v="Auto and Property Business"/>
    <s v="All"/>
    <s v="Back Office"/>
    <s v="L3"/>
    <n v="0.4"/>
    <n v="2"/>
    <n v="6"/>
    <s v="FTE Based"/>
    <s v="USD"/>
    <n v="31723.52"/>
    <n v="3"/>
    <n v="0"/>
    <n v="0"/>
    <n v="0.60000000000000009"/>
    <n v="3.6"/>
    <n v="0.16666666666666669"/>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x v="13"/>
    <s v="Fortune 100 US P&amp;C Carrier"/>
    <s v="US"/>
    <s v="Pune, India"/>
    <s v="India"/>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s v="Personal"/>
    <x v="1"/>
    <s v="Auto"/>
    <s v="All"/>
    <s v="Voice"/>
    <s v="L3"/>
    <n v="0.5"/>
    <n v="2"/>
    <s v="1 week"/>
    <s v="Transaction Based "/>
    <s v="USD"/>
    <n v="4.13"/>
    <n v="78"/>
    <n v="4"/>
    <n v="4.5"/>
    <n v="8"/>
    <n v="94.5"/>
    <n v="8.4656084656084651E-2"/>
    <n v="14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s v="US"/>
    <s v="Noida, India"/>
    <s v="India"/>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s v="Personal"/>
    <x v="1"/>
    <s v="Auto"/>
    <s v="All"/>
    <s v="Voice"/>
    <s v="L3"/>
    <n v="0.5"/>
    <n v="2"/>
    <s v="1 week"/>
    <s v="Transaction Based "/>
    <s v="USD"/>
    <n v="4.13"/>
    <n v="33"/>
    <n v="0"/>
    <n v="2"/>
    <n v="3"/>
    <n v="38"/>
    <n v="7.8947368421052627E-2"/>
    <n v="6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s v="US"/>
    <s v="Pune, India"/>
    <s v="India"/>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s v="Personal"/>
    <x v="1"/>
    <s v="Auto"/>
    <s v="All"/>
    <s v="Voice"/>
    <s v="L2"/>
    <n v="0.5"/>
    <n v="3"/>
    <s v="1 week"/>
    <s v="Transaction Based "/>
    <s v="USD"/>
    <n v="2.06"/>
    <n v="3"/>
    <n v="1"/>
    <n v="0"/>
    <n v="2"/>
    <n v="6"/>
    <n v="0.33333333333333331"/>
    <n v="2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Noida, India"/>
    <s v="India"/>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s v="Personal"/>
    <x v="1"/>
    <s v="Auto"/>
    <s v="All"/>
    <s v="Voice"/>
    <s v="L2"/>
    <n v="0.5"/>
    <n v="3"/>
    <s v="1 week"/>
    <s v="Transaction Based "/>
    <s v="USD"/>
    <n v="2.06"/>
    <n v="6"/>
    <n v="0"/>
    <n v="1"/>
    <n v="2"/>
    <n v="9"/>
    <n v="0.22222222222222221"/>
    <n v="3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Pune, India"/>
    <s v="India"/>
    <s v="Varunjesh Bhambri, Meeta Sarkar"/>
    <n v="20"/>
    <x v="1"/>
    <x v="2"/>
    <x v="3"/>
    <s v="Customer service"/>
    <s v="Emergency Roadside Assistance"/>
    <s v="CEMT - The team confirms service (vehicle) delivery for complex Secondary tow and simple tow for client partners. The team validates the service delivery basis the photos uploaded by the service provider for drop off and pick up location."/>
    <s v="Personal"/>
    <x v="1"/>
    <s v="Auto"/>
    <s v="All"/>
    <s v="Voice"/>
    <s v="L2"/>
    <n v="3"/>
    <n v="5"/>
    <s v="8 Week"/>
    <s v="FTE Based"/>
    <s v="USD"/>
    <n v="14.29"/>
    <n v="4"/>
    <n v="1"/>
    <n v="1"/>
    <n v="1"/>
    <n v="7"/>
    <n v="0.14285714285714285"/>
    <n v="3000"/>
    <s v="NA"/>
    <s v="Jan / Jun / Jul"/>
    <n v="15"/>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Pune, India"/>
    <s v="India"/>
    <s v="Varunjesh Bhambri, Meeta Sarkar"/>
    <n v="20"/>
    <x v="1"/>
    <x v="2"/>
    <x v="3"/>
    <s v="Customer service"/>
    <s v="Emergency Roadside Assistance"/>
    <s v="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
    <s v="Personal"/>
    <x v="1"/>
    <s v="Auto"/>
    <s v="All"/>
    <s v="Voice"/>
    <s v="L2"/>
    <n v="3"/>
    <n v="5"/>
    <s v="8 Week"/>
    <s v="FTE Based"/>
    <s v="USD"/>
    <n v="14.29"/>
    <n v="3"/>
    <n v="1"/>
    <n v="1"/>
    <n v="1"/>
    <n v="6"/>
    <n v="0.16666666666666666"/>
    <n v="3000"/>
    <s v="NA"/>
    <s v="Jan / Jun / Jul"/>
    <n v="15"/>
    <s v="NA"/>
    <n v="0.94"/>
    <s v="DPO – Defect Per Opportunity"/>
    <s v="Complaint Ratio"/>
    <s v="NA"/>
    <s v="NA"/>
    <s v="NA"/>
    <s v="Process Excellence"/>
    <s v="NA"/>
    <s v="NA"/>
    <s v="NA"/>
    <s v="NA"/>
    <s v="NA"/>
    <s v="NA"/>
    <s v="Customer"/>
    <s v="Others"/>
    <s v="Structured"/>
    <n v="1"/>
    <s v="Others"/>
    <s v="Customers"/>
    <s v="AMC Prod, BAM, EDMS2, OMNI,AVAYA,Verint"/>
  </r>
  <r>
    <x v="17"/>
    <s v="Fortune 500 Global P&amp;C Carrier"/>
    <s v="US"/>
    <s v="Pune, India"/>
    <s v="India"/>
    <s v="Arbind Singh/Saurabh Sharma"/>
    <n v="5"/>
    <x v="1"/>
    <x v="1"/>
    <x v="9"/>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s v="Commercial"/>
    <x v="3"/>
    <s v="WC, Property, GL, Auto"/>
    <s v="All"/>
    <s v="Back Office"/>
    <s v="L2"/>
    <n v="2"/>
    <n v="1"/>
    <n v="4"/>
    <s v="FTE Based"/>
    <s v="USD"/>
    <n v="25347.49"/>
    <n v="1.34"/>
    <n v="0.5"/>
    <n v="0.1"/>
    <n v="0.1"/>
    <n v="2.04"/>
    <n v="4.9019607843137254E-2"/>
    <n v="5053"/>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x v="17"/>
    <s v="Fortune 500 Global P&amp;C Carrier"/>
    <s v="US"/>
    <s v="Pune, India"/>
    <s v="India"/>
    <s v="Arbind Singh/Saurabh Sharma"/>
    <n v="5"/>
    <x v="1"/>
    <x v="1"/>
    <x v="7"/>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s v="Commercial"/>
    <x v="3"/>
    <s v="GL, Auto,WC"/>
    <s v="All"/>
    <s v="Back Office"/>
    <s v="L2"/>
    <n v="2"/>
    <n v="1"/>
    <n v="4"/>
    <s v="FTE Based"/>
    <s v="USD"/>
    <n v="25347.49"/>
    <n v="4.49"/>
    <n v="1"/>
    <n v="0.5"/>
    <n v="1"/>
    <n v="6.99"/>
    <n v="0.14306151645207438"/>
    <n v="11000"/>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x v="17"/>
    <s v="Fortune 500 Global P&amp;C Carrier"/>
    <s v="US"/>
    <s v="Pune, India"/>
    <s v="India"/>
    <s v="Arbind Singh/Saurabh Sharma"/>
    <n v="5"/>
    <x v="1"/>
    <x v="1"/>
    <x v="9"/>
    <s v="Bill Payment (Medical Legal, Non Medical, Vendor)"/>
    <s v="Payment Transfer"/>
    <s v="The purpose of this task is to take off the paid amount from incorrect claim and transfer it to correct claim as per the instructions received"/>
    <s v="Commercial"/>
    <x v="3"/>
    <s v="WC, Property, GL, Auto,Specialities"/>
    <s v="All"/>
    <s v="Back Office"/>
    <s v="L2"/>
    <n v="2"/>
    <n v="1"/>
    <n v="4"/>
    <s v="FTE Based"/>
    <s v="USD"/>
    <n v="25347.49"/>
    <n v="1.2"/>
    <n v="0"/>
    <n v="0.1"/>
    <n v="0.1"/>
    <n v="1.4000000000000001"/>
    <n v="7.1428571428571425E-2"/>
    <n v="1624"/>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x v="17"/>
    <s v="Fortune 500 Global P&amp;C Carrier"/>
    <s v="US"/>
    <s v="Pune, India"/>
    <s v="India"/>
    <s v="Arbind Singh/Saurabh Sharma"/>
    <n v="5"/>
    <x v="1"/>
    <x v="1"/>
    <x v="1"/>
    <s v="Data entry "/>
    <s v="Trail Companion Letter"/>
    <s v="The purpose of this task is mimic the master claim file to accommodate a different date of loss. The file which is created is known a Trail file."/>
    <s v="Commercial"/>
    <x v="3"/>
    <s v="Property &amp; GL"/>
    <s v="All"/>
    <s v="Back Office"/>
    <s v="L2"/>
    <n v="2"/>
    <n v="1"/>
    <n v="4"/>
    <s v="FTE Based"/>
    <s v="USD"/>
    <n v="25347.49"/>
    <n v="0.1"/>
    <n v="0"/>
    <n v="0"/>
    <n v="0.1"/>
    <n v="0.2"/>
    <n v="0.5"/>
    <n v="19"/>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x v="17"/>
    <s v="Fortune 500 Global P&amp;C Carrier"/>
    <s v="US"/>
    <s v="Pune, India"/>
    <s v="India"/>
    <s v="Arbind Singh/Saurabh Sharma"/>
    <n v="5"/>
    <x v="1"/>
    <x v="1"/>
    <x v="4"/>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s v="Commercial"/>
    <x v="5"/>
    <s v="WC"/>
    <s v="All"/>
    <s v="Back Office"/>
    <s v="L2"/>
    <n v="2"/>
    <n v="1"/>
    <n v="4"/>
    <s v="FTE Based"/>
    <s v="USD"/>
    <n v="25347.49"/>
    <n v="1.59"/>
    <n v="0"/>
    <n v="0.1"/>
    <n v="0.1"/>
    <n v="1.7900000000000003"/>
    <n v="5.5865921787709494E-2"/>
    <n v="592"/>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x v="17"/>
    <s v="Fortune 500 Global P&amp;C Carrier"/>
    <s v="US"/>
    <s v="Pune, India"/>
    <s v="India"/>
    <s v="Arbind Singh/Saurabh Sharma"/>
    <n v="5"/>
    <x v="1"/>
    <x v="1"/>
    <x v="4"/>
    <s v="Gathering relevant reports"/>
    <s v="Indeterminates-Aged"/>
    <s v="The purpose of this task is to check and follow up with claim handler if no action (for 30 days)has been taken on claims which do not have a policy number assigned. The task is received on 5th and 20th of each month."/>
    <s v="Commercial"/>
    <x v="3"/>
    <s v="WC, Property, GL, Auto"/>
    <s v="All"/>
    <s v="Back Office"/>
    <s v="L2"/>
    <n v="2"/>
    <n v="1"/>
    <n v="4"/>
    <s v="FTE Based"/>
    <s v="USD"/>
    <n v="25347.49"/>
    <n v="0.17"/>
    <n v="0"/>
    <n v="0"/>
    <n v="0.1"/>
    <n v="0.27"/>
    <n v="0.37037037037037035"/>
    <n v="214"/>
    <s v="NA"/>
    <s v="NA"/>
    <n v="1"/>
    <n v="0.9869"/>
    <n v="0.9869"/>
    <s v="DPO – Defect Per Opportunity"/>
    <s v="NA"/>
    <s v="NA"/>
    <s v="None"/>
    <s v="None"/>
    <s v="NA"/>
    <s v="None"/>
    <s v="None"/>
    <s v="None"/>
    <s v="None"/>
    <s v="None"/>
    <s v="None"/>
    <s v="LOB"/>
    <s v="Emails"/>
    <s v="Structured"/>
    <s v="Email  - 100%"/>
    <s v="Email - 10% , Application - 90%"/>
    <s v="LOB"/>
    <s v="EZAccess, MS Outlook "/>
  </r>
  <r>
    <x v="17"/>
    <s v="Fortune 500 Global P&amp;C Carrier"/>
    <s v="US"/>
    <s v="Pune, India"/>
    <s v="India"/>
    <s v="Arbind Singh/Saurabh Sharma"/>
    <n v="5"/>
    <x v="1"/>
    <x v="1"/>
    <x v="4"/>
    <s v="Loss/ Damage verification"/>
    <s v="Medicare CMS Letter"/>
    <s v="The purpose of this task is to check and update 5 key elements. And if the Key elements are missing we send CMS letter to Claimant/Attorney"/>
    <s v="Commercial"/>
    <x v="3"/>
    <s v="WC, GL, Auto"/>
    <s v="All"/>
    <s v="Back Office"/>
    <s v="L2"/>
    <n v="2"/>
    <n v="1"/>
    <n v="4"/>
    <s v="FTE Based"/>
    <s v="USD"/>
    <n v="25347.49"/>
    <n v="0.1"/>
    <n v="0"/>
    <n v="0"/>
    <n v="0.1"/>
    <n v="0.2"/>
    <n v="0.5"/>
    <n v="748"/>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s v="US"/>
    <s v="Pune, India"/>
    <s v="India"/>
    <s v="Arbind Singh/Saurabh Sharma"/>
    <n v="5"/>
    <x v="1"/>
    <x v="1"/>
    <x v="4"/>
    <s v="Gathering relevant reports"/>
    <s v="Surety Letters"/>
    <s v="The purpose of this task is to send surety letters to Claimants, Principals, Obligee/Owners, Group name and Claim Handlers etc. as per the instructions"/>
    <s v="Commercial"/>
    <x v="14"/>
    <s v="GL"/>
    <s v="All"/>
    <s v="Back Office"/>
    <s v="L2"/>
    <n v="2"/>
    <n v="1"/>
    <n v="4"/>
    <s v="FTE Based"/>
    <s v="USD"/>
    <n v="25347.49"/>
    <n v="0.94"/>
    <n v="0"/>
    <n v="0.1"/>
    <n v="0.1"/>
    <n v="1.1400000000000001"/>
    <n v="8.771929824561403E-2"/>
    <n v="534"/>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s v="US"/>
    <s v="Pune, India"/>
    <s v="India"/>
    <s v="Arbind Singh/Saurabh Sharma"/>
    <n v="5"/>
    <x v="1"/>
    <x v="1"/>
    <x v="4"/>
    <s v="Loss/ Damage verification"/>
    <s v="Medicare COBC Letters"/>
    <s v="The purpose of this task is to check and update 5 key elements. If these elements are not found we send CMS letter to claimant, a Lotus notes to claim handler and setup a task to update the information."/>
    <s v="Commercial"/>
    <x v="1"/>
    <s v="WC"/>
    <s v="All"/>
    <s v="Back Office"/>
    <s v="L2"/>
    <n v="2"/>
    <n v="1"/>
    <n v="4"/>
    <s v="FTE Based"/>
    <s v="USD"/>
    <n v="25347.49"/>
    <n v="0.39"/>
    <n v="0"/>
    <n v="0"/>
    <n v="0.1"/>
    <n v="0.49"/>
    <n v="0.20408163265306123"/>
    <n v="1060"/>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x v="17"/>
    <s v="Fortune 500 Global P&amp;C Carrier"/>
    <s v="US"/>
    <s v="Pune, India"/>
    <s v="India"/>
    <s v="Arbind Singh/Saurabh Sharma"/>
    <n v="5"/>
    <x v="1"/>
    <x v="1"/>
    <x v="4"/>
    <s v="State Form and Filing"/>
    <s v="State Auto Regulation Letters"/>
    <s v="The purpose of this task is send State regulatory letters, which system was unable to send due to missing information. If we are unable to find information we setup a task for Claim handler"/>
    <s v="Commercial"/>
    <x v="1"/>
    <s v="Auto"/>
    <s v="All"/>
    <s v="Back Office"/>
    <s v="L2"/>
    <n v="2"/>
    <n v="1"/>
    <n v="4"/>
    <s v="FTE Based"/>
    <s v="USD"/>
    <n v="25347.49"/>
    <n v="0.31"/>
    <n v="0"/>
    <n v="0"/>
    <n v="0.1"/>
    <n v="0.41000000000000003"/>
    <n v="0.24390243902439024"/>
    <n v="349"/>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x v="17"/>
    <s v="Fortune 500 Global P&amp;C Carrier"/>
    <s v="US"/>
    <s v="Pune, India"/>
    <s v="India"/>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s v="Commercial"/>
    <x v="3"/>
    <s v="GL, Mass Litigation,Pollution and Environment"/>
    <s v="All"/>
    <s v="Back Office"/>
    <s v="L2"/>
    <n v="2"/>
    <n v="1"/>
    <n v="4"/>
    <s v="FTE Based"/>
    <s v="USD"/>
    <n v="25347.49"/>
    <n v="0.11"/>
    <n v="0"/>
    <n v="0"/>
    <n v="0.1"/>
    <n v="0.21000000000000002"/>
    <n v="0.47619047619047616"/>
    <n v="143"/>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Pune, India"/>
    <s v="India"/>
    <s v="Arbind Singh/Saurabh Sharma"/>
    <n v="5"/>
    <x v="1"/>
    <x v="1"/>
    <x v="1"/>
    <s v="Claim Setup and assignment"/>
    <s v="Office 41- Veterinary claims Set up"/>
    <s v="Vet claims setup requests are received directly from the Veterinarians who are our insureds. These Claims are for animals that were treated by our insureds. "/>
    <s v="Commercial"/>
    <x v="7"/>
    <s v="Specialities"/>
    <s v="All"/>
    <s v="Back Office"/>
    <s v="L2"/>
    <n v="2"/>
    <n v="1"/>
    <n v="4"/>
    <s v="FTE Based"/>
    <s v="USD"/>
    <n v="25347.49"/>
    <n v="1.62"/>
    <n v="0"/>
    <n v="0"/>
    <n v="0.1"/>
    <n v="1.7200000000000002"/>
    <n v="5.8139534883720929E-2"/>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s v="Commercial"/>
    <x v="7"/>
    <s v="Specialities"/>
    <s v="All"/>
    <s v="Back Office"/>
    <s v="L2"/>
    <n v="2"/>
    <n v="1"/>
    <n v="4"/>
    <s v="FTE Based"/>
    <s v="USD"/>
    <n v="25347.49"/>
    <n v="0.04"/>
    <n v="0"/>
    <n v="0"/>
    <n v="0.1"/>
    <n v="0.14000000000000001"/>
    <n v="0.7142857142857143"/>
    <n v="21"/>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s v="Commercial"/>
    <x v="7"/>
    <s v="Specialities"/>
    <s v="All"/>
    <s v="Back Office"/>
    <s v="L2"/>
    <n v="2"/>
    <n v="1"/>
    <n v="4"/>
    <s v="FTE Based"/>
    <s v="USD"/>
    <n v="25347.49"/>
    <n v="0.1"/>
    <n v="0"/>
    <n v="0"/>
    <n v="0.1"/>
    <n v="0.2"/>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Pune, India"/>
    <s v="India"/>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s v="Commercial"/>
    <x v="7"/>
    <s v="Specialities"/>
    <s v="All"/>
    <s v="Back Office"/>
    <s v="L2"/>
    <n v="2"/>
    <n v="1"/>
    <n v="4"/>
    <s v="FTE Based"/>
    <s v="USD"/>
    <n v="25347.49"/>
    <n v="0.73"/>
    <n v="0"/>
    <n v="0"/>
    <n v="0.1"/>
    <n v="0.83"/>
    <n v="0.12048192771084339"/>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DJ claims set up"/>
    <s v="The purpose of this task to mirror and create existing claims which end up in litigation"/>
    <s v="Commercial"/>
    <x v="3"/>
    <s v="Specialities"/>
    <s v="All"/>
    <s v="Back Office"/>
    <s v="L2"/>
    <n v="2"/>
    <n v="1"/>
    <n v="4"/>
    <s v="FTE Based"/>
    <s v="USD"/>
    <n v="25347.49"/>
    <n v="0.1"/>
    <n v="0"/>
    <n v="0"/>
    <n v="0.1"/>
    <n v="0.2"/>
    <n v="0.5"/>
    <n v="27"/>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x v="17"/>
    <s v="Fortune 500 Global P&amp;C Carrier"/>
    <s v="US"/>
    <s v="Pune, India"/>
    <s v="India"/>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s v="Commercial"/>
    <x v="3"/>
    <s v="WC, Property, GL, Auto"/>
    <s v="All"/>
    <s v="Back Office"/>
    <s v="L2"/>
    <n v="2"/>
    <n v="1"/>
    <n v="4"/>
    <s v="FTE Based"/>
    <s v="USD"/>
    <n v="25347.49"/>
    <n v="1.5"/>
    <n v="0"/>
    <n v="0.1"/>
    <n v="0.1"/>
    <n v="1.7000000000000002"/>
    <n v="5.8823529411764705E-2"/>
    <n v="611"/>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x v="17"/>
    <s v="Fortune 500 Global P&amp;C Carrier"/>
    <s v="US"/>
    <s v="Pune, India"/>
    <s v="India"/>
    <s v="Arbind Singh/Saurabh Sharma"/>
    <n v="5"/>
    <x v="1"/>
    <x v="1"/>
    <x v="4"/>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s v="Commercial"/>
    <x v="3"/>
    <s v="WC, GL, Auto"/>
    <s v="All"/>
    <s v="Back Office"/>
    <s v="L2"/>
    <n v="2"/>
    <n v="1"/>
    <n v="4"/>
    <s v="FTE Based"/>
    <s v="USD"/>
    <n v="25347.49"/>
    <n v="2.83"/>
    <n v="0"/>
    <n v="0.1"/>
    <n v="0.1"/>
    <n v="3.0300000000000002"/>
    <n v="3.3003300330033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x v="17"/>
    <s v="Fortune 500 Global P&amp;C Carrier"/>
    <s v="US"/>
    <s v="Pune, India"/>
    <s v="India"/>
    <s v="Arbind Singh/Saurabh Sharma"/>
    <n v="5"/>
    <x v="2"/>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s v="Commercial"/>
    <x v="3"/>
    <s v="WC, Property, GL, Auto"/>
    <s v="All"/>
    <s v="Back Office"/>
    <s v="L2"/>
    <n v="2"/>
    <n v="1"/>
    <n v="4"/>
    <s v="FTE Based"/>
    <s v="USD"/>
    <n v="25347.49"/>
    <n v="0"/>
    <n v="0"/>
    <n v="0"/>
    <n v="0"/>
    <n v="0"/>
    <e v="#DIV/0!"/>
    <n v="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x v="17"/>
    <s v="Fortune 500 Global P&amp;C Carrier"/>
    <s v="US"/>
    <s v="Pune, India"/>
    <s v="India"/>
    <s v="Arbind Singh/Saurabh Sharma"/>
    <n v="5"/>
    <x v="1"/>
    <x v="1"/>
    <x v="9"/>
    <s v="Send Closing Documents"/>
    <s v="Claim Fox- Sub Poena"/>
    <s v="The purpose of the task is to provide producable documents (non previlaged nonPHI,nonPI) to requester claimant's attorney for closed claims which are challenged via judiciary system (court proceeding)."/>
    <s v="Commercial"/>
    <x v="3"/>
    <s v="WC, Property, GL, Auto"/>
    <s v="All"/>
    <s v="Back Office"/>
    <s v="L2"/>
    <n v="2"/>
    <n v="1"/>
    <n v="4"/>
    <s v="FTE Based"/>
    <s v="USD"/>
    <n v="25347.49"/>
    <n v="0.55000000000000004"/>
    <n v="0"/>
    <n v="0.1"/>
    <n v="0.1"/>
    <n v="0.75"/>
    <n v="0.13333333333333333"/>
    <n v="40"/>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x v="17"/>
    <s v="Fortune 500 Global P&amp;C Carrier"/>
    <s v="US"/>
    <s v="Noida, India"/>
    <s v="India"/>
    <s v="Arbind Singh/Saurabh Sharma"/>
    <n v="5"/>
    <x v="1"/>
    <x v="1"/>
    <x v="1"/>
    <s v="Claim Setup and assignment"/>
    <s v="WC - Triage"/>
    <s v="The purpose of this task is to assign the claim to right claim handler, according to the office, business type and severity of the claim. Triage Portal is being used to assign claims"/>
    <s v="Commercial"/>
    <x v="5"/>
    <s v="WC"/>
    <s v="All"/>
    <s v="Back Office"/>
    <s v="L2"/>
    <n v="2"/>
    <n v="1"/>
    <n v="4"/>
    <s v="FTE Based"/>
    <s v="USD"/>
    <n v="25347.49"/>
    <n v="1.07"/>
    <n v="0"/>
    <n v="0.1"/>
    <n v="0.1"/>
    <n v="1.2700000000000002"/>
    <n v="7.8740157480314946E-2"/>
    <n v="882"/>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x v="17"/>
    <s v="Fortune 500 Global P&amp;C Carrier"/>
    <s v="US"/>
    <s v="Noida, India"/>
    <s v="India"/>
    <s v="Arbind Singh/Saurabh Sharma"/>
    <n v="7"/>
    <x v="1"/>
    <x v="1"/>
    <x v="7"/>
    <s v="Case Management of File "/>
    <s v="Claim Cancellation"/>
    <s v="This task is performed as a result of a cancellation request received on claims. A claim maybe cancelled due to reasons like claim denial, coverage not available, policy expiration, duplicate set ups etc. "/>
    <s v="Commercial"/>
    <x v="3"/>
    <s v="WC, Property, GL, Auto"/>
    <s v="All"/>
    <s v="Back Office"/>
    <s v="L2"/>
    <n v="2"/>
    <n v="1"/>
    <n v="4"/>
    <s v="FTE Based"/>
    <s v="USD"/>
    <n v="25347.49"/>
    <n v="0.46032682285723642"/>
    <n v="0"/>
    <n v="0"/>
    <n v="0.1"/>
    <n v="0.56032682285723645"/>
    <n v="0.17846727288562916"/>
    <n v="1810"/>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s v="Commercial"/>
    <x v="1"/>
    <s v="Auto"/>
    <s v="All"/>
    <s v="Back Office"/>
    <s v="L2"/>
    <n v="2"/>
    <n v="1"/>
    <n v="4"/>
    <s v="FTE Based"/>
    <s v="USD"/>
    <n v="25347.49"/>
    <n v="0.24239249756281389"/>
    <n v="0"/>
    <n v="0"/>
    <n v="0.1"/>
    <n v="0.34239249756281387"/>
    <n v="0.29206247424172732"/>
    <n v="476"/>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s v="Commercial"/>
    <x v="3"/>
    <s v="WC, Property, GL, Auto"/>
    <s v="All"/>
    <s v="Back Office"/>
    <s v="L2"/>
    <n v="2"/>
    <n v="1"/>
    <n v="4"/>
    <s v="FTE Based"/>
    <s v="USD"/>
    <n v="25347.49"/>
    <n v="1.79"/>
    <n v="0.5"/>
    <n v="0.1"/>
    <n v="0.1"/>
    <n v="2.4900000000000002"/>
    <n v="4.0160642570281124E-2"/>
    <n v="2492"/>
    <s v="NA"/>
    <s v="NA"/>
    <n v="6.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s v="Commercial"/>
    <x v="3"/>
    <s v="WC, Property, GL, Auto"/>
    <s v="All"/>
    <s v="Back Office"/>
    <s v="L2"/>
    <n v="2"/>
    <n v="1"/>
    <n v="4"/>
    <s v="FTE Based"/>
    <s v="USD"/>
    <n v="25347.49"/>
    <n v="1.27"/>
    <n v="0"/>
    <n v="0.1"/>
    <n v="0.1"/>
    <n v="1.4700000000000002"/>
    <n v="6.8027210884353734E-2"/>
    <n v="7542"/>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7"/>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s v="Commercial"/>
    <x v="2"/>
    <s v="Property"/>
    <s v="All"/>
    <s v="Back Office"/>
    <s v="L2"/>
    <n v="2"/>
    <n v="1"/>
    <n v="4"/>
    <s v="FTE Based"/>
    <s v="USD"/>
    <n v="25347.49"/>
    <n v="1.98"/>
    <n v="0.5"/>
    <n v="0.1"/>
    <n v="0.1"/>
    <n v="2.68"/>
    <n v="3.7313432835820892E-2"/>
    <n v="1226"/>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Legal Referral"/>
    <s v="Recovery Referral"/>
    <s v="This task involves assigning claim referrals to  a Recovery Professional based on their skill set, availability and claim amount"/>
    <s v="Commercial"/>
    <x v="3"/>
    <s v="WC, Property, GL, Auto"/>
    <s v="All"/>
    <s v="Back Office"/>
    <s v="L2"/>
    <n v="2"/>
    <n v="1"/>
    <n v="4"/>
    <s v="FTE Based"/>
    <s v="USD"/>
    <n v="25347.49"/>
    <n v="0.75"/>
    <n v="0"/>
    <n v="0.1"/>
    <n v="0.1"/>
    <n v="0.95"/>
    <n v="0.10526315789473685"/>
    <n v="1288"/>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Claim Coding"/>
    <s v="Claim Coding"/>
    <s v="The task involves to code the changes made to the claim information like Site Code, Policy number, name of insured, Date of loss etc."/>
    <s v="Commercial"/>
    <x v="3"/>
    <s v="WC, Property, GL, Auto"/>
    <s v="All"/>
    <s v="Back Office"/>
    <s v="L2"/>
    <n v="2"/>
    <n v="1"/>
    <n v="4"/>
    <s v="FTE Based"/>
    <s v="USD"/>
    <n v="25347.49"/>
    <n v="0.57999999999999996"/>
    <n v="0"/>
    <n v="0.1"/>
    <n v="0.1"/>
    <n v="0.77999999999999992"/>
    <n v="0.12820512820512822"/>
    <n v="335"/>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s v="Commercial"/>
    <x v="3"/>
    <s v="WC, Property, GL, Auto"/>
    <s v="All"/>
    <s v="Back Office"/>
    <s v="L2"/>
    <n v="2"/>
    <n v="1"/>
    <n v="4"/>
    <s v="FTE Based"/>
    <s v="USD"/>
    <n v="25347.49"/>
    <n v="0.41433718631103056"/>
    <n v="0"/>
    <n v="0"/>
    <n v="0.1"/>
    <n v="0.51433718631103054"/>
    <n v="0.19442498551821197"/>
    <n v="1149"/>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x v="3"/>
    <s v="Auto &amp; Property"/>
    <s v="All"/>
    <s v="Back Office"/>
    <s v="L2"/>
    <n v="2"/>
    <n v="1"/>
    <n v="4"/>
    <s v="FTE Based"/>
    <s v="USD"/>
    <n v="25347.49"/>
    <n v="0.2"/>
    <n v="0"/>
    <n v="0"/>
    <n v="0.1"/>
    <n v="0.30000000000000004"/>
    <n v="0.33333333333333331"/>
    <n v="329"/>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s v="US"/>
    <s v="Noida, India"/>
    <s v="India"/>
    <s v="Arbind Singh/Saurabh Sharma"/>
    <n v="7"/>
    <x v="1"/>
    <x v="1"/>
    <x v="4"/>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x v="3"/>
    <s v="Auto &amp; Property"/>
    <s v="All"/>
    <s v="Back Office"/>
    <s v="L2"/>
    <n v="2"/>
    <n v="1"/>
    <n v="4"/>
    <s v="FTE Based"/>
    <s v="USD"/>
    <n v="25347.49"/>
    <n v="0.97"/>
    <n v="0"/>
    <n v="0.1"/>
    <n v="0.1"/>
    <n v="1.1700000000000002"/>
    <n v="8.5470085470085458E-2"/>
    <n v="644"/>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s v="US"/>
    <s v="Noida, India"/>
    <s v="India"/>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s v="Commercial"/>
    <x v="14"/>
    <s v="GL"/>
    <s v="All"/>
    <s v="Back Office"/>
    <s v="L2"/>
    <n v="2"/>
    <n v="1"/>
    <n v="4"/>
    <s v="FTE Based"/>
    <s v="USD"/>
    <n v="25347.49"/>
    <n v="0.2"/>
    <n v="0"/>
    <n v="0"/>
    <n v="0.1"/>
    <n v="0.30000000000000004"/>
    <n v="0.33333333333333331"/>
    <n v="48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Noida, India"/>
    <s v="India"/>
    <s v="Arbind Singh/Saurabh Sharma"/>
    <n v="7"/>
    <x v="1"/>
    <x v="1"/>
    <x v="4"/>
    <s v="Requesting Police report"/>
    <s v="Police Recovery Letter"/>
    <s v="The purpose of this task is to send letter to respective police department (loss address) to send notification for recovered items to insurance carrier."/>
    <s v="Commercial"/>
    <x v="3"/>
    <s v="WC, Property, GL, Auto"/>
    <s v="All"/>
    <s v="Back Office"/>
    <s v="L2"/>
    <n v="2"/>
    <n v="1"/>
    <n v="4"/>
    <s v="FTE Based"/>
    <s v="USD"/>
    <n v="25347.49"/>
    <n v="0.1"/>
    <n v="0"/>
    <n v="0"/>
    <n v="0.1"/>
    <n v="0.2"/>
    <n v="0.5"/>
    <n v="9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x v="17"/>
    <s v="Fortune 500 Global P&amp;C Carrier"/>
    <s v="US"/>
    <s v="Noida, India"/>
    <s v="India"/>
    <s v="Arbind Singh/Saurabh Sharma"/>
    <n v="7"/>
    <x v="1"/>
    <x v="1"/>
    <x v="1"/>
    <s v="Initial Acknowledgement Letters"/>
    <s v="6 Pack"/>
    <s v="The purpose of this task is to publish and send multiple letters in a packet to the Insured/Claimant upon their request as per the state/Law requirements."/>
    <s v="Commercial"/>
    <x v="5"/>
    <s v="WC"/>
    <s v="All"/>
    <s v="Back Office"/>
    <s v="L2"/>
    <n v="2"/>
    <n v="1"/>
    <n v="4"/>
    <s v="FTE Based"/>
    <s v="USD"/>
    <n v="25347.49"/>
    <n v="0.43"/>
    <n v="0"/>
    <n v="0"/>
    <n v="0.1"/>
    <n v="0.53"/>
    <n v="0.18867924528301888"/>
    <n v="2628"/>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9"/>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s v="Commercial"/>
    <x v="5"/>
    <s v="WC"/>
    <s v="All"/>
    <s v="Back Office"/>
    <s v="L2"/>
    <n v="2"/>
    <n v="1"/>
    <n v="4"/>
    <s v="FTE Based"/>
    <s v="USD"/>
    <n v="25347.49"/>
    <n v="0.37"/>
    <n v="0"/>
    <n v="0"/>
    <n v="0.1"/>
    <n v="0.47"/>
    <n v="0.21276595744680854"/>
    <n v="581"/>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Initial Acknowledgement Letters"/>
    <s v="NY-LA Decision Letter"/>
    <s v="This Process involves finding, analyzing, completing, mailing and filing the required NY/LA State Form for decision Letters issued by nurses &amp; doctors"/>
    <s v="Commercial"/>
    <x v="3"/>
    <s v="WC &amp; GL"/>
    <s v="All"/>
    <s v="Back Office"/>
    <s v="L2"/>
    <n v="2"/>
    <n v="1"/>
    <n v="4"/>
    <s v="FTE Based"/>
    <s v="USD"/>
    <n v="25347.49"/>
    <n v="1.48"/>
    <n v="0"/>
    <n v="0.1"/>
    <n v="0.1"/>
    <n v="1.6800000000000002"/>
    <n v="5.9523809523809521E-2"/>
    <n v="288"/>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Send Initial Notification"/>
    <s v="Provider Sendback"/>
    <s v="This Process shows the details of reviewing the document and sending them back to the provider where request is not in approved format."/>
    <s v="Commercial"/>
    <x v="3"/>
    <s v="WC, Property, GL, Auto"/>
    <s v="All"/>
    <s v="Back Office"/>
    <s v="L2"/>
    <n v="2"/>
    <n v="1"/>
    <n v="4"/>
    <s v="FTE Based"/>
    <s v="USD"/>
    <n v="25347.49"/>
    <n v="0.19"/>
    <n v="0"/>
    <n v="0"/>
    <n v="0.1"/>
    <n v="0.29000000000000004"/>
    <n v="0.34482758620689652"/>
    <n v="545"/>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x v="17"/>
    <s v="Fortune 500 Global P&amp;C Carrier"/>
    <s v="US"/>
    <s v="Noida, India"/>
    <s v="India"/>
    <s v="Arbind Singh/Saurabh Sharma"/>
    <n v="7"/>
    <x v="1"/>
    <x v="1"/>
    <x v="9"/>
    <s v="Send Closing Documents"/>
    <s v="Transfer Notes/Docs"/>
    <s v="This process shows the details of transferring Notes from the cancelled claims to new claims and upon the completion of the transfer send email to the requester"/>
    <s v="Commercial"/>
    <x v="3"/>
    <s v="WC, Property, GL, Auto"/>
    <s v="All"/>
    <s v="Back Office"/>
    <s v="L2"/>
    <n v="2"/>
    <n v="1"/>
    <n v="4"/>
    <s v="FTE Based"/>
    <s v="USD"/>
    <n v="25347.49"/>
    <n v="0.2"/>
    <n v="0"/>
    <n v="0"/>
    <n v="0.1"/>
    <n v="0.30000000000000004"/>
    <n v="0.33333333333333331"/>
    <n v="154"/>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s v="Commercial"/>
    <x v="14"/>
    <s v="GL"/>
    <s v="All"/>
    <s v="Back Office"/>
    <s v="L2"/>
    <n v="2"/>
    <n v="1"/>
    <n v="4"/>
    <s v="FTE Based"/>
    <s v="USD"/>
    <n v="25347.49"/>
    <n v="0.1"/>
    <n v="0"/>
    <n v="0"/>
    <n v="0.1"/>
    <n v="0.2"/>
    <n v="0.5"/>
    <n v="16"/>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8"/>
    <s v="Initiate Recovery Collection &amp; processing"/>
    <s v="Recovery Transfer"/>
    <s v="This Process shows to assign the claim to the appropriate recovery claim handler and if the handler does not work in the organization anymore send email to the Team leader"/>
    <s v="Commercial"/>
    <x v="14"/>
    <s v="GL"/>
    <s v="All"/>
    <s v="Back Office"/>
    <s v="L2"/>
    <n v="2"/>
    <n v="1"/>
    <n v="4"/>
    <s v="FTE Based"/>
    <s v="USD"/>
    <n v="25347.49"/>
    <n v="0.1"/>
    <n v="0"/>
    <n v="0"/>
    <n v="0.1"/>
    <n v="0.2"/>
    <n v="0.5"/>
    <n v="83"/>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s v="Commercial"/>
    <x v="3"/>
    <s v="Auto, GL, WC, Property, Specialty"/>
    <s v="All"/>
    <s v="Back Office"/>
    <s v="L2"/>
    <n v="2"/>
    <n v="1"/>
    <n v="4"/>
    <s v="FTE Based"/>
    <s v="USD"/>
    <n v="25347.49"/>
    <n v="0.47"/>
    <n v="0"/>
    <n v="0"/>
    <n v="0.1"/>
    <n v="0.56999999999999995"/>
    <n v="0.17543859649122809"/>
    <n v="4"/>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Noida, India"/>
    <s v="India"/>
    <s v="Arbind Singh/Saurabh Sharma"/>
    <n v="7"/>
    <x v="1"/>
    <x v="1"/>
    <x v="1"/>
    <s v="State Form Filing"/>
    <s v="WC Form Filing"/>
    <s v="The purpose of Form Filing is to provide worker compensation information to State along with informing employer and Attorneys as per State guidelines."/>
    <s v="Commercial"/>
    <x v="5"/>
    <s v="WC"/>
    <s v="All"/>
    <s v="Back Office"/>
    <s v="L2"/>
    <n v="2"/>
    <n v="1"/>
    <n v="4"/>
    <s v="FTE Based"/>
    <s v="USD"/>
    <n v="25347.49"/>
    <n v="14.75"/>
    <n v="1"/>
    <n v="1"/>
    <n v="1"/>
    <n v="17.75"/>
    <n v="5.6338028169014086E-2"/>
    <n v="12254"/>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s v="Commercial"/>
    <x v="3"/>
    <s v="WC, GL &amp; Auto"/>
    <s v="All"/>
    <s v="Back Office"/>
    <s v="L2"/>
    <n v="2"/>
    <n v="1"/>
    <n v="4"/>
    <s v="FTE Based"/>
    <s v="USD"/>
    <n v="25347.49"/>
    <n v="1.35"/>
    <n v="0"/>
    <n v="0.1"/>
    <n v="0.1"/>
    <n v="1.5500000000000003"/>
    <n v="6.4516129032258063E-2"/>
    <n v="2981"/>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xternal Distribution"/>
    <s v="File &amp; Serve"/>
    <s v="The purpose of this task is to send any claim related document to a party who sends a document to request."/>
    <s v="Commercial"/>
    <x v="5"/>
    <s v="WC"/>
    <s v="All"/>
    <s v="Back Office"/>
    <s v="L2"/>
    <n v="2"/>
    <n v="1"/>
    <n v="4"/>
    <s v="FTE Based"/>
    <s v="USD"/>
    <n v="25347.49"/>
    <n v="0.51931100630918148"/>
    <n v="0"/>
    <n v="0"/>
    <n v="0.1"/>
    <n v="0.61931100630918146"/>
    <n v="0.16146976071999042"/>
    <n v="11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xternal Distribution"/>
    <s v="Generate &amp; Distribute"/>
    <s v="The process involves retrieval and then distribution of the various reports in the appropriate folders on the DER and Non-DER SharePoint site and send email to Admin Managers.  This process covers a total of 12 reports."/>
    <s v="Commercial"/>
    <x v="3"/>
    <s v="WC, Property, GL, Auto"/>
    <s v="All"/>
    <s v="Back Office"/>
    <s v="L2"/>
    <n v="2"/>
    <n v="1"/>
    <n v="4"/>
    <s v="FTE Based"/>
    <s v="USD"/>
    <n v="25347.49"/>
    <n v="1.0064364535167454"/>
    <n v="0"/>
    <n v="0.1"/>
    <n v="0.1"/>
    <n v="1.2064364535167456"/>
    <n v="8.2888742053923672E-2"/>
    <n v="1485"/>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s v="Commercial"/>
    <x v="3"/>
    <s v="WC, Property, GL, Auto"/>
    <s v="All"/>
    <s v="Back Office"/>
    <s v="L2"/>
    <n v="2"/>
    <n v="1"/>
    <n v="4"/>
    <s v="FTE Based"/>
    <s v="USD"/>
    <n v="25347.49"/>
    <n v="0.32800890084953344"/>
    <n v="0"/>
    <n v="0"/>
    <n v="0.1"/>
    <n v="0.42800890084953347"/>
    <n v="0.23364000094744528"/>
    <n v="1273"/>
    <s v="NA"/>
    <s v="NA"/>
    <n v="5"/>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Gathering relevant reports"/>
    <s v="WC BOE reports (24066)"/>
    <s v="This tasks required payment reports to be fetched as per the paykind codes provided. Once reports for the paykind codes is fetched then these reports are uploaded on Citrix application on the claim"/>
    <s v="Commercial"/>
    <x v="5"/>
    <s v="WC"/>
    <s v="All"/>
    <s v="Back Office"/>
    <s v="L2"/>
    <n v="2"/>
    <n v="1"/>
    <n v="4"/>
    <s v="FTE Based"/>
    <s v="USD"/>
    <n v="25347.49"/>
    <n v="0.15049551241765352"/>
    <n v="0"/>
    <n v="0"/>
    <n v="0.1"/>
    <n v="0.25049551241765355"/>
    <n v="0.39920874843166471"/>
    <n v="27"/>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s v="Commercial"/>
    <x v="5"/>
    <s v="WC"/>
    <s v="All"/>
    <s v="Back Office"/>
    <s v="L2"/>
    <n v="2"/>
    <n v="1"/>
    <n v="4"/>
    <s v="FTE Based"/>
    <s v="USD"/>
    <n v="25347.49"/>
    <n v="0.1"/>
    <n v="0"/>
    <n v="0"/>
    <n v="0.1"/>
    <n v="0.2"/>
    <n v="0.5"/>
    <n v="51"/>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7"/>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s v="Commercial"/>
    <x v="3"/>
    <s v="WC, Property, GL, Auto"/>
    <s v="All"/>
    <s v="Back Office"/>
    <s v="L2"/>
    <n v="2"/>
    <n v="1"/>
    <n v="4"/>
    <s v="FTE Based"/>
    <s v="USD"/>
    <n v="25347.49"/>
    <n v="0.61275719920792904"/>
    <n v="0"/>
    <n v="0.1"/>
    <n v="0.1"/>
    <n v="0.81275719920792899"/>
    <n v="0.12303797505264158"/>
    <n v="1420"/>
    <s v="NA"/>
    <s v="NA"/>
    <n v="3.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s v="Commercial"/>
    <x v="3"/>
    <s v="WC, Property, GL, Auto"/>
    <s v="All"/>
    <s v="Back Office"/>
    <s v="L2"/>
    <n v="2"/>
    <n v="1"/>
    <n v="4"/>
    <s v="FTE Based"/>
    <s v="USD"/>
    <n v="25347.49"/>
    <n v="0.1"/>
    <n v="0"/>
    <n v="0"/>
    <n v="0.1"/>
    <n v="0.2"/>
    <n v="0.5"/>
    <n v="66"/>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s v="Commercial"/>
    <x v="3"/>
    <s v="WC, Property, GL, Auto"/>
    <s v="All"/>
    <s v="Back Office"/>
    <s v="L2"/>
    <n v="2"/>
    <n v="1"/>
    <n v="4"/>
    <s v="FTE Based"/>
    <s v="USD"/>
    <n v="25347.49"/>
    <n v="1.01"/>
    <n v="0"/>
    <n v="0.1"/>
    <n v="0.1"/>
    <n v="1.2100000000000002"/>
    <n v="8.2644628099173542E-2"/>
    <n v="8440"/>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s v="Commercial"/>
    <x v="5"/>
    <s v="WC"/>
    <s v="All"/>
    <s v="Blended"/>
    <s v="L2"/>
    <n v="2"/>
    <n v="1"/>
    <n v="4"/>
    <s v="FTE Based"/>
    <s v="USD"/>
    <n v="31084.880000000001"/>
    <n v="3"/>
    <n v="0.5"/>
    <n v="0.5"/>
    <n v="1"/>
    <n v="5"/>
    <n v="0.2"/>
    <n v="1354"/>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Gathering relevant reports"/>
    <s v="SB1159 Covid Reporting"/>
    <s v="This keeps track of all Covid affected workers as per information shared by the insured via email. Data details are captured on a excel sheet which is saved on share point for reporting purpose."/>
    <s v="Commercial"/>
    <x v="5"/>
    <s v="WC"/>
    <s v="All"/>
    <s v="Back Office"/>
    <s v="L2"/>
    <n v="2"/>
    <n v="1"/>
    <n v="4"/>
    <s v="FTE Based"/>
    <s v="USD"/>
    <n v="25347.49"/>
    <n v="0.1"/>
    <n v="0"/>
    <n v="0"/>
    <n v="0.1"/>
    <n v="0.2"/>
    <n v="0.5"/>
    <n v="1"/>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x v="17"/>
    <s v="Fortune 500 Global P&amp;C Carrier"/>
    <s v="US"/>
    <s v="Noida, India"/>
    <s v="India"/>
    <s v="Arbind Singh/Saurabh Sharma"/>
    <n v="7"/>
    <x v="1"/>
    <x v="1"/>
    <x v="7"/>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s v="Commercial"/>
    <x v="3"/>
    <s v="Multi/ Combination"/>
    <s v="All"/>
    <s v="Back Office"/>
    <s v="L2"/>
    <n v="2"/>
    <n v="1"/>
    <n v="4"/>
    <s v="FTE Based"/>
    <s v="USD"/>
    <n v="25347.49"/>
    <n v="0.41694315416943156"/>
    <n v="0"/>
    <n v="0"/>
    <n v="0.1"/>
    <n v="0.5169431541694316"/>
    <n v="0.19344486757092122"/>
    <n v="186"/>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Gathering relevant reports"/>
    <s v="Med Connections Report"/>
    <s v="In this task, we receive instructions from vendor that report has been generated as per the instructions provided by CP. We save it on client application."/>
    <s v="Commercial"/>
    <x v="5"/>
    <s v="WC"/>
    <s v="All"/>
    <s v="Back Office"/>
    <s v="L2"/>
    <n v="2"/>
    <n v="1"/>
    <n v="4"/>
    <s v="FTE Based"/>
    <s v="USD"/>
    <n v="25347.49"/>
    <n v="0.10598687605986876"/>
    <n v="0"/>
    <n v="0"/>
    <n v="0.1"/>
    <n v="0.20598687605986876"/>
    <n v="0.48546782160498247"/>
    <n v="452"/>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Initial Acknowledgement Letters"/>
    <s v="NY-PA-ME-  SROI Letter"/>
    <s v="Subsequent report of injury letters are sent to Injured worker, Insured and Attorney's as per CPs instructions"/>
    <s v="Commercial"/>
    <x v="5"/>
    <s v="WC"/>
    <s v="All"/>
    <s v="Back Office"/>
    <s v="L2"/>
    <n v="2"/>
    <n v="1"/>
    <n v="4"/>
    <s v="FTE Based"/>
    <s v="USD"/>
    <n v="25347.49"/>
    <n v="1.48"/>
    <n v="0"/>
    <n v="0.1"/>
    <n v="0.1"/>
    <n v="1.6800000000000002"/>
    <n v="5.9523809523809521E-2"/>
    <n v="28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Triaging for SIU, Subro"/>
    <s v="BOE Reports"/>
    <s v="Various reports are pulled through client application manipulated and then saved on share point for future reference or shared with CPs via email"/>
    <s v="Commercial"/>
    <x v="3"/>
    <s v="Multi/ Combination"/>
    <s v="All"/>
    <s v="Back Office"/>
    <s v="L2"/>
    <n v="2"/>
    <n v="1"/>
    <n v="4"/>
    <s v="FTE Based"/>
    <s v="USD"/>
    <n v="25347.49"/>
    <n v="0.5"/>
    <n v="0"/>
    <n v="0"/>
    <n v="0.1"/>
    <n v="0.6"/>
    <n v="0.16666666666666669"/>
    <n v="27"/>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x v="17"/>
    <s v="Fortune 500 Global P&amp;C Carrier"/>
    <s v="US"/>
    <s v="Noida, India"/>
    <s v="India"/>
    <s v="Anshuman Singh/Arbind Singh"/>
    <n v="6"/>
    <x v="2"/>
    <x v="2"/>
    <x v="5"/>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s v="Commercial"/>
    <x v="3"/>
    <s v="All"/>
    <s v="All"/>
    <s v="Back Office"/>
    <s v="L2"/>
    <n v="1"/>
    <s v="2 to 4"/>
    <s v="2 to 4"/>
    <s v="FTE Based"/>
    <s v="USD"/>
    <n v="26002.87"/>
    <n v="1"/>
    <n v="4"/>
    <n v="0"/>
    <n v="0"/>
    <n v="5"/>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s v="US"/>
    <s v="Noida, India"/>
    <s v="India"/>
    <s v="Anshuman Singh/Arbind Singh"/>
    <n v="7"/>
    <x v="1"/>
    <x v="2"/>
    <x v="3"/>
    <s v="Indexing"/>
    <s v="Indexing"/>
    <s v="Correctly naming all documents per the Indexing Guidelines that are part of the Submission in eFile"/>
    <s v="Commercial"/>
    <x v="3"/>
    <s v="All"/>
    <s v="All"/>
    <s v="Back Office"/>
    <s v="L2"/>
    <n v="1"/>
    <s v="2 to 4"/>
    <s v="2 to 4"/>
    <s v="FTE Based"/>
    <s v="USD"/>
    <n v="26002.87"/>
    <n v="9"/>
    <n v="0.5"/>
    <n v="0.5"/>
    <n v="0.5"/>
    <n v="10.5"/>
    <n v="4.7619047619047616E-2"/>
    <n v="9000"/>
    <n v="9000"/>
    <s v="Round the year"/>
    <n v="10.1"/>
    <n v="0.96"/>
    <n v="0.987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s v="US"/>
    <s v="Noida, India"/>
    <s v="India"/>
    <s v="Anshuman Singh/Arbind Singh"/>
    <n v="7"/>
    <x v="1"/>
    <x v="2"/>
    <x v="5"/>
    <s v="Validate and Update Policy info (Limits, Exposure State, Exposure, FEIN, Address, Name Insured, Employers Liability etc.)"/>
    <s v="Additional System Setup"/>
    <s v="To fill all the details related to a policy (Insured, producer) in the required source system and setup rating taks."/>
    <s v="Commercial"/>
    <x v="3"/>
    <s v="All"/>
    <s v="All"/>
    <s v="Back Office"/>
    <s v="L2"/>
    <n v="1"/>
    <s v="2 to 4"/>
    <s v="2 to 4"/>
    <s v="FTE Based"/>
    <s v="USD"/>
    <n v="26002.87"/>
    <n v="2.5"/>
    <n v="0.5"/>
    <n v="0"/>
    <n v="0.5"/>
    <n v="3.5"/>
    <n v="0.14285714285714285"/>
    <n v="880"/>
    <n v="880"/>
    <s v="Round the year"/>
    <n v="5.4"/>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x v="17"/>
    <s v="Fortune 500 Global P&amp;C Carrier"/>
    <s v="US"/>
    <s v="Noida, India"/>
    <s v="India"/>
    <s v="Anshuman Singh/Arbind Singh"/>
    <n v="7"/>
    <x v="1"/>
    <x v="2"/>
    <x v="5"/>
    <s v="New Business setup"/>
    <s v="Add Product"/>
    <s v="Adding product to an existing submission because of Missed Product, or Broker made new requests or other reasons during New Business Set-Up of policy"/>
    <s v="Commercial"/>
    <x v="3"/>
    <s v="All"/>
    <s v="All"/>
    <s v="Back Office"/>
    <s v="L2"/>
    <n v="1"/>
    <s v="2 to 4"/>
    <s v="2 to 4"/>
    <s v="FTE Based"/>
    <s v="USD"/>
    <n v="26002.87"/>
    <n v="0.06"/>
    <n v="0"/>
    <n v="0"/>
    <n v="0"/>
    <n v="0.06"/>
    <n v="0"/>
    <n v="7"/>
    <n v="7"/>
    <s v="Round the year"/>
    <n v="2.6"/>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x v="17"/>
    <s v="Fortune 500 Global P&amp;C Carrier"/>
    <s v="US"/>
    <s v="Noida, India"/>
    <s v="India"/>
    <s v="Anshuman Singh/Arbind Singh"/>
    <n v="3"/>
    <x v="2"/>
    <x v="2"/>
    <x v="5"/>
    <s v="Clearance and Registration"/>
    <s v="PLAC Decline"/>
    <s v="Clearing &amp; Registering upfront decline assignments in Underwriting Management"/>
    <s v="Commercial"/>
    <x v="3"/>
    <s v="Auto, Property, GL, WC"/>
    <s v="Specialized"/>
    <s v="Back Office"/>
    <s v="L2"/>
    <n v="1"/>
    <s v="2 to 4"/>
    <s v="2 to 4"/>
    <s v="FTE Based"/>
    <s v="USD"/>
    <n v="26002.87"/>
    <n v="2"/>
    <n v="0"/>
    <n v="0"/>
    <n v="0"/>
    <n v="2"/>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x v="17"/>
    <s v="Fortune 500 Global P&amp;C Carrier"/>
    <s v="US"/>
    <s v="Noida, India"/>
    <s v="India"/>
    <s v="Anshuman Singh/Arbind Singh"/>
    <n v="4"/>
    <x v="1"/>
    <x v="2"/>
    <x v="5"/>
    <s v="WC Filings/ CRITS"/>
    <s v="GA-120"/>
    <s v="WC Claims Rate Cards for the State of Georgia are printed"/>
    <s v="Commercial"/>
    <x v="3"/>
    <s v="WC"/>
    <s v="All"/>
    <s v="Back Office"/>
    <s v="L2"/>
    <n v="1"/>
    <s v="2 to 4"/>
    <s v="2 to 4"/>
    <s v="FTE Based"/>
    <s v="USD"/>
    <n v="26002.87"/>
    <n v="1"/>
    <n v="0.1"/>
    <n v="0"/>
    <n v="0.1"/>
    <n v="1.2000000000000002"/>
    <n v="8.3333333333333329E-2"/>
    <n v="261"/>
    <n v="261"/>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x v="17"/>
    <s v="Fortune 500 Global P&amp;C Carrier"/>
    <s v="US"/>
    <s v="Noida, India"/>
    <s v="India"/>
    <s v="Anshuman Singh/Arbind Singh"/>
    <n v="0.1"/>
    <x v="1"/>
    <x v="2"/>
    <x v="5"/>
    <s v="New Business setup"/>
    <s v="E&amp;S C&amp;R"/>
    <s v="To clear and register the assignments for E&amp;S- PNP and Excess Casualty market baskets in Underwriting Management"/>
    <s v="Commercial"/>
    <x v="3"/>
    <s v="UMB and property"/>
    <s v="Large"/>
    <s v="Back Office"/>
    <s v="L2"/>
    <n v="1"/>
    <s v="2 to 4"/>
    <s v="2 to 4"/>
    <s v="FTE Based"/>
    <s v="USD"/>
    <n v="26002.87"/>
    <n v="6"/>
    <n v="0.5"/>
    <n v="0.2"/>
    <n v="0.5"/>
    <n v="7.2"/>
    <n v="6.9444444444444448E-2"/>
    <n v="2400"/>
    <n v="2400"/>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x v="17"/>
    <s v="Fortune 500 Global P&amp;C Carrier"/>
    <s v="US"/>
    <s v="Noida, India"/>
    <s v="India"/>
    <s v="Anshuman Singh/Arbind Singh"/>
    <n v="3"/>
    <x v="2"/>
    <x v="2"/>
    <x v="5"/>
    <s v="New Business setup"/>
    <s v="Paychex-NB"/>
    <s v="Paychex helps in small-business owners to succeed by taking care of the details that go into running a business. This helps client to spend more time on their customers, employees and their organisation/companies."/>
    <s v="Commercial"/>
    <x v="3"/>
    <s v="Auto, Property, GL, WC"/>
    <s v="All"/>
    <s v="Back Office"/>
    <s v="L2"/>
    <n v="1"/>
    <s v="2 to 4"/>
    <s v="2 to 4"/>
    <s v="FTE Based"/>
    <s v="USD"/>
    <n v="26002.87"/>
    <n v="0.5"/>
    <n v="0"/>
    <n v="0"/>
    <n v="0"/>
    <n v="0.5"/>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s v="US"/>
    <s v="Noida, India"/>
    <s v="India"/>
    <s v="Anshuman Singh/Arbind Singh"/>
    <n v="3"/>
    <x v="2"/>
    <x v="2"/>
    <x v="5"/>
    <s v="New Business setup"/>
    <s v="Paychex-RN"/>
    <s v="Paychex helps in small-business owners to succeed by taking care of the details that go into running a business. This helps client to spend more time on their customers, employees and their organisation/companies."/>
    <s v="Commercial"/>
    <x v="3"/>
    <s v="Auto, Property, GL, WC"/>
    <s v="All"/>
    <s v="Back Office"/>
    <s v="L2"/>
    <n v="1"/>
    <s v="2 to 4"/>
    <s v="2 to 4"/>
    <s v="FTE Based"/>
    <s v="USD"/>
    <n v="26002.87"/>
    <n v="1.3"/>
    <n v="0"/>
    <n v="0"/>
    <n v="0"/>
    <n v="1.3"/>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s v="US"/>
    <s v="Noida, India"/>
    <s v="India"/>
    <s v="Anshuman Singh/Arbind Singh"/>
    <n v="3"/>
    <x v="2"/>
    <x v="2"/>
    <x v="5"/>
    <s v="New Business setup"/>
    <s v="Paychex-NB (EPD)"/>
    <s v="Paychex helps in small-business owners to succeed by taking care of the details that go into running a business. This helps client to spend more time on their customers, employees and their organisation/companies."/>
    <s v="Commercial"/>
    <x v="3"/>
    <s v="Fidelity Bond"/>
    <s v="All"/>
    <s v="Back Office"/>
    <s v="L2"/>
    <n v="1"/>
    <s v="2 to 4"/>
    <s v="2 to 4"/>
    <s v="FTE Based"/>
    <s v="USD"/>
    <n v="26002.87"/>
    <n v="1"/>
    <n v="0"/>
    <n v="0"/>
    <n v="0"/>
    <n v="1"/>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s v="US"/>
    <s v="Noida, India"/>
    <s v="India"/>
    <s v="Anshuman Singh/Arbind Singh"/>
    <n v="3"/>
    <x v="2"/>
    <x v="2"/>
    <x v="5"/>
    <s v="New Business setup"/>
    <s v="Paychex-RN (EPD)"/>
    <s v="Paychex helps in small-business owners to succeed by taking care of the details that go into running a business. This helps client to spend more time on their customers, employees and their organisation/companies."/>
    <s v="Commercial"/>
    <x v="3"/>
    <s v="Fidelity Bond"/>
    <s v="All"/>
    <s v="Back Office"/>
    <s v="L2"/>
    <n v="1"/>
    <s v="2 to 4"/>
    <s v="2 to 4"/>
    <s v="FTE Based"/>
    <s v="USD"/>
    <n v="26002.87"/>
    <n v="1"/>
    <n v="0"/>
    <n v="0"/>
    <n v="0"/>
    <n v="1"/>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s v="US"/>
    <s v="Noida, India"/>
    <s v="India"/>
    <s v="Anshuman Singh/Arbind Singh"/>
    <n v="2"/>
    <x v="2"/>
    <x v="2"/>
    <x v="5"/>
    <s v="New Business setup"/>
    <s v="Captive Bind"/>
    <s v="The bind policy function is performed, once an order is received on a submission &amp; the policy is bound in Workbench."/>
    <s v="Commercial"/>
    <x v="3"/>
    <s v="Auto, Property, GL, WC"/>
    <s v="All"/>
    <s v="Back Office"/>
    <s v="L2"/>
    <n v="1"/>
    <s v="2 to 4"/>
    <s v="2 to 4"/>
    <s v="FTE Based"/>
    <s v="USD"/>
    <n v="26002.87"/>
    <n v="1.5"/>
    <n v="0"/>
    <n v="0"/>
    <n v="0"/>
    <n v="1.5"/>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s v="US"/>
    <s v="Noida, India"/>
    <s v="India"/>
    <s v="Anshuman Singh/Arbind Singh"/>
    <n v="2"/>
    <x v="2"/>
    <x v="2"/>
    <x v="5"/>
    <s v="Clearance and Registration"/>
    <s v="Captive C&amp;R"/>
    <s v="Clearing and Registering New Business Submissions is the process of recording all the submission information available into Workbench (Zurich Corporate Database)."/>
    <s v="Commercial"/>
    <x v="3"/>
    <s v="Auto, Property, GL, WC"/>
    <s v="All"/>
    <s v="Back Office"/>
    <s v="L2"/>
    <n v="1"/>
    <s v="2 to 4"/>
    <s v="2 to 4"/>
    <s v="FTE Based"/>
    <s v="USD"/>
    <n v="26002.87"/>
    <n v="1"/>
    <n v="0"/>
    <n v="0"/>
    <n v="0"/>
    <n v="1"/>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s v="US"/>
    <s v="Noida, India"/>
    <s v="India"/>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s v="Commercial"/>
    <x v="3"/>
    <s v="Auto, Property, GL, WC"/>
    <s v="All"/>
    <s v="Back Office"/>
    <s v="L2"/>
    <n v="1"/>
    <s v="2 to 4"/>
    <s v="2 to 4"/>
    <s v="FTE Based"/>
    <s v="USD"/>
    <n v="26002.87"/>
    <n v="2"/>
    <n v="0"/>
    <n v="0"/>
    <n v="0"/>
    <n v="2"/>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x v="17"/>
    <s v="Fortune 500 Global P&amp;C Carrier"/>
    <s v="US"/>
    <s v="Noida, India"/>
    <s v="India"/>
    <s v="Anshuman Singh/Arbind Singh"/>
    <n v="3"/>
    <x v="1"/>
    <x v="2"/>
    <x v="5"/>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s v="Commercial"/>
    <x v="3"/>
    <s v="WC"/>
    <s v="Small &amp; Mid Size"/>
    <s v="Back Office"/>
    <s v="L2"/>
    <n v="1"/>
    <s v="2 to 4"/>
    <s v="2 to 4"/>
    <s v="FTE Based"/>
    <s v="USD"/>
    <n v="26002.87"/>
    <n v="2"/>
    <n v="0.5"/>
    <n v="0.1"/>
    <n v="0.5"/>
    <n v="3.1"/>
    <n v="0.16129032258064516"/>
    <n v="650"/>
    <n v="650"/>
    <s v="Round the year"/>
    <n v="7.9"/>
    <n v="0.96"/>
    <n v="0.987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s v="US"/>
    <s v="Noida, India"/>
    <s v="India"/>
    <s v="Anshuman Singh/Arbind Singh"/>
    <n v="1"/>
    <x v="1"/>
    <x v="2"/>
    <x v="3"/>
    <s v="Indexing"/>
    <s v="Program Upload"/>
    <s v="A document upload request in Outlook Mailbox comes into Inbox. These requests have documents related to Endorsements, hence only needs to be uploaded in eFile."/>
    <s v="Commercial"/>
    <x v="3"/>
    <s v="WC"/>
    <s v="Small &amp; Mid Size"/>
    <s v="Back Office"/>
    <s v="L2"/>
    <n v="1"/>
    <s v="2 to 4"/>
    <s v="2 to 4"/>
    <s v="FTE Based"/>
    <s v="USD"/>
    <n v="26002.87"/>
    <n v="2.34"/>
    <n v="1"/>
    <n v="0.2"/>
    <n v="0"/>
    <n v="3.54"/>
    <n v="0"/>
    <n v="1240"/>
    <n v="1240"/>
    <s v="Round the year"/>
    <n v="5.8"/>
    <n v="0.96"/>
    <n v="0.987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x v="17"/>
    <s v="Fortune 500 Global P&amp;C Carrier"/>
    <s v="US"/>
    <s v="Noida, India"/>
    <s v="India"/>
    <s v="Anshuman Singh/Arbind Singh"/>
    <n v="1"/>
    <x v="1"/>
    <x v="2"/>
    <x v="5"/>
    <s v="New Business setup"/>
    <s v="Program Submission"/>
    <s v="Submission requests are processed under Alternative Markets to initiate the New Business and Renewal transactions in ULTRA and Workbench."/>
    <s v="Commercial"/>
    <x v="3"/>
    <s v="Auto, Property, GL"/>
    <s v="Small &amp; Mid Size"/>
    <s v="Back Office"/>
    <s v="L2"/>
    <n v="1"/>
    <s v="2 to 4"/>
    <s v="2 to 4"/>
    <s v="FTE Based"/>
    <s v="USD"/>
    <n v="26002.87"/>
    <n v="0.1"/>
    <n v="0"/>
    <n v="0"/>
    <n v="0"/>
    <n v="0.1"/>
    <n v="0"/>
    <n v="2"/>
    <n v="2"/>
    <s v="Round the year"/>
    <n v="34.799999999999997"/>
    <n v="0.96"/>
    <n v="0.987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s v="US"/>
    <s v="Noida, India"/>
    <s v="India"/>
    <s v="Anshuman Singh/Arbind Singh"/>
    <n v="2"/>
    <x v="2"/>
    <x v="2"/>
    <x v="3"/>
    <s v="Endorsements intake and setup"/>
    <s v="Paychex Endorsement"/>
    <s v="Modifying and changing the forms used in Paychex policies"/>
    <s v="Commercial"/>
    <x v="3"/>
    <s v="Fidelity Bond"/>
    <s v="All"/>
    <s v="Back Office"/>
    <s v="L2"/>
    <n v="1"/>
    <s v="2 to 4"/>
    <s v="2 to 4"/>
    <s v="FTE Based"/>
    <s v="USD"/>
    <n v="26002.87"/>
    <n v="0.01"/>
    <n v="0"/>
    <n v="0"/>
    <n v="0"/>
    <n v="0.01"/>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x v="17"/>
    <s v="Fortune 500 Global P&amp;C Carrier"/>
    <s v="US"/>
    <s v="Noida, India"/>
    <s v="India"/>
    <s v="Anshuman Singh/Arbind Singh"/>
    <n v="2"/>
    <x v="2"/>
    <x v="2"/>
    <x v="3"/>
    <s v="Endorsements intake and setup"/>
    <s v="Paychex Cancellation"/>
    <s v="Cancelling the policies issued in paychex"/>
    <s v="Commercial"/>
    <x v="3"/>
    <s v="Fidelity Bond"/>
    <s v="All"/>
    <s v="Back Office"/>
    <s v="L2"/>
    <n v="1"/>
    <s v="2 to 4"/>
    <s v="2 to 4"/>
    <s v="FTE Based"/>
    <s v="USD"/>
    <n v="26002.87"/>
    <n v="0.01"/>
    <n v="0"/>
    <n v="0"/>
    <n v="0"/>
    <n v="0.01"/>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x v="17"/>
    <s v="Fortune 500 Global P&amp;C Carrier"/>
    <s v="US"/>
    <s v="Noida, India"/>
    <s v="India"/>
    <s v="Anshuman Singh/Arbind Singh"/>
    <n v="6"/>
    <x v="2"/>
    <x v="2"/>
    <x v="11"/>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s v="Commercial"/>
    <x v="3"/>
    <s v="Auto, Property, GL, WC"/>
    <s v="Mid Size"/>
    <s v="Back Office"/>
    <s v="L2"/>
    <n v="1"/>
    <s v="2 to 4"/>
    <s v="2 to 4"/>
    <s v="FTE Based"/>
    <s v="USD"/>
    <n v="26002.87"/>
    <n v="1"/>
    <n v="0"/>
    <n v="0"/>
    <n v="0"/>
    <n v="1"/>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x v="17"/>
    <s v="Fortune 500 Global P&amp;C Carrier"/>
    <s v="US"/>
    <s v="Noida, India"/>
    <s v="India"/>
    <s v="Anshuman Singh/Arbind Singh"/>
    <n v="6"/>
    <x v="2"/>
    <x v="2"/>
    <x v="5"/>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s v="Commercial"/>
    <x v="3"/>
    <s v="Auto, Property, GL, WC"/>
    <s v="Mid Size"/>
    <s v="Back Office"/>
    <s v="L2"/>
    <n v="1"/>
    <s v="2 to 4"/>
    <s v="2 to 4"/>
    <s v="FTE Based"/>
    <s v="USD"/>
    <n v="26002.87"/>
    <n v="0.3"/>
    <n v="0"/>
    <n v="0"/>
    <n v="0"/>
    <n v="0.3"/>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x v="17"/>
    <s v="Fortune 500 Global P&amp;C Carrier"/>
    <s v="US"/>
    <s v="Noida, India"/>
    <s v="India"/>
    <s v="Anshuman Singh/Arbind Singh"/>
    <n v="7"/>
    <x v="1"/>
    <x v="2"/>
    <x v="11"/>
    <s v="Renewal Quotes/ Rating"/>
    <s v="CRR"/>
    <s v="To review and determine if ZNA is interested in continuing the business currently written with it."/>
    <s v="Commercial"/>
    <x v="3"/>
    <s v="All"/>
    <s v="All"/>
    <s v="Back Office"/>
    <s v="L2"/>
    <n v="1"/>
    <s v="2 to 4"/>
    <s v="2 to 4"/>
    <s v="FTE Based"/>
    <s v="USD"/>
    <n v="26002.87"/>
    <n v="2.4"/>
    <n v="0.5"/>
    <n v="0"/>
    <n v="0"/>
    <n v="2.9"/>
    <n v="0"/>
    <n v="1100"/>
    <n v="1100"/>
    <s v="Round the year"/>
    <n v="3"/>
    <n v="0.9708"/>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x v="17"/>
    <s v="Fortune 500 Global P&amp;C Carrier"/>
    <s v="US"/>
    <s v="Noida, India"/>
    <s v="India"/>
    <s v="Anshuman Singh/Arbind Singh"/>
    <n v="7"/>
    <x v="1"/>
    <x v="2"/>
    <x v="3"/>
    <s v="Indexing"/>
    <s v="Update Renewal and Index"/>
    <s v="Correctly naming all documents per the Indexing Guidelines that are part of the Submission in eFile"/>
    <s v="Commercial"/>
    <x v="3"/>
    <s v="All"/>
    <s v="All"/>
    <s v="Back Office"/>
    <s v="L2"/>
    <n v="1"/>
    <s v="2 to 4"/>
    <s v="2 to 4"/>
    <s v="FTE Based"/>
    <s v="USD"/>
    <n v="26002.87"/>
    <n v="1.5"/>
    <n v="0.5"/>
    <n v="0"/>
    <n v="0"/>
    <n v="2"/>
    <n v="0"/>
    <n v="200"/>
    <n v="200"/>
    <s v="Round the year"/>
    <n v="17.5"/>
    <n v="0.9708"/>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x v="17"/>
    <s v="Fortune 500 Global P&amp;C Carrier"/>
    <s v="US"/>
    <s v="Noida, India"/>
    <s v="India"/>
    <s v="Anshuman Singh/Arbind Singh"/>
    <n v="7"/>
    <x v="1"/>
    <x v="2"/>
    <x v="5"/>
    <s v="Add Product"/>
    <s v="Add Product"/>
    <s v="Adding product to an existing submission because of Missed Product, or Broker made new requests or other reasons during Renewal Set-Up of policy"/>
    <s v="Commercial"/>
    <x v="3"/>
    <s v="All"/>
    <s v="All"/>
    <s v="Back Office"/>
    <s v="L2"/>
    <n v="1"/>
    <s v="2 to 4"/>
    <s v="2 to 4"/>
    <s v="FTE Based"/>
    <s v="USD"/>
    <n v="26002.87"/>
    <n v="0.1"/>
    <n v="0"/>
    <n v="0"/>
    <n v="0"/>
    <n v="0.1"/>
    <n v="0"/>
    <n v="4"/>
    <n v="4"/>
    <s v="Round the year"/>
    <n v="3"/>
    <n v="0.9708"/>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x v="17"/>
    <s v="Fortune 500 Global P&amp;C Carrier"/>
    <s v="US"/>
    <s v="Noida, India"/>
    <s v="India"/>
    <s v="Anshuman Singh/Arbind Singh"/>
    <n v="7"/>
    <x v="1"/>
    <x v="2"/>
    <x v="2"/>
    <s v="Verification of Agent/Agency license (P&amp;AL initial &amp; secondary)"/>
    <s v="Initial Verification"/>
    <s v="To confirms that the proper state appointment and/or licenses are in place"/>
    <s v="Commercial"/>
    <x v="3"/>
    <s v="All"/>
    <s v="All"/>
    <s v="Back Office"/>
    <s v="L2"/>
    <n v="1"/>
    <s v="2 to 4"/>
    <s v="2 to 4"/>
    <s v="FTE Based"/>
    <s v="USD"/>
    <n v="26002.87"/>
    <n v="1"/>
    <n v="0.5"/>
    <n v="0"/>
    <n v="0"/>
    <n v="1.5"/>
    <n v="0"/>
    <n v="1800"/>
    <n v="180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s v="US"/>
    <s v="Noida, India"/>
    <s v="India"/>
    <s v="Anshuman Singh/Arbind Singh"/>
    <n v="7"/>
    <x v="1"/>
    <x v="2"/>
    <x v="2"/>
    <s v="Verification of Agent/Agency license (P&amp;AL initial &amp; secondary)"/>
    <s v="Secondary Verification"/>
    <s v="To confirms that the proper state appointment and/or licenses are in place"/>
    <s v="Commercial"/>
    <x v="3"/>
    <s v="All"/>
    <s v="All"/>
    <s v="Back Office"/>
    <s v="L2"/>
    <n v="1"/>
    <s v="2 to 4"/>
    <s v="2 to 4"/>
    <s v="FTE Based"/>
    <s v="USD"/>
    <n v="26002.87"/>
    <n v="1"/>
    <n v="0"/>
    <n v="0"/>
    <n v="0"/>
    <n v="1"/>
    <n v="0"/>
    <n v="70"/>
    <n v="7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s v="US"/>
    <s v="Noida, India"/>
    <s v="India"/>
    <s v="Anshuman Singh/Arbind Singh"/>
    <n v="3"/>
    <x v="1"/>
    <x v="2"/>
    <x v="2"/>
    <s v="Verification of Agent/Agency license (P&amp;AL initial &amp; secondary)"/>
    <s v="UM PA&amp;L Resolution"/>
    <s v="To confirms that the proper state appointment and/or licenses are in place"/>
    <s v="Commercial"/>
    <x v="3"/>
    <s v="All"/>
    <s v="All"/>
    <s v="Back Office"/>
    <s v="L2"/>
    <n v="1"/>
    <s v="2 to 4"/>
    <s v="2 to 4"/>
    <s v="FTE Based"/>
    <s v="USD"/>
    <n v="26002.87"/>
    <n v="3"/>
    <n v="0.5"/>
    <n v="0"/>
    <n v="0"/>
    <n v="3.5"/>
    <n v="0"/>
    <n v="2700"/>
    <n v="2700"/>
    <s v="Round the year"/>
    <n v="9.6"/>
    <n v="0.954999999999999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x v="17"/>
    <s v="Fortune 500 Global P&amp;C Carrier"/>
    <s v="US"/>
    <s v="Noida, India"/>
    <s v="India"/>
    <s v="Anshuman Singh/Arbind Singh"/>
    <n v="7"/>
    <x v="1"/>
    <x v="2"/>
    <x v="6"/>
    <s v="Renewal Issuance"/>
    <s v="Rating and Issuance"/>
    <s v="Process deals in Rating and Issuance of Policy. Rating of policy is Premium quotation which is used by UW/UA and Issuance of Policy is to assemble policy as per the terms and conditions which is in binder and issue it to UA/broker"/>
    <s v="Specialty"/>
    <x v="7"/>
    <s v="Management Liability PNP_x000a_Management Liability Public_x000a_Financial Institutions_x000a_"/>
    <s v="Specialized"/>
    <s v="Back Office"/>
    <s v="L3"/>
    <n v="2"/>
    <n v="4"/>
    <n v="5"/>
    <s v="FTE Based"/>
    <s v="USD"/>
    <n v="34253.56"/>
    <n v="15"/>
    <n v="2"/>
    <n v="0.5"/>
    <n v="0"/>
    <n v="17.5"/>
    <n v="0"/>
    <n v="1450"/>
    <s v="Management Liability PNP - 1200_x000a_management Liability Public - 100_x000a_Financial Institution -180"/>
    <s v="April and June"/>
    <s v="Rate - Financial Institutions-73_x000a_Rate - Mgmt. Liability PNP-77_x000a_Rate - Mgmt. Liability public-77_x000a_Issuance - Financial Institutions-64_x000a_Issuance - Mgmt. Liability Public-52"/>
    <n v="0.95"/>
    <n v="0.94699999999999995"/>
    <s v="DPU – Defect Per Unit"/>
    <s v="Productivity - 100%"/>
    <s v="NA"/>
    <s v="Manual Work Allocation,_x000a_No Power BI dashboard"/>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Windows app_x000a_UWD_x000a_Efile_x000a_EPD Tool_x000a_I-track_x000a_Workbench_x000a_Ultra_x000a_Policy Center_x000a_sfaa bond"/>
  </r>
  <r>
    <x v="17"/>
    <s v="Fortune 500 Global P&amp;C Carrier"/>
    <s v="US"/>
    <s v="Noida, India"/>
    <s v="India"/>
    <s v="Anshuman Singh/Arbind Singh"/>
    <n v="5"/>
    <x v="1"/>
    <x v="2"/>
    <x v="11"/>
    <s v="New Business Quotes/ Rating"/>
    <s v="Rating"/>
    <s v="EXL manages Rating for Mid Size Business commercial market for ZNA. Team processes rating task for Auto, GL, Worker’s Compensation, OCP RRP, Construction and Property for Quation of Premium"/>
    <s v="Commercial"/>
    <x v="9"/>
    <s v="Auto_x000a_GL_x000a_WC_x000a_Property_x000a_Non Truck Liability_x000a_OCP RRP_x000a_Construction"/>
    <s v="Mid Size"/>
    <s v="Back Office"/>
    <s v="L3"/>
    <n v="3"/>
    <n v="12"/>
    <n v="6"/>
    <s v="FTE Based"/>
    <s v="USD"/>
    <n v="34253.56"/>
    <n v="4"/>
    <n v="0.5"/>
    <n v="0.3"/>
    <n v="0.5"/>
    <n v="5.3"/>
    <n v="9.4339622641509441E-2"/>
    <n v="100"/>
    <s v="Auto - 30_x000a_GL - 20_x000a_WC - 20_x000a_Property - 30"/>
    <s v="May and October"/>
    <s v="&quot;PACE(All Product) - 131.2_x000a_Non PACE (1 Product) - 104_x000a_Non PACE (2 Product) - 185_x000a_Non PACE (3 Product) - 278_x000a_Non PACE (4 Product) - 359_x000a_NTL - 410_x000a_OCP/RRP - 80"/>
    <n v="0.8649999999999999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E-File_x000a_Outlook_x000a_Workbench_x000a_Underwriting Desktop_x000a_VIN Validation Tool_x000a_USPS_x000a_Prometrics_x000a_"/>
  </r>
  <r>
    <x v="17"/>
    <s v="Fortune 500 Global P&amp;C Carrier"/>
    <s v="US"/>
    <s v="Pune, India"/>
    <s v="India"/>
    <s v="Arbind Singh/Saurabh Sharma"/>
    <n v="3"/>
    <x v="1"/>
    <x v="2"/>
    <x v="6"/>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s v="Commercial"/>
    <x v="9"/>
    <s v="Auto_x000a_GL_x000a_WC_x000a_Property_x000a_Non Truck Liability_x000a_OCP RRP_x000a_Construction"/>
    <s v="Mid Size"/>
    <s v="Back Office"/>
    <s v="L3"/>
    <n v="3"/>
    <n v="8"/>
    <n v="6"/>
    <s v="FTE Based"/>
    <s v="USD"/>
    <n v="34253.56"/>
    <n v="3.5"/>
    <n v="0.5"/>
    <n v="0"/>
    <n v="0.5"/>
    <n v="4.5"/>
    <n v="0.1111111111111111"/>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E-File_x000a_Outlook_x000a_Underwriting Desktop_x000a_USPS_x000a_Cesar_x000a_Lotus Notes_x000a_"/>
  </r>
  <r>
    <x v="17"/>
    <s v="Fortune 500 Global P&amp;C Carrier"/>
    <s v="US"/>
    <s v="Pune, India"/>
    <s v="India"/>
    <s v="Arbind Singh/Saurabh Sharma"/>
    <n v="7"/>
    <x v="1"/>
    <x v="2"/>
    <x v="6"/>
    <s v="New Business Issuance"/>
    <s v="New Business Issuance"/>
    <s v="To issue the New business policy per instruction/finalize premium and generate final Issuance documents"/>
    <s v="Commercial &amp; Specialty"/>
    <x v="17"/>
    <s v="Umbrella"/>
    <s v="Shared Services"/>
    <s v="Back Office"/>
    <s v="L3"/>
    <s v="1 to 2"/>
    <s v="4 to 6"/>
    <s v="4 to 6"/>
    <s v="FTE Based"/>
    <s v="USD"/>
    <n v="34253.56"/>
    <n v="0.33481182708732332"/>
    <n v="0.2"/>
    <n v="0.1"/>
    <n v="0.1"/>
    <n v="0.73481182708732329"/>
    <n v="0.13608926301089086"/>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s v="US"/>
    <s v="Pune, India"/>
    <s v="India"/>
    <s v="Arbind Singh/Saurabh Sharma"/>
    <n v="7"/>
    <x v="1"/>
    <x v="2"/>
    <x v="6"/>
    <s v="Renewal Issuance"/>
    <s v="Renewal Issuance"/>
    <s v="To issue the renewal policy per instruction/finalize premium and generate final Issuance documents"/>
    <s v="Commercial &amp; Specialty"/>
    <x v="17"/>
    <s v="Umbrella"/>
    <s v="Shared Services"/>
    <s v="Back Office"/>
    <s v="L3"/>
    <s v="1 to 2"/>
    <s v="4 to 6"/>
    <s v="4 to 6"/>
    <s v="FTE Based"/>
    <s v="USD"/>
    <n v="34253.56"/>
    <n v="1.217014419095191"/>
    <n v="0.2"/>
    <n v="0.1"/>
    <n v="0.1"/>
    <n v="1.6170144190951912"/>
    <n v="6.1842367525674589E-2"/>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s v="US"/>
    <s v="Pune, India"/>
    <s v="India"/>
    <s v="Arbind Singh/Saurabh Sharma"/>
    <n v="7"/>
    <x v="1"/>
    <x v="2"/>
    <x v="6"/>
    <s v="Endorsements Issuance"/>
    <s v="Endorsement"/>
    <s v="To process instructed changes on policy through endorsement"/>
    <s v="Commercial &amp; Specialty"/>
    <x v="17"/>
    <s v="Umbrella"/>
    <s v="Shared Services"/>
    <s v="Back Office"/>
    <s v="L3"/>
    <s v="1 to 2"/>
    <s v="4 to 6"/>
    <s v="4 to 6"/>
    <s v="FTE Based"/>
    <s v="USD"/>
    <n v="34253.56"/>
    <n v="1.64"/>
    <n v="0.3"/>
    <n v="0.2"/>
    <n v="0.1"/>
    <n v="2.2400000000000002"/>
    <n v="4.4642857142857144E-2"/>
    <n v="150"/>
    <n v="150"/>
    <s v="NA"/>
    <n v="29"/>
    <n v="0.92700000000000005"/>
    <n v="0.94699999999999995"/>
    <s v="DPU – Defect Per Unit"/>
    <s v="Productivity - 100%"/>
    <s v="NA"/>
    <s v="Multiple request in a single task"/>
    <s v="NA"/>
    <s v="AIM idea implemented"/>
    <s v="If multiple changes requested in endorsement, then create endorsement wording for all changes, rather than creating seprate endorsement wordings for all request "/>
    <s v="0.5 FTE "/>
    <s v="NA"/>
    <s v="NA"/>
    <s v="NA"/>
    <s v="NA"/>
    <s v="UA/UW"/>
    <s v="Multiple"/>
    <s v="Unstructured"/>
    <s v="Email Correspondance-90%, PDF-10%"/>
    <s v="PDFs"/>
    <s v="UA &amp; UW"/>
    <s v="Ultra_x000a_Lotus Notes_x000a_E-file_x000a_Underwriting Desktop_x000a_Underwriting Management_x000a_Outlook_x000a_MS Teams"/>
  </r>
  <r>
    <x v="17"/>
    <s v="Fortune 500 Global P&amp;C Carrier"/>
    <s v="US"/>
    <s v="Pune, India"/>
    <s v="India"/>
    <s v="Arbind Singh/Saurabh Sharma"/>
    <n v="7"/>
    <x v="1"/>
    <x v="2"/>
    <x v="11"/>
    <s v="New Business Quotes/ Rating"/>
    <s v="New Business Rate"/>
    <s v="As per UA/UW instructions to generate Umbrella New business Quote premium"/>
    <s v="Commercial &amp; Specialty"/>
    <x v="17"/>
    <s v="Umbrella"/>
    <s v="Shared Services"/>
    <s v="Back Office"/>
    <s v="L3"/>
    <s v="1 to 2"/>
    <s v="4 to 6"/>
    <s v="4 to 6"/>
    <s v="FTE Based"/>
    <s v="USD"/>
    <n v="34253.56"/>
    <n v="2.44"/>
    <n v="0.5"/>
    <n v="0.2"/>
    <n v="0.2"/>
    <n v="3.3400000000000003"/>
    <n v="5.9880239520958084E-2"/>
    <n v="250"/>
    <n v="250"/>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11"/>
    <s v="Renewal Quotes/ Rating"/>
    <s v="Renewal Rate"/>
    <s v="As per UA/UW revise instructions to generate Umbrella Renewal-Rate premium"/>
    <s v="Commercial &amp; Specialty"/>
    <x v="17"/>
    <s v="Umbrella"/>
    <s v="Shared Services"/>
    <s v="Back Office"/>
    <s v="L3"/>
    <s v="1 to 2"/>
    <s v="4 to 6"/>
    <s v="4 to 6"/>
    <s v="FTE Based"/>
    <s v="USD"/>
    <n v="34253.56"/>
    <n v="2.3221718256638542"/>
    <n v="0.2"/>
    <n v="0.1"/>
    <n v="0.2"/>
    <n v="2.8221718256638546"/>
    <n v="7.0867407214992781E-2"/>
    <n v="275"/>
    <n v="27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11"/>
    <s v="Re-Rating"/>
    <s v="Re-Rate"/>
    <s v="As per UA/UW revise instructions to generate Umbrella Re-Rate premium"/>
    <s v="Commercial &amp; Specialty"/>
    <x v="17"/>
    <s v="Umbrella"/>
    <s v="Shared Services"/>
    <s v="Back Office"/>
    <s v="L3"/>
    <s v="1 to 2"/>
    <s v="4 to 6"/>
    <s v="4 to 6"/>
    <s v="FTE Based"/>
    <s v="USD"/>
    <n v="34253.56"/>
    <n v="1"/>
    <n v="0.2"/>
    <n v="0.1"/>
    <n v="0.1"/>
    <n v="1.4000000000000001"/>
    <n v="7.1428571428571425E-2"/>
    <n v="25"/>
    <n v="2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3"/>
    <s v="Cancel and Rewrite"/>
    <s v="Cancel - Rewrite"/>
    <s v="To process cancel/Rewrite per instructions"/>
    <s v="Commercial &amp; Specialty"/>
    <x v="17"/>
    <s v="Umbrella"/>
    <s v="Shared Services"/>
    <s v="Back Office"/>
    <s v="L3"/>
    <s v="1 to 2"/>
    <s v="4 to 6"/>
    <s v="4 to 6"/>
    <s v="FTE Based"/>
    <s v="USD"/>
    <n v="34253.56"/>
    <n v="5.7362570526424761E-3"/>
    <n v="0.2"/>
    <n v="0"/>
    <n v="0.1"/>
    <n v="0.30573625705264251"/>
    <n v="0.32707929692088084"/>
    <n v="2"/>
    <n v="2"/>
    <s v="NA"/>
    <n v="17"/>
    <n v="0.92700000000000005"/>
    <n v="0.94699999999999995"/>
    <s v="DPU – Defect Per Unit"/>
    <s v="Productivity - 100%"/>
    <s v="NA"/>
    <s v="NA"/>
    <s v="NA"/>
    <s v="NA"/>
    <s v="NA"/>
    <s v="NA"/>
    <s v="NA"/>
    <s v="NA"/>
    <s v="NA"/>
    <s v="NA"/>
    <s v="UA/UW"/>
    <s v="Instructions in Application"/>
    <s v="Structured"/>
    <s v="PDF-100%"/>
    <s v="PDFs"/>
    <s v="UA &amp; UW"/>
    <s v="Ultra_x000a_Lotus Notes_x000a_E-file_x000a_Underwriting Desktop_x000a_Underwriting Management_x000a_Outlook_x000a_MS Teams"/>
  </r>
  <r>
    <x v="17"/>
    <s v="Fortune 500 Global P&amp;C Carrier"/>
    <s v="US"/>
    <s v="Pune, India"/>
    <s v="India"/>
    <s v="Arbind Singh/Saurabh Sharma"/>
    <n v="7"/>
    <x v="1"/>
    <x v="2"/>
    <x v="3"/>
    <s v="Cancel and Rewrite"/>
    <s v="Cancellation &amp; Reinstatement"/>
    <s v="To process cancellation &amp; Reinstament per instructions"/>
    <s v="Commercial &amp; Specialty"/>
    <x v="17"/>
    <s v="Umbrella"/>
    <s v="Shared Services"/>
    <s v="Back Office"/>
    <s v="L3"/>
    <s v="1 to 2"/>
    <s v="4 to 6"/>
    <s v="4 to 6"/>
    <s v="FTE Based"/>
    <s v="USD"/>
    <n v="34253.56"/>
    <n v="5.0000000000000001E-3"/>
    <n v="0.2"/>
    <n v="0"/>
    <n v="0.1"/>
    <n v="0.30500000000000005"/>
    <n v="0.32786885245901637"/>
    <n v="1"/>
    <n v="1"/>
    <s v="NA"/>
    <n v="8"/>
    <n v="0.92700000000000005"/>
    <n v="0.94699999999999995"/>
    <s v="DPU – Defect Per Unit"/>
    <s v="Productivity - 100%"/>
    <s v="NA"/>
    <s v="NA"/>
    <s v="NA"/>
    <s v="NA"/>
    <s v="NA"/>
    <s v="NA"/>
    <s v="NA"/>
    <s v="NA"/>
    <s v="NA"/>
    <s v="NA"/>
    <s v="UA/UW"/>
    <s v="Multiple"/>
    <s v="Structured"/>
    <s v="PDF-100%"/>
    <s v="PDFs"/>
    <s v="UA &amp; UW"/>
    <s v="Ultra_x000a_Lotus Notes_x000a_E-file_x000a_Underwriting Desktop_x000a_Underwriting Management_x000a_Outlook_x000a_MS Teams"/>
  </r>
  <r>
    <x v="17"/>
    <s v="Fortune 500 Global P&amp;C Carrier"/>
    <s v="US"/>
    <s v="Pune, India"/>
    <s v="India"/>
    <s v="Arbind Singh/Saurabh Sharma"/>
    <n v="7"/>
    <x v="1"/>
    <x v="2"/>
    <x v="11"/>
    <s v="Re-Rating"/>
    <s v="Rate - Per Expring"/>
    <s v="To create renewal rating worksheet as per expired details and upload in efile for premium reference"/>
    <s v="Commercial &amp; Specialty"/>
    <x v="3"/>
    <s v="Auto, GL, AL, Package "/>
    <s v="Mid Size &amp; Large"/>
    <s v="Back Office"/>
    <s v="L2"/>
    <s v="1 to 2"/>
    <s v="2 to 3 "/>
    <s v="2 to 3 "/>
    <s v="FTE Based"/>
    <s v="USD"/>
    <n v="34253.56"/>
    <n v="0.5"/>
    <n v="0"/>
    <n v="0"/>
    <n v="0"/>
    <n v="0.5"/>
    <n v="0"/>
    <n v="120"/>
    <n v="120"/>
    <s v="NA"/>
    <n v="26"/>
    <n v="0.95"/>
    <n v="0.94699999999999995"/>
    <s v="DPU – Defect Per Unit"/>
    <s v="Productivity - 100%"/>
    <s v="NA"/>
    <s v="NA"/>
    <s v="NA"/>
    <s v="NA"/>
    <s v="NA"/>
    <s v="NA"/>
    <s v="NA"/>
    <s v="NA"/>
    <s v="NA"/>
    <s v="NA"/>
    <s v="UA/UW"/>
    <s v="Instructions in Application"/>
    <s v="Structured"/>
    <s v="Insturctions - 100%"/>
    <s v="Others"/>
    <s v="UA &amp; UW"/>
    <s v="Windows_x000a_E-file_x000a_Underwriting Desktop_x000a_Outlook_x000a_MS Teams_x000a_Z-spire"/>
  </r>
  <r>
    <x v="17"/>
    <s v="Fortune 500 Global P&amp;C Carrier"/>
    <s v="US"/>
    <s v="Pune, India"/>
    <s v="India"/>
    <s v="Arbind Singh/Saurabh Sharma"/>
    <n v="6"/>
    <x v="1"/>
    <x v="2"/>
    <x v="5"/>
    <s v="Location Data Cleansing"/>
    <s v="Location Data Cleansing "/>
    <s v="Cleanse the SOV, verify and update in teamplate and  to match SOV values with instructions"/>
    <s v="Commercial"/>
    <x v="13"/>
    <s v="Property and Excess casuality"/>
    <s v="Specialized"/>
    <s v="Back Office"/>
    <s v="L3"/>
    <s v="1 to 2"/>
    <n v="4"/>
    <n v="4"/>
    <s v="FTE Based"/>
    <s v="USD"/>
    <n v="34253.56"/>
    <n v="13"/>
    <n v="1"/>
    <n v="0.5"/>
    <n v="1"/>
    <n v="15.5"/>
    <n v="6.4516129032258063E-2"/>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Windows_x000a_E-file_x000a_Underwriting Desktop_x000a_Outlook_x000a_MS Teams_x000a_Zorba_x000a_Underwriting Management "/>
  </r>
  <r>
    <x v="17"/>
    <s v="Fortune 500 Global P&amp;C Carrier"/>
    <s v="US"/>
    <s v="Pune, India"/>
    <s v="India"/>
    <s v="Arbind Singh/Saurabh Sharma"/>
    <n v="7"/>
    <x v="2"/>
    <x v="2"/>
    <x v="11"/>
    <s v="New Business Quotes/ Rating"/>
    <s v="New Business Quote"/>
    <s v="Prepare the quote for UW review. These quotes are utilized for pricing details and neogiation with customers"/>
    <s v="Commercial"/>
    <x v="3"/>
    <s v="Auto, GL, WC, Property"/>
    <s v="All"/>
    <s v="Back Office"/>
    <s v="L3"/>
    <s v="1 to 2"/>
    <s v="4 to 6"/>
    <s v="3 to 4"/>
    <s v="FTE Based"/>
    <s v="USD"/>
    <n v="34253.56"/>
    <n v="0"/>
    <n v="0"/>
    <n v="0.5"/>
    <n v="0"/>
    <n v="0.5"/>
    <n v="0"/>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
  </r>
  <r>
    <x v="17"/>
    <s v="Fortune 500 Global P&amp;C Carrier"/>
    <s v="US"/>
    <s v="Pune, India"/>
    <s v="India"/>
    <s v="Arbind Singh/Saurabh Sharma"/>
    <n v="7"/>
    <x v="1"/>
    <x v="2"/>
    <x v="11"/>
    <s v="Renewal Rating"/>
    <s v="Renewal Quote"/>
    <s v="Prepare the quote for UW review. These quotes are utilized for pricing details and neogiation with customers during renewals"/>
    <s v="Commercial"/>
    <x v="5"/>
    <s v="WC"/>
    <s v="All"/>
    <s v="Back Office"/>
    <s v="L3"/>
    <s v="1 to 2"/>
    <s v="4 to 6"/>
    <s v="3 to 4"/>
    <s v="FTE Based"/>
    <s v="USD"/>
    <n v="34253.56"/>
    <n v="14"/>
    <n v="2"/>
    <n v="0.5"/>
    <n v="0"/>
    <n v="16.5"/>
    <n v="0"/>
    <n v="450"/>
    <s v="WC-450_x000a_"/>
    <s v="NA"/>
    <s v="WC-96"/>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_x000a_PC guidwire"/>
  </r>
  <r>
    <x v="17"/>
    <s v="Fortune 500 Global P&amp;C Carrier"/>
    <s v="US"/>
    <s v="Pune, India"/>
    <s v="India"/>
    <s v="Arbind Singh/Saurabh Sharma"/>
    <n v="7"/>
    <x v="2"/>
    <x v="2"/>
    <x v="6"/>
    <s v="New Business Issuance"/>
    <s v="New Business Issuance"/>
    <s v="Issue New Business Policies as per UW instructions, send the policy document via EPD (Electronic Policy  Distribution)"/>
    <s v="Commercial"/>
    <x v="3"/>
    <s v="Auto, GL, WC, Property"/>
    <s v="All"/>
    <s v="Back Office"/>
    <s v="L3"/>
    <s v="1 to 2"/>
    <s v="6 to 8"/>
    <s v="4 to 6"/>
    <s v="FTE Based"/>
    <s v="USD"/>
    <n v="34253.56"/>
    <n v="0"/>
    <n v="0"/>
    <n v="0"/>
    <n v="0"/>
    <n v="0"/>
    <e v="#DI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s v="US"/>
    <s v="Pune, India"/>
    <s v="India"/>
    <s v="Arbind Singh/Saurabh Sharma"/>
    <n v="6"/>
    <x v="2"/>
    <x v="2"/>
    <x v="6"/>
    <s v="Renewal Issuance"/>
    <s v="Renewal Issuance"/>
    <s v="Issue Renewal Policies as per UW instructions, send the policy document via EPD (Electronic Policy  Distribution)"/>
    <s v="Commercial"/>
    <x v="3"/>
    <s v="Auto, GL, WC, Property"/>
    <s v="All"/>
    <s v="Back Office"/>
    <s v="L3"/>
    <s v="1 to 2"/>
    <s v="6 to 8"/>
    <s v="4 to 6"/>
    <s v="FTE Based"/>
    <s v="USD"/>
    <n v="34253.56"/>
    <n v="0"/>
    <n v="0"/>
    <n v="0"/>
    <n v="0"/>
    <n v="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s v="US"/>
    <s v="Noida, India"/>
    <s v="India"/>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s v="Commercial"/>
    <x v="3"/>
    <s v="Auto, GL, WC, Property"/>
    <s v="All"/>
    <s v="Back Office"/>
    <s v="L3"/>
    <s v="1 to 2"/>
    <s v="4 to 6"/>
    <s v="3 to 4"/>
    <s v="FTE Based"/>
    <s v="USD"/>
    <n v="34253.56"/>
    <n v="1"/>
    <n v="0"/>
    <n v="0"/>
    <n v="0"/>
    <n v="1"/>
    <n v="0"/>
    <n v="20"/>
    <n v="20"/>
    <s v="NA"/>
    <s v="Auto, GL - 46_x000a_WC -47"/>
    <n v="0.95"/>
    <n v="0.94699999999999995"/>
    <s v="DPU – Defect Per Unit"/>
    <s v="Productivity - 100%"/>
    <s v="NA"/>
    <s v="NA"/>
    <s v="Pricing"/>
    <s v="NA"/>
    <s v="NA"/>
    <s v="NA"/>
    <s v="NA"/>
    <s v="NA"/>
    <s v="NA"/>
    <s v="NA"/>
    <s v="UA/UW, Broker"/>
    <s v="Multiple"/>
    <s v="Semi-Structured"/>
    <s v="Thread request in application"/>
    <s v="PDFs"/>
    <s v="Agents, Underwriter and Insured"/>
    <s v="Windows_x000a_UWD_x000a_Z-spire_x000a_Zapper_x000a_Efile_x000a_EPD Tool_x000a_VIN_x000a_I-track"/>
  </r>
  <r>
    <x v="17"/>
    <s v="Fortune 500 Global P&amp;C Carrier"/>
    <s v="US"/>
    <s v="Pune, India"/>
    <s v="India"/>
    <s v="Arbind Singh/Saurabh Sharma"/>
    <n v="7"/>
    <x v="1"/>
    <x v="2"/>
    <x v="6"/>
    <s v="New Business Issuance"/>
    <s v="New Business Issuance"/>
    <s v="Issue the NB policy in the client application"/>
    <s v="Commercial"/>
    <x v="3"/>
    <s v="Auto, GL, Property, Pkg, Crime, Umbrella and S&amp;P"/>
    <s v="Direct Market"/>
    <s v="Back Office"/>
    <s v="L3"/>
    <s v="2 to 4"/>
    <s v="2 to 4"/>
    <s v="2 to 4"/>
    <s v="FTE Based"/>
    <s v="USD"/>
    <n v="34253.56"/>
    <n v="0.5"/>
    <n v="1"/>
    <n v="0.1"/>
    <n v="0"/>
    <n v="1.6"/>
    <n v="0"/>
    <n v="20"/>
    <n v="20"/>
    <s v="Jan, Mar, Apr and Jul"/>
    <n v="96.8"/>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s v="US"/>
    <s v="Pune, India"/>
    <s v="India"/>
    <s v="Arbind Singh/Saurabh Sharma"/>
    <n v="7"/>
    <x v="1"/>
    <x v="2"/>
    <x v="6"/>
    <s v="Renewal Issuance"/>
    <s v="Renewal Issuance"/>
    <s v="Issue the renewal policy in the client application"/>
    <s v="Commercial"/>
    <x v="3"/>
    <s v="Auto, GL, Property, Pkg, Crime, Umbrella and S&amp;P"/>
    <s v="Direct Market"/>
    <s v="Back Office"/>
    <s v="L3"/>
    <s v="2 to 4"/>
    <s v="2 to 4"/>
    <s v="2 to 4"/>
    <s v="FTE Based"/>
    <s v="USD"/>
    <n v="34253.56"/>
    <n v="1.5"/>
    <n v="0"/>
    <n v="0.1"/>
    <n v="0"/>
    <n v="1.6"/>
    <n v="0"/>
    <n v="86"/>
    <n v="86"/>
    <s v="Jan, Mar, Apr and Jul"/>
    <n v="90"/>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s v="US"/>
    <s v="Pune, India"/>
    <s v="India"/>
    <s v="Arbind Singh/Saurabh Sharma"/>
    <n v="7"/>
    <x v="1"/>
    <x v="2"/>
    <x v="11"/>
    <s v="New Business Quotes/ Rating"/>
    <s v="New Business Quote"/>
    <s v="Prepare the quote options for UA review"/>
    <s v="Commercial"/>
    <x v="3"/>
    <s v="Auto, GL, Property, Pkg, Crime, Umbrella and S&amp;P"/>
    <s v="Direct Market"/>
    <s v="Back Office"/>
    <s v="L3"/>
    <s v="2 to 4"/>
    <s v="2 to 4"/>
    <s v="2 to 4"/>
    <s v="FTE Based"/>
    <s v="USD"/>
    <n v="34253.56"/>
    <n v="1.9"/>
    <n v="0"/>
    <n v="0.1"/>
    <n v="0"/>
    <n v="2"/>
    <n v="0"/>
    <n v="49"/>
    <n v="49"/>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Windows_x000a_Z-spire_x000a_Ultra_x000a_Efile_x000a_Promatrix_x000a_SAM Web_x000a_Underwriting Management "/>
  </r>
  <r>
    <x v="17"/>
    <s v="Fortune 500 Global P&amp;C Carrier"/>
    <s v="US"/>
    <s v="Pune, India"/>
    <s v="India"/>
    <s v="Arbind Singh/Saurabh Sharma"/>
    <n v="7"/>
    <x v="1"/>
    <x v="2"/>
    <x v="11"/>
    <s v="Renewal Rating"/>
    <s v="Renewal Quote"/>
    <s v="Prepare the quote options for UW review on Policy renewal"/>
    <s v="Commercial"/>
    <x v="3"/>
    <s v="Auto, GL, Property, Pkg, Crime, Umbrella and S&amp;P"/>
    <s v="Direct Market"/>
    <s v="Back Office"/>
    <s v="L3"/>
    <s v="2 to 4"/>
    <s v="2 to 4"/>
    <s v="2 to 4"/>
    <s v="FTE Based"/>
    <s v="USD"/>
    <n v="34253.56"/>
    <n v="3.1"/>
    <n v="0"/>
    <n v="0.1"/>
    <n v="0"/>
    <n v="3.2"/>
    <n v="0"/>
    <n v="90"/>
    <n v="90"/>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Windows_x000a_Z-spire_x000a_Ultra_x000a_Efile_x000a_Promatrix_x000a_SAM Web_x000a_Underwriting Management "/>
  </r>
  <r>
    <x v="17"/>
    <s v="Fortune 500 Global P&amp;C Carrier"/>
    <s v="US"/>
    <s v="Pune, India"/>
    <s v="India"/>
    <s v="Arbind Singh/Saurabh Sharma"/>
    <n v="7"/>
    <x v="1"/>
    <x v="2"/>
    <x v="11"/>
    <s v="Re-Rating"/>
    <s v="Re-rate"/>
    <s v="Process the changes in Quotes based on Re-rate information"/>
    <s v="Commercial"/>
    <x v="3"/>
    <s v="Auto, GL, Property, Pkg, Crime, Umbrella and S&amp;P"/>
    <s v="Direct Market"/>
    <s v="Back Office"/>
    <s v="L3"/>
    <s v="2 to 4"/>
    <s v="2 to 4"/>
    <s v="2 to 4"/>
    <s v="FTE Based"/>
    <s v="USD"/>
    <n v="34253.56"/>
    <n v="2"/>
    <n v="0"/>
    <n v="0.1"/>
    <n v="0"/>
    <n v="2.1"/>
    <n v="0"/>
    <n v="49"/>
    <n v="49"/>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Windows_x000a_Z-spire_x000a_Ultra_x000a_Efile_x000a_Promatrix_x000a_SAM Web_x000a_Underwriting Management "/>
  </r>
  <r>
    <x v="17"/>
    <s v="Fortune 500 Global P&amp;C Carrier"/>
    <s v="US"/>
    <s v="Pune, India"/>
    <s v="India"/>
    <s v="Arbind Singh/Saurabh Sharma"/>
    <n v="3"/>
    <x v="1"/>
    <x v="2"/>
    <x v="3"/>
    <s v="Endorsements intake and setup"/>
    <s v="Endorsements"/>
    <s v="Process the changes in Quotes and issuance based on the change request received"/>
    <s v="Commercial"/>
    <x v="3"/>
    <s v="Auto, GL, Property, Pkg, Crime, Umbrella and S&amp;P"/>
    <s v="Direct Market"/>
    <s v="Back Office"/>
    <s v="L3"/>
    <s v="2 to 4"/>
    <s v="2 to 4"/>
    <s v="2 to 4"/>
    <s v="FTE Based"/>
    <s v="USD"/>
    <n v="34253.56"/>
    <n v="3"/>
    <n v="0"/>
    <n v="0"/>
    <n v="0"/>
    <n v="3"/>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Windows_x000a_Z-spire_x000a_Ultra_x000a_Efile_x000a_Promatrix_x000a_SAM Web_x000a_Underwriting Management "/>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1"/>
    <s v="Auto"/>
    <s v="All"/>
    <s v="Back Office"/>
    <s v="L3"/>
    <n v="2"/>
    <s v="4 to 6"/>
    <s v="6 to 8"/>
    <s v="FTE Based"/>
    <s v="USD"/>
    <n v="34253.56"/>
    <n v="1"/>
    <n v="0"/>
    <n v="0"/>
    <n v="0"/>
    <n v="1"/>
    <n v="0"/>
    <n v="75"/>
    <n v="75"/>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Worker compesation Audit"/>
    <s v="To process endorsement as per audit sheet"/>
    <s v="Commercial"/>
    <x v="5"/>
    <s v="WC"/>
    <s v="All"/>
    <s v="Back Office"/>
    <s v="L3"/>
    <n v="2"/>
    <s v="4 to 6"/>
    <s v="6 to 8"/>
    <s v="FTE Based"/>
    <s v="USD"/>
    <n v="34253.56"/>
    <n v="1.9"/>
    <n v="0"/>
    <n v="0"/>
    <n v="0"/>
    <n v="1.9"/>
    <n v="0"/>
    <n v="250"/>
    <n v="250"/>
    <s v="NA"/>
    <n v="57"/>
    <n v="0.95"/>
    <n v="0.94699999999999995"/>
    <s v="DPU – Defect Per Unit"/>
    <s v="Productivity - 100%"/>
    <s v="DPU -Defect per Unite"/>
    <s v="NA"/>
    <s v="NA"/>
    <s v="NA"/>
    <s v="NA"/>
    <s v="NA"/>
    <s v="NA"/>
    <s v="NA"/>
    <s v="NA"/>
    <s v="NA"/>
    <s v="Underwriters/ Underwriting Associates/ Brokers_x000a_"/>
    <s v="PDFs"/>
    <s v="Semi-Structured"/>
    <s v="Excel Sheet"/>
    <s v="Endorsement Document_x000a_"/>
    <s v="Underwriters/ Underwriting Associates"/>
    <s v="Windows_x000a_Z-spire_x000a_Z-laps_x000a_Efile_x000a_Policy center_x000a_MS teams"/>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14"/>
    <s v="GL"/>
    <s v="All"/>
    <s v="Back Office"/>
    <s v="L3"/>
    <n v="2"/>
    <s v="4 to 6"/>
    <s v="6 to 8"/>
    <s v="FTE Based"/>
    <s v="USD"/>
    <n v="34253.56"/>
    <n v="2"/>
    <n v="0"/>
    <n v="0.5"/>
    <n v="0"/>
    <n v="2.5"/>
    <n v="0"/>
    <n v="95"/>
    <n v="95"/>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5"/>
    <s v="WC"/>
    <s v="All"/>
    <s v="Back Office"/>
    <s v="L3"/>
    <n v="2"/>
    <s v="4 to 6"/>
    <s v="6 to 8"/>
    <s v="FTE Based"/>
    <s v="USD"/>
    <n v="34253.56"/>
    <n v="2.9"/>
    <n v="0"/>
    <n v="0"/>
    <n v="0"/>
    <n v="2.9"/>
    <n v="0"/>
    <n v="111"/>
    <n v="111"/>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9"/>
    <s v="AUTO , GL Property"/>
    <s v="All"/>
    <s v="Back Office"/>
    <s v="L3"/>
    <n v="2"/>
    <s v="4 to 6"/>
    <s v="6 to 8"/>
    <s v="FTE Based"/>
    <s v="USD"/>
    <n v="34253.56"/>
    <n v="0.1"/>
    <n v="0"/>
    <n v="0"/>
    <n v="0"/>
    <n v="0.1"/>
    <n v="0"/>
    <n v="32"/>
    <n v="32"/>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2"/>
    <s v="Property"/>
    <s v="All"/>
    <s v="Back Office"/>
    <s v="L3"/>
    <n v="2"/>
    <s v="4 to 6"/>
    <s v="6 to 8"/>
    <s v="FTE Based"/>
    <s v="USD"/>
    <n v="34253.56"/>
    <n v="0.1"/>
    <n v="0"/>
    <n v="0"/>
    <n v="0"/>
    <n v="0.1"/>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Pune, India"/>
    <s v="India"/>
    <s v="Arbind Singh/Saurabh Sharma"/>
    <n v="2"/>
    <x v="2"/>
    <x v="2"/>
    <x v="11"/>
    <s v="CAT modeling"/>
    <s v="Riskmodeling"/>
    <s v="Process to run risk modeling for CAT coverage (TRIA, Wind, EQ and Flood) on new/existing locations and also for amend/add/del coverage_x000a_"/>
    <s v="Commercial"/>
    <x v="2"/>
    <s v="Property"/>
    <s v="All"/>
    <s v="Back Office"/>
    <s v="L3"/>
    <n v="2"/>
    <s v="4 to 6"/>
    <s v="6 to 8"/>
    <s v="FTE Based"/>
    <s v="USD"/>
    <n v="34253.56"/>
    <n v="2"/>
    <n v="0"/>
    <n v="0"/>
    <n v="0"/>
    <n v="2"/>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Windows_x000a_UWD_x000a_Z-spire_x000a_Zapper_x000a_Efile_x000a_EPD Tool_x000a_VIN_x000a_I-track"/>
  </r>
  <r>
    <x v="17"/>
    <s v="Fortune 500 Global P&amp;C Carrier"/>
    <s v="US"/>
    <s v="Pune, India"/>
    <s v="India"/>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2"/>
    <n v="1"/>
    <n v="0.1"/>
    <n v="0.25"/>
    <n v="3.35"/>
    <n v="7.4626865671641784E-2"/>
    <n v="230"/>
    <n v="23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2"/>
    <n v="0"/>
    <n v="0.1"/>
    <n v="0.25"/>
    <n v="2.35"/>
    <n v="0.10638297872340426"/>
    <n v="150"/>
    <n v="150"/>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5"/>
    <n v="0"/>
    <n v="0.1"/>
    <n v="0.25"/>
    <n v="0.85"/>
    <n v="0.29411764705882354"/>
    <n v="15"/>
    <n v="15"/>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5"/>
    <n v="0"/>
    <n v="0.1"/>
    <n v="0.25"/>
    <n v="0.85"/>
    <n v="0.29411764705882354"/>
    <n v="120"/>
    <n v="12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s v="All"/>
    <s v="Back Office"/>
    <s v="L2"/>
    <s v="1 to 2"/>
    <s v="3 to 4"/>
    <s v="3 to 4"/>
    <s v="FTE Based"/>
    <s v="USD"/>
    <n v="26002.87"/>
    <n v="0"/>
    <n v="0"/>
    <n v="0"/>
    <n v="0"/>
    <n v="0"/>
    <e v="#DIV/0!"/>
    <n v="0"/>
    <n v="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Windows_x000a_Efile_x000a_UWD_x000a_Sanctions Screener Tool"/>
  </r>
  <r>
    <x v="17"/>
    <s v="Fortune 500 Global P&amp;C Carrier"/>
    <s v="US"/>
    <s v="Pune, India"/>
    <s v="India"/>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
    <n v="0"/>
    <n v="0"/>
    <n v="0"/>
    <n v="0"/>
    <e v="#DIV/0!"/>
    <n v="0"/>
    <n v="0"/>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OFAC Captives Indexing"/>
    <s v="Uploading the document received in the email at the submission level given in the email"/>
    <s v="Commercial"/>
    <x v="3"/>
    <s v="Auto, GL, WC, Property, Umbrella"/>
    <s v="All"/>
    <s v="Back Office"/>
    <s v="L2"/>
    <s v="1 to 2"/>
    <s v="3 to 4"/>
    <s v="3 to 4"/>
    <s v="FTE Based"/>
    <s v="USD"/>
    <n v="26002.87"/>
    <n v="1"/>
    <n v="0"/>
    <n v="0"/>
    <n v="0"/>
    <n v="1"/>
    <n v="0"/>
    <n v="230"/>
    <n v="230"/>
    <s v="Jan - May"/>
    <n v="6"/>
    <n v="0.96399999999999997"/>
    <n v="0.98799999999999999"/>
    <s v="DPU – Defect Per Unit"/>
    <s v="Productivity - 100%"/>
    <s v="NA"/>
    <s v="NA"/>
    <s v="NA"/>
    <s v="NA"/>
    <s v="NA"/>
    <s v="NA"/>
    <s v="NA"/>
    <s v="NA"/>
    <s v="NA"/>
    <s v="NA"/>
    <s v="UA/UW"/>
    <s v="Emails"/>
    <s v="Semi-Structured"/>
    <s v="Email : 100%"/>
    <s v="Others"/>
    <s v="Task creation team/_x000a_UA/UW"/>
    <s v="Windows_x000a_Efile_x000a_UWD"/>
  </r>
  <r>
    <x v="17"/>
    <s v="Fortune 500 Global P&amp;C Carrier"/>
    <s v="US"/>
    <s v="Pune, India"/>
    <s v="India"/>
    <s v="Arbind Singh/Saurabh Sharma"/>
    <n v="7"/>
    <x v="1"/>
    <x v="2"/>
    <x v="11"/>
    <s v="New Business Quotes/ Rating"/>
    <s v="New Business (Wrapup)"/>
    <s v="Rating and Issuance of new WC policies of sub-contractors"/>
    <s v="Commercial"/>
    <x v="5"/>
    <s v="WC"/>
    <s v="All"/>
    <s v="Back Office"/>
    <s v="L3"/>
    <s v="2 to 3"/>
    <s v="3 to 4"/>
    <s v="3 to 4"/>
    <s v="FTE Based"/>
    <s v="USD"/>
    <n v="34253.56"/>
    <n v="3"/>
    <n v="0.75"/>
    <n v="0.1"/>
    <n v="0.3"/>
    <n v="4.1500000000000004"/>
    <n v="7.2289156626506021E-2"/>
    <n v="1250"/>
    <n v="125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6"/>
    <s v="Renewal Issuance"/>
    <s v="Renewals (Wrapup)"/>
    <s v="Renewing policies by performing rating and Issuance of WC policies of sub-contractors"/>
    <s v="Commercial"/>
    <x v="5"/>
    <s v="WC"/>
    <s v="All"/>
    <s v="Back Office"/>
    <s v="L3"/>
    <s v="2 to 3"/>
    <s v="3 to 4"/>
    <s v="3 to 4"/>
    <s v="FTE Based"/>
    <s v="USD"/>
    <n v="34253.56"/>
    <n v="2.25"/>
    <n v="0.75"/>
    <n v="0.1"/>
    <n v="0.4"/>
    <n v="3.5"/>
    <n v="0.1142857142857143"/>
    <n v="2000"/>
    <n v="2000"/>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Endorsements intake and setup"/>
    <s v="Endorsement (Wrapup)"/>
    <s v="Making changes to an existing WC Policy of a sub-contractor"/>
    <s v="Commercial"/>
    <x v="5"/>
    <s v="WC"/>
    <s v="All"/>
    <s v="Back Office"/>
    <s v="L3"/>
    <s v="2 to 3"/>
    <s v="3 to 4"/>
    <s v="3 to 4"/>
    <s v="FTE Based"/>
    <s v="USD"/>
    <n v="34253.56"/>
    <n v="0.25"/>
    <n v="0.2"/>
    <n v="0"/>
    <n v="0.1"/>
    <n v="0.55000000000000004"/>
    <n v="0.18181818181818182"/>
    <n v="150"/>
    <n v="150"/>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Non Renewals/Renewal notice"/>
    <s v="Non Renewal (Wrapup)"/>
    <s v="Sub-contractor WC polcies that do not need to be renewed as per the broker must go through the non-renwal process in the system"/>
    <s v="Commercial"/>
    <x v="5"/>
    <s v="WC"/>
    <s v="All"/>
    <s v="Back Office"/>
    <s v="L3"/>
    <s v="2 to 3"/>
    <s v="3 to 4"/>
    <s v="3 to 4"/>
    <s v="FTE Based"/>
    <s v="USD"/>
    <n v="34253.56"/>
    <n v="0.26"/>
    <n v="0.2"/>
    <n v="0"/>
    <n v="0.1"/>
    <n v="0.56000000000000005"/>
    <n v="0.17857142857142858"/>
    <n v="750"/>
    <n v="75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Cancellation notice"/>
    <s v="Cancellations (Wrapup)"/>
    <s v="Cancelling a WC Policy as requested by the broker/insured"/>
    <s v="Commercial"/>
    <x v="5"/>
    <s v="WC"/>
    <s v="All"/>
    <s v="Back Office"/>
    <s v="L3"/>
    <s v="2 to 3"/>
    <s v="3 to 4"/>
    <s v="3 to 4"/>
    <s v="FTE Based"/>
    <s v="USD"/>
    <n v="34253.56"/>
    <n v="0.2"/>
    <n v="0.1"/>
    <n v="0"/>
    <n v="0.1"/>
    <n v="0.4"/>
    <n v="0.25"/>
    <n v="100"/>
    <n v="100"/>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Z-spire_x000a_NCCI website_x000a_D&amp;B_x000a_Workbench_x000a_Efile"/>
  </r>
  <r>
    <x v="17"/>
    <s v="Fortune 500 Global P&amp;C Carrier"/>
    <s v="US"/>
    <s v="Pune, India"/>
    <s v="India"/>
    <s v="Arbind Singh/Saurabh Sharma"/>
    <n v="7"/>
    <x v="1"/>
    <x v="2"/>
    <x v="3"/>
    <s v="Loss run retrieval"/>
    <s v="Loss Runs External"/>
    <s v="Team generate loss runs report for requested policy and sends to the requester"/>
    <s v="Commercial"/>
    <x v="3"/>
    <s v="Auto, GL, Property, WC"/>
    <s v="All"/>
    <s v="Back Office"/>
    <s v="L2"/>
    <s v="2 to 3"/>
    <s v="3 to 4"/>
    <s v="3 to 4"/>
    <s v="FTE Based"/>
    <s v="USD"/>
    <n v="26002.87"/>
    <n v="4.41"/>
    <n v="1"/>
    <n v="0.3"/>
    <n v="1"/>
    <n v="6.71"/>
    <n v="0.14903129657228018"/>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Windows_x000a_UWD_x000a_Underwriting Management_x000a_Workbench_x000a_Efile_x000a_RI 2.0_x000a_BOE"/>
  </r>
  <r>
    <x v="17"/>
    <s v="Fortune 500 Global P&amp;C Carrier"/>
    <s v="US"/>
    <s v="Pune, India"/>
    <s v="India"/>
    <s v="Arbind Singh/Saurabh Sharma"/>
    <n v="7"/>
    <x v="1"/>
    <x v="2"/>
    <x v="3"/>
    <s v="Loss run retrieval"/>
    <s v="Loss Runs Internal"/>
    <s v="Team generate loss runs report and upload to efile. If requested then sends to the requester"/>
    <s v="Commercial"/>
    <x v="3"/>
    <s v="Auto, GL, Property, WC"/>
    <s v="All"/>
    <s v="Back Office"/>
    <s v="L2"/>
    <s v="2 to 3"/>
    <s v="3 to 4"/>
    <s v="3 to 4"/>
    <s v="FTE Based"/>
    <s v="USD"/>
    <n v="26002.87"/>
    <n v="2.2000000000000002"/>
    <n v="0.5"/>
    <n v="0"/>
    <n v="0.5"/>
    <n v="3.2"/>
    <n v="0.15625"/>
    <n v="3000"/>
    <n v="30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Windows_x000a_UWD_x000a_Underwriting Management_x000a_Workbench_x000a_Efile_x000a_RI 2.0_x000a_BOE"/>
  </r>
  <r>
    <x v="17"/>
    <s v="Fortune 500 Global P&amp;C Carrier"/>
    <s v="US"/>
    <s v="Pune, India"/>
    <s v="India"/>
    <s v="Arbind Singh/Saurabh Sharma"/>
    <n v="7"/>
    <x v="1"/>
    <x v="2"/>
    <x v="3"/>
    <s v="Loss run retrieval"/>
    <s v="Loss Runs External Programs"/>
    <s v="Team generate loss runs report for requested policy and sends to the requester"/>
    <s v="Commercial"/>
    <x v="3"/>
    <s v="Auto, GL, Property, WC"/>
    <s v="All"/>
    <s v="Back Office"/>
    <s v="L2"/>
    <s v="2 to 3"/>
    <s v="3 to 4"/>
    <s v="3 to 4"/>
    <s v="FTE Based"/>
    <s v="USD"/>
    <n v="26002.87"/>
    <n v="0.3"/>
    <n v="0"/>
    <n v="0"/>
    <n v="0"/>
    <n v="0.3"/>
    <n v="0"/>
    <n v="600"/>
    <n v="6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Windows_x000a_UWD_x000a_Underwriting Management_x000a_Workbench_x000a_Efile_x000a_RI 2.0_x000a_BOE"/>
  </r>
  <r>
    <x v="17"/>
    <s v="Fortune 500 Global P&amp;C Carrier"/>
    <s v="US"/>
    <s v="Pune, India"/>
    <s v="India"/>
    <s v="Arbind Singh/Saurabh Sharma"/>
    <n v="7"/>
    <x v="1"/>
    <x v="2"/>
    <x v="3"/>
    <s v="Loss run retrieval"/>
    <s v="Loss Runs Internal Programs"/>
    <s v="Team generate loss runs report for requested policy and sends to the requester"/>
    <s v="Commercial"/>
    <x v="3"/>
    <s v="Auto, GL, Property, WC"/>
    <s v="All"/>
    <s v="Back Office"/>
    <s v="L2"/>
    <s v="2 to 3"/>
    <s v="3 to 4"/>
    <s v="3 to 4"/>
    <s v="FTE Based"/>
    <s v="USD"/>
    <n v="26002.87"/>
    <n v="0.5"/>
    <n v="0"/>
    <n v="0"/>
    <n v="0"/>
    <n v="0.5"/>
    <n v="0"/>
    <n v="60"/>
    <n v="6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Windows_x000a_UWD_x000a_Underwriting Management_x000a_Workbench_x000a_Efile_x000a_RI 2.0_x000a_BOE"/>
  </r>
  <r>
    <x v="17"/>
    <s v="Fortune 500 Global P&amp;C Carrier"/>
    <s v="US"/>
    <s v="Pune, India"/>
    <s v="India"/>
    <s v="Arbind Singh/Saurabh Sharma"/>
    <n v="4"/>
    <x v="1"/>
    <x v="2"/>
    <x v="6"/>
    <s v="New Business Issuance"/>
    <s v="Manual Policy Issuance "/>
    <s v="Teams works on creating the policy document by using forms,instructions and binder etc."/>
    <s v="Commercial"/>
    <x v="7"/>
    <s v="Property"/>
    <s v="Specialized"/>
    <s v="Back Office"/>
    <s v="L3"/>
    <s v="2 to 3"/>
    <s v="3 to 4"/>
    <s v="3 to 4"/>
    <s v="FTE Based"/>
    <s v="USD"/>
    <n v="34253.56"/>
    <n v="1"/>
    <n v="0"/>
    <n v="0"/>
    <n v="1"/>
    <n v="2"/>
    <n v="0.5"/>
    <n v="30"/>
    <n v="30"/>
    <s v="Mar &amp; Aug"/>
    <n v="98.1"/>
    <n v="0.95"/>
    <n v="0.94699999999999995"/>
    <s v="DPU – Defect Per Unit"/>
    <s v="Productivity - 100%"/>
    <s v="NA"/>
    <s v="NA"/>
    <s v="NA"/>
    <s v="NA"/>
    <s v="NA"/>
    <s v="NA"/>
    <s v="NA"/>
    <s v="NA"/>
    <s v="NA"/>
    <s v="NA"/>
    <s v="UA/UW"/>
    <s v="Structured"/>
    <s v="Semi-Structured"/>
    <s v="Application : 100%"/>
    <s v="PDFs"/>
    <s v="Broker/Producer"/>
    <s v="Windows_x000a_UWD_x000a_Underwriting Management_x000a_Workbench_x000a_Efile_x000a_iTrac_x000a_Shared drive folder"/>
  </r>
  <r>
    <x v="17"/>
    <s v="Fortune 500 Global P&amp;C Carrier"/>
    <s v="US"/>
    <s v="Pune, India"/>
    <s v="India"/>
    <s v="Arbind Singh/Saurabh Sharma"/>
    <n v="3"/>
    <x v="1"/>
    <x v="2"/>
    <x v="3"/>
    <s v="Cancellation notice"/>
    <s v="Cancellation"/>
    <s v="Commercial &amp; Specialty"/>
    <s v="Commercial"/>
    <x v="1"/>
    <s v="Auto"/>
    <s v="Direct Market"/>
    <s v="Back Office"/>
    <s v="L2"/>
    <n v="1"/>
    <n v="1"/>
    <n v="1"/>
    <s v="FTE Based"/>
    <s v="USD"/>
    <n v="26002.87"/>
    <n v="3"/>
    <n v="0.5"/>
    <n v="0.5"/>
    <n v="0"/>
    <n v="4"/>
    <n v="0"/>
    <n v="9000"/>
    <n v="9000"/>
    <s v="NA"/>
    <n v="3.1"/>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s v="US"/>
    <s v="Pune, India"/>
    <s v="India"/>
    <s v="Arbind Singh/Saurabh Sharma"/>
    <n v="3"/>
    <x v="1"/>
    <x v="2"/>
    <x v="11"/>
    <s v="New Business Quotes/ Rating"/>
    <s v="Transfer"/>
    <s v="Commercial &amp; Specialty"/>
    <s v="Commercial"/>
    <x v="1"/>
    <s v="Auto"/>
    <s v="Direct Market"/>
    <s v="Back Office"/>
    <s v="L2"/>
    <n v="1"/>
    <n v="1"/>
    <n v="1"/>
    <s v="FTE Based"/>
    <s v="USD"/>
    <n v="26002.87"/>
    <n v="1"/>
    <n v="0"/>
    <n v="0"/>
    <n v="0"/>
    <n v="1"/>
    <n v="0"/>
    <n v="50"/>
    <n v="50"/>
    <s v="NA"/>
    <n v="15"/>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s v="US"/>
    <s v="Pune, India"/>
    <s v="India"/>
    <s v="Arbind Singh/Saurabh Sharma"/>
    <n v="3"/>
    <x v="1"/>
    <x v="2"/>
    <x v="11"/>
    <s v="New Business Quotes/ Rating"/>
    <s v="Data Entry"/>
    <s v="Commercial &amp; Specialty"/>
    <s v="Commercial"/>
    <x v="1"/>
    <s v="Auto"/>
    <s v="Direct Market"/>
    <s v="Back Office"/>
    <s v="L2"/>
    <n v="1"/>
    <n v="1"/>
    <n v="2"/>
    <s v="FTE Based"/>
    <s v="USD"/>
    <n v="26002.87"/>
    <n v="1"/>
    <n v="0"/>
    <n v="0"/>
    <n v="0"/>
    <n v="1"/>
    <n v="0"/>
    <n v="400"/>
    <n v="400"/>
    <s v="NA"/>
    <n v="6.5"/>
    <s v="20th of every month"/>
    <n v="0.98699999999999999"/>
    <s v="DPU – Defect Per Unit"/>
    <s v="Productivity - 100%"/>
    <s v="NA"/>
    <s v="NA"/>
    <s v="NA"/>
    <s v="NA"/>
    <s v="NA"/>
    <s v="NA"/>
    <s v="NA"/>
    <s v="NA"/>
    <s v="NA"/>
    <s v="NA"/>
    <s v="Agent "/>
    <s v="Structured"/>
    <s v="Structured"/>
    <s v="Application : 100%"/>
    <s v="PDFs"/>
    <s v="Insured"/>
    <s v="SCS &amp; FICS"/>
  </r>
  <r>
    <x v="17"/>
    <s v="Fortune 500 Global P&amp;C Carrier"/>
    <s v="US"/>
    <s v="Noida, India"/>
    <s v="India"/>
    <s v="Arbind Singh/Saurabh Sharma"/>
    <n v="0.7"/>
    <x v="1"/>
    <x v="2"/>
    <x v="11"/>
    <s v="Re-Rating"/>
    <s v="Rating"/>
    <s v="EXL manages Rating for Domestic Casualty Auto Rating for ZNA. Team processes rating task for Auto policies."/>
    <s v="Commercial"/>
    <x v="18"/>
    <s v="Auto"/>
    <s v="Shared Services"/>
    <s v="Back Office"/>
    <s v="L3"/>
    <n v="2"/>
    <n v="4"/>
    <n v="4"/>
    <s v="FTE Based"/>
    <s v="USD"/>
    <n v="34253.56"/>
    <n v="3"/>
    <n v="0"/>
    <n v="0"/>
    <n v="0"/>
    <n v="3"/>
    <n v="0"/>
    <n v="15"/>
    <n v="15"/>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s v="US"/>
    <s v="Pune, India"/>
    <s v="India"/>
    <s v="Arbind Singh/Saurabh Sharma"/>
    <n v="0.7"/>
    <x v="1"/>
    <x v="2"/>
    <x v="11"/>
    <s v="Re-Rating"/>
    <s v="Rating"/>
    <s v="EXL manages Rating for Domestic Casualty Auto Rating for ZNA. Team processes rating task for Auto policies."/>
    <s v="Commercial"/>
    <x v="18"/>
    <s v="Auto"/>
    <s v="Shared Services"/>
    <s v="Back Office"/>
    <s v="L3"/>
    <n v="2"/>
    <n v="4"/>
    <n v="4"/>
    <s v="FTE Based"/>
    <s v="USD"/>
    <n v="34253.56"/>
    <n v="7"/>
    <n v="1"/>
    <n v="0.5"/>
    <n v="0"/>
    <n v="8.5"/>
    <n v="0"/>
    <n v="37"/>
    <n v="37"/>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s v="US"/>
    <s v="Pune, India"/>
    <s v="India"/>
    <s v="Arbind Singh/Saurabh Sharma"/>
    <n v="1"/>
    <x v="1"/>
    <x v="2"/>
    <x v="6"/>
    <s v="Issuing Certificate of Insurance"/>
    <s v="Affinity &amp; Travel"/>
    <s v="Accident and Health certificates to create as per master document for Accident and Travel policies  and issue the policy to Underwriter "/>
    <s v="Commercial &amp; Specialty"/>
    <x v="19"/>
    <s v="Multi/ Combination"/>
    <s v="Specialized"/>
    <s v="Back Office"/>
    <s v="L3"/>
    <n v="2"/>
    <n v="4"/>
    <n v="4"/>
    <s v="FTE Based"/>
    <s v="USD"/>
    <n v="34253.56"/>
    <n v="4"/>
    <n v="0.5"/>
    <n v="0.5"/>
    <n v="0"/>
    <n v="5"/>
    <n v="0"/>
    <n v="30"/>
    <n v="30"/>
    <s v="NA"/>
    <n v="300"/>
    <n v="0.85"/>
    <n v="0.9"/>
    <s v="DPO – Defect Per Opportunity"/>
    <s v="Productivity - 100%"/>
    <s v="NA"/>
    <s v="NA"/>
    <s v="NA"/>
    <s v="NA"/>
    <s v="NA"/>
    <s v="NA"/>
    <s v="NA"/>
    <s v="NA"/>
    <s v="NA"/>
    <s v="NA"/>
    <s v="Underwriter/Underwriter Assistant/Broker"/>
    <s v="Word"/>
    <s v="Semi-Structured"/>
    <s v="Word - 100%"/>
    <s v="Word"/>
    <s v="Underwriter/Underwriter Assistant/Broker"/>
    <s v="SharePoint_x000a_Outlook"/>
  </r>
  <r>
    <x v="2"/>
    <s v="US National Specialty Carrier"/>
    <s v="US"/>
    <s v="Manila, PHP"/>
    <s v="Philippines"/>
    <s v="Jayant Verma"/>
    <n v="0.4"/>
    <x v="1"/>
    <x v="1"/>
    <x v="1"/>
    <s v="First Notice of Loss Calls"/>
    <s v="FNOL"/>
    <s v="The claims FNOL team receives calls from customers reporting property damages including auto and submit it in claim form."/>
    <s v="Specialty"/>
    <x v="3"/>
    <s v="Auto, Home, Motor Cycle, Collector Vehicle, Watercraft, Manufactured/Mobile home"/>
    <s v="Small &amp; Mid Size"/>
    <s v="Voice"/>
    <s v="L2"/>
    <n v="2"/>
    <n v="3"/>
    <n v="9"/>
    <s v="FTE Based"/>
    <s v="USD"/>
    <n v="31500"/>
    <n v="3"/>
    <n v="1"/>
    <n v="1"/>
    <n v="1"/>
    <n v="6"/>
    <n v="0.16666666666666666"/>
    <n v="2500"/>
    <s v="NA"/>
    <s v="Oct"/>
    <n v="7"/>
    <s v="Same Day"/>
    <n v="0.93"/>
    <s v="DPO – Defect Per Opportunity"/>
    <s v="NA"/>
    <s v="NA"/>
    <s v="NA"/>
    <s v="NA"/>
    <s v="NA"/>
    <s v="NA"/>
    <s v="NA"/>
    <s v="NA"/>
    <s v="NA"/>
    <s v="NA"/>
    <s v="No"/>
    <s v="Adjuster &amp; inhouse team"/>
    <s v="Multiple"/>
    <s v="Structured"/>
    <s v="Mainframe: 100%_x000a_"/>
    <s v="N/A"/>
    <s v="Insured, Agencies, Brokers, Public Adjusters, Attorney, Claimant, Contractor, Lienholder, Relative"/>
    <s v="Outlook_x000a_Claim Form_x000a_Adobe Pro Access_x000a_AMIG Shared Drive_x000a_MS EXCEL_x000a_MS Teams_x000a_MS Word_x000a_8x8"/>
  </r>
  <r>
    <x v="2"/>
    <s v="US National Specialty Carrier"/>
    <s v="US"/>
    <s v="Manila, PHP"/>
    <s v="Philippines"/>
    <s v="Jayant Verma"/>
    <n v="0.4"/>
    <x v="1"/>
    <x v="2"/>
    <x v="3"/>
    <s v="Premium Billing and Collections"/>
    <s v="Customer Service Chat"/>
    <s v="Customer service chat assists insurance agencies with billing and document requests through chat support."/>
    <s v="Specialty"/>
    <x v="3"/>
    <s v="Auto, Home, Motor Cycle, Collector Vehicle, Watercraft, Manufactured/Mobile home"/>
    <s v="Small &amp; Mid Size"/>
    <s v="Back Office"/>
    <s v="L2"/>
    <n v="2"/>
    <n v="3"/>
    <n v="12"/>
    <s v="FTE Based"/>
    <s v="USD"/>
    <n v="31500"/>
    <n v="10"/>
    <n v="2"/>
    <n v="1"/>
    <n v="4"/>
    <n v="17"/>
    <n v="0.23529411764705882"/>
    <n v="7000"/>
    <s v="NA"/>
    <s v="May-Oct"/>
    <n v="15.88"/>
    <s v="Same Day"/>
    <n v="0.9"/>
    <s v="DPO – Defect Per Opportunity"/>
    <s v="NA"/>
    <s v="NA"/>
    <s v="NA"/>
    <s v="NA"/>
    <s v="NA"/>
    <s v="NA"/>
    <s v="NA"/>
    <s v="NA"/>
    <s v="NA"/>
    <s v="NA"/>
    <s v="No"/>
    <s v="Agencies &amp; inhouse team"/>
    <s v="Multiple"/>
    <s v="Unstructured"/>
    <s v="Mainframe: 70%_x000a_Email: 30%_x000a_"/>
    <s v="N/A"/>
    <s v="Agencies"/>
    <s v="Modern Link_x000a_AMSuite_x000a_Outlook_x000a_8x8_x000a_Adobe Pro Access_x000a_Guidewire Claims Center _x000a_AMIG Shared Drive_x000a_MS EXCEL_x000a_MS Teams_x000a_MS Word_x000a_Training Digital Library_x000a_Agency Matrix Tool"/>
  </r>
  <r>
    <x v="21"/>
    <s v="Fortune 100 US P&amp;C Carrier"/>
    <s v="US"/>
    <s v="Cape Town, South Africa"/>
    <s v="South Africa"/>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s v="Personal"/>
    <x v="13"/>
    <s v="Homeowners"/>
    <s v="All"/>
    <s v="Voice"/>
    <s v="L3"/>
    <n v="1"/>
    <n v="3.5"/>
    <n v="1"/>
    <s v="FTE Based"/>
    <s v="USD"/>
    <n v="6187.5"/>
    <n v="7.5"/>
    <n v="0.5"/>
    <n v="1"/>
    <n v="2"/>
    <n v="11"/>
    <n v="0.18181818181818182"/>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s v="US"/>
    <s v="Cape Town, South Africa"/>
    <s v="South Africa"/>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s v="Commercial"/>
    <x v="13"/>
    <s v="Commercial Auto, Business Owners Policy, Commercial Package, Workers Compensation, Professional Liability, Commercial Umbrella"/>
    <s v="All"/>
    <s v="Voice"/>
    <s v="L3"/>
    <n v="1"/>
    <n v="3.5"/>
    <n v="1"/>
    <s v="FTE Based"/>
    <s v="USD"/>
    <n v="6187.5"/>
    <n v="7.5"/>
    <n v="0.5"/>
    <n v="0.5"/>
    <n v="1.5"/>
    <n v="10"/>
    <n v="0.15"/>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s v="US"/>
    <s v="Cape Town, South Africa"/>
    <s v="South Africa"/>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s v="Personal"/>
    <x v="13"/>
    <s v="Homeowners"/>
    <s v="All"/>
    <s v="Voice"/>
    <s v="L3"/>
    <n v="1"/>
    <n v="3.5"/>
    <n v="1"/>
    <s v="FTE Based"/>
    <s v="USD"/>
    <n v="6187.5"/>
    <n v="7.5"/>
    <n v="0.5"/>
    <n v="0.5"/>
    <n v="1.5"/>
    <n v="10"/>
    <n v="0.15"/>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1"/>
    <s v="Fortune 100 US P&amp;C Carrier"/>
    <s v="US"/>
    <s v="Cape Town, South Africa"/>
    <s v="South Africa"/>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s v="Commercial"/>
    <x v="13"/>
    <s v="Commercial Auto, Business Owners Policy, Commercial Package, Workers Compensation, Professional Liability, Commercial Umbrella"/>
    <s v="All"/>
    <s v="Voice"/>
    <s v="L3"/>
    <n v="1"/>
    <n v="3.5"/>
    <n v="1"/>
    <s v="FTE Based"/>
    <s v="USD"/>
    <n v="6187.5"/>
    <n v="7.5"/>
    <n v="0.5"/>
    <n v="1"/>
    <n v="2"/>
    <n v="11"/>
    <n v="0.18181818181818182"/>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2"/>
    <s v="Fortune 500 US P&amp;C Carrier"/>
    <s v="US"/>
    <s v="Manila, PHP"/>
    <s v="Philippines"/>
    <s v="Jayant Verma"/>
    <n v="6.5"/>
    <x v="1"/>
    <x v="1"/>
    <x v="7"/>
    <s v="Document clinical info"/>
    <s v="Claim Completion"/>
    <s v="Reviews claims and requests additional information such as medicals, eligibility or employee demographics_x000a_Initial determination are being completed on or before 5th business day and  will follow through until 10th business day of the claim if insufficient information is received._x000a_Recertifies simple surgery claims beyond the last approved through date "/>
    <s v="Commercial"/>
    <x v="3"/>
    <s v="STD, LTD"/>
    <s v="All"/>
    <s v="Blended"/>
    <s v="L3"/>
    <n v="2"/>
    <n v="6"/>
    <n v="5"/>
    <s v="FTE Based"/>
    <s v="USD"/>
    <n v="27469.702125"/>
    <n v="14"/>
    <n v="1.5"/>
    <n v="1"/>
    <n v="4.2899999999999991"/>
    <n v="20.79"/>
    <n v="0.20634920634920631"/>
    <n v="49000"/>
    <n v="49000"/>
    <s v="NA"/>
    <s v="4:00"/>
    <s v="TAT 1 - 95% Within 24 Hours_x000a_TAT 2 - 100% Within 48 Hours"/>
    <n v="0.96"/>
    <s v="DPO – Defect Per Opportunity"/>
    <s v="NA"/>
    <s v="NA"/>
    <s v="NA"/>
    <s v="NA"/>
    <s v="NA"/>
    <s v="NA"/>
    <s v="NA"/>
    <s v="NA"/>
    <s v="NA"/>
    <s v="NA"/>
    <s v="NA"/>
    <s v="Employer and Provider Contact queues_x000a_Disability Benefit Manager queues"/>
    <s v="Others"/>
    <s v="Unstructured"/>
    <s v="100% Unstructured"/>
    <s v="Others"/>
    <s v="medical providers, Employer, Employee"/>
    <s v="THAA, Genesys,CIT, CNS"/>
  </r>
  <r>
    <x v="22"/>
    <s v="Fortune 500 US P&amp;C Carrier"/>
    <s v="US"/>
    <s v="Manila, PHP"/>
    <s v="Philippines"/>
    <s v="Jayant Verma"/>
    <n v="6.5"/>
    <x v="1"/>
    <x v="1"/>
    <x v="7"/>
    <s v="Document clinical info"/>
    <s v="Provider outreach "/>
    <s v="Obtain medical information from providers either though an outreach, fax request, mail request or medical systems_x000a_Reviews request directives from claim owners and requests information from health care providers_x000a_Reviews medical records and determines if adequate records have been received"/>
    <s v="Commercial"/>
    <x v="3"/>
    <s v="STD, LTD"/>
    <s v="All"/>
    <s v="Blended"/>
    <s v="L3"/>
    <n v="2"/>
    <n v="5"/>
    <n v="4"/>
    <s v="FTE Based"/>
    <s v="USD"/>
    <n v="27469.702125"/>
    <n v="53.62"/>
    <n v="5"/>
    <n v="7"/>
    <n v="22.380000000000003"/>
    <n v="88"/>
    <n v="0.25431818181818183"/>
    <n v="56870"/>
    <n v="56870"/>
    <s v="NA"/>
    <s v="5:00"/>
    <n v="0.95"/>
    <n v="0.95"/>
    <s v="DPO – Defect Per Opportunity"/>
    <s v="NA"/>
    <s v="NA"/>
    <s v="NA"/>
    <s v="NA"/>
    <s v="NA"/>
    <s v="NA"/>
    <s v="NA"/>
    <s v="NA"/>
    <s v="NA"/>
    <s v="NA"/>
    <s v="NA"/>
    <s v="Provider Contact Queue"/>
    <s v="Others"/>
    <s v="Unstructured"/>
    <s v="100% Unstructured"/>
    <s v="Others"/>
    <s v="Ability Analysts"/>
    <s v="THAA, Genesys,CIT, CNS"/>
  </r>
  <r>
    <x v="22"/>
    <s v="Fortune 500 US P&amp;C Carrier"/>
    <s v="US"/>
    <s v="Manila, PHP"/>
    <s v="Philippines"/>
    <s v="Jayant Verma"/>
    <n v="7"/>
    <x v="2"/>
    <x v="1"/>
    <x v="4"/>
    <s v="Loss/ Damage verification"/>
    <s v=" CCT Claims Inquiry"/>
    <s v="Inbound calls from Insured, Claimants, Auto Body Shop, Rental Companies, Medical Facility  (Doctors Office, Hospitals, Pharmacies), Attorney, Injured Employees._x000a_EXL Representative checks if bill has been received_x000a_EXL Rep provides status of bill in processing, adjuster information and check number. _x000a_EXL Rep advises provider how the bill was paid, and reviews notes if there was an update from the handler_x000a_If provider disputes payment, EXL Rep sends bill for review or suggests a written appeal_x000a_Caller was informed  that he/ she will be transferred to  the claim adjuster or to the appropriate department that will be giving resolution to their concern_x000a_"/>
    <s v="Personal &amp; Commercial"/>
    <x v="1"/>
    <s v="Auto"/>
    <s v="All"/>
    <s v="Voice"/>
    <s v="L3"/>
    <n v="2"/>
    <n v="5"/>
    <n v="4"/>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15"/>
    <x v="1"/>
    <x v="1"/>
    <x v="4"/>
    <s v="Inquiry calls from providers (medical bill review; bill intake; medical billing form and payment)"/>
    <s v="Provider service"/>
    <s v="This Customer Service group, working in a call center environment, is responsible for responding to Providers medical billing, and payment status inquiries and sending of list of Providers, hospitals or specialty providers to the callers via email"/>
    <s v="Commercial"/>
    <x v="5"/>
    <s v="WC"/>
    <s v="All"/>
    <s v="Voice"/>
    <s v="L3"/>
    <n v="2"/>
    <n v="6"/>
    <n v="4"/>
    <s v="FTE Based"/>
    <s v="USD"/>
    <n v="29726.493749999998"/>
    <n v="14.65"/>
    <n v="1.5"/>
    <n v="1"/>
    <n v="3.3499999999999996"/>
    <n v="20.5"/>
    <n v="0.16341463414634144"/>
    <n v="15600"/>
    <n v="15600"/>
    <s v="NA"/>
    <n v="4.3"/>
    <s v="NA"/>
    <n v="0.98"/>
    <s v="DPO – Defect Per Opportunity"/>
    <s v="TSF"/>
    <s v="NA"/>
    <s v="NA"/>
    <s v="NA"/>
    <s v="NA"/>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x v="22"/>
    <s v="Fortune 500 US P&amp;C Carrier"/>
    <s v="US"/>
    <s v="Manila, PHP"/>
    <s v="Philippines"/>
    <s v="Jayant Verma"/>
    <n v="2.1"/>
    <x v="2"/>
    <x v="1"/>
    <x v="1"/>
    <s v="First Notice of Loss Calls"/>
    <s v="CCT WC FNOL"/>
    <s v="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
    <s v="Commercial"/>
    <x v="5"/>
    <s v="WC"/>
    <s v="All"/>
    <s v="Voice"/>
    <s v="L3"/>
    <n v="2"/>
    <n v="6"/>
    <n v="8"/>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2.1"/>
    <x v="2"/>
    <x v="1"/>
    <x v="4"/>
    <s v="Inquiry calls from providers (medical bill review; bill intake; medical billing form and payment)"/>
    <s v="CCT WC Claim Inquiry"/>
    <s v="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
    <s v="Commercial"/>
    <x v="5"/>
    <s v="WC"/>
    <s v="All"/>
    <s v="Voice"/>
    <s v="L3"/>
    <n v="2"/>
    <n v="6"/>
    <n v="4"/>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5"/>
    <x v="2"/>
    <x v="1"/>
    <x v="4"/>
    <s v="Inquiry calls from providers (medical bill review; bill intake; medical billing form and payment)"/>
    <s v="Web portal response "/>
    <s v="Nurse responds to member &amp; employer queries via email._x000a_EXL nurse will relay member requests to claim managers._x000a_Sending out paperwork for the members to fill out._x000a_"/>
    <s v="Commercial"/>
    <x v="3"/>
    <s v="Disability"/>
    <s v="All"/>
    <s v="Back Office"/>
    <s v="L3"/>
    <n v="2"/>
    <n v="5"/>
    <n v="6"/>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5"/>
    <x v="1"/>
    <x v="1"/>
    <x v="4"/>
    <s v="Inquiry calls from providers (medical bill review; bill intake; medical billing form and payment)"/>
    <s v="Group Benefits Claim Contact Center"/>
    <s v="Responds to member, employe, provider and other third-party caller queries._x000a_Informing the caller of the claim status_x000a_The Agent will relay member requests to claim managers._x000a_Sending out paperwork for the members or providers to fill out._x000a_Filing of absences, updating the employee’s demographics, documenting new claim information, providing payment details,  transferring to dedicated departments, IVR or Claim Owners_x000a_Assisting in online portal registration"/>
    <s v="Commercial"/>
    <x v="3"/>
    <s v="STD, LTD, Absence Management. FMLA"/>
    <s v="All"/>
    <s v="Voice"/>
    <s v="L3"/>
    <n v="2"/>
    <n v="5"/>
    <n v="8"/>
    <s v="FTE Based"/>
    <s v="USD"/>
    <n v="29726.493749999998"/>
    <n v="117"/>
    <n v="12"/>
    <n v="14"/>
    <n v="25"/>
    <n v="168"/>
    <n v="0.14880952380952381"/>
    <n v="128000"/>
    <n v="128000"/>
    <s v="NA"/>
    <s v="TBD"/>
    <s v="NA"/>
    <n v="0.76"/>
    <s v="Others"/>
    <s v="Schedule Adherence - 92% _x000a_Transfer - 20%_x000a_Post Call Survey_x000a_Customer Effort - 89%_x000a_Customer Satisfaction - 87%"/>
    <s v="NA"/>
    <s v="NA"/>
    <s v="NA"/>
    <s v="NA"/>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x v="22"/>
    <s v="Fortune 500 US P&amp;C Carrier"/>
    <s v="US"/>
    <s v="Manila, PHP"/>
    <s v="Philippines"/>
    <s v="Jayant Verma"/>
    <n v="6.5"/>
    <x v="1"/>
    <x v="1"/>
    <x v="4"/>
    <s v="Inquiry calls from providers (medical bill review; bill intake; medical billing form and payment)"/>
    <s v="GB Nurse Review"/>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s v="Commercial"/>
    <x v="3"/>
    <s v="STD, LTD"/>
    <s v="All"/>
    <s v="Blended"/>
    <s v="L3"/>
    <n v="2"/>
    <n v="14"/>
    <n v="3"/>
    <s v="FTE Based"/>
    <s v="USD"/>
    <n v="31218.75"/>
    <n v="3.15"/>
    <n v="1"/>
    <n v="1"/>
    <n v="3"/>
    <n v="8.15"/>
    <n v="0.36809815950920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s v="NA"/>
    <s v="NA"/>
    <s v="NA"/>
    <s v="NA"/>
    <s v="NA"/>
    <s v="NA"/>
    <s v="NA"/>
    <s v="Ability Analyst, Appeals Analyst"/>
    <s v="Others"/>
    <s v="Structured"/>
    <s v="100% Structured"/>
    <s v="Others"/>
    <s v="Ability Analyst, Appeals Analyst"/>
    <s v="THAA, ODG"/>
  </r>
  <r>
    <x v="22"/>
    <s v="Fortune 500 US P&amp;C Carrier"/>
    <s v="US"/>
    <s v="Manila, PHP"/>
    <s v="Philippines"/>
    <s v="Jayant Verma"/>
    <n v="5"/>
    <x v="1"/>
    <x v="1"/>
    <x v="4"/>
    <s v="Inquiry calls from providers (medical bill review; bill intake; medical billing form and payment)"/>
    <s v="GB Clinical Intake"/>
    <s v="Assists in initiation of disability and/or leave claims via telephonic intake. CCNs utilize their clinical knowledge to begin the claim evaluation process as well as provide insight into the claimant's clinical status and their ability to perform job duties._x000a_"/>
    <s v="Commercial"/>
    <x v="3"/>
    <s v="STD"/>
    <s v="All"/>
    <s v="Voice"/>
    <s v="L3"/>
    <n v="1"/>
    <n v="7"/>
    <n v="10"/>
    <s v="FTE Based"/>
    <s v="USD"/>
    <n v="29726.493749999998"/>
    <n v="15"/>
    <n v="4"/>
    <n v="2"/>
    <n v="6"/>
    <n v="27"/>
    <n v="0.22222222222222221"/>
    <n v="7000"/>
    <n v="7000"/>
    <s v="NA"/>
    <n v="16"/>
    <s v="NA"/>
    <n v="0.76"/>
    <s v="Others"/>
    <s v="Schedule Adherence - 92% _x000a_Transfer - 20%_x000a_Post Call Survey_x000a_Customer Effort - 89%_x000a_Customer Satisfaction - 87%"/>
    <s v="NA"/>
    <s v="NA"/>
    <s v="NA"/>
    <s v="NA"/>
    <s v="NA"/>
    <s v="NA"/>
    <s v="NA"/>
    <s v="NA"/>
    <s v="NA"/>
    <s v="NA"/>
    <s v="Claimants, Employers"/>
    <s v="Others"/>
    <s v="Unstructured"/>
    <s v="100% Unstructured"/>
    <s v="Others"/>
    <s v="Claimants, Employers"/>
    <s v="THAA, C3PO, KMT, CIT"/>
  </r>
  <r>
    <x v="22"/>
    <s v="Fortune 500 US P&amp;C Carrier"/>
    <s v="US"/>
    <s v="Manila, PHP"/>
    <s v="Philippines"/>
    <s v="Jayant Verma"/>
    <n v="15"/>
    <x v="1"/>
    <x v="1"/>
    <x v="7"/>
    <s v="IME Scheduling"/>
    <s v="IME Scheduling"/>
    <s v="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
    <s v="Commercial"/>
    <x v="5"/>
    <s v="WC"/>
    <s v="All"/>
    <s v="Blended"/>
    <s v="L2"/>
    <n v="2"/>
    <n v="4"/>
    <n v="4"/>
    <s v="FTE Based"/>
    <s v="USD"/>
    <n v="27469.702125"/>
    <n v="1.85"/>
    <n v="0"/>
    <n v="0"/>
    <n v="1"/>
    <n v="2.85"/>
    <n v="0.35087719298245612"/>
    <n v="680"/>
    <n v="680"/>
    <s v="NA"/>
    <s v="IME Non - NY 11.68_x000a_IME NY - 38.61_x000a_CA Med Appt - 63.85"/>
    <n v="0.95"/>
    <n v="0.95"/>
    <s v="Others"/>
    <s v="NA"/>
    <s v="NA"/>
    <s v="NA"/>
    <s v="NA"/>
    <s v="NA"/>
    <s v="NA"/>
    <s v="NA"/>
    <s v="NA"/>
    <s v="NA"/>
    <s v="NA"/>
    <s v="NA"/>
    <s v="Claim Handler, Claim Adjuster"/>
    <s v="Others"/>
    <s v="Unstructured"/>
    <s v="100% Unstructured"/>
    <s v="Others"/>
    <s v="Vendor, Claim Handler and Claim Adjuster"/>
    <s v="ECOS, EDM,Talispoint"/>
  </r>
  <r>
    <x v="22"/>
    <s v="Fortune 500 US P&amp;C Carrier"/>
    <s v="US"/>
    <s v="Manila, PHP"/>
    <s v="Philippines"/>
    <s v="Jayant Verma"/>
    <n v="15"/>
    <x v="1"/>
    <x v="1"/>
    <x v="7"/>
    <s v="Utilization Review"/>
    <s v="UR - ICR"/>
    <s v="The process involves review of medical records to determine the appropriateness of the treatment rendered or to be rendered to the insured"/>
    <s v="Commercial"/>
    <x v="5"/>
    <s v="WC"/>
    <s v="All"/>
    <s v="Blended"/>
    <s v="L4"/>
    <n v="2"/>
    <n v="8"/>
    <n v="4"/>
    <s v="FTE Based"/>
    <s v="USD"/>
    <n v="31218.75"/>
    <n v="26.95"/>
    <n v="8"/>
    <n v="3"/>
    <n v="15"/>
    <n v="52.95"/>
    <n v="0.28328611898016998"/>
    <n v="4700"/>
    <n v="4700"/>
    <s v="NA"/>
    <n v="42.38"/>
    <s v="95% - 1 DAY_x000a_TAT 2 - 95% - 2 days (2-3 days state)_x000a_TAT3 - 98% - 7-10 days"/>
    <n v="0.96"/>
    <s v="Others"/>
    <s v="NA"/>
    <s v="NA"/>
    <s v="NA"/>
    <s v="NA"/>
    <s v="NA"/>
    <s v="NA"/>
    <s v="NA"/>
    <s v="NA"/>
    <s v="NA"/>
    <s v="NA"/>
    <s v="NA"/>
    <s v="Claim Handler, Claim Adjuster"/>
    <s v="Others"/>
    <s v="Unstructured"/>
    <s v="100% Unstructured"/>
    <s v="Others"/>
    <s v="Vendor, Claim Handler and Claim Adjuster"/>
    <s v="ECOS, EDM,Talispoint, RS, Genesys"/>
  </r>
  <r>
    <x v="22"/>
    <s v="Fortune 500 US P&amp;C Carrier"/>
    <s v="US"/>
    <s v="Manila, PHP"/>
    <s v="Philippines"/>
    <s v="Jayant Verma"/>
    <n v="15"/>
    <x v="1"/>
    <x v="1"/>
    <x v="7"/>
    <s v="Determine assignment"/>
    <s v="UR - URC"/>
    <s v="The process involves review of medical records to determine the appropriateness of the treatment rendered or to be rendered to the insured"/>
    <s v="Commercial"/>
    <x v="5"/>
    <s v="WC"/>
    <s v="All"/>
    <s v="Blended"/>
    <s v="L3"/>
    <n v="2"/>
    <n v="8"/>
    <n v="4"/>
    <s v="FTE Based"/>
    <s v="USD"/>
    <n v="29726.493749999998"/>
    <n v="4"/>
    <n v="1"/>
    <n v="1"/>
    <n v="4"/>
    <n v="10"/>
    <n v="0.4"/>
    <n v="8900"/>
    <n v="8900"/>
    <s v="NA"/>
    <n v="4.38"/>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11"/>
    <x v="1"/>
    <x v="1"/>
    <x v="7"/>
    <s v="Case Management of File "/>
    <s v="Clinical Case Management Support"/>
    <s v="Associates are to prepare fax with list of tasks provided by the Case Manager to be sent to the Clinical / Medical Provider. After sending the fax, the support team will contact Clinical / Medical Providers office to ensure receipt of fax. "/>
    <s v="Commercial"/>
    <x v="5"/>
    <s v="WC"/>
    <s v="All"/>
    <s v="Blended"/>
    <s v="L3"/>
    <n v="2"/>
    <n v="6"/>
    <n v="4"/>
    <s v="FTE Based"/>
    <s v="USD"/>
    <n v="27469.702125"/>
    <n v="5"/>
    <n v="0"/>
    <n v="1"/>
    <n v="2"/>
    <n v="8"/>
    <n v="0.25"/>
    <n v="13400"/>
    <n v="13400"/>
    <s v="NA"/>
    <s v="Correspondence - 3.00_x000a_Outbound calls - 4.33"/>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8"/>
    <x v="1"/>
    <x v="1"/>
    <x v="7"/>
    <s v="Determine assignment"/>
    <s v="Drug Review Coordinator"/>
    <s v="Drug Review is the determination of medical necessity and appropriateness of Drug treatment using clinical based guidelines. "/>
    <s v="Commercial"/>
    <x v="5"/>
    <s v="WC"/>
    <s v="All"/>
    <s v="Blended"/>
    <s v="L3"/>
    <n v="2"/>
    <n v="6"/>
    <n v="6"/>
    <s v="FTE Based"/>
    <s v="USD"/>
    <n v="29726.493749999998"/>
    <n v="1.3"/>
    <n v="0"/>
    <n v="0"/>
    <n v="0.7"/>
    <n v="2"/>
    <n v="0.35"/>
    <n v="2200"/>
    <n v="2200"/>
    <s v="NA"/>
    <n v="4.38"/>
    <s v="TAT Referrals 95%_x000a_TAT Referrals (Retro Review/Paper Bills) - 98.50%"/>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4"/>
    <x v="1"/>
    <x v="1"/>
    <x v="7"/>
    <s v="Peer Review &amp; support"/>
    <s v="Peer Review Referral and _x000a_(“IME”) Vendor Coordinator"/>
    <s v="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
    <s v="Commercial"/>
    <x v="3"/>
    <s v="STD, LTD"/>
    <s v="All"/>
    <s v="Back Office"/>
    <s v="L3"/>
    <n v="1"/>
    <n v="3"/>
    <n v="3"/>
    <s v="FTE Based"/>
    <s v="USD"/>
    <n v="27469.702125"/>
    <n v="5.5"/>
    <n v="1"/>
    <n v="1"/>
    <n v="2"/>
    <n v="9.5"/>
    <n v="0.21052631578947367"/>
    <n v="80000"/>
    <n v="80000"/>
    <s v="NA"/>
    <s v="TBD"/>
    <n v="0.95"/>
    <n v="0.95"/>
    <s v="Others"/>
    <s v="NA"/>
    <s v="NA"/>
    <s v="NA"/>
    <s v="NA"/>
    <s v="NA"/>
    <s v="NA"/>
    <s v="NA"/>
    <s v="NA"/>
    <s v="NA"/>
    <s v="NA"/>
    <s v="NA"/>
    <s v="Ability Analyst, Appeals Analyst"/>
    <s v="Others"/>
    <s v="Unstructured"/>
    <s v="100% Unstructured"/>
    <s v="Others"/>
    <s v="Ability Analyst, Appeals Analyst, Vendor"/>
    <s v="THAA, DCS, Talispoint, Vendor SharePoint, KMT"/>
  </r>
  <r>
    <x v="22"/>
    <s v="Fortune 500 US P&amp;C Carrier"/>
    <s v="US"/>
    <s v="Manila, PHP"/>
    <s v="Philippines"/>
    <s v="Jayant Verma"/>
    <n v="4"/>
    <x v="1"/>
    <x v="1"/>
    <x v="7"/>
    <s v="Determine assignment"/>
    <s v="GB Clinical Referral Assignment"/>
    <s v="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
    <s v="Commercial"/>
    <x v="3"/>
    <s v="STD, LTD"/>
    <s v="All"/>
    <s v="Back Office"/>
    <s v="L3"/>
    <n v="1"/>
    <n v="3"/>
    <n v="3"/>
    <s v="FTE Based"/>
    <s v="USD"/>
    <n v="27469.702125"/>
    <n v="3"/>
    <n v="0"/>
    <n v="0"/>
    <n v="2"/>
    <n v="5"/>
    <n v="0.4"/>
    <n v="19060"/>
    <n v="19060"/>
    <s v="NA"/>
    <s v="TBD"/>
    <n v="0.95"/>
    <n v="0.95"/>
    <s v="Others"/>
    <s v="NA"/>
    <s v="NA"/>
    <s v="NA"/>
    <s v="NA"/>
    <s v="NA"/>
    <s v="NA"/>
    <s v="NA"/>
    <s v="NA"/>
    <s v="NA"/>
    <s v="NA"/>
    <s v="NA"/>
    <s v="MCM's BHCM. VCM"/>
    <s v="Others"/>
    <s v="Structured"/>
    <s v="100% Structured"/>
    <s v="Others"/>
    <s v="MCM's BHCM. VCM"/>
    <s v="THAA"/>
  </r>
  <r>
    <x v="22"/>
    <s v="Fortune 500 US P&amp;C Carrier"/>
    <s v="US"/>
    <s v="Manila, PHP"/>
    <s v="Philippines"/>
    <s v="Jayant Verma"/>
    <n v="1.3"/>
    <x v="1"/>
    <x v="1"/>
    <x v="1"/>
    <s v="Claim Setup and assignment"/>
    <s v="History and Takeover"/>
    <s v="History and Takeover (H&amp;T) describes the process in which past FMLA/LOA absences from prior carrier/customers are added to client’s systems. These absences are loaded to allow client’s system’s to appropriately calculate available leave balances for future requests."/>
    <s v="Commercial"/>
    <x v="3"/>
    <s v="STD, LTD, Absence Management. FMLA"/>
    <s v="All"/>
    <s v="Back Office"/>
    <s v="L3"/>
    <n v="2"/>
    <n v="3"/>
    <n v="8"/>
    <s v="FTE Based"/>
    <s v="USD"/>
    <n v="29726.493749999998"/>
    <n v="2.5"/>
    <n v="1"/>
    <n v="1"/>
    <n v="3"/>
    <n v="7.5"/>
    <n v="0.4"/>
    <s v="TBD"/>
    <s v="TBD"/>
    <s v="NA"/>
    <s v="TBD"/>
    <s v="TBD"/>
    <n v="0.98"/>
    <s v="Others"/>
    <s v="TBD"/>
    <s v="TBD"/>
    <s v="NA"/>
    <s v="NA"/>
    <s v="NA"/>
    <s v="NA"/>
    <s v="NA"/>
    <s v="NA"/>
    <s v="NA"/>
    <s v="NA"/>
    <s v="NA"/>
    <s v="Policy Holder, Onshore Implementation team"/>
    <s v="Excel"/>
    <s v="Structured"/>
    <s v="100% Structured"/>
    <s v="Multiple"/>
    <s v="Ability Analyst, Claimants"/>
    <s v="THAA, LMS, CIT"/>
  </r>
  <r>
    <x v="22"/>
    <s v="Fortune 500 US P&amp;C Carrier"/>
    <s v="US"/>
    <s v="Manila, PHP"/>
    <s v="Philippines"/>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s v="Personal"/>
    <x v="3"/>
    <s v="Personal and commercial &amp; WC"/>
    <s v="Large"/>
    <s v="Voice"/>
    <s v="L2"/>
    <n v="2"/>
    <n v="12"/>
    <n v="16"/>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4"/>
    <x v="1"/>
    <x v="1"/>
    <x v="4"/>
    <s v="Inquiry calls from providers (medical bill review; bill intake; medical billing form and payment)"/>
    <s v="GB Leave Management"/>
    <s v="Leave Management (LM) is the process in which a Group Benefits (GB) Analysts manages leave of absence benefits for an employer (client’s customer/client/insured). The main benefit is called the FMLA (Family Medical Leave Act). The analysts also manages State and Employer Sponsored benefits. "/>
    <s v="Commercial"/>
    <x v="3"/>
    <s v=" Absence Management. FMLA"/>
    <s v="All"/>
    <s v="Voice"/>
    <s v="L4"/>
    <n v="1"/>
    <n v="9"/>
    <n v="12"/>
    <s v="FTE Based"/>
    <s v="USD"/>
    <n v="29726.493749999998"/>
    <n v="101"/>
    <n v="18"/>
    <n v="9"/>
    <n v="25"/>
    <n v="153"/>
    <n v="0.16339869281045752"/>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s v="NA"/>
    <s v="NA"/>
    <s v="NA"/>
    <s v="NA"/>
    <s v="NA"/>
    <s v="NA"/>
    <s v="NA"/>
    <s v="Tasks received from the client system"/>
    <s v="Others"/>
    <s v="Unstructured"/>
    <s v="100% Structured"/>
    <s v="Others"/>
    <s v="Employers, Employees, Plan Sponsors"/>
    <s v="THAA, C3PO, KMT, CIT"/>
  </r>
  <r>
    <x v="22"/>
    <s v="Fortune 500 US P&amp;C Carrier"/>
    <s v="US"/>
    <s v="Manila, PHP"/>
    <s v="Philippines"/>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s v="Commercial"/>
    <x v="3"/>
    <s v="Personal and commercial &amp; WC"/>
    <s v="Large"/>
    <s v="Voice"/>
    <s v="L2"/>
    <n v="2"/>
    <n v="12"/>
    <n v="16"/>
    <s v="FTE Based"/>
    <s v="USD"/>
    <n v="0"/>
    <n v="0"/>
    <n v="0"/>
    <n v="0"/>
    <n v="0"/>
    <n v="0"/>
    <e v="#DIV/0!"/>
    <n v="0"/>
    <n v="0"/>
    <s v="NA"/>
    <s v="NA"/>
    <s v="NA"/>
    <s v="NA"/>
    <s v="Others"/>
    <s v="NA"/>
    <s v="NA"/>
    <s v="NA"/>
    <s v="NA"/>
    <s v="NA"/>
    <s v="NA"/>
    <s v="NA"/>
    <s v="NA"/>
    <s v="NA"/>
    <s v="NA"/>
    <s v="NA"/>
    <s v="NA"/>
    <s v="NA"/>
    <s v="NA"/>
    <s v="NA"/>
    <s v="NA"/>
    <s v="NA"/>
    <s v="NA"/>
  </r>
  <r>
    <x v="22"/>
    <s v="Fortune 500 US P&amp;C Carrier"/>
    <s v="US"/>
    <s v="Pune, India"/>
    <s v="India"/>
    <s v="Rajit C"/>
    <n v="12"/>
    <x v="1"/>
    <x v="1"/>
    <x v="9"/>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5"/>
    <s v="WC"/>
    <s v="All"/>
    <s v="Back Office"/>
    <s v="L3"/>
    <n v="2"/>
    <n v="4"/>
    <n v="4"/>
    <s v="FTE Based"/>
    <s v="USD"/>
    <n v="20485.54"/>
    <n v="2.96"/>
    <n v="0"/>
    <n v="0"/>
    <n v="0.28800000000000003"/>
    <n v="3.2480000000000002"/>
    <n v="8.8669950738916259E-2"/>
    <n v="3100"/>
    <s v="64% Workers Comp"/>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2"/>
    <x v="1"/>
    <x v="1"/>
    <x v="9"/>
    <s v="Bill Payment (Medical Legal, Non Medical, Vendor)"/>
    <s v="MedOps Payment Correction- Auto"/>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1"/>
    <s v="Auto"/>
    <s v="All"/>
    <s v="Back Office"/>
    <s v="L3"/>
    <n v="2"/>
    <n v="4"/>
    <n v="4"/>
    <s v="FTE Based"/>
    <s v="USD"/>
    <n v="20485.54"/>
    <n v="1.1399999999999999"/>
    <n v="0"/>
    <n v="0"/>
    <n v="0.108"/>
    <n v="1.248"/>
    <n v="8.6538461538461536E-2"/>
    <n v="1200"/>
    <s v="25% Commercial Auto"/>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2"/>
    <x v="1"/>
    <x v="1"/>
    <x v="9"/>
    <s v="Bill Payment (Medical Legal, Non Medical, Vendor)"/>
    <s v="MedOps Payment Correction- Property"/>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2"/>
    <s v="Property"/>
    <s v="All"/>
    <s v="Back Office"/>
    <s v="L3"/>
    <n v="2"/>
    <n v="4"/>
    <n v="4"/>
    <s v="FTE Based"/>
    <s v="USD"/>
    <n v="20485.54"/>
    <n v="0.45"/>
    <n v="0"/>
    <n v="0"/>
    <n v="4.9500000000000002E-2"/>
    <n v="0.4995"/>
    <n v="9.90990990990991E-2"/>
    <n v="540"/>
    <s v="11% Commercial Property"/>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s v="Commercial"/>
    <x v="5"/>
    <s v="WC"/>
    <s v="All"/>
    <s v="Back Office"/>
    <s v="L2"/>
    <n v="2"/>
    <n v="4"/>
    <n v="8"/>
    <s v="FTE Based"/>
    <s v="USD"/>
    <n v="20485.54"/>
    <n v="3.82"/>
    <n v="0"/>
    <n v="0"/>
    <n v="1.1800000000000002"/>
    <n v="5"/>
    <n v="0.23600000000000004"/>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x v="22"/>
    <s v="Fortune 500 US P&amp;C Carrier"/>
    <s v="US"/>
    <s v="Pune, India"/>
    <s v="India"/>
    <s v="Rajit C"/>
    <n v="16"/>
    <x v="1"/>
    <x v="1"/>
    <x v="9"/>
    <s v="Medical Bill Review and Repricing"/>
    <s v="WC - Payment Processing"/>
    <s v="Team issue non medical expense payments to vendors and  mileage payments to claimant based on the state mileage rates"/>
    <s v="Commercial"/>
    <x v="5"/>
    <s v="WC"/>
    <s v="All"/>
    <s v="Back Office"/>
    <s v="L3"/>
    <n v="2"/>
    <n v="4"/>
    <n v="8"/>
    <s v="FTE Based"/>
    <s v="USD"/>
    <n v="20485.54"/>
    <n v="6.16"/>
    <n v="2"/>
    <n v="1"/>
    <n v="0.83999999999999986"/>
    <n v="10"/>
    <n v="8.3999999999999991E-2"/>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x v="22"/>
    <s v="Fortune 500 US P&amp;C Carrier"/>
    <s v="US"/>
    <s v="Pune, India"/>
    <s v="India"/>
    <s v="Rajit C"/>
    <n v="14"/>
    <x v="1"/>
    <x v="1"/>
    <x v="4"/>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s v="Commercial"/>
    <x v="5"/>
    <s v="WC"/>
    <s v="All"/>
    <s v="Back Office"/>
    <s v="L3"/>
    <n v="2"/>
    <n v="4"/>
    <n v="8"/>
    <s v="FTE Based"/>
    <s v="USD"/>
    <n v="20485.54"/>
    <n v="5.45"/>
    <n v="1"/>
    <n v="0"/>
    <n v="0.54999999999999982"/>
    <n v="7"/>
    <n v="7.8571428571428542E-2"/>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x v="22"/>
    <s v="Fortune 500 US P&amp;C Carrier"/>
    <s v="US"/>
    <s v="Pune, India"/>
    <s v="India"/>
    <s v="Rajit C"/>
    <n v="16"/>
    <x v="1"/>
    <x v="1"/>
    <x v="9"/>
    <s v="Medical Bill Entry &amp; Review"/>
    <s v="  Error Correction_Person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x v="1"/>
    <s v="Auto"/>
    <s v="All"/>
    <s v="Back Office"/>
    <s v="L3"/>
    <n v="2"/>
    <n v="16"/>
    <n v="20"/>
    <s v="FTE Based"/>
    <s v="USD"/>
    <n v="20485.54"/>
    <n v="3.16"/>
    <n v="0.66"/>
    <n v="0.33"/>
    <n v="1.0824"/>
    <n v="5.2324000000000002"/>
    <n v="0.20686491858420611"/>
    <n v="9100"/>
    <s v="33% Person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Person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x v="2"/>
    <s v="Property"/>
    <s v="All"/>
    <s v="Back Office"/>
    <s v="L3"/>
    <n v="2"/>
    <n v="16"/>
    <n v="20"/>
    <s v="FTE Based"/>
    <s v="USD"/>
    <n v="20485.54"/>
    <n v="0.97"/>
    <n v="0.2"/>
    <n v="0.1"/>
    <n v="0.32800000000000001"/>
    <n v="1.5980000000000001"/>
    <n v="0.20525657071339173"/>
    <n v="2800"/>
    <s v="10% Person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Commerci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1"/>
    <s v="Auto"/>
    <s v="All"/>
    <s v="Back Office"/>
    <s v="L3"/>
    <n v="2"/>
    <n v="16"/>
    <n v="20"/>
    <s v="FTE Based"/>
    <s v="USD"/>
    <n v="20485.54"/>
    <n v="3.16"/>
    <n v="0.66"/>
    <n v="0.33"/>
    <n v="1.0824"/>
    <n v="5.2324000000000002"/>
    <n v="0.20686491858420611"/>
    <n v="9100"/>
    <s v="33% commerci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Commerci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2"/>
    <s v="Property"/>
    <s v="All"/>
    <s v="Back Office"/>
    <s v="L3"/>
    <n v="2"/>
    <n v="16"/>
    <n v="20"/>
    <s v="FTE Based"/>
    <s v="USD"/>
    <n v="20485.54"/>
    <n v="0.97"/>
    <n v="0.2"/>
    <n v="0.1"/>
    <n v="0.32800000000000001"/>
    <n v="1.5980000000000001"/>
    <n v="0.20525657071339173"/>
    <n v="2800"/>
    <s v="10% Commerci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General Liabili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15"/>
    <s v="General Liability"/>
    <s v="All"/>
    <s v="Back Office"/>
    <s v="L3"/>
    <n v="2"/>
    <n v="16"/>
    <n v="20"/>
    <s v="FTE Based"/>
    <s v="USD"/>
    <n v="20485.54"/>
    <n v="0.2"/>
    <n v="0.04"/>
    <n v="0.2"/>
    <n v="6.5599999999999992E-2"/>
    <n v="0.50560000000000005"/>
    <n v="0.12974683544303794"/>
    <n v="560"/>
    <s v="2% General Libili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5"/>
    <s v="WC"/>
    <s v="All"/>
    <s v="Back Office"/>
    <s v="L3"/>
    <n v="2"/>
    <n v="16"/>
    <n v="20"/>
    <s v="FTE Based"/>
    <s v="USD"/>
    <n v="20485.54"/>
    <n v="1.26"/>
    <n v="0.26"/>
    <n v="0.13"/>
    <n v="0.4264"/>
    <n v="2.0764"/>
    <n v="0.2053554228472356"/>
    <n v="3640"/>
    <s v="13% Workers Comp"/>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4"/>
    <s v="Coverage Verification"/>
    <s v="PL Coverage Verification_Personal Auto"/>
    <s v="Team Investigates / verifies coverage issues raised by the claim handlers for personal auto claims. Team validates the coverages for the date of loss and provides the required claim related documents to the claim handlers. "/>
    <s v="Personal"/>
    <x v="1"/>
    <s v="Auto"/>
    <s v="All"/>
    <s v="Back Office"/>
    <s v="L3"/>
    <n v="2"/>
    <n v="16"/>
    <n v="16"/>
    <s v="FTE Based"/>
    <s v="USD"/>
    <n v="20485.54"/>
    <n v="4.6960000000000006"/>
    <n v="0.9"/>
    <n v="0.45"/>
    <n v="1.7039999999999997"/>
    <n v="7.7500000000000009"/>
    <n v="0.21987096774193543"/>
    <n v="2080"/>
    <s v="80% Auto"/>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16"/>
    <x v="1"/>
    <x v="1"/>
    <x v="4"/>
    <s v="Coverage Verification"/>
    <s v="PL Coverage Verification_Personal Property"/>
    <s v="Team Investigates / verifies coverage issues raised by the claim handlers for personal Property claims. Team validates the coverages for the date of loss and provides the required claim related documents to the claim handlers. "/>
    <s v="Personal"/>
    <x v="2"/>
    <s v="Property"/>
    <s v="All"/>
    <s v="Back Office"/>
    <s v="L3"/>
    <n v="2"/>
    <n v="16"/>
    <n v="16"/>
    <s v="FTE Based"/>
    <s v="USD"/>
    <n v="20485.54"/>
    <n v="0.88049999999999995"/>
    <n v="0.75"/>
    <n v="0.375"/>
    <n v="0.31950000000000001"/>
    <n v="2.3250000000000002"/>
    <n v="0.13741935483870968"/>
    <n v="260"/>
    <s v="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16"/>
    <x v="1"/>
    <x v="1"/>
    <x v="4"/>
    <s v="Coverage Verification"/>
    <s v="PL Coverage Verification_Home Liability (HL)"/>
    <s v="Team Investigates / verifies coverage issues raised by the claim handlers for Home Liability claims. Team validates the coverages for the date of loss and provides the required claim related documents to the claim handlers. "/>
    <s v="Personal"/>
    <x v="2"/>
    <s v="Property"/>
    <s v="All"/>
    <s v="Back Office"/>
    <s v="L3"/>
    <n v="2"/>
    <n v="16"/>
    <n v="16"/>
    <s v="FTE Based"/>
    <s v="USD"/>
    <n v="20485.54"/>
    <n v="0.29350000000000004"/>
    <n v="0.35"/>
    <n v="0.17499999999999999"/>
    <n v="0.10649999999999998"/>
    <n v="0.92500000000000004"/>
    <n v="0.11513513513513511"/>
    <n v="52"/>
    <s v="5% Home Liabili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9"/>
    <x v="1"/>
    <x v="1"/>
    <x v="7"/>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Commercial"/>
    <x v="5"/>
    <s v="WC"/>
    <s v="All"/>
    <s v="Back Office"/>
    <s v="L4"/>
    <n v="2"/>
    <n v="4"/>
    <n v="8"/>
    <s v="FTE Based"/>
    <s v="USD"/>
    <n v="26504.92"/>
    <n v="0.74"/>
    <n v="0"/>
    <n v="0"/>
    <n v="0.26"/>
    <n v="1"/>
    <n v="0.26"/>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x v="22"/>
    <s v="Fortune 500 US P&amp;C Carrier"/>
    <s v="US"/>
    <s v="Pune, India"/>
    <s v="India"/>
    <s v="Rajit C"/>
    <n v="16"/>
    <x v="1"/>
    <x v="1"/>
    <x v="9"/>
    <s v="Bill Payment (Medical Legal, Non Medical, Vendor)"/>
    <s v="APG Payment Processing_Personal Auto"/>
    <s v="EXL team verifies the Invoices received from different third party vendors and issue payments basis fee schedule.  Bills are paid to adjusters for the expenses they incur for visiting loss location to estimate gross value. "/>
    <s v="Personal"/>
    <x v="1"/>
    <s v="Auto"/>
    <s v="All"/>
    <s v="Back Office"/>
    <s v="L3"/>
    <n v="2"/>
    <n v="3"/>
    <n v="8"/>
    <s v="FTE Based"/>
    <s v="USD"/>
    <n v="20485.54"/>
    <n v="4.03"/>
    <n v="0.5"/>
    <n v="0"/>
    <n v="0.34"/>
    <n v="4.87"/>
    <n v="6.9815195071868591E-2"/>
    <n v="8043"/>
    <s v="50% Person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Personal Property"/>
    <s v="EXL team verifies the Invoices received from different third party vendors and issue payments basis fee schedule.  Bills are paid to adjusters for the expenses they incur for visiting loss location to estimate gross value. "/>
    <s v="Personal"/>
    <x v="2"/>
    <s v="Property"/>
    <s v="All"/>
    <s v="Back Office"/>
    <s v="L3"/>
    <n v="2"/>
    <n v="3"/>
    <n v="8"/>
    <s v="FTE Based"/>
    <s v="USD"/>
    <n v="20485.54"/>
    <n v="2.4180000000000001"/>
    <n v="0.3"/>
    <n v="0"/>
    <n v="0.23"/>
    <n v="2.948"/>
    <n v="7.8018995929443696E-2"/>
    <n v="4825.8"/>
    <s v="30% Person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Commertial Auto"/>
    <s v="EXL team verifies the Invoices received from different third party vendors and issue payments basis fee schedule.  Bills are paid to adjusters for the expenses they incur for visiting loss location to estimate gross value. "/>
    <s v="Commercial"/>
    <x v="1"/>
    <s v="Auto"/>
    <s v="All"/>
    <s v="Back Office"/>
    <s v="L3"/>
    <n v="2"/>
    <n v="3"/>
    <n v="8"/>
    <s v="FTE Based"/>
    <s v="USD"/>
    <n v="20485.54"/>
    <n v="1.1284000000000001"/>
    <n v="0.14000000000000001"/>
    <n v="0"/>
    <n v="0.13"/>
    <n v="1.3984000000000001"/>
    <n v="9.2963386727688779E-2"/>
    <n v="2252.0400000000004"/>
    <s v="14% Commerti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Commertial Property"/>
    <s v="EXL team verifies the Invoices received from different third party vendors and issue payments basis fee schedule.  Bills are paid to adjusters for the expenses they incur for visiting loss location to estimate gross value. "/>
    <s v="Commercial"/>
    <x v="2"/>
    <s v="Property"/>
    <s v="All"/>
    <s v="Back Office"/>
    <s v="L3"/>
    <n v="2"/>
    <n v="3"/>
    <n v="8"/>
    <s v="FTE Based"/>
    <s v="USD"/>
    <n v="20485.54"/>
    <n v="0.32240000000000002"/>
    <n v="0.4"/>
    <n v="0"/>
    <n v="0.1"/>
    <n v="0.82240000000000002"/>
    <n v="0.12159533073929961"/>
    <n v="643.44000000000005"/>
    <s v="4% Commerti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General Libility"/>
    <s v="EXL team verifies the Invoices received from different third party vendors and issue payments basis fee schedule.  Bills are paid to adjusters for the expenses they incur for visiting loss location to estimate gross value. "/>
    <s v="Commercial"/>
    <x v="15"/>
    <s v="GL"/>
    <s v="All"/>
    <s v="Back Office"/>
    <s v="L3"/>
    <n v="2"/>
    <n v="3"/>
    <n v="8"/>
    <s v="FTE Based"/>
    <s v="USD"/>
    <n v="20485.54"/>
    <n v="8.0600000000000005E-2"/>
    <n v="0.1"/>
    <n v="0"/>
    <n v="7.0000000000000007E-2"/>
    <n v="0.25060000000000004"/>
    <n v="0.27932960893854747"/>
    <n v="162"/>
    <s v="1% Genral Libili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Workers compensation"/>
    <s v="EXL team verifies the Invoices received from different third party vendors and issue payments basis fee schedule.  Bills are paid to adjusters for the expenses they incur for visiting loss location to estimate gross value. "/>
    <s v="Commercial"/>
    <x v="5"/>
    <s v="WC"/>
    <s v="All"/>
    <s v="Back Office"/>
    <s v="L3"/>
    <n v="2"/>
    <n v="3"/>
    <n v="8"/>
    <s v="FTE Based"/>
    <s v="USD"/>
    <n v="20485.54"/>
    <n v="8.0600000000000005E-2"/>
    <n v="0.1"/>
    <n v="0"/>
    <n v="7.0000000000000007E-2"/>
    <n v="0.25060000000000004"/>
    <n v="0.27932960893854747"/>
    <n v="160"/>
    <s v="1% Workers Comp"/>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8"/>
    <s v="Triage/ Demand Issuance"/>
    <s v="CRO Demand Package_Peron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Personal"/>
    <x v="1"/>
    <s v="Auto"/>
    <s v="All"/>
    <s v="Blended"/>
    <s v="L3"/>
    <n v="2"/>
    <n v="3"/>
    <n v="4"/>
    <s v="FTE Based"/>
    <s v="USD"/>
    <n v="21004.07"/>
    <n v="8.6199999999999992"/>
    <n v="0.7"/>
    <n v="0.7"/>
    <n v="0.48"/>
    <n v="10.499999999999998"/>
    <n v="4.5714285714285721E-2"/>
    <n v="4970"/>
    <s v="70% person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s v="US"/>
    <s v="Pune, India"/>
    <s v="India"/>
    <s v="Rajit C"/>
    <n v="16"/>
    <x v="1"/>
    <x v="1"/>
    <x v="8"/>
    <s v="Triage/ Demand Issuance"/>
    <s v="CRO Demand Package_Commerci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Commercial"/>
    <x v="1"/>
    <s v="Auto"/>
    <s v="All"/>
    <s v="Blended"/>
    <s v="L3"/>
    <n v="2"/>
    <n v="3"/>
    <n v="4"/>
    <s v="FTE Based"/>
    <s v="USD"/>
    <n v="21004.07"/>
    <n v="3.7"/>
    <n v="0.3"/>
    <n v="0.3"/>
    <n v="0.2"/>
    <n v="4.5"/>
    <n v="4.4444444444444446E-2"/>
    <n v="2130"/>
    <s v="30% Commerci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s v="US"/>
    <s v="Pune, India"/>
    <s v="India"/>
    <s v="Rajit C"/>
    <n v="14"/>
    <x v="1"/>
    <x v="1"/>
    <x v="8"/>
    <s v="Triage/ Demand Issuance"/>
    <s v="CRO Demand Resend_Person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Personal"/>
    <x v="1"/>
    <s v="Auto"/>
    <s v="All"/>
    <s v="Back Office"/>
    <s v="L3"/>
    <n v="2"/>
    <n v="3"/>
    <n v="4"/>
    <s v="FTE Based"/>
    <s v="USD"/>
    <n v="21004.07"/>
    <n v="4.53"/>
    <n v="0.7"/>
    <n v="0"/>
    <n v="1.07"/>
    <n v="6.3000000000000007"/>
    <n v="0.16984126984126982"/>
    <n v="2240"/>
    <s v="70% person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s v="US"/>
    <s v="Pune, India"/>
    <s v="India"/>
    <s v="Rajit C"/>
    <n v="14"/>
    <x v="1"/>
    <x v="1"/>
    <x v="8"/>
    <s v="Triage/ Demand Issuance"/>
    <s v="CRO Demand Resend_Commerci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Commercial"/>
    <x v="1"/>
    <s v="Auto"/>
    <s v="All"/>
    <s v="Back Office"/>
    <s v="L3"/>
    <n v="2"/>
    <n v="3"/>
    <n v="4"/>
    <s v="FTE Based"/>
    <s v="USD"/>
    <n v="21004.07"/>
    <n v="1.94"/>
    <n v="0.3"/>
    <n v="0"/>
    <n v="0.46"/>
    <n v="2.6999999999999997"/>
    <n v="0.17037037037037039"/>
    <n v="960"/>
    <s v="30% Commerci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s v="US"/>
    <s v="Pune, India"/>
    <s v="India"/>
    <s v="Rajit C"/>
    <n v="5"/>
    <x v="1"/>
    <x v="1"/>
    <x v="4"/>
    <s v="Loss/ Damage verification"/>
    <s v="Auto Supplemental Assignments_Personal Auto"/>
    <s v="Team is responsible for creating and sending supplement assignments to the appraisers for the request received for additional supplement damages from the body shop._x000a_Team also uploads the supplement related documents."/>
    <s v="Personal"/>
    <x v="1"/>
    <s v="Auto"/>
    <s v="All"/>
    <s v="Back Office"/>
    <s v="L3"/>
    <n v="2"/>
    <n v="1"/>
    <n v="3"/>
    <s v="FTE Based"/>
    <s v="USD"/>
    <n v="20485.54"/>
    <n v="3.54"/>
    <n v="0.7"/>
    <n v="0"/>
    <n v="0.45999999999999996"/>
    <n v="4.7"/>
    <n v="9.7872340425531903E-2"/>
    <n v="4270"/>
    <s v="70% person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s v="US"/>
    <s v="Pune, India"/>
    <s v="India"/>
    <s v="Rajit C"/>
    <n v="5"/>
    <x v="1"/>
    <x v="1"/>
    <x v="4"/>
    <s v="Loss/ Damage verification"/>
    <s v="Auto Supplemental Assignments_Commercial Auto"/>
    <s v="Team is responsible for creating and sending supplement assignments to the appraisers for the request received for additional supplement damages from the body shop._x000a_Team also uploads the supplement related documents."/>
    <s v="Commercial"/>
    <x v="1"/>
    <s v="Auto"/>
    <s v="All"/>
    <s v="Back Office"/>
    <s v="L3"/>
    <n v="2"/>
    <n v="1"/>
    <n v="3"/>
    <s v="FTE Based"/>
    <s v="USD"/>
    <n v="20485.54"/>
    <n v="1.53"/>
    <n v="0.3"/>
    <n v="0"/>
    <n v="0.47"/>
    <n v="2.2999999999999998"/>
    <n v="0.20434782608695654"/>
    <n v="1830"/>
    <s v="30% Commerci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s v="US"/>
    <s v="Noida, India"/>
    <s v="India"/>
    <s v="Swapnil Dubey"/>
    <n v="0.5"/>
    <x v="2"/>
    <x v="1"/>
    <x v="9"/>
    <s v="Legal Document Review"/>
    <s v="File Open"/>
    <s v="Obtain case level information needed to open a case file. Complete required data fields in the case management system to facilitate opening of a case.  Advise attorney when case is opened"/>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Swapnil Dubey"/>
    <n v="0.5"/>
    <x v="2"/>
    <x v="1"/>
    <x v="9"/>
    <s v="Legal Document Review"/>
    <s v="Document management"/>
    <s v="Compile medical records, deposition transcripts, and other relevant documents, remove unnecessary documents, label files by doctor’s name &amp; date of service, prepare exhibit list and letter, send to opposing counsel and doctor."/>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Swapnil Dubey"/>
    <n v="0.5"/>
    <x v="2"/>
    <x v="1"/>
    <x v="9"/>
    <s v="Legal Document Review"/>
    <s v="Document management"/>
    <s v="Compile EOBs, medical reports, draft letter and send to lien claimant."/>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Rajit C"/>
    <n v="9"/>
    <x v="1"/>
    <x v="1"/>
    <x v="7"/>
    <s v="Quality Management"/>
    <s v="Compliance Audits-Person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x v="1"/>
    <s v="Auto"/>
    <s v="All"/>
    <s v="Back Office"/>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Commerci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Commercial"/>
    <x v="1"/>
    <s v="Auto"/>
    <s v="All"/>
    <s v="Back Office"/>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Person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x v="2"/>
    <s v="Property"/>
    <s v="All"/>
    <s v="Back Office"/>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Commerci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Commercial"/>
    <x v="2"/>
    <s v="Property"/>
    <s v="All"/>
    <s v="Back Office"/>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16"/>
    <x v="1"/>
    <x v="1"/>
    <x v="1"/>
    <s v="Claim Setup and assignment"/>
    <s v="CCT FNOL _Person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1"/>
    <s v="Auto"/>
    <s v="All"/>
    <s v="Back Office"/>
    <s v="L2"/>
    <n v="2"/>
    <n v="6"/>
    <n v="12"/>
    <s v="FTE Based"/>
    <s v="USD"/>
    <n v="20485.54"/>
    <n v="0.75"/>
    <n v="2"/>
    <n v="1"/>
    <n v="1.5700000000000003"/>
    <n v="5.32"/>
    <n v="0.29511278195488727"/>
    <n v="366"/>
    <s v="6% - Person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Person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2"/>
    <s v="Property"/>
    <s v="All"/>
    <s v="Back Office"/>
    <s v="L2"/>
    <n v="2"/>
    <n v="6"/>
    <n v="12"/>
    <s v="FTE Based"/>
    <s v="USD"/>
    <n v="20485.54"/>
    <n v="0.99"/>
    <n v="2"/>
    <n v="1"/>
    <n v="1.5700000000000003"/>
    <n v="5.5600000000000005"/>
    <n v="0.28237410071942448"/>
    <n v="488"/>
    <s v="_x000a_8%- Person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Person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15"/>
    <s v="General Liability"/>
    <s v="All"/>
    <s v="Back Office"/>
    <s v="L2"/>
    <n v="2"/>
    <n v="6"/>
    <n v="12"/>
    <s v="FTE Based"/>
    <s v="USD"/>
    <n v="20485.54"/>
    <n v="0.12"/>
    <n v="2"/>
    <n v="1"/>
    <n v="1.5700000000000003"/>
    <n v="4.6900000000000004"/>
    <n v="0.33475479744136466"/>
    <n v="61"/>
    <s v="1%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Commerci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1"/>
    <s v="Auto"/>
    <s v="All"/>
    <s v="Back Office"/>
    <s v="L2"/>
    <n v="2"/>
    <n v="6"/>
    <n v="12"/>
    <s v="FTE Based"/>
    <s v="USD"/>
    <n v="20485.54"/>
    <n v="3.6"/>
    <n v="2"/>
    <n v="1"/>
    <n v="1.5700000000000003"/>
    <n v="8.17"/>
    <n v="0.19216646266829868"/>
    <n v="1769"/>
    <s v="29% - Commerci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Commerci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2"/>
    <s v="Property"/>
    <s v="All"/>
    <s v="Back Office"/>
    <s v="L2"/>
    <n v="2"/>
    <n v="6"/>
    <n v="12"/>
    <s v="FTE Based"/>
    <s v="USD"/>
    <n v="20485.54"/>
    <n v="2.36"/>
    <n v="2"/>
    <n v="1"/>
    <n v="1.5700000000000003"/>
    <n v="6.93"/>
    <n v="0.22655122655122661"/>
    <n v="1159"/>
    <s v="_x000a_19%- Commerci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Gener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15"/>
    <s v="General Liability"/>
    <s v="All"/>
    <s v="Back Office"/>
    <s v="L2"/>
    <n v="2"/>
    <n v="6"/>
    <n v="12"/>
    <s v="FTE Based"/>
    <s v="USD"/>
    <n v="20485.54"/>
    <n v="4.5999999999999996"/>
    <n v="2"/>
    <n v="1"/>
    <n v="1.5700000000000003"/>
    <n v="9.17"/>
    <n v="0.17121046892039263"/>
    <n v="2257"/>
    <s v="37%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s v="Commercial"/>
    <x v="5"/>
    <s v="WC"/>
    <s v="All"/>
    <s v="Back Office"/>
    <s v="L3"/>
    <n v="2"/>
    <n v="6"/>
    <n v="12"/>
    <s v="FTE Based"/>
    <s v="USD"/>
    <n v="20485.54"/>
    <n v="7.59"/>
    <n v="2"/>
    <n v="1"/>
    <n v="2.41"/>
    <n v="13"/>
    <n v="0.1853846153846154"/>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9"/>
    <s v="Medical Bill Review and Repricing"/>
    <s v="Med Tech-Personal Auto "/>
    <s v="Medical Technicians are responsible for making payments towards first party automobile injury medical claims and assist the claim handlers with the bill resolution of submitted medical bills"/>
    <s v="Personal"/>
    <x v="1"/>
    <s v="Auto"/>
    <s v="All"/>
    <s v="Back Office"/>
    <s v="L3"/>
    <n v="2"/>
    <n v="4"/>
    <n v="12"/>
    <s v="FTE Based"/>
    <s v="USD"/>
    <n v="20485.54"/>
    <n v="13.5"/>
    <n v="1"/>
    <n v="0.5"/>
    <n v="0"/>
    <n v="15"/>
    <n v="0"/>
    <n v="12600"/>
    <n v="0.9"/>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s v="US"/>
    <s v="Noida, India"/>
    <s v="India"/>
    <s v="Rajit C"/>
    <n v="16"/>
    <x v="1"/>
    <x v="1"/>
    <x v="9"/>
    <s v="Medical Bill Review and Repricing"/>
    <s v="Med Tech-Commercial Auto "/>
    <s v="Medical Technicians are responsible for making payments towards first party automobile injury medical claims and assist the claim handlers with the bill resolution of submitted medical bills"/>
    <s v="Commercial"/>
    <x v="1"/>
    <s v="Auto"/>
    <s v="All"/>
    <s v="Back Office"/>
    <s v="L3"/>
    <n v="2"/>
    <n v="4"/>
    <n v="12"/>
    <s v="FTE Based"/>
    <s v="USD"/>
    <n v="20485.54"/>
    <n v="1.5"/>
    <n v="1"/>
    <n v="0.5"/>
    <n v="0"/>
    <n v="3"/>
    <n v="0"/>
    <n v="1400"/>
    <n v="0.1"/>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s v="US"/>
    <s v="Noida, India"/>
    <s v="India"/>
    <s v="Rajit C"/>
    <n v="16"/>
    <x v="1"/>
    <x v="1"/>
    <x v="9"/>
    <s v="Medical Bill Entry &amp; Review"/>
    <s v="Claim Tech-Personal Auto"/>
    <s v="Claim Tech team handle exception bill volume and send delay letters to providers to request missing information. Team also issue payments to different IME vendors."/>
    <s v="Personal"/>
    <x v="1"/>
    <s v="Auto"/>
    <s v="All"/>
    <s v="Back Office"/>
    <s v="L2"/>
    <n v="2"/>
    <n v="4"/>
    <n v="12"/>
    <s v="FTE Based"/>
    <s v="USD"/>
    <n v="20485.54"/>
    <n v="2.1800000000000002"/>
    <n v="0.9"/>
    <n v="0"/>
    <n v="0.52"/>
    <n v="3.6"/>
    <n v="0.14444444444444446"/>
    <n v="3600"/>
    <n v="0.9"/>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s v="US"/>
    <s v="Noida, India"/>
    <s v="India"/>
    <s v="Rajit C"/>
    <n v="16"/>
    <x v="1"/>
    <x v="1"/>
    <x v="9"/>
    <s v="Medical Bill Entry &amp; Review"/>
    <s v="Claim Tech-Commercial Auto"/>
    <s v="Claim Tech team handle exception bill volume and send delay letters to providers to request missing information. Team also issue payments to different IME vendors."/>
    <s v="Commercial"/>
    <x v="1"/>
    <s v="Auto"/>
    <s v="All"/>
    <s v="Back Office"/>
    <s v="L2"/>
    <n v="2"/>
    <n v="4"/>
    <n v="12"/>
    <s v="FTE Based"/>
    <s v="USD"/>
    <n v="20485.54"/>
    <n v="0.24"/>
    <n v="0.1"/>
    <n v="0"/>
    <n v="0.06"/>
    <n v="0.39999999999999997"/>
    <n v="0.15"/>
    <n v="400"/>
    <n v="0.1"/>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s v="US"/>
    <s v="Noida, India"/>
    <s v="India"/>
    <s v="Rajit C"/>
    <n v="13"/>
    <x v="1"/>
    <x v="1"/>
    <x v="9"/>
    <s v="Medical Bill Entry &amp; Review"/>
    <s v="Med Ops Payment Processing Lien (Settlement)- WC"/>
    <s v="Final negotiated payment is made to the provider as a settlement amount for claims "/>
    <s v="Commercial"/>
    <x v="5"/>
    <s v="WC"/>
    <s v="All"/>
    <s v="Back Office"/>
    <s v="L2"/>
    <n v="2"/>
    <n v="3"/>
    <n v="4"/>
    <s v="FTE Based"/>
    <s v="USD"/>
    <n v="23913.25"/>
    <n v="0.34"/>
    <n v="0"/>
    <n v="0"/>
    <n v="0.65999999999999992"/>
    <n v="1"/>
    <n v="0.65999999999999992"/>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x v="22"/>
    <s v="Fortune 500 US P&amp;C Carrier"/>
    <s v="US"/>
    <s v="Noida, India"/>
    <s v="India"/>
    <s v="Rajit C"/>
    <n v="16"/>
    <x v="1"/>
    <x v="1"/>
    <x v="9"/>
    <s v="Medical Bill Entry &amp; Review"/>
    <s v="Data Validation-WC"/>
    <s v="Team update medical bill information relating to provider/ Claim match issues or other errors as per the state guidelines and other processing requirements"/>
    <s v="Commercial"/>
    <x v="5"/>
    <s v="WC"/>
    <s v="All"/>
    <s v="Back Office"/>
    <s v="L2"/>
    <n v="2"/>
    <n v="3"/>
    <n v="8"/>
    <s v="FTE Based"/>
    <s v="USD"/>
    <n v="20485.54"/>
    <n v="13.84"/>
    <n v="1"/>
    <n v="1"/>
    <n v="1.1600000000000001"/>
    <n v="17"/>
    <n v="6.8235294117647061E-2"/>
    <n v="34000"/>
    <s v="100%-WC"/>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x v="22"/>
    <s v="Fortune 500 US P&amp;C Carrier"/>
    <s v="US"/>
    <s v="Noida, India"/>
    <s v="India"/>
    <s v="Rajit C"/>
    <n v="16"/>
    <x v="1"/>
    <x v="1"/>
    <x v="9"/>
    <s v="Medical Bill Entry &amp; Review"/>
    <s v="Claim Match Exception-WC"/>
    <s v="This is the initial claim matching process for medical bills that fail the automated match criteria executed by the scanning vendor during the medical bill intake process"/>
    <s v="Commercial"/>
    <x v="5"/>
    <s v="WC"/>
    <s v="All"/>
    <s v="Back Office"/>
    <s v="L2"/>
    <n v="2"/>
    <n v="2"/>
    <n v="6"/>
    <s v="FTE Based"/>
    <s v="USD"/>
    <n v="20485.54"/>
    <n v="5.0999999999999996"/>
    <n v="1"/>
    <n v="0"/>
    <n v="1.9000000000000004"/>
    <n v="8"/>
    <n v="0.23750000000000004"/>
    <n v="21000"/>
    <s v="100%-WC"/>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x v="22"/>
    <s v="Fortune 500 US P&amp;C Carrier"/>
    <s v="US"/>
    <s v="Noida, India"/>
    <s v="India"/>
    <s v="Rajit C"/>
    <n v="13"/>
    <x v="1"/>
    <x v="1"/>
    <x v="7"/>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2.97"/>
    <n v="1"/>
    <n v="0"/>
    <n v="1.0299999999999998"/>
    <n v="5"/>
    <n v="0.20599999999999996"/>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x v="22"/>
    <s v="Fortune 500 US P&amp;C Carrier"/>
    <s v="US"/>
    <s v="Noida, India"/>
    <s v="India"/>
    <s v="Rajit C"/>
    <n v="13"/>
    <x v="1"/>
    <x v="1"/>
    <x v="7"/>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0.76"/>
    <n v="0"/>
    <n v="0"/>
    <n v="0.24"/>
    <n v="1"/>
    <n v="0.24"/>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x v="22"/>
    <s v="Fortune 500 US P&amp;C Carrier"/>
    <s v="US"/>
    <s v="Noida, India"/>
    <s v="India"/>
    <s v="Rajit C"/>
    <n v="11"/>
    <x v="1"/>
    <x v="1"/>
    <x v="9"/>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s v="Commercial"/>
    <x v="5"/>
    <s v="WC"/>
    <s v="All"/>
    <s v="Back Office"/>
    <s v="L4"/>
    <n v="2"/>
    <n v="6"/>
    <n v="6"/>
    <s v="Transaction Based "/>
    <s v="USD"/>
    <s v="E&amp;M: $2.56_x000a_Prolong Codes: $0.81"/>
    <n v="0"/>
    <n v="0"/>
    <n v="0"/>
    <n v="0"/>
    <n v="0"/>
    <e v="#DIV/0!"/>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x v="22"/>
    <s v="Fortune 500 US P&amp;C Carrier"/>
    <s v="US"/>
    <s v="Noida, India"/>
    <s v="India"/>
    <s v="Rajit C"/>
    <n v="16"/>
    <x v="1"/>
    <x v="1"/>
    <x v="4"/>
    <s v="Loss/ Damage verification"/>
    <s v="Content Pricing- Person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Personal"/>
    <x v="2"/>
    <s v="Property"/>
    <s v="All"/>
    <s v="Blended"/>
    <s v="L1"/>
    <n v="2"/>
    <n v="3"/>
    <n v="16"/>
    <s v="FTE Based"/>
    <s v="USD"/>
    <n v="20485.54"/>
    <n v="7.49"/>
    <n v="0.85"/>
    <n v="0.5"/>
    <n v="1.01"/>
    <n v="9.85"/>
    <n v="0.10253807106598985"/>
    <n v="23210"/>
    <s v="~85% Person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s v="US"/>
    <s v="Noida, India"/>
    <s v="India"/>
    <s v="Rajit C"/>
    <n v="16"/>
    <x v="1"/>
    <x v="1"/>
    <x v="4"/>
    <s v="Loss/ Damage verification"/>
    <s v="Content Pricing- Commerci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Commercial"/>
    <x v="2"/>
    <s v="Property"/>
    <s v="All"/>
    <s v="Blended"/>
    <s v="L1"/>
    <n v="2"/>
    <n v="3"/>
    <n v="16"/>
    <s v="FTE Based"/>
    <s v="USD"/>
    <n v="20485.54"/>
    <n v="1.32"/>
    <n v="0.15"/>
    <n v="0.5"/>
    <n v="0.18"/>
    <n v="2.15"/>
    <n v="8.3720930232558138E-2"/>
    <n v="4097"/>
    <s v="~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s v="US"/>
    <s v="Noida, India"/>
    <s v="India"/>
    <s v="Rajit C"/>
    <n v="3"/>
    <x v="1"/>
    <x v="1"/>
    <x v="1"/>
    <s v="Indexing"/>
    <s v="APG Vendor Report Upload-Personal"/>
    <s v="This work unit involves Uploading claim related documents by identifying correct claim either via claim number provided on reports, or using Advanced Search if necessary. Set activity within ECOS after uploading documents. "/>
    <s v="Personal"/>
    <x v="2"/>
    <s v="Property"/>
    <s v="All"/>
    <s v="Back Office"/>
    <s v="L1"/>
    <n v="2"/>
    <n v="1"/>
    <n v="2"/>
    <s v="FTE Based"/>
    <s v="USD"/>
    <n v="20485.54"/>
    <n v="1.7"/>
    <n v="0"/>
    <n v="0"/>
    <n v="0"/>
    <n v="1.7"/>
    <n v="0"/>
    <n v="6444"/>
    <n v="0.8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s v="US"/>
    <s v="Noida, India"/>
    <s v="India"/>
    <s v="Rajit C"/>
    <n v="3"/>
    <x v="1"/>
    <x v="1"/>
    <x v="1"/>
    <s v="Indexing"/>
    <s v="APG Vendor Report Upload-Commercial"/>
    <s v="This work unit involves Uploading claim related documents by identifying correct claim either via claim number provided on reports, or using Advanced Search if necessary. Set activity within ECOS after uploading documents. "/>
    <s v="Commercial"/>
    <x v="2"/>
    <s v="Property"/>
    <s v="All"/>
    <s v="Back Office"/>
    <s v="L1"/>
    <n v="2"/>
    <n v="1"/>
    <n v="2"/>
    <s v="FTE Based"/>
    <s v="USD"/>
    <n v="20485.54"/>
    <n v="0.3"/>
    <n v="0"/>
    <n v="0"/>
    <n v="0"/>
    <n v="0.3"/>
    <n v="0"/>
    <n v="6444"/>
    <n v="0.1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s v="US"/>
    <s v="Noida, India"/>
    <s v="India"/>
    <s v="Rajit C"/>
    <n v="3"/>
    <x v="1"/>
    <x v="1"/>
    <x v="7"/>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2.35"/>
    <n v="0"/>
    <n v="0"/>
    <n v="0.64999999999999991"/>
    <n v="3"/>
    <n v="0.21666666666666665"/>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x v="22"/>
    <s v="Fortune 500 US P&amp;C Carrier"/>
    <s v="US"/>
    <s v="Noida, India"/>
    <s v="India"/>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x v="5"/>
    <s v="WC"/>
    <s v="All"/>
    <s v="Back Office"/>
    <s v="L4"/>
    <n v="2"/>
    <n v="8"/>
    <n v="8"/>
    <s v="FTE Based"/>
    <s v="USD"/>
    <n v="23913.25"/>
    <n v="14.45"/>
    <n v="2"/>
    <n v="1"/>
    <n v="2.5499999999999998"/>
    <n v="20"/>
    <n v="0.1275"/>
    <n v="38636.363636363632"/>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s v="US"/>
    <s v="Pune, India"/>
    <s v="India"/>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x v="5"/>
    <s v="WC"/>
    <s v="All"/>
    <s v="Back Office"/>
    <s v="L4"/>
    <n v="2"/>
    <n v="8"/>
    <n v="8"/>
    <s v="FTE Based"/>
    <s v="USD"/>
    <n v="23913.25"/>
    <n v="17.440000000000001"/>
    <n v="2"/>
    <n v="1"/>
    <n v="3.56"/>
    <n v="24"/>
    <n v="0.14833333333333334"/>
    <n v="46363.636363636368"/>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s v="US"/>
    <s v="Hyderabad, India"/>
    <s v="India"/>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s v="Personal"/>
    <x v="1"/>
    <s v="Auto"/>
    <s v="All"/>
    <s v="Back Office"/>
    <s v="L3"/>
    <n v="1"/>
    <n v="12"/>
    <n v="8"/>
    <s v="FTE Based"/>
    <s v="USD"/>
    <n v="23986"/>
    <n v="4.1348271291966201"/>
    <n v="1"/>
    <n v="0"/>
    <n v="2"/>
    <n v="7.1348271291966201"/>
    <n v="0.28031513080614745"/>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s v="Personal"/>
    <x v="1"/>
    <s v="Auto"/>
    <s v="All"/>
    <s v="Back Office"/>
    <s v="L3"/>
    <n v="1"/>
    <n v="4"/>
    <n v="2"/>
    <s v="FTE Based"/>
    <s v="USD"/>
    <n v="23986"/>
    <n v="1.9774516693259199E-2"/>
    <n v="0"/>
    <n v="0"/>
    <n v="0"/>
    <n v="1.9774516693259199E-2"/>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s v="Personal"/>
    <x v="3"/>
    <s v="Auto &amp; Home"/>
    <s v="All"/>
    <s v="Back Office"/>
    <s v="L3"/>
    <n v="1"/>
    <n v="4"/>
    <n v="4"/>
    <s v="FTE Based"/>
    <s v="USD"/>
    <n v="23986"/>
    <n v="0.57919026321773526"/>
    <n v="0"/>
    <n v="0"/>
    <n v="0"/>
    <n v="0.57919026321773526"/>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6"/>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s v="Personal"/>
    <x v="1"/>
    <s v="Auto"/>
    <s v="All"/>
    <s v="Back Office"/>
    <s v="L3"/>
    <n v="1"/>
    <n v="4"/>
    <n v="2"/>
    <s v="FTE Based"/>
    <s v="USD"/>
    <n v="23986"/>
    <n v="6.6730349955064938E-2"/>
    <n v="0"/>
    <n v="0"/>
    <n v="0"/>
    <n v="6.6730349955064938E-2"/>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s v="Personal"/>
    <x v="1"/>
    <s v="Auto"/>
    <s v="All"/>
    <s v="Back Office"/>
    <s v="L3"/>
    <n v="1"/>
    <n v="8"/>
    <n v="4"/>
    <s v="FTE Based"/>
    <s v="USD"/>
    <n v="23986"/>
    <n v="1.7821179731270276E-2"/>
    <n v="0"/>
    <n v="0"/>
    <n v="0"/>
    <n v="1.7821179731270276E-2"/>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11"/>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s v="Personal"/>
    <x v="1"/>
    <s v="Auto"/>
    <s v="All"/>
    <s v="Back Office"/>
    <s v="L3"/>
    <n v="1"/>
    <n v="4"/>
    <n v="2"/>
    <s v="FTE Based"/>
    <s v="USD"/>
    <n v="23986"/>
    <n v="0.08"/>
    <n v="0"/>
    <n v="0"/>
    <n v="0"/>
    <n v="0.08"/>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s v="Personal"/>
    <x v="1"/>
    <s v="Auto"/>
    <s v="All"/>
    <s v="Back Office"/>
    <s v="L3"/>
    <n v="1"/>
    <n v="4"/>
    <n v="4"/>
    <s v="FTE Based"/>
    <s v="USD"/>
    <n v="23986"/>
    <n v="2.0082667538361243E-2"/>
    <n v="0"/>
    <n v="0"/>
    <n v="0"/>
    <n v="2.0082667538361243E-2"/>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s v="Personal"/>
    <x v="1"/>
    <s v="Auto"/>
    <s v="All"/>
    <s v="Back Office"/>
    <s v="L3"/>
    <n v="1"/>
    <n v="8"/>
    <n v="8"/>
    <s v="FTE Based"/>
    <s v="USD"/>
    <n v="23986"/>
    <n v="4.9792502792689968"/>
    <n v="1"/>
    <n v="1"/>
    <n v="2.0000000000000036"/>
    <n v="8.9792502792689994"/>
    <n v="0.2227357449449358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s v="Personal"/>
    <x v="1"/>
    <s v="Auto"/>
    <s v="All"/>
    <s v="Back Office"/>
    <s v="L3"/>
    <n v="1"/>
    <n v="9"/>
    <n v="8"/>
    <s v="FTE Based"/>
    <s v="USD"/>
    <n v="23986"/>
    <n v="2.15"/>
    <n v="0.5"/>
    <n v="0"/>
    <n v="1"/>
    <n v="3.65"/>
    <n v="0.27397260273972601"/>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s v="Personal"/>
    <x v="2"/>
    <s v="Home"/>
    <s v="All"/>
    <s v="Back Office"/>
    <s v="L3"/>
    <n v="1"/>
    <n v="8"/>
    <n v="8"/>
    <s v="FTE Based"/>
    <s v="USD"/>
    <n v="23986"/>
    <n v="0.71062248965866204"/>
    <n v="0"/>
    <n v="0"/>
    <n v="0"/>
    <n v="0.71062248965866204"/>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6"/>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s v="Personal"/>
    <x v="2"/>
    <s v="Home"/>
    <s v="All"/>
    <s v="Back Office"/>
    <s v="L3"/>
    <n v="1"/>
    <n v="12"/>
    <n v="8"/>
    <s v="FTE Based"/>
    <s v="USD"/>
    <n v="23986"/>
    <n v="0"/>
    <n v="0"/>
    <n v="0"/>
    <n v="0"/>
    <n v="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11"/>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s v="Personal"/>
    <x v="2"/>
    <s v="Home"/>
    <s v="All"/>
    <s v="Back Office"/>
    <s v="L3"/>
    <n v="1"/>
    <n v="4"/>
    <n v="4"/>
    <s v="FTE Based"/>
    <s v="USD"/>
    <n v="23986"/>
    <n v="0"/>
    <n v="0"/>
    <n v="0"/>
    <n v="0"/>
    <n v="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Endorsements intake and setup"/>
    <s v="FHCF"/>
    <s v="Declaration Narratives require updating as the supporting departments inform the process team/underwriting areas of updates or changes."/>
    <s v="Personal"/>
    <x v="3"/>
    <s v="Auto &amp; Home"/>
    <s v="All"/>
    <s v="Back Office"/>
    <s v="L3"/>
    <n v="1"/>
    <n v="4"/>
    <n v="4"/>
    <s v="FTE Based"/>
    <s v="USD"/>
    <n v="23986"/>
    <n v="1.1906725816118562E-2"/>
    <n v="0"/>
    <n v="0"/>
    <n v="0"/>
    <n v="1.1906725816118562E-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x v="22"/>
    <s v="Fortune 500 US P&amp;C Carrier"/>
    <s v="US"/>
    <s v="Hyderabad, India"/>
    <s v="India"/>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s v="Personal"/>
    <x v="3"/>
    <s v="Auto &amp; Home"/>
    <s v="All"/>
    <s v="Back Office"/>
    <s v="L2"/>
    <n v="1"/>
    <n v="8"/>
    <n v="4"/>
    <s v="FTE Based"/>
    <s v="USD"/>
    <n v="23986"/>
    <n v="0.57517928724651313"/>
    <n v="0"/>
    <n v="0"/>
    <n v="0"/>
    <n v="0.5751792872465131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x v="22"/>
    <s v="Fortune 500 US P&amp;C Carrier"/>
    <s v="US"/>
    <s v="Hyderabad, India"/>
    <s v="India"/>
    <s v="Rajit C"/>
    <n v="9"/>
    <x v="1"/>
    <x v="2"/>
    <x v="3"/>
    <s v="Endorsements intake and setup"/>
    <s v="PLIC EDM Mailbox"/>
    <s v="Real time management of mailbox. daily tracking of inflow and outflow of emails, mailbox reporting, track progress on rework status."/>
    <s v="Personal"/>
    <x v="3"/>
    <s v="Auto &amp; Home"/>
    <s v="All"/>
    <s v="Back Office"/>
    <s v="L2"/>
    <n v="1"/>
    <n v="1"/>
    <n v="2"/>
    <s v="FTE Based"/>
    <s v="USD"/>
    <n v="23986"/>
    <n v="1"/>
    <n v="0.5"/>
    <n v="0"/>
    <n v="0"/>
    <n v="1.5"/>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x v="22"/>
    <s v="Fortune 500 US P&amp;C Carrier"/>
    <s v="US"/>
    <s v="Hyderabad, India"/>
    <s v="India"/>
    <s v="Rajit C"/>
    <n v="9"/>
    <x v="1"/>
    <x v="2"/>
    <x v="3"/>
    <s v="Endorsements intake and setup"/>
    <s v="QCA"/>
    <s v="Processing internal audits in personal lines"/>
    <s v="Personal"/>
    <x v="3"/>
    <s v="Auto &amp; Home"/>
    <s v="All"/>
    <s v="Back Office"/>
    <s v="L2"/>
    <n v="1"/>
    <n v="6"/>
    <n v="4"/>
    <s v="FTE Based"/>
    <s v="USD"/>
    <n v="23986"/>
    <n v="2.59"/>
    <n v="4"/>
    <n v="0"/>
    <n v="1"/>
    <n v="7.59"/>
    <n v="0.13175230566534915"/>
    <n v="0"/>
    <n v="0"/>
    <s v="NA"/>
    <n v="0"/>
    <s v="NA"/>
    <s v="NA"/>
    <s v="Others"/>
    <s v="NA"/>
    <s v="NA"/>
    <s v="NA"/>
    <s v="NA"/>
    <s v="NA"/>
    <s v="NA"/>
    <s v="NA"/>
    <s v="NA"/>
    <s v="NA"/>
    <s v="NA"/>
    <s v="NA"/>
    <s v="Agents, Insured"/>
    <s v="Multiple"/>
    <s v="Semi-Structured"/>
    <s v="NA"/>
    <s v="Others"/>
    <s v="Named Insured, Agency"/>
    <s v="Client, Café, PLI, IKE, TABS, mailbox"/>
  </r>
  <r>
    <x v="22"/>
    <s v="Fortune 500 US P&amp;C Carrier"/>
    <s v="US"/>
    <s v="Chennai, India"/>
    <s v="India"/>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s v="Personal"/>
    <x v="3"/>
    <s v="Auto &amp; Home"/>
    <s v="All"/>
    <s v="Back Office"/>
    <s v="L2"/>
    <n v="1"/>
    <n v="4"/>
    <n v="4"/>
    <s v="FTE Based"/>
    <s v="USD"/>
    <n v="23986"/>
    <n v="1.1130485116308726"/>
    <n v="0"/>
    <n v="0"/>
    <n v="0"/>
    <n v="1.1130485116308726"/>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s v="Personal"/>
    <x v="3"/>
    <s v="Auto &amp; Home"/>
    <s v="All"/>
    <s v="Back Office"/>
    <s v="L2"/>
    <n v="1"/>
    <n v="6"/>
    <n v="4"/>
    <s v="FTE Based"/>
    <s v="USD"/>
    <n v="23986"/>
    <n v="3.8278159714811801"/>
    <n v="1"/>
    <n v="0"/>
    <n v="2"/>
    <n v="6.8278159714811801"/>
    <n v="0.2929194354906044"/>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s v="Personal"/>
    <x v="3"/>
    <s v="Auto &amp; Home"/>
    <s v="All"/>
    <s v="Back Office"/>
    <s v="L2"/>
    <n v="1"/>
    <n v="6"/>
    <n v="4"/>
    <s v="FTE Based"/>
    <s v="USD"/>
    <n v="23986"/>
    <n v="4.5907440774690746"/>
    <n v="0"/>
    <n v="1"/>
    <n v="1.4999999999999956"/>
    <n v="7.0907440774690702"/>
    <n v="0.2115433843912467"/>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s v="Personal"/>
    <x v="3"/>
    <s v="Auto &amp; Home"/>
    <s v="All"/>
    <s v="Back Office"/>
    <s v="L2"/>
    <n v="1"/>
    <n v="4"/>
    <n v="4"/>
    <s v="FTE Based"/>
    <s v="USD"/>
    <n v="23986"/>
    <n v="1.2347975603487498"/>
    <n v="0"/>
    <n v="0"/>
    <n v="0"/>
    <n v="1.2347975603487498"/>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s v="Personal"/>
    <x v="3"/>
    <s v="Auto &amp; Home"/>
    <s v="All"/>
    <s v="Back Office"/>
    <s v="L2"/>
    <n v="1"/>
    <n v="6"/>
    <n v="4"/>
    <s v="FTE Based"/>
    <s v="USD"/>
    <n v="23986"/>
    <n v="0.23"/>
    <n v="0"/>
    <n v="0"/>
    <n v="0"/>
    <n v="0.23"/>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s v="Personal"/>
    <x v="3"/>
    <s v="Auto &amp; Home"/>
    <s v="All"/>
    <s v="Back Office"/>
    <s v="L2"/>
    <n v="1"/>
    <n v="6"/>
    <n v="4"/>
    <s v="FTE Based"/>
    <s v="USD"/>
    <n v="23986"/>
    <n v="2.2400000000000002"/>
    <n v="0"/>
    <n v="0"/>
    <n v="0.81"/>
    <n v="3.0500000000000003"/>
    <n v="0.26557377049180325"/>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LCP II"/>
    <s v="Processing of changes to the personal lines Auto policies as requested by the customers. The changes includes Addition &amp; Deletion of Account Credit/PUP Liability based on the insured's eligibility"/>
    <s v="Personal"/>
    <x v="3"/>
    <s v="Auto &amp; Home"/>
    <s v="All"/>
    <s v="Back Office"/>
    <s v="L2"/>
    <n v="1"/>
    <n v="4"/>
    <n v="3"/>
    <s v="FTE Based"/>
    <s v="USD"/>
    <n v="23986"/>
    <n v="0.11230819183115545"/>
    <n v="0"/>
    <n v="0"/>
    <n v="0"/>
    <n v="0.11230819183115545"/>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s v="Personal"/>
    <x v="1"/>
    <s v="Auto"/>
    <s v="All"/>
    <s v="Back Office"/>
    <s v="L2"/>
    <n v="1"/>
    <n v="4"/>
    <n v="4"/>
    <s v="FTE Based"/>
    <s v="USD"/>
    <n v="23986"/>
    <n v="1.4107050682132754E-2"/>
    <n v="0"/>
    <n v="0"/>
    <n v="0"/>
    <n v="1.4107050682132754E-2"/>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s v="Personal"/>
    <x v="1"/>
    <s v="Auto"/>
    <s v="All"/>
    <s v="Blended"/>
    <s v="L2"/>
    <n v="1"/>
    <n v="4"/>
    <n v="4"/>
    <s v="FTE Based"/>
    <s v="USD"/>
    <n v="23986"/>
    <n v="2.8938790335945146E-2"/>
    <n v="0"/>
    <n v="0"/>
    <n v="0"/>
    <n v="2.8938790335945146E-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s v="Personal"/>
    <x v="1"/>
    <s v="Auto"/>
    <s v="All"/>
    <s v="Back Office"/>
    <s v="L2"/>
    <n v="1"/>
    <n v="4"/>
    <n v="4"/>
    <s v="FTE Based"/>
    <s v="USD"/>
    <n v="23986"/>
    <n v="0.21"/>
    <n v="0"/>
    <n v="0"/>
    <n v="0"/>
    <n v="0.21"/>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s v="Personal"/>
    <x v="1"/>
    <s v="Auto"/>
    <s v="All"/>
    <s v="Back Office"/>
    <s v="L2"/>
    <n v="1"/>
    <n v="4"/>
    <n v="4"/>
    <s v="FTE Based"/>
    <s v="USD"/>
    <n v="23986"/>
    <n v="6.0754255736070392E-2"/>
    <n v="0"/>
    <n v="0"/>
    <n v="0"/>
    <n v="6.0754255736070392E-2"/>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s v="Personal"/>
    <x v="3"/>
    <s v="Auto &amp; Home"/>
    <s v="All"/>
    <s v="Back Office"/>
    <s v="L2"/>
    <n v="1"/>
    <n v="4"/>
    <n v="2"/>
    <s v="FTE Based"/>
    <s v="USD"/>
    <n v="23986"/>
    <n v="0.39593338103815673"/>
    <n v="0"/>
    <n v="0"/>
    <n v="0"/>
    <n v="0.39593338103815673"/>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s v="Personal"/>
    <x v="1"/>
    <s v="Auto"/>
    <s v="All"/>
    <s v="Back Office"/>
    <s v="L2"/>
    <n v="1"/>
    <n v="6"/>
    <n v="4"/>
    <s v="FTE Based"/>
    <s v="USD"/>
    <n v="23986"/>
    <n v="0.34510214652633314"/>
    <n v="0"/>
    <n v="0"/>
    <n v="0"/>
    <n v="0.34510214652633314"/>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x v="22"/>
    <s v="Fortune 500 US P&amp;C Carrier"/>
    <s v="US"/>
    <s v="Chennai, India"/>
    <s v="India"/>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s v="Personal"/>
    <x v="3"/>
    <s v="Auto &amp; Home"/>
    <s v="All"/>
    <s v="Back Office"/>
    <s v="L2"/>
    <n v="1"/>
    <n v="6"/>
    <n v="4"/>
    <s v="FTE Based"/>
    <s v="USD"/>
    <n v="23986"/>
    <n v="1.110764284033573"/>
    <n v="0"/>
    <n v="0"/>
    <n v="0"/>
    <n v="1.110764284033573"/>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x v="22"/>
    <s v="Fortune 500 US P&amp;C Carrier"/>
    <s v="US"/>
    <s v="Chennai, India"/>
    <s v="India"/>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s v="Personal"/>
    <x v="2"/>
    <s v="Home"/>
    <s v="All"/>
    <s v="Back Office"/>
    <s v="L3"/>
    <n v="1"/>
    <n v="8"/>
    <n v="4"/>
    <s v="FTE Based"/>
    <s v="USD"/>
    <n v="23986"/>
    <n v="0.24843919647873494"/>
    <n v="0"/>
    <n v="0"/>
    <n v="0"/>
    <n v="0.24843919647873494"/>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x v="22"/>
    <s v="Fortune 500 US P&amp;C Carrier"/>
    <s v="US"/>
    <s v="Chennai, India"/>
    <s v="India"/>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s v="Personal"/>
    <x v="3"/>
    <s v="Auto &amp; Home"/>
    <s v="All"/>
    <s v="Back Office"/>
    <s v="L2"/>
    <n v="1"/>
    <n v="6"/>
    <n v="4"/>
    <s v="FTE Based"/>
    <s v="USD"/>
    <n v="23986"/>
    <n v="0.20916349167827228"/>
    <n v="0"/>
    <n v="0"/>
    <n v="0"/>
    <n v="0.20916349167827228"/>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s v="Personal"/>
    <x v="1"/>
    <s v="Auto"/>
    <s v="All"/>
    <s v="Back Office"/>
    <s v="L2"/>
    <n v="1"/>
    <n v="4"/>
    <n v="4"/>
    <s v="FTE Based"/>
    <s v="USD"/>
    <n v="23986"/>
    <n v="0.8233810222066853"/>
    <n v="0"/>
    <n v="0"/>
    <n v="0"/>
    <n v="0.8233810222066853"/>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s v="Personal"/>
    <x v="1"/>
    <s v="Auto"/>
    <s v="All"/>
    <s v="Back Office"/>
    <s v="L2"/>
    <n v="1"/>
    <n v="4"/>
    <n v="4"/>
    <s v="FTE Based"/>
    <s v="USD"/>
    <n v="23986"/>
    <n v="0.65617328283784515"/>
    <n v="0"/>
    <n v="0"/>
    <n v="0"/>
    <n v="0.65617328283784515"/>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s v="Personal"/>
    <x v="1"/>
    <s v="Auto"/>
    <s v="All"/>
    <s v="Back Office"/>
    <s v="L2"/>
    <n v="1"/>
    <n v="3"/>
    <n v="2"/>
    <s v="FTE Based"/>
    <s v="USD"/>
    <n v="23986"/>
    <n v="0.13899929830655089"/>
    <n v="0"/>
    <n v="0"/>
    <n v="0"/>
    <n v="0.13899929830655089"/>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s v="Personal"/>
    <x v="3"/>
    <s v="Auto &amp; Home"/>
    <s v="All"/>
    <s v="Back Office"/>
    <s v="L2"/>
    <n v="1"/>
    <n v="4"/>
    <n v="4"/>
    <s v="FTE Based"/>
    <s v="USD"/>
    <n v="23986"/>
    <n v="0.43989846447565661"/>
    <n v="0"/>
    <n v="0"/>
    <n v="0"/>
    <n v="0.43989846447565661"/>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s v="Personal"/>
    <x v="3"/>
    <s v="Auto &amp; Home"/>
    <s v="All"/>
    <s v="Back Office"/>
    <s v="L2"/>
    <n v="1"/>
    <n v="4"/>
    <n v="4"/>
    <s v="FTE Based"/>
    <s v="USD"/>
    <n v="23986"/>
    <n v="3.1552170181736834"/>
    <n v="0"/>
    <n v="1"/>
    <n v="0.99999999999999645"/>
    <n v="5.1552170181736798"/>
    <n v="0.19397825474169134"/>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s v="Personal"/>
    <x v="3"/>
    <s v="Auto &amp; Home"/>
    <s v="All"/>
    <s v="Back Office"/>
    <s v="L2"/>
    <n v="1"/>
    <n v="6"/>
    <n v="4"/>
    <s v="FTE Based"/>
    <s v="USD"/>
    <n v="23986"/>
    <n v="0.56999999999999995"/>
    <n v="0"/>
    <n v="0"/>
    <n v="0"/>
    <n v="0.5699999999999999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x v="23"/>
    <s v="Fortune 100 Multi-Finance and Insurance"/>
    <s v="US"/>
    <s v="Noida, India"/>
    <s v="India"/>
    <s v="Aashish Khanna"/>
    <n v="8"/>
    <x v="1"/>
    <x v="1"/>
    <x v="8"/>
    <s v="Platform Provider"/>
    <s v="We act as the application service provider"/>
    <s v="Hosting_x000a_Development_x000a_Production Support"/>
    <s v="Commercial"/>
    <x v="3"/>
    <s v="Auto, Travel , Property, WC, Salvage, Deductible "/>
    <s v="Large"/>
    <s v="Blended"/>
    <s v="L3"/>
    <n v="1"/>
    <n v="4"/>
    <n v="4"/>
    <s v="Others"/>
    <s v="USD"/>
    <s v="3.65 per new file_x000a_1.77 per pending file"/>
    <n v="4"/>
    <n v="0"/>
    <n v="0"/>
    <n v="0"/>
    <n v="4"/>
    <n v="0"/>
    <s v="2800 new files_x000a_30000 pending files"/>
    <s v="NA"/>
    <s v="NA"/>
    <s v="NA"/>
    <m/>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One Claim"/>
  </r>
  <r>
    <x v="13"/>
    <s v="Fortune 100 US P&amp;C Carrier"/>
    <s v="US"/>
    <s v="US Onshore"/>
    <s v="US"/>
    <s v="Aashish Khanna"/>
    <n v="1.9"/>
    <x v="2"/>
    <x v="1"/>
    <x v="8"/>
    <s v="Negotiation/ Arbitration/ Resolution"/>
    <s v="NA"/>
    <s v="Identification_x000a_Traige&amp; Demand Issuance_x000a_Negitiation &amp; Settlement_x000a_Vendor Management"/>
    <s v="Personal"/>
    <x v="2"/>
    <s v="Property"/>
    <s v="Large"/>
    <s v="Blended"/>
    <s v="L3"/>
    <n v="1"/>
    <n v="6"/>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13"/>
    <s v="Fortune 100 US P&amp;C Carrier"/>
    <s v="US"/>
    <s v="US Onshore"/>
    <s v="US"/>
    <s v="Aashish Khanna"/>
    <n v="1.9"/>
    <x v="2"/>
    <x v="1"/>
    <x v="8"/>
    <s v="Negotiation/ Arbitration/ Resolution"/>
    <s v="NA"/>
    <s v="Identification_x000a_Traige&amp; Demand Issuance_x000a_Negitiation &amp; Settlement_x000a_Vendor Management"/>
    <s v="Commercial"/>
    <x v="2"/>
    <s v="Property"/>
    <s v="Large"/>
    <s v="Blended"/>
    <s v="L3"/>
    <n v="1"/>
    <n v="2"/>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24"/>
    <s v="Mid size P&amp;C insurance carrier"/>
    <s v="US"/>
    <s v="US Onshore"/>
    <s v="US"/>
    <s v="Mark H II Bernacki "/>
    <n v="13"/>
    <x v="2"/>
    <x v="1"/>
    <x v="8"/>
    <s v="Negotiation/ Arbitration/ Resolution"/>
    <s v="NA"/>
    <s v="_x000a_Identification_x000a_Traige&amp; Demand Issuance_x000a_Negitiation &amp; Settlement_x000a_Vendor Management"/>
    <s v="Commercial"/>
    <x v="3"/>
    <s v="Auto &amp; Property"/>
    <s v="Large"/>
    <s v="Blended"/>
    <s v="L3"/>
    <n v="1"/>
    <n v="2"/>
    <m/>
    <s v="Outcome Based"/>
    <s v="USD"/>
    <n v="805000"/>
    <n v="6"/>
    <n v="0"/>
    <n v="0"/>
    <n v="0"/>
    <n v="6"/>
    <n v="0"/>
    <n v="211.75"/>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5"/>
    <s v="Mid size P&amp;C insurance carrier"/>
    <s v="US"/>
    <s v="US Onshore"/>
    <s v="US"/>
    <s v="Mark H II Bernacki "/>
    <n v="9"/>
    <x v="2"/>
    <x v="1"/>
    <x v="8"/>
    <s v="Negotiation/ Arbitration/ Resolution"/>
    <s v="NA"/>
    <s v="_x000a_Negitiation &amp; Settlement_x000a_Arbitration_x000a_Litigation"/>
    <s v="Commercial"/>
    <x v="3"/>
    <s v="Auto &amp; Property"/>
    <s v="Large"/>
    <s v="Blended"/>
    <s v="L3"/>
    <n v="1"/>
    <n v="4"/>
    <n v="4"/>
    <s v="Outcome Based"/>
    <s v="USD"/>
    <n v="430000"/>
    <n v="0"/>
    <n v="0"/>
    <n v="0.5"/>
    <n v="4"/>
    <n v="4.5"/>
    <n v="0.88888888888888884"/>
    <n v="1402.9166666666667"/>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s v="US"/>
    <s v="Noida, India"/>
    <s v="India"/>
    <s v="Aashish Khanna"/>
    <n v="13"/>
    <x v="1"/>
    <x v="1"/>
    <x v="8"/>
    <s v="Triage/ Demand Issuance"/>
    <s v="NA"/>
    <s v="Identification_x000a_Traige&amp; Demand Issuance_x000a_Negitiation &amp; Settlement_x000a_Arbitration Prep_x000a_Refer to Litigation_x000a_Refer to Vendor Management"/>
    <s v="Commercial"/>
    <x v="3"/>
    <s v="Auto &amp; Property"/>
    <s v="Large"/>
    <s v="Blended"/>
    <s v="L3"/>
    <n v="1"/>
    <n v="4"/>
    <n v="4"/>
    <s v="Outcome Based"/>
    <s v="USD"/>
    <s v="13.5% of total recovery for WC  _x000a_8.5% of total recovery for Auto  "/>
    <n v="0"/>
    <n v="0"/>
    <n v="0"/>
    <n v="5"/>
    <n v="5"/>
    <n v="1"/>
    <s v="WC 1100_x000a_Auto 20"/>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s v="US"/>
    <s v="US Onshore"/>
    <s v="US"/>
    <s v="Aashish Khanna"/>
    <n v="13"/>
    <x v="1"/>
    <x v="1"/>
    <x v="8"/>
    <s v="Negotiation/ Arbitration/ Resolution"/>
    <s v="NA"/>
    <s v="Negitiation &amp; Settlement_x000a_Arbitration_x000a_Litigation"/>
    <s v="Commercial"/>
    <x v="3"/>
    <s v="Auto &amp; Property"/>
    <s v="Large"/>
    <s v="Blended"/>
    <s v="L3"/>
    <n v="1"/>
    <n v="4"/>
    <n v="4"/>
    <s v="Outcome Based"/>
    <s v="USD"/>
    <s v="13.5% of total recovery for WC  _x000a_8.5% of total recovery for Auto  "/>
    <n v="0"/>
    <n v="0"/>
    <n v="0"/>
    <n v="2"/>
    <n v="2"/>
    <n v="1"/>
    <m/>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
    <s v="Speed to Recovery_x000a_Recovery uplift"/>
    <s v="NA"/>
    <s v="NA"/>
    <s v="NA"/>
    <s v="NA"/>
    <s v="Client's claims department / adjusters"/>
    <s v="Multiple"/>
    <s v="Unstructured"/>
    <s v="NA"/>
    <s v="Multiple"/>
    <s v="Client  Recovery unit"/>
    <s v="Claim system - "/>
  </r>
  <r>
    <x v="27"/>
    <s v="Large Global P&amp;C Carrier"/>
    <s v="US"/>
    <s v="US Onshore"/>
    <s v="US"/>
    <s v="Mark H II Bernacki "/>
    <n v="12"/>
    <x v="1"/>
    <x v="1"/>
    <x v="8"/>
    <s v="Negotiation/ Arbitration/ Resolution"/>
    <s v="NA"/>
    <s v="End-to-end subrogation for non-large loss property claims"/>
    <s v="Personal"/>
    <x v="2"/>
    <s v="Property"/>
    <s v="Large"/>
    <s v="Blended"/>
    <s v="L3"/>
    <n v="1"/>
    <n v="2"/>
    <n v="6"/>
    <s v="Outcome Based"/>
    <s v="USD"/>
    <s v="$3,500,000"/>
    <n v="0"/>
    <n v="0"/>
    <n v="0"/>
    <n v="40"/>
    <n v="40"/>
    <n v="1"/>
    <n v="20000"/>
    <s v="NA"/>
    <s v="NA"/>
    <s v="NA"/>
    <s v="Member Contact - 5 Days"/>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0"/>
    <s v="Fortune 100 Global P&amp;C Carrier"/>
    <s v="US"/>
    <s v="Noida, India"/>
    <s v="India"/>
    <s v="Mark H II Bernacki "/>
    <n v="0"/>
    <x v="1"/>
    <x v="1"/>
    <x v="8"/>
    <s v="Triage/ Demand Issuance"/>
    <s v="Demand Launch _x000a_Admin Support"/>
    <s v="Demand Generation_x000a_Various other subro support"/>
    <s v="Personal"/>
    <x v="1"/>
    <s v="Auto"/>
    <s v="Large"/>
    <s v="Blended"/>
    <s v="L3"/>
    <n v="1"/>
    <n v="6"/>
    <n v="4"/>
    <s v="FTE Based"/>
    <s v="USD"/>
    <s v="Depends on FTE level_x000a_$21,510.00_x000a_$24,750.00"/>
    <n v="36.700000000000003"/>
    <n v="8"/>
    <n v="3"/>
    <n v="10"/>
    <n v="57.7"/>
    <n v="0.17331022530329288"/>
    <n v="50000"/>
    <s v="NA"/>
    <s v="NA"/>
    <s v="7.17"/>
    <s v="24 hours to 120 hours, depending upon the task "/>
    <n v="0.95"/>
    <s v="DPU – Defect Per Unit"/>
    <s v="NA"/>
    <s v="NA"/>
    <s v="NA"/>
    <s v="Recovery"/>
    <s v="Absorbing existing Cognizant-built RPA"/>
    <m/>
    <m/>
    <m/>
    <m/>
    <m/>
    <m/>
    <s v="Client's claims department / adjusters"/>
    <s v="Multiple"/>
    <s v="Unstructured"/>
    <s v="NA"/>
    <s v="Multiple"/>
    <s v="Client  Recovery unit"/>
    <s v="Guidewire"/>
  </r>
  <r>
    <x v="12"/>
    <s v="Fortune 100 US P&amp;C Carrier"/>
    <s v="US"/>
    <s v="Noida, India"/>
    <s v="India"/>
    <s v="Mark H II Bernacki "/>
    <n v="2"/>
    <x v="1"/>
    <x v="1"/>
    <x v="8"/>
    <s v="Negotiation/ Arbitration/ Resolution"/>
    <s v="NA"/>
    <s v="End-to-end subrogation for auto claims"/>
    <s v="Personal"/>
    <x v="1"/>
    <s v="Auto"/>
    <s v="Large"/>
    <s v="Blended"/>
    <s v="L3"/>
    <n v="1"/>
    <n v="4"/>
    <n v="4"/>
    <s v="Outcome Based"/>
    <s v="USD"/>
    <s v="$2,000,000"/>
    <n v="0"/>
    <n v="0"/>
    <n v="0"/>
    <n v="50"/>
    <n v="50"/>
    <n v="1"/>
    <n v="2000"/>
    <s v="NA"/>
    <s v="NA"/>
    <s v="NA"/>
    <s v="NA"/>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8"/>
    <s v="Large P&amp;C Carrier"/>
    <s v="US"/>
    <s v="Noida, India"/>
    <s v="India"/>
    <s v="Aashish Khanna"/>
    <n v="20"/>
    <x v="1"/>
    <x v="1"/>
    <x v="8"/>
    <s v="Platform Provider"/>
    <s v="ASP - Demand Platform"/>
    <s v="Farmers uses Subrosource platform for end to end recoveries for Auto, Property and WC"/>
    <s v="Personal"/>
    <x v="16"/>
    <s v="Auto, Property, WC"/>
    <s v="Large"/>
    <s v="Blended"/>
    <s v="L3"/>
    <n v="1"/>
    <n v="1"/>
    <n v="1"/>
    <s v="Outcome Based"/>
    <s v="USD"/>
    <s v="0.464% contingency fee"/>
    <n v="3"/>
    <n v="0"/>
    <n v="0"/>
    <n v="0"/>
    <n v="3"/>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Platform Provider"/>
    <s v="ASP - Demand Platform"/>
    <s v="Farmers uses Subrosource platform for end to end recoveries for Auto, Property and WC"/>
    <s v="Personal"/>
    <x v="16"/>
    <s v="Auto, Property, WC"/>
    <s v="Large"/>
    <s v="Blended"/>
    <s v="L3"/>
    <n v="1"/>
    <n v="1"/>
    <n v="1"/>
    <s v="Outcome Based"/>
    <s v="USD"/>
    <s v="0.464% contingency fee"/>
    <n v="1"/>
    <n v="0"/>
    <n v="0"/>
    <n v="0"/>
    <n v="1"/>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Noida, India"/>
    <s v="India"/>
    <s v="Aashish Khanna"/>
    <n v="20"/>
    <x v="1"/>
    <x v="1"/>
    <x v="8"/>
    <s v="Negotiation/ Arbitration/ Resolution"/>
    <s v="Arbitration"/>
    <s v="EXL files Arbitration on behalf of Farmers"/>
    <s v="Personal"/>
    <x v="1"/>
    <s v="Auto"/>
    <s v="Large"/>
    <s v="Back Office"/>
    <s v="L3"/>
    <n v="1"/>
    <n v="3"/>
    <n v="8"/>
    <s v="Transaction Based "/>
    <s v="USD"/>
    <s v="$80 per ARB"/>
    <n v="5"/>
    <n v="0"/>
    <n v="0"/>
    <n v="0"/>
    <n v="5"/>
    <n v="0"/>
    <s v="300-4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Negotiation/ Arbitration/ Resolution"/>
    <s v="Arbitration"/>
    <s v="EXL files Arbitration on behalf of Farmers"/>
    <s v="Personal"/>
    <x v="1"/>
    <s v="Auto"/>
    <s v="Large"/>
    <s v="Back Office"/>
    <s v="L3"/>
    <n v="1"/>
    <n v="3"/>
    <n v="8"/>
    <s v="Transaction Based "/>
    <s v="USD"/>
    <s v="$85 per ARB"/>
    <n v="3"/>
    <n v="0"/>
    <n v="0"/>
    <n v="0"/>
    <n v="3"/>
    <n v="0"/>
    <s v="200-3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Initiate Recovery Collection &amp; processing"/>
    <s v="Property Appliance Recoveries "/>
    <s v="Property Appliance Recoveries (end to end) through EXL vendor"/>
    <s v="Personal"/>
    <x v="2"/>
    <s v="Property"/>
    <s v="Large"/>
    <s v="Blended"/>
    <s v="L3"/>
    <n v="1"/>
    <n v="3"/>
    <n v="4"/>
    <s v="Outcome Based"/>
    <s v="USD"/>
    <s v="15% contingency fee "/>
    <n v="1"/>
    <n v="0"/>
    <n v="0"/>
    <n v="0"/>
    <n v="1"/>
    <n v="0"/>
    <s v="50 claims a month"/>
    <s v="NA"/>
    <s v="NA"/>
    <s v="NA"/>
    <s v="NA"/>
    <s v="NA"/>
    <s v="Others"/>
    <s v="NA"/>
    <s v="NA"/>
    <s v="Vendor consolidation "/>
    <s v="Recovery"/>
    <s v="EXL Platform"/>
    <s v="Exl Subrosource platform  integrated with client claim system _x000a_Workflow driven by the platform along with inventory tracking &amp; reporting &amp; built in analytical models _x000a_"/>
    <s v="Lesser vendors to work _x000a_Single platform for all recoveries for Farmers"/>
    <s v="NA"/>
    <s v="NA"/>
    <s v="NA"/>
    <s v="NA"/>
    <s v="Client's claims department / adjusters"/>
    <s v="Multiple"/>
    <s v="Structured"/>
    <s v="NA"/>
    <s v="Multiple"/>
    <s v="Client  Recovery unit"/>
    <s v="Claim system"/>
  </r>
  <r>
    <x v="28"/>
    <s v="Large P&amp;C Carrier"/>
    <s v="US"/>
    <s v="US Onshore"/>
    <s v="US"/>
    <s v="Aashish Khanna"/>
    <n v="20"/>
    <x v="1"/>
    <x v="1"/>
    <x v="8"/>
    <s v="Platform Provider"/>
    <s v="Response Platform"/>
    <s v="Farmers uses Subrosource Response platform for incoming recovery demands for Auto"/>
    <s v="Personal"/>
    <x v="1"/>
    <s v="Auto"/>
    <s v="Large"/>
    <s v="Blended"/>
    <s v="L3"/>
    <n v="1"/>
    <n v="1"/>
    <n v="1"/>
    <s v="Others"/>
    <s v="USD"/>
    <s v="$12.5K monthly fixed fee"/>
    <n v="1"/>
    <n v="0"/>
    <n v="0"/>
    <n v="0"/>
    <n v="1"/>
    <n v="0"/>
    <s v="TBD"/>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Lower cost"/>
    <s v="NA"/>
    <s v="NA"/>
    <s v="NA"/>
    <s v="NA"/>
    <s v="Client's claims department / adjusters"/>
    <s v="Multiple"/>
    <s v="Structured"/>
    <s v="NA"/>
    <s v="Multiple"/>
    <s v="Client  Recovery unit"/>
    <s v="Claim system"/>
  </r>
  <r>
    <x v="28"/>
    <s v="Large P&amp;C Carrier"/>
    <s v="US"/>
    <s v="Noida, India"/>
    <s v="India"/>
    <s v="Aashish Khanna"/>
    <n v="20"/>
    <x v="1"/>
    <x v="1"/>
    <x v="8"/>
    <s v="Negotiation/ Arbitration/ Resolution"/>
    <s v="Response Recoveries Support"/>
    <s v="BO support for response recoveries"/>
    <s v="Personal"/>
    <x v="1"/>
    <s v="Auto"/>
    <s v="Large"/>
    <s v="Back Office"/>
    <s v="L3"/>
    <n v="1"/>
    <n v="3"/>
    <n v="8"/>
    <s v="FTE Based"/>
    <s v="USD"/>
    <s v="$2567 per month per FTE"/>
    <n v="3"/>
    <n v="0"/>
    <n v="0"/>
    <n v="0"/>
    <n v="3"/>
    <n v="0"/>
    <s v="~1000"/>
    <s v="NA"/>
    <s v="NA"/>
    <s v="NA"/>
    <s v="NA"/>
    <s v="NA"/>
    <s v="Others"/>
    <s v="NA"/>
    <s v="NA"/>
    <s v="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5"/>
    <s v="Large US Multi-line Specialty Carrier"/>
    <s v="US"/>
    <s v="Noida, India"/>
    <s v="India"/>
    <s v="Ramesh Kumar, Devashish Dhingra"/>
    <n v="5"/>
    <x v="1"/>
    <x v="4"/>
    <x v="15"/>
    <s v="Contract Deliverables &amp; Obligation Management"/>
    <s v="Tracking of approved Vendor D&amp;O’s , Vendor Performance SLA Review, Invoice Initial Review, Credits and Earn backs Review, 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Commercial"/>
    <x v="3"/>
    <s v="Auto, WC, CUP, Package Lines"/>
    <s v="Large"/>
    <s v="Back Office"/>
    <s v="L4"/>
    <n v="2"/>
    <n v="4"/>
    <n v="4"/>
    <s v="FTE Based"/>
    <s v="USD"/>
    <s v="Analysts - $41955.36/ annum  Supervisor - $47994.6/ annum"/>
    <n v="5"/>
    <n v="0"/>
    <n v="1"/>
    <n v="3"/>
    <n v="9"/>
    <n v="0.33333333333333331"/>
    <n v="130"/>
    <n v="130"/>
    <s v="March/ April / November/ December"/>
    <s v="Tracking of approved Vendor D&amp;O’s  - 4-8 hours _x000a_Vendor Performance SLA Review - 4-12 hours_x000a_Invoice Initial Review - 4-8 hours_x000a_Credits and Earn backs Review- 1-2 hours_x000a_Tracking Action Item Updates provided by Customer in the Governance Library - 6-10 hours"/>
    <s v="Tracking of approved Vendor D&amp;O’s  - 5 days (Expected - 90%, Minimum - 90%)_x000a_Vendor Performance SLA Review - 5 days (Expected - 90%, Minimum - 90%)_x000a_Invoice Initial Review - 5 days (Expected - 90%, Minimum - 90%)_x000a_Credits and Earn backs Review- 2 days (Expected - 90%, Minimum - 90%)_x000a_Tracking Action Item Updates provided by Customer in the Governance Library - 2 days (Expected - 90%, Minimum - 90%)"/>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
    <s v="NA"/>
    <s v="Assurant Vendors"/>
    <s v="Multiple"/>
    <s v="Unstructured"/>
    <s v="Email - 90%_x000a_SharePoint - 10%_x000a__x000a_"/>
    <s v="Multiple"/>
    <s v="Assurant Procurement Team"/>
    <s v="Fieldglass, SharePoint,  Custom Point,  MS Office Suite"/>
  </r>
  <r>
    <x v="8"/>
    <s v="Large US Multi-Regional P&amp;C Carrier"/>
    <s v="US"/>
    <s v="Noida, India"/>
    <s v="India"/>
    <s v="Ramesh Kumar, Sumit Aggarwal"/>
    <n v="8"/>
    <x v="1"/>
    <x v="4"/>
    <x v="17"/>
    <s v="Paralegal &amp; Legal Secretary Services"/>
    <s v="Staff Counsel_x000a_Panel Counsel_x000a_Claim Counsel"/>
    <s v="Staff Counsel - Case Open, Order Records, Email Upload, Mail Processing_x000a_Panel Counsel - Legal Bill Review, Appeal_x000a_Claim Counsel - Obtain Claim File "/>
    <s v="Commercial &amp; Specialty"/>
    <x v="13"/>
    <s v="Auto, WC, General, Specialty"/>
    <s v="Large"/>
    <s v="Back Office"/>
    <s v="L4"/>
    <n v="2"/>
    <n v="4"/>
    <n v="4"/>
    <s v="FTE Based"/>
    <s v="USD"/>
    <s v="Staff Counsel - $34,860.00_x000a_Panel Counsel - $43,380.00, $34,860.00, $49,887.00_x000a_Claim Counsel - $34,860.00"/>
    <n v="31"/>
    <n v="0"/>
    <n v="3"/>
    <n v="8"/>
    <n v="42"/>
    <n v="0.19047619047619047"/>
    <n v="18500"/>
    <s v="Staff Counsel - 13,650_x000a_Panel Counsel - 4,800_x000a_Claim Counsel - 50"/>
    <s v="September, October, November, December"/>
    <s v="Staff Counsel - Case Open - 88, _x000a_Order Records - 23, _x000a_Email Upload - 4, _x000a_Mail Processing - 11_x000a_Panel Counsel - Legal Bill Review - 19, Appeal - 15_x000a_Claim Counsel - Obtain Claim File - 180"/>
    <s v="Staff Counsel - Case Open - 24 Hours, 95%, _x000a_Order Records - 48 Hours, 95% _x000a_Email Upload - 48 Hours_x000a_Mail Processing - 24 Hours_x000a_Panel Counsel - Legal Bill Review - As per Diary Date, 95%, Appeal - As per Diary Date_x000a_Claim Counsel - Obtain Claim File - As per Deadline"/>
    <n v="0.95"/>
    <s v="DPO – Defect Per Opportunity"/>
    <s v="NA"/>
    <s v="NA"/>
    <s v="NA"/>
    <s v="Litigation Support"/>
    <s v="NA"/>
    <s v="NA"/>
    <s v="NA"/>
    <s v="NA"/>
    <s v="NA"/>
    <s v="NA"/>
    <s v="NA"/>
    <s v="Law Firms, Litigation Support Department"/>
    <s v="Multiple"/>
    <s v="Unstructured"/>
    <s v="Email - 60%_x000a_SharePoint - 20%_x000a_Legal Bill Review Tool - 20%"/>
    <s v="Multiple"/>
    <s v="Litigation Support Team"/>
    <s v="CMX Guidewire, Legal Files, Legal-X, Document Navigator, SharePoint, MS Office Suite"/>
  </r>
  <r>
    <x v="6"/>
    <s v="Top-10 US Commercial &amp; Specialty Carrier"/>
    <s v="US"/>
    <s v="Noida, India"/>
    <s v="India"/>
    <s v="Ramesh Kumar, Sumit Aggarwal"/>
    <n v="2"/>
    <x v="1"/>
    <x v="4"/>
    <x v="17"/>
    <s v="Paralegal &amp; Legal Secretary Services"/>
    <s v="Legal Bill Review"/>
    <s v="Legal Bill Review"/>
    <s v="Commercial &amp; Specialty"/>
    <x v="13"/>
    <s v="WC, General"/>
    <s v="Large"/>
    <s v="Back Office"/>
    <s v="L4"/>
    <n v="2"/>
    <n v="4"/>
    <n v="4"/>
    <s v="FTE Based"/>
    <s v="USD"/>
    <n v="42064"/>
    <n v="3"/>
    <n v="0"/>
    <n v="1"/>
    <n v="1"/>
    <n v="5"/>
    <n v="0.2"/>
    <n v="1200"/>
    <n v="1200"/>
    <s v="September, October, November, December"/>
    <n v="25"/>
    <s v="99%, 5 Business Days"/>
    <n v="0.95"/>
    <s v="DPO – Defect Per Opportunity"/>
    <s v="NA"/>
    <s v="NA"/>
    <s v="NA"/>
    <s v="Litigation Support"/>
    <s v="NA"/>
    <s v="NA"/>
    <s v="NA"/>
    <s v="NA"/>
    <s v="NA"/>
    <s v="NA"/>
    <s v="NA"/>
    <s v="Law Firms, Litigation Support Department"/>
    <s v="Multiple"/>
    <s v="Unstructured"/>
    <s v="Email - 0%_x000a_Legal Bill Review Tool - 100%"/>
    <s v="Multiple"/>
    <s v="Litigation Support Team"/>
    <s v="T360, SharePoint, MS Office Suite"/>
  </r>
  <r>
    <x v="29"/>
    <s v="Fortune 100 Global P&amp;C Carrier"/>
    <s v="US"/>
    <s v="Noida, India"/>
    <s v="India"/>
    <s v="Ramesh Kumar, Amit Sharma"/>
    <n v="7"/>
    <x v="1"/>
    <x v="4"/>
    <x v="17"/>
    <s v="Paralegal &amp; Legal Secretary Services"/>
    <s v="Case Creation, DocGeneration, Case Closing, Discovery Shells, LegalMation, CME/PAL Letters"/>
    <s v="Process involves opening &amp; closing cases, completing discovery shells, LegalMation (uploading complaint documents) &amp; sending letters"/>
    <s v="Personal"/>
    <x v="3"/>
    <s v="Auto, GL, WC, PIP, Subro, CD, PAL"/>
    <s v="Mid Size"/>
    <s v="Back Office"/>
    <s v="L2"/>
    <n v="1"/>
    <n v="2"/>
    <n v="4"/>
    <s v="FTE Based"/>
    <s v="USD"/>
    <s v="Analysts - $22562.77  _x000a_Supervisor - $28905.78"/>
    <n v="35"/>
    <n v="0"/>
    <n v="2"/>
    <n v="7"/>
    <n v="44"/>
    <n v="0.15909090909090909"/>
    <n v="16000"/>
    <n v="16000"/>
    <s v="March/April"/>
    <s v="Case Opening/Subro - 43_x000a_CD - 86_x000a_Letters-CME/PAL/Trial - 11_x000a_Legal Mation - 3.7_x000a_Case Closing - 7.2_x000a_Discovery Shells - 23_x000a_Initial Doc Generation - 15"/>
    <s v="97%, 24 or 48 hours"/>
    <n v="0.97"/>
    <s v="DPO – Defect Per Opportunity"/>
    <s v="NA"/>
    <s v="NA"/>
    <s v="NA"/>
    <s v="Legal Offices"/>
    <s v="NA"/>
    <s v="NA"/>
    <s v="NA"/>
    <s v="NA"/>
    <s v="NA"/>
    <s v="NA"/>
    <s v="NA"/>
    <s v="Legal Offices, Litigation Support Department"/>
    <s v="Multiple"/>
    <s v="Semi-Structured"/>
    <s v="MVP Tool - 75% (UnStructured)_x000a_Legal Files - 25% (Structured)"/>
    <s v="Multiple"/>
    <s v="Litigation Support Team, Legal Offices"/>
    <s v="MVP, Legal Files, share point, Claim systems, Watson, LegalMation"/>
  </r>
  <r>
    <x v="29"/>
    <s v="Fortune 100 Global P&amp;C Carrier"/>
    <s v="US"/>
    <s v="Noida, India"/>
    <s v="India"/>
    <s v="Ramesh Kumar, Amit Sharma"/>
    <n v="6"/>
    <x v="1"/>
    <x v="4"/>
    <x v="17"/>
    <s v="Paralegal &amp; Legal Secretary Services"/>
    <s v="Invoice Review, Claim Payment, LegalMation, Claim File Request, Coverage Referral"/>
    <s v="Process includes invoice reviews, claim payments, document extraction, coverage referrals etc."/>
    <s v="Commercial"/>
    <x v="3"/>
    <s v="Auto, GL, PIP, Home "/>
    <s v="Mid Size"/>
    <s v="Back Office"/>
    <s v="L2"/>
    <n v="1"/>
    <n v="2"/>
    <n v="4"/>
    <s v="FTE Based"/>
    <s v="USD"/>
    <s v="Analysts - $21838.35_x000a_Supervisor - $27987.02"/>
    <n v="28.5"/>
    <n v="0"/>
    <n v="2"/>
    <n v="6"/>
    <n v="36.5"/>
    <n v="0.16438356164383561"/>
    <n v="64781"/>
    <n v="64781"/>
    <s v="July/August"/>
    <s v="Project D- 2.0_x000a_CICC Note Review - 4.0_x000a_Navigator Bill Payments - 10.4_x000a_Safeco Bill Payments - 8.0_x000a_P21D Payments - 24.0_x000a_NAS Bill Payments - 12.0_x000a_ACES/BOCOMP POTDUP - 9.36_x000a_Invoice Review - SRW/LRW - 1.36_x000a_Invoice Review - CERC - 0.48_x000a_Invoice Review - CRV - 3.42_x000a_Invoice Review - PRW - 0.44 _x000a_Advisory Work - 12.48_x000a_ACES- P001 Payments - 24.0_x000a_Scheduled Payments - 32.0_x000a_State Auto - 8.44_x000a_Claim file request  - 2 hrs 30 min_x000a_Coverage Referrals - 18.28_x000a_LegalMation - 12.58"/>
    <n v="0.95"/>
    <s v="LABS - 99%_x000a_LS- 98%"/>
    <s v="DPO – Defect Per Opportunity"/>
    <s v="NA"/>
    <s v="NA"/>
    <s v="NA"/>
    <s v="Brokers/Vendor/Service Provider, Outside Counsel"/>
    <s v="NA"/>
    <s v="NA"/>
    <s v="NA"/>
    <s v="NA"/>
    <s v="NA"/>
    <s v="NA"/>
    <s v="NA"/>
    <s v="Brokers/Vendor/Service Provider, Outside Counsel"/>
    <s v="Multiple"/>
    <s v="Unstructured"/>
    <s v="100% Unstructured"/>
    <s v="Multiple"/>
    <s v="Brokers/Vendor/Service Provider, Outside Counsel"/>
    <s v="Claim File system, Passport, BILLS, MS Office, CounselLink"/>
  </r>
  <r>
    <x v="29"/>
    <s v="Fortune 100 Global P&amp;C Carrier"/>
    <s v="US"/>
    <s v="Noida, India"/>
    <s v="India"/>
    <s v="Ramesh Kumar, Amit Sharma"/>
    <s v="6 Months"/>
    <x v="1"/>
    <x v="4"/>
    <x v="17"/>
    <s v="Paralegal &amp; Legal Secretary Services"/>
    <s v="Invoice Review - FEE (Asbestos &amp; Worker's Compensation)"/>
    <s v="Process includes revewing fee invoices."/>
    <s v="Commercial"/>
    <x v="3"/>
    <s v="Asbestos &amp; WC"/>
    <s v="Mid Size"/>
    <s v="Back Office"/>
    <s v="L4"/>
    <n v="1"/>
    <n v="2"/>
    <n v="8"/>
    <s v="FTE Based"/>
    <s v="USD"/>
    <s v="Analysts - $37000"/>
    <n v="5"/>
    <n v="0"/>
    <n v="1"/>
    <n v="3"/>
    <n v="9"/>
    <n v="0.33333333333333331"/>
    <s v="40000 Line Entries"/>
    <s v="40000 Line Entries"/>
    <s v="NA"/>
    <s v="29 sec"/>
    <n v="0.9"/>
    <n v="0.94"/>
    <s v="DPO – Defect Per Opportunity"/>
    <s v="NA"/>
    <s v="NA"/>
    <s v="NA"/>
    <s v="Legal Home offices"/>
    <s v="NA"/>
    <s v="NA"/>
    <s v="NA"/>
    <s v="NA"/>
    <s v="NA"/>
    <s v="NA"/>
    <s v="NA"/>
    <s v="Legal Home Offices"/>
    <s v="Single"/>
    <s v="Semi-Structured"/>
    <s v="Structured - 20%_x000a_Unstructured - 80%"/>
    <s v="Single"/>
    <s v="Legal Home Offices"/>
    <s v="CounselLink, MS office"/>
  </r>
  <r>
    <x v="29"/>
    <s v="Fortune 100 Global P&amp;C Carrier"/>
    <s v="US"/>
    <s v="Noida, India"/>
    <s v="India"/>
    <s v="Ramesh Kumar, Amit Sharma"/>
    <s v="6 Months"/>
    <x v="1"/>
    <x v="4"/>
    <x v="17"/>
    <s v="Paralegal &amp; Legal Secretary Services"/>
    <s v="NDA Review"/>
    <s v="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
    <s v="Specialty"/>
    <x v="3"/>
    <s v="Auto, WC, General, Specialty"/>
    <s v="All"/>
    <s v="Back Office"/>
    <s v="L4"/>
    <n v="1"/>
    <n v="2"/>
    <n v="4"/>
    <s v="FTE Based"/>
    <s v="USD"/>
    <s v="Analysts - $37000"/>
    <n v="1"/>
    <n v="0"/>
    <n v="0"/>
    <n v="1"/>
    <n v="2"/>
    <n v="0.5"/>
    <n v="180"/>
    <n v="180"/>
    <s v="July/August"/>
    <s v="82"/>
    <n v="0.9"/>
    <n v="0.85"/>
    <s v="DPO – Defect Per Opportunity"/>
    <s v="NA"/>
    <s v="NA"/>
    <s v="NA"/>
    <s v="Legal Offices, Underwriters"/>
    <s v="NA"/>
    <s v="NA"/>
    <s v="NA"/>
    <s v="NA"/>
    <s v="NA"/>
    <s v="NA"/>
    <s v="NA"/>
    <s v="Legal Offices, UW"/>
    <s v="Multiple"/>
    <s v="Unstructured"/>
    <s v="Unstructured - 100%"/>
    <s v="Multiple"/>
    <s v="Legal Offices"/>
    <s v="Mailboxes, MS office"/>
  </r>
  <r>
    <x v="1"/>
    <s v="Fortune 500 &amp; Large US Insurance carrier"/>
    <s v="US"/>
    <s v="Noida, India"/>
    <s v="India"/>
    <s v="Ramesh Kumar, Devashish Dhingra, Prachi Gopal Gandotra"/>
    <s v="4 months"/>
    <x v="1"/>
    <x v="4"/>
    <x v="17"/>
    <s v="Paralegal &amp; Legal Secretary Services"/>
    <s v="Case creation_x000a_Claim Handling"/>
    <s v="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
    <s v="Commercial &amp; Specialty"/>
    <x v="13"/>
    <s v="Auto, WC, General, Specialty"/>
    <s v="Large"/>
    <s v="Back Office"/>
    <s v="L4"/>
    <n v="4"/>
    <n v="10"/>
    <n v="4"/>
    <s v="FTE Based"/>
    <s v="USD"/>
    <n v="183600"/>
    <n v="6"/>
    <n v="0"/>
    <n v="1"/>
    <n v="5"/>
    <n v="12"/>
    <n v="0.41666666666666669"/>
    <n v="1960"/>
    <n v="1960"/>
    <s v="March/ April / November/ December"/>
    <s v="1-8 Hours"/>
    <s v="24-48 Hours"/>
    <n v="0.96"/>
    <s v="DPO – Defect Per Opportunity"/>
    <s v="NA"/>
    <s v="NA"/>
    <s v="NA"/>
    <s v="Litigation Support"/>
    <s v="NA"/>
    <s v="NA"/>
    <s v="NA"/>
    <s v="NA"/>
    <s v="NA"/>
    <s v="NA"/>
    <s v="NA"/>
    <s v="Litigation Support Department"/>
    <s v="Multiple"/>
    <s v="Unstructured"/>
    <s v="Email - 100%"/>
    <s v="Multiple"/>
    <s v="Litigation Support Team"/>
    <s v="SharePoint, MS Office Suite, Claim Center"/>
  </r>
  <r>
    <x v="1"/>
    <s v="Fortune 500 &amp; Large US Insurance carrier"/>
    <s v="US"/>
    <s v="Bogota, COL"/>
    <s v="Colombia"/>
    <s v="Katherine Guerrera"/>
    <s v="1 year"/>
    <x v="1"/>
    <x v="1"/>
    <x v="1"/>
    <s v="First Notice of Loss Calls"/>
    <s v="Auto FNOL - Spanish lines"/>
    <s v="Receive first notice of loss calls for auto collissions, accidents and any type of loss related to automobile/vehicle"/>
    <s v="Personal"/>
    <x v="1"/>
    <s v="Auto"/>
    <s v="All"/>
    <s v="Voice"/>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1"/>
    <s v="Fortune 500 &amp; Large US Insurance carrier"/>
    <s v="US"/>
    <s v="Bogota, COL"/>
    <s v="Colombia"/>
    <s v="Katherine Guerrera"/>
    <s v="1 year"/>
    <x v="1"/>
    <x v="1"/>
    <x v="1"/>
    <s v="First Notice of Loss Calls"/>
    <s v="Property FNOL - Spanish lines"/>
    <s v="Receive first notice of loss calls for property loss - weather related, wind hail, hurricane, tornadoes etc."/>
    <s v="Personal"/>
    <x v="2"/>
    <s v="Property"/>
    <s v="All"/>
    <s v="Voice"/>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1CD3C-87A5-4F90-B6C8-B4A15DFA46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24" firstHeaderRow="1" firstDataRow="2" firstDataCol="1"/>
  <pivotFields count="56">
    <pivotField showAll="0"/>
    <pivotField showAll="0"/>
    <pivotField showAll="0"/>
    <pivotField showAll="0"/>
    <pivotField axis="axisCol" showAll="0">
      <items count="6">
        <item x="4"/>
        <item x="0"/>
        <item x="2"/>
        <item x="1"/>
        <item x="3"/>
        <item t="default"/>
      </items>
    </pivotField>
    <pivotField showAll="0"/>
    <pivotField showAll="0"/>
    <pivotField showAll="0"/>
    <pivotField axis="axisRow" showAll="0">
      <items count="6">
        <item x="1"/>
        <item h="1" x="0"/>
        <item x="3"/>
        <item x="4"/>
        <item x="2"/>
        <item t="default"/>
      </items>
    </pivotField>
    <pivotField axis="axisRow" showAll="0">
      <items count="18">
        <item x="2"/>
        <item x="0"/>
        <item x="6"/>
        <item x="4"/>
        <item x="1"/>
        <item x="9"/>
        <item x="5"/>
        <item x="16"/>
        <item x="8"/>
        <item x="3"/>
        <item x="12"/>
        <item x="11"/>
        <item x="10"/>
        <item x="13"/>
        <item x="14"/>
        <item x="1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68">
        <item x="130"/>
        <item x="223"/>
        <item x="222"/>
        <item x="214"/>
        <item x="142"/>
        <item x="151"/>
        <item x="136"/>
        <item x="133"/>
        <item x="256"/>
        <item x="138"/>
        <item x="152"/>
        <item x="261"/>
        <item x="211"/>
        <item x="154"/>
        <item x="135"/>
        <item x="137"/>
        <item x="255"/>
        <item x="213"/>
        <item x="150"/>
        <item x="254"/>
        <item x="162"/>
        <item x="55"/>
        <item x="248"/>
        <item x="233"/>
        <item x="159"/>
        <item x="153"/>
        <item x="148"/>
        <item x="158"/>
        <item x="231"/>
        <item x="232"/>
        <item x="264"/>
        <item x="215"/>
        <item x="156"/>
        <item x="155"/>
        <item x="266"/>
        <item x="163"/>
        <item x="79"/>
        <item x="252"/>
        <item x="165"/>
        <item x="143"/>
        <item x="134"/>
        <item x="57"/>
        <item x="54"/>
        <item x="161"/>
        <item x="141"/>
        <item x="257"/>
        <item x="52"/>
        <item x="53"/>
        <item x="160"/>
        <item x="265"/>
        <item x="77"/>
        <item x="157"/>
        <item x="144"/>
        <item x="56"/>
        <item x="260"/>
        <item x="224"/>
        <item x="218"/>
        <item x="147"/>
        <item x="60"/>
        <item x="126"/>
        <item x="33"/>
        <item x="50"/>
        <item x="258"/>
        <item x="78"/>
        <item x="69"/>
        <item x="245"/>
        <item x="31"/>
        <item x="244"/>
        <item x="219"/>
        <item x="250"/>
        <item x="61"/>
        <item x="227"/>
        <item x="91"/>
        <item x="228"/>
        <item x="15"/>
        <item x="247"/>
        <item x="88"/>
        <item x="30"/>
        <item x="23"/>
        <item x="89"/>
        <item x="170"/>
        <item x="200"/>
        <item x="259"/>
        <item x="175"/>
        <item x="205"/>
        <item x="262"/>
        <item x="51"/>
        <item x="203"/>
        <item x="230"/>
        <item x="199"/>
        <item x="172"/>
        <item x="59"/>
        <item x="97"/>
        <item x="221"/>
        <item x="212"/>
        <item x="36"/>
        <item x="74"/>
        <item x="198"/>
        <item x="173"/>
        <item x="226"/>
        <item x="204"/>
        <item x="251"/>
        <item x="27"/>
        <item x="83"/>
        <item x="196"/>
        <item x="178"/>
        <item x="201"/>
        <item x="68"/>
        <item x="176"/>
        <item x="220"/>
        <item x="82"/>
        <item x="101"/>
        <item x="174"/>
        <item x="149"/>
        <item x="28"/>
        <item x="20"/>
        <item x="197"/>
        <item x="140"/>
        <item x="187"/>
        <item x="246"/>
        <item x="193"/>
        <item x="169"/>
        <item x="62"/>
        <item x="192"/>
        <item x="167"/>
        <item x="94"/>
        <item x="180"/>
        <item x="216"/>
        <item x="190"/>
        <item x="100"/>
        <item x="186"/>
        <item x="189"/>
        <item x="179"/>
        <item x="188"/>
        <item x="34"/>
        <item x="39"/>
        <item x="249"/>
        <item x="185"/>
        <item x="171"/>
        <item x="98"/>
        <item x="217"/>
        <item x="184"/>
        <item x="95"/>
        <item x="19"/>
        <item x="71"/>
        <item x="22"/>
        <item x="243"/>
        <item x="164"/>
        <item x="66"/>
        <item x="75"/>
        <item x="263"/>
        <item x="182"/>
        <item x="191"/>
        <item x="195"/>
        <item x="181"/>
        <item x="177"/>
        <item x="103"/>
        <item x="86"/>
        <item x="183"/>
        <item x="84"/>
        <item x="92"/>
        <item x="64"/>
        <item x="80"/>
        <item x="125"/>
        <item x="14"/>
        <item x="145"/>
        <item x="253"/>
        <item x="107"/>
        <item x="93"/>
        <item x="29"/>
        <item x="146"/>
        <item x="26"/>
        <item x="132"/>
        <item x="242"/>
        <item x="65"/>
        <item x="229"/>
        <item x="240"/>
        <item x="168"/>
        <item x="38"/>
        <item x="139"/>
        <item x="114"/>
        <item x="21"/>
        <item x="202"/>
        <item x="96"/>
        <item x="49"/>
        <item x="32"/>
        <item x="47"/>
        <item x="63"/>
        <item x="81"/>
        <item x="76"/>
        <item x="13"/>
        <item x="67"/>
        <item x="115"/>
        <item x="24"/>
        <item x="87"/>
        <item x="25"/>
        <item x="70"/>
        <item x="17"/>
        <item x="72"/>
        <item x="210"/>
        <item x="207"/>
        <item x="73"/>
        <item x="10"/>
        <item x="241"/>
        <item x="225"/>
        <item x="85"/>
        <item x="106"/>
        <item x="37"/>
        <item x="8"/>
        <item x="9"/>
        <item x="58"/>
        <item x="2"/>
        <item x="104"/>
        <item x="48"/>
        <item x="105"/>
        <item x="121"/>
        <item x="124"/>
        <item x="194"/>
        <item x="3"/>
        <item x="11"/>
        <item x="128"/>
        <item x="99"/>
        <item x="6"/>
        <item x="4"/>
        <item x="102"/>
        <item x="7"/>
        <item x="90"/>
        <item x="18"/>
        <item x="113"/>
        <item x="12"/>
        <item x="131"/>
        <item x="110"/>
        <item x="35"/>
        <item x="41"/>
        <item x="209"/>
        <item x="127"/>
        <item x="45"/>
        <item x="5"/>
        <item x="116"/>
        <item x="239"/>
        <item x="208"/>
        <item x="117"/>
        <item x="120"/>
        <item x="42"/>
        <item x="16"/>
        <item x="206"/>
        <item x="46"/>
        <item x="123"/>
        <item x="236"/>
        <item x="111"/>
        <item x="122"/>
        <item x="109"/>
        <item x="108"/>
        <item x="235"/>
        <item x="238"/>
        <item x="118"/>
        <item x="1"/>
        <item x="40"/>
        <item x="237"/>
        <item x="166"/>
        <item x="112"/>
        <item x="234"/>
        <item x="119"/>
        <item x="43"/>
        <item x="44"/>
        <item x="0"/>
        <item x="1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1">
    <i>
      <x/>
    </i>
    <i r="1">
      <x v="2"/>
    </i>
    <i r="1">
      <x v="4"/>
    </i>
    <i r="1">
      <x v="5"/>
    </i>
    <i r="1">
      <x v="8"/>
    </i>
    <i r="1">
      <x v="16"/>
    </i>
    <i>
      <x v="2"/>
    </i>
    <i r="1">
      <x v="7"/>
    </i>
    <i r="1">
      <x v="11"/>
    </i>
    <i>
      <x v="3"/>
    </i>
    <i r="1">
      <x v="14"/>
    </i>
    <i r="1">
      <x v="15"/>
    </i>
    <i>
      <x v="4"/>
    </i>
    <i r="1">
      <x/>
    </i>
    <i r="1">
      <x v="3"/>
    </i>
    <i r="1">
      <x v="6"/>
    </i>
    <i r="1">
      <x v="9"/>
    </i>
    <i r="1">
      <x v="10"/>
    </i>
    <i r="1">
      <x v="12"/>
    </i>
    <i r="1">
      <x v="13"/>
    </i>
    <i t="grand">
      <x/>
    </i>
  </rowItems>
  <colFields count="1">
    <field x="4"/>
  </colFields>
  <colItems count="5">
    <i>
      <x/>
    </i>
    <i>
      <x v="2"/>
    </i>
    <i>
      <x v="3"/>
    </i>
    <i>
      <x v="4"/>
    </i>
    <i t="grand">
      <x/>
    </i>
  </colItems>
  <dataFields count="1">
    <dataField name="Sum of Total Staff" fld="29" baseField="8"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E0C5E-B9DA-448B-93B5-8991EB335F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G35" firstHeaderRow="1" firstDataRow="2" firstDataCol="1" rowPageCount="1" colPageCount="1"/>
  <pivotFields count="56">
    <pivotField showAll="0">
      <items count="35">
        <item x="23"/>
        <item x="13"/>
        <item x="2"/>
        <item x="24"/>
        <item m="1" x="33"/>
        <item x="5"/>
        <item x="21"/>
        <item x="29"/>
        <item x="6"/>
        <item x="11"/>
        <item x="14"/>
        <item x="19"/>
        <item x="15"/>
        <item x="28"/>
        <item x="9"/>
        <item x="0"/>
        <item x="8"/>
        <item x="22"/>
        <item x="10"/>
        <item x="25"/>
        <item x="16"/>
        <item x="4"/>
        <item x="30"/>
        <item x="20"/>
        <item x="12"/>
        <item x="1"/>
        <item m="1" x="32"/>
        <item x="26"/>
        <item x="3"/>
        <item x="18"/>
        <item x="27"/>
        <item x="7"/>
        <item x="17"/>
        <item x="31"/>
        <item t="default"/>
      </items>
    </pivotField>
    <pivotField showAll="0"/>
    <pivotField showAll="0">
      <items count="9">
        <item x="5"/>
        <item x="4"/>
        <item x="0"/>
        <item m="1" x="7"/>
        <item x="1"/>
        <item x="3"/>
        <item x="2"/>
        <item x="6"/>
        <item t="default"/>
      </items>
    </pivotField>
    <pivotField showAll="0">
      <items count="26">
        <item x="6"/>
        <item x="8"/>
        <item m="1" x="22"/>
        <item m="1" x="16"/>
        <item x="5"/>
        <item m="1" x="15"/>
        <item x="2"/>
        <item x="12"/>
        <item x="0"/>
        <item m="1" x="18"/>
        <item x="9"/>
        <item x="11"/>
        <item m="1" x="23"/>
        <item m="1" x="21"/>
        <item m="1" x="17"/>
        <item m="1" x="20"/>
        <item x="1"/>
        <item m="1" x="19"/>
        <item m="1" x="24"/>
        <item x="10"/>
        <item x="3"/>
        <item x="7"/>
        <item x="4"/>
        <item x="13"/>
        <item x="14"/>
        <item t="default"/>
      </items>
    </pivotField>
    <pivotField showAll="0">
      <items count="10">
        <item x="0"/>
        <item x="4"/>
        <item m="1" x="8"/>
        <item x="2"/>
        <item x="1"/>
        <item x="3"/>
        <item m="1" x="7"/>
        <item x="5"/>
        <item x="6"/>
        <item t="default"/>
      </items>
    </pivotField>
    <pivotField showAll="0"/>
    <pivotField showAll="0"/>
    <pivotField axis="axisPage" multipleItemSelectionAllowed="1" showAll="0">
      <items count="5">
        <item x="1"/>
        <item h="1" x="0"/>
        <item h="1" x="2"/>
        <item h="1" x="3"/>
        <item t="default"/>
      </items>
    </pivotField>
    <pivotField axis="axisRow" showAll="0">
      <items count="7">
        <item x="1"/>
        <item x="0"/>
        <item x="4"/>
        <item x="3"/>
        <item x="2"/>
        <item x="5"/>
        <item t="default"/>
      </items>
    </pivotField>
    <pivotField axis="axisRow" showAll="0">
      <items count="20">
        <item x="2"/>
        <item x="0"/>
        <item x="7"/>
        <item x="5"/>
        <item x="1"/>
        <item x="4"/>
        <item x="6"/>
        <item x="17"/>
        <item x="9"/>
        <item x="3"/>
        <item x="10"/>
        <item x="15"/>
        <item x="11"/>
        <item x="12"/>
        <item x="13"/>
        <item x="16"/>
        <item x="8"/>
        <item x="18"/>
        <item x="14"/>
        <item t="default"/>
      </items>
    </pivotField>
    <pivotField showAll="0"/>
    <pivotField showAll="0"/>
    <pivotField showAll="0"/>
    <pivotField axis="axisCol" showAll="0">
      <items count="12">
        <item m="1" x="9"/>
        <item x="4"/>
        <item x="0"/>
        <item x="1"/>
        <item m="1" x="8"/>
        <item x="6"/>
        <item m="1" x="10"/>
        <item x="2"/>
        <item x="7"/>
        <item x="3"/>
        <item x="5"/>
        <item t="default"/>
      </items>
    </pivotField>
    <pivotField showAll="0">
      <items count="23">
        <item x="19"/>
        <item x="16"/>
        <item x="1"/>
        <item x="4"/>
        <item x="18"/>
        <item x="6"/>
        <item m="1" x="21"/>
        <item x="0"/>
        <item x="15"/>
        <item x="14"/>
        <item x="12"/>
        <item x="10"/>
        <item x="11"/>
        <item x="3"/>
        <item x="9"/>
        <item x="2"/>
        <item x="13"/>
        <item x="8"/>
        <item x="7"/>
        <item x="17"/>
        <item x="5"/>
        <item x="20"/>
        <item t="default"/>
      </items>
    </pivotField>
    <pivotField showAll="0"/>
    <pivotField showAll="0"/>
    <pivotField showAll="0">
      <items count="7">
        <item x="3"/>
        <item x="2"/>
        <item x="0"/>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2">
    <i>
      <x/>
    </i>
    <i r="1">
      <x v="2"/>
    </i>
    <i r="1">
      <x v="4"/>
    </i>
    <i r="1">
      <x v="5"/>
    </i>
    <i r="1">
      <x v="8"/>
    </i>
    <i r="1">
      <x v="16"/>
    </i>
    <i>
      <x v="2"/>
    </i>
    <i r="1">
      <x v="7"/>
    </i>
    <i r="1">
      <x v="11"/>
    </i>
    <i>
      <x v="3"/>
    </i>
    <i r="1">
      <x v="14"/>
    </i>
    <i r="1">
      <x v="15"/>
    </i>
    <i>
      <x v="4"/>
    </i>
    <i r="1">
      <x/>
    </i>
    <i r="1">
      <x v="3"/>
    </i>
    <i r="1">
      <x v="6"/>
    </i>
    <i r="1">
      <x v="9"/>
    </i>
    <i r="1">
      <x v="10"/>
    </i>
    <i r="1">
      <x v="12"/>
    </i>
    <i r="1">
      <x v="13"/>
    </i>
    <i r="1">
      <x v="18"/>
    </i>
    <i t="grand">
      <x/>
    </i>
  </rowItems>
  <colFields count="1">
    <field x="13"/>
  </colFields>
  <colItems count="6">
    <i>
      <x v="1"/>
    </i>
    <i>
      <x v="3"/>
    </i>
    <i>
      <x v="7"/>
    </i>
    <i>
      <x v="9"/>
    </i>
    <i>
      <x v="10"/>
    </i>
    <i t="grand">
      <x/>
    </i>
  </colItems>
  <pageFields count="1">
    <pageField fld="7" hier="-1"/>
  </pageFields>
  <dataFields count="1">
    <dataField name="Sum of Total Staff" fld="29" baseField="8" baseItem="0" numFmtId="1"/>
  </dataFields>
  <formats count="1">
    <format dxfId="3">
      <pivotArea outline="0" collapsedLevelsAreSubtotals="1"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4632E-D7DC-472E-97C7-AC85FF69E1D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8" firstHeaderRow="0" firstDataRow="1" firstDataCol="1" rowPageCount="1" colPageCount="1"/>
  <pivotFields count="56">
    <pivotField axis="axisRow" showAll="0">
      <items count="32">
        <item x="23"/>
        <item x="13"/>
        <item x="2"/>
        <item x="24"/>
        <item x="5"/>
        <item x="21"/>
        <item x="6"/>
        <item x="11"/>
        <item x="14"/>
        <item x="19"/>
        <item x="15"/>
        <item x="28"/>
        <item x="9"/>
        <item x="0"/>
        <item x="8"/>
        <item x="22"/>
        <item x="10"/>
        <item x="25"/>
        <item x="16"/>
        <item x="4"/>
        <item x="29"/>
        <item x="20"/>
        <item x="12"/>
        <item x="1"/>
        <item x="26"/>
        <item x="3"/>
        <item x="18"/>
        <item x="27"/>
        <item x="7"/>
        <item x="17"/>
        <item x="30"/>
        <item t="default"/>
      </items>
    </pivotField>
    <pivotField showAll="0"/>
    <pivotField showAll="0"/>
    <pivotField showAll="0"/>
    <pivotField showAll="0"/>
    <pivotField showAll="0"/>
    <pivotField showAll="0"/>
    <pivotField axis="axisPage" showAll="0">
      <items count="5">
        <item x="1"/>
        <item x="0"/>
        <item x="2"/>
        <item x="3"/>
        <item t="default"/>
      </items>
    </pivotField>
    <pivotField axis="axisRow" showAll="0">
      <items count="7">
        <item x="1"/>
        <item x="0"/>
        <item x="4"/>
        <item x="3"/>
        <item x="2"/>
        <item x="5"/>
        <item t="default"/>
      </items>
    </pivotField>
    <pivotField axis="axisRow" showAll="0">
      <items count="20">
        <item x="2"/>
        <item x="0"/>
        <item x="7"/>
        <item x="5"/>
        <item x="1"/>
        <item x="4"/>
        <item x="6"/>
        <item x="17"/>
        <item x="9"/>
        <item x="3"/>
        <item x="10"/>
        <item x="14"/>
        <item x="15"/>
        <item x="11"/>
        <item x="12"/>
        <item x="13"/>
        <item x="16"/>
        <item x="8"/>
        <item x="18"/>
        <item t="default"/>
      </items>
    </pivotField>
    <pivotField showAll="0"/>
    <pivotField showAll="0"/>
    <pivotField showAll="0"/>
    <pivotField showAll="0"/>
    <pivotField showAll="0">
      <items count="22">
        <item x="19"/>
        <item x="16"/>
        <item x="1"/>
        <item x="4"/>
        <item x="18"/>
        <item x="6"/>
        <item x="0"/>
        <item x="15"/>
        <item x="14"/>
        <item x="12"/>
        <item x="10"/>
        <item x="11"/>
        <item x="3"/>
        <item x="9"/>
        <item x="2"/>
        <item x="13"/>
        <item x="8"/>
        <item x="7"/>
        <item x="17"/>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8"/>
    <field x="9"/>
  </rowFields>
  <rowItems count="185">
    <i>
      <x/>
    </i>
    <i r="1">
      <x/>
    </i>
    <i r="2">
      <x v="17"/>
    </i>
    <i>
      <x v="1"/>
    </i>
    <i r="1">
      <x/>
    </i>
    <i r="2">
      <x v="4"/>
    </i>
    <i r="1">
      <x v="4"/>
    </i>
    <i r="2">
      <x v="9"/>
    </i>
    <i>
      <x v="2"/>
    </i>
    <i r="1">
      <x/>
    </i>
    <i r="2">
      <x v="4"/>
    </i>
    <i r="2">
      <x v="5"/>
    </i>
    <i r="1">
      <x v="4"/>
    </i>
    <i r="2">
      <x/>
    </i>
    <i r="2">
      <x v="9"/>
    </i>
    <i>
      <x v="4"/>
    </i>
    <i r="1">
      <x/>
    </i>
    <i r="2">
      <x v="4"/>
    </i>
    <i r="1">
      <x v="2"/>
    </i>
    <i r="2">
      <x v="12"/>
    </i>
    <i>
      <x v="5"/>
    </i>
    <i r="1">
      <x/>
    </i>
    <i r="2">
      <x v="5"/>
    </i>
    <i r="1">
      <x v="4"/>
    </i>
    <i r="2">
      <x v="9"/>
    </i>
    <i>
      <x v="6"/>
    </i>
    <i r="1">
      <x/>
    </i>
    <i r="2">
      <x v="2"/>
    </i>
    <i r="2">
      <x v="4"/>
    </i>
    <i r="2">
      <x v="5"/>
    </i>
    <i r="2">
      <x v="8"/>
    </i>
    <i r="2">
      <x v="17"/>
    </i>
    <i r="1">
      <x v="2"/>
    </i>
    <i r="2">
      <x v="7"/>
    </i>
    <i r="1">
      <x v="4"/>
    </i>
    <i r="2">
      <x/>
    </i>
    <i r="2">
      <x v="3"/>
    </i>
    <i r="2">
      <x v="6"/>
    </i>
    <i r="2">
      <x v="9"/>
    </i>
    <i r="2">
      <x v="10"/>
    </i>
    <i r="2">
      <x v="13"/>
    </i>
    <i r="2">
      <x v="14"/>
    </i>
    <i>
      <x v="7"/>
    </i>
    <i r="1">
      <x/>
    </i>
    <i r="2">
      <x v="5"/>
    </i>
    <i r="1">
      <x v="4"/>
    </i>
    <i r="2">
      <x v="3"/>
    </i>
    <i>
      <x v="8"/>
    </i>
    <i r="1">
      <x/>
    </i>
    <i r="2">
      <x v="4"/>
    </i>
    <i r="2">
      <x v="5"/>
    </i>
    <i r="2">
      <x v="8"/>
    </i>
    <i r="2">
      <x v="17"/>
    </i>
    <i r="1">
      <x v="3"/>
    </i>
    <i r="2">
      <x v="15"/>
    </i>
    <i r="2">
      <x v="16"/>
    </i>
    <i r="1">
      <x v="4"/>
    </i>
    <i r="2">
      <x v="3"/>
    </i>
    <i r="2">
      <x v="9"/>
    </i>
    <i>
      <x v="9"/>
    </i>
    <i r="1">
      <x v="3"/>
    </i>
    <i r="2">
      <x v="16"/>
    </i>
    <i>
      <x v="10"/>
    </i>
    <i r="1">
      <x/>
    </i>
    <i r="2">
      <x v="4"/>
    </i>
    <i r="2">
      <x v="8"/>
    </i>
    <i r="1">
      <x v="4"/>
    </i>
    <i r="2">
      <x/>
    </i>
    <i r="2">
      <x v="3"/>
    </i>
    <i r="2">
      <x v="6"/>
    </i>
    <i r="2">
      <x v="9"/>
    </i>
    <i r="2">
      <x v="13"/>
    </i>
    <i>
      <x v="11"/>
    </i>
    <i r="1">
      <x/>
    </i>
    <i r="2">
      <x v="17"/>
    </i>
    <i>
      <x v="12"/>
    </i>
    <i r="1">
      <x v="4"/>
    </i>
    <i r="2">
      <x v="3"/>
    </i>
    <i>
      <x v="14"/>
    </i>
    <i r="1">
      <x/>
    </i>
    <i r="2">
      <x v="4"/>
    </i>
    <i r="1">
      <x v="2"/>
    </i>
    <i r="2">
      <x v="7"/>
    </i>
    <i r="1">
      <x v="4"/>
    </i>
    <i r="2">
      <x/>
    </i>
    <i r="2">
      <x v="3"/>
    </i>
    <i r="2">
      <x v="6"/>
    </i>
    <i r="2">
      <x v="9"/>
    </i>
    <i r="2">
      <x v="13"/>
    </i>
    <i>
      <x v="15"/>
    </i>
    <i r="1">
      <x/>
    </i>
    <i r="2">
      <x v="2"/>
    </i>
    <i r="2">
      <x v="4"/>
    </i>
    <i r="2">
      <x v="5"/>
    </i>
    <i r="2">
      <x v="8"/>
    </i>
    <i r="2">
      <x v="17"/>
    </i>
    <i r="1">
      <x v="4"/>
    </i>
    <i r="2">
      <x v="6"/>
    </i>
    <i r="2">
      <x v="9"/>
    </i>
    <i r="2">
      <x v="13"/>
    </i>
    <i>
      <x v="16"/>
    </i>
    <i r="1">
      <x/>
    </i>
    <i r="2">
      <x v="4"/>
    </i>
    <i>
      <x v="18"/>
    </i>
    <i r="1">
      <x/>
    </i>
    <i r="2">
      <x v="4"/>
    </i>
    <i>
      <x v="19"/>
    </i>
    <i r="1">
      <x/>
    </i>
    <i r="2">
      <x v="2"/>
    </i>
    <i r="2">
      <x v="4"/>
    </i>
    <i r="2">
      <x v="5"/>
    </i>
    <i r="2">
      <x v="8"/>
    </i>
    <i r="2">
      <x v="17"/>
    </i>
    <i>
      <x v="20"/>
    </i>
    <i r="1">
      <x v="2"/>
    </i>
    <i r="2">
      <x v="7"/>
    </i>
    <i>
      <x v="21"/>
    </i>
    <i r="1">
      <x/>
    </i>
    <i r="2">
      <x v="2"/>
    </i>
    <i r="2">
      <x v="4"/>
    </i>
    <i r="2">
      <x v="5"/>
    </i>
    <i r="2">
      <x v="8"/>
    </i>
    <i r="2">
      <x v="17"/>
    </i>
    <i r="1">
      <x v="4"/>
    </i>
    <i r="2">
      <x v="3"/>
    </i>
    <i r="2">
      <x v="6"/>
    </i>
    <i r="2">
      <x v="9"/>
    </i>
    <i r="2">
      <x v="10"/>
    </i>
    <i r="2">
      <x v="13"/>
    </i>
    <i>
      <x v="22"/>
    </i>
    <i r="1">
      <x/>
    </i>
    <i r="2">
      <x v="4"/>
    </i>
    <i r="2">
      <x v="17"/>
    </i>
    <i r="1">
      <x v="3"/>
    </i>
    <i r="2">
      <x v="15"/>
    </i>
    <i r="1">
      <x v="4"/>
    </i>
    <i r="2">
      <x v="9"/>
    </i>
    <i r="2">
      <x v="11"/>
    </i>
    <i>
      <x v="23"/>
    </i>
    <i r="1">
      <x/>
    </i>
    <i r="2">
      <x v="2"/>
    </i>
    <i r="2">
      <x v="4"/>
    </i>
    <i r="2">
      <x v="5"/>
    </i>
    <i r="2">
      <x v="8"/>
    </i>
    <i r="2">
      <x v="17"/>
    </i>
    <i r="1">
      <x v="2"/>
    </i>
    <i r="2">
      <x v="7"/>
    </i>
    <i>
      <x v="24"/>
    </i>
    <i r="1">
      <x/>
    </i>
    <i r="2">
      <x v="17"/>
    </i>
    <i>
      <x v="25"/>
    </i>
    <i r="1">
      <x v="4"/>
    </i>
    <i r="2">
      <x/>
    </i>
    <i r="2">
      <x v="3"/>
    </i>
    <i r="2">
      <x v="6"/>
    </i>
    <i r="2">
      <x v="9"/>
    </i>
    <i>
      <x v="26"/>
    </i>
    <i r="1">
      <x v="3"/>
    </i>
    <i r="2">
      <x v="15"/>
    </i>
    <i>
      <x v="27"/>
    </i>
    <i r="1">
      <x/>
    </i>
    <i r="2">
      <x v="17"/>
    </i>
    <i>
      <x v="28"/>
    </i>
    <i r="1">
      <x/>
    </i>
    <i r="2">
      <x v="4"/>
    </i>
    <i r="2">
      <x v="17"/>
    </i>
    <i r="1">
      <x v="4"/>
    </i>
    <i r="2">
      <x/>
    </i>
    <i r="2">
      <x v="3"/>
    </i>
    <i r="2">
      <x v="6"/>
    </i>
    <i r="2">
      <x v="9"/>
    </i>
    <i>
      <x v="29"/>
    </i>
    <i r="1">
      <x/>
    </i>
    <i r="2">
      <x v="2"/>
    </i>
    <i r="2">
      <x v="4"/>
    </i>
    <i r="2">
      <x v="5"/>
    </i>
    <i r="2">
      <x v="8"/>
    </i>
    <i r="2">
      <x v="17"/>
    </i>
    <i r="1">
      <x v="4"/>
    </i>
    <i r="2">
      <x/>
    </i>
    <i r="2">
      <x v="3"/>
    </i>
    <i r="2">
      <x v="6"/>
    </i>
    <i r="2">
      <x v="9"/>
    </i>
    <i r="2">
      <x v="13"/>
    </i>
    <i t="grand">
      <x/>
    </i>
  </rowItems>
  <colFields count="1">
    <field x="-2"/>
  </colFields>
  <colItems count="2">
    <i>
      <x/>
    </i>
    <i i="1">
      <x v="1"/>
    </i>
  </colItems>
  <pageFields count="1">
    <pageField fld="7" item="0" hier="-1"/>
  </pageFields>
  <dataFields count="2">
    <dataField name="Sum of Total Staff" fld="29" baseField="0" baseItem="0" numFmtId="1"/>
    <dataField name="Sum of Average Monthly Volume" fld="31"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L_Delivery_Location" xr10:uid="{1DE68D92-476A-47C7-8973-30D6764E848B}" sourceName="EXL Delivery Location">
  <pivotTables>
    <pivotTable tabId="36" name="PivotTable2"/>
  </pivotTables>
  <data>
    <tabular pivotCacheId="1259464443">
      <items count="25">
        <i x="6" s="1"/>
        <i x="8" s="1"/>
        <i x="5" s="1"/>
        <i x="2" s="1"/>
        <i x="12" s="1"/>
        <i x="9" s="1"/>
        <i x="11" s="1"/>
        <i x="1" s="1"/>
        <i x="3" s="1"/>
        <i x="7" s="1"/>
        <i x="4" s="1"/>
        <i x="13" s="1"/>
        <i x="22" s="1" nd="1"/>
        <i x="16" s="1" nd="1"/>
        <i x="15" s="1" nd="1"/>
        <i x="0" s="1" nd="1"/>
        <i x="18" s="1" nd="1"/>
        <i x="23" s="1" nd="1"/>
        <i x="21" s="1" nd="1"/>
        <i x="17" s="1" nd="1"/>
        <i x="20" s="1" nd="1"/>
        <i x="19" s="1" nd="1"/>
        <i x="24" s="1" nd="1"/>
        <i x="10" s="1" nd="1"/>
        <i x="1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nes" xr10:uid="{5264C3A2-D101-412B-9776-D1525022CFFE}" sourceName="Business Lines">
  <pivotTables>
    <pivotTable tabId="36" name="PivotTable2"/>
  </pivotTables>
  <data>
    <tabular pivotCacheId="1259464443">
      <items count="11">
        <i x="3" s="1"/>
        <i x="4" s="1"/>
        <i x="5" s="1"/>
        <i x="1" s="1"/>
        <i x="2" s="1"/>
        <i x="9" s="1" nd="1"/>
        <i x="0" s="1" nd="1"/>
        <i x="8" s="1" nd="1"/>
        <i x="6" s="1" nd="1"/>
        <i x="10" s="1" nd="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B___Product_Type" xr10:uid="{61289FCB-826A-4B07-83C4-E79473320CCC}" sourceName="LOB / Product Type">
  <pivotTables>
    <pivotTable tabId="36" name="PivotTable2"/>
  </pivotTables>
  <data>
    <tabular pivotCacheId="1259464443">
      <items count="22">
        <i x="19" s="1"/>
        <i x="16" s="1"/>
        <i x="1" s="1"/>
        <i x="4" s="1"/>
        <i x="18" s="1"/>
        <i x="6" s="1"/>
        <i x="15" s="1"/>
        <i x="14" s="1"/>
        <i x="12" s="1"/>
        <i x="10" s="1"/>
        <i x="11" s="1"/>
        <i x="3" s="1"/>
        <i x="9" s="1"/>
        <i x="2" s="1"/>
        <i x="13" s="1"/>
        <i x="8" s="1"/>
        <i x="7" s="1"/>
        <i x="17" s="1"/>
        <i x="5" s="1"/>
        <i x="21" s="1" nd="1"/>
        <i x="0" s="1" nd="1"/>
        <i x="2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1112C791-7F2B-4734-9DA2-A318C5CFB2EA}" sourceName="Client">
  <pivotTables>
    <pivotTable tabId="36" name="PivotTable2"/>
  </pivotTables>
  <data>
    <tabular pivotCacheId="1259464443">
      <items count="34">
        <i x="23" s="1"/>
        <i x="13" s="1"/>
        <i x="2" s="1"/>
        <i x="5" s="1"/>
        <i x="21" s="1"/>
        <i x="29" s="1"/>
        <i x="6" s="1"/>
        <i x="11" s="1"/>
        <i x="14" s="1"/>
        <i x="19" s="1"/>
        <i x="15" s="1"/>
        <i x="28" s="1"/>
        <i x="9" s="1"/>
        <i x="8" s="1"/>
        <i x="22" s="1"/>
        <i x="10" s="1"/>
        <i x="16" s="1"/>
        <i x="4" s="1"/>
        <i x="30" s="1"/>
        <i x="20" s="1"/>
        <i x="12" s="1"/>
        <i x="1" s="1"/>
        <i x="26" s="1"/>
        <i x="3" s="1"/>
        <i x="18" s="1"/>
        <i x="27" s="1"/>
        <i x="7" s="1"/>
        <i x="17" s="1"/>
        <i x="24" s="1" nd="1"/>
        <i x="33" s="1" nd="1"/>
        <i x="0" s="1" nd="1"/>
        <i x="25" s="1" nd="1"/>
        <i x="32" s="1" nd="1"/>
        <i x="3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ography" xr10:uid="{7DEA843F-D6CE-4124-ADA4-BF3ADF926AFD}" sourceName="Client Geography">
  <pivotTables>
    <pivotTable tabId="36" name="PivotTable2"/>
  </pivotTables>
  <data>
    <tabular pivotCacheId="1259464443">
      <items count="8">
        <i x="5" s="1"/>
        <i x="4" s="1"/>
        <i x="1" s="1"/>
        <i x="3" s="1"/>
        <i x="2" s="1"/>
        <i x="0" s="1" nd="1"/>
        <i x="7" s="1" nd="1"/>
        <i x="6"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0EBA7AF-3B24-4E02-8424-7E38E3F95D5D}" sourceName="Country">
  <pivotTables>
    <pivotTable tabId="36" name="PivotTable2"/>
  </pivotTables>
  <data>
    <tabular pivotCacheId="1259464443">
      <items count="9">
        <i x="4" s="1"/>
        <i x="2" s="1"/>
        <i x="1" s="1"/>
        <i x="3" s="1"/>
        <i x="5" s="1"/>
        <i x="0" s="1" nd="1"/>
        <i x="8" s="1" nd="1"/>
        <i x="7" s="1" nd="1"/>
        <i x="6"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ction__L1" xr10:uid="{3786F967-4DE6-4E74-ABA7-E9973A2B5A6E}" sourceName="Function (L1)">
  <pivotTables>
    <pivotTable tabId="36" name="PivotTable2"/>
  </pivotTables>
  <data>
    <tabular pivotCacheId="1259464443">
      <items count="6">
        <i x="1" s="1"/>
        <i x="4" s="1"/>
        <i x="3" s="1"/>
        <i x="2" s="1"/>
        <i x="0" s="1" nd="1"/>
        <i x="5"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9AABD9D8-6054-4F52-B174-FDFA1E1D0216}" sourceName="Work Type">
  <pivotTables>
    <pivotTable tabId="36" name="PivotTable2"/>
  </pivotTables>
  <data>
    <tabular pivotCacheId="1259464443">
      <items count="6">
        <i x="3" s="1"/>
        <i x="2" s="1"/>
        <i x="1"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L Delivery Location" xr10:uid="{3C59CD03-BD27-4D1D-99A6-4D1EDF057645}" cache="Slicer_EXL_Delivery_Location" caption="EXL Delivery Location" columnCount="3" style="SlicerStyleDark4" rowHeight="234950"/>
  <slicer name="Business Lines" xr10:uid="{2AE56291-8FDF-4EC4-849E-84C62851F41B}" cache="Slicer_Business_Lines" caption="Business Lines" style="SlicerStyleDark4" rowHeight="234950"/>
  <slicer name="LOB / Product Type" xr10:uid="{67CD5DF8-7BC7-43A8-9DA1-4D95E4EFAB29}" cache="Slicer_LOB___Product_Type" caption="LOB / Product Type" columnCount="2" style="SlicerStyleDark4" rowHeight="234950"/>
  <slicer name="Client" xr10:uid="{E79BD698-47E1-403D-B5F1-324141B35E7C}" cache="Slicer_Client" caption="Client" columnCount="6" style="SlicerStyleDark4" rowHeight="234950"/>
  <slicer name="Client Geography" xr10:uid="{25056BB6-D32F-40FC-BF3C-8B5C722B394C}" cache="Slicer_Client_Geography" caption="Client Geography" style="SlicerStyleDark4" rowHeight="234950"/>
  <slicer name="Country" xr10:uid="{E00ACAE4-B594-4FC8-AFD5-772149FBA89D}" cache="Slicer_Country" caption="Country" style="SlicerStyleDark4" rowHeight="234950"/>
  <slicer name="Function (L1)" xr10:uid="{05C784FD-CCEB-4D13-B9AA-070602AC2A65}" cache="Slicer_Function__L1" caption="Function (L1)" style="SlicerStyleDark4" rowHeight="234950"/>
  <slicer name="Work Type" xr10:uid="{EA41977A-B053-4624-8445-E6FDA14CA30D}" cache="Slicer_Work_Type" caption="Work Type" style="SlicerStyleDark4" rowHeight="234950"/>
</slicers>
</file>

<file path=xl/theme/theme1.xml><?xml version="1.0" encoding="utf-8"?>
<a:theme xmlns:a="http://schemas.openxmlformats.org/drawingml/2006/main" name="EXL Branding">
  <a:themeElements>
    <a:clrScheme name="EXL 2023">
      <a:dk1>
        <a:srgbClr val="000000"/>
      </a:dk1>
      <a:lt1>
        <a:srgbClr val="FFFFFF"/>
      </a:lt1>
      <a:dk2>
        <a:srgbClr val="FB4D0A"/>
      </a:dk2>
      <a:lt2>
        <a:srgbClr val="FFFFFF"/>
      </a:lt2>
      <a:accent1>
        <a:srgbClr val="2E3643"/>
      </a:accent1>
      <a:accent2>
        <a:srgbClr val="6D727B"/>
      </a:accent2>
      <a:accent3>
        <a:srgbClr val="005071"/>
      </a:accent3>
      <a:accent4>
        <a:srgbClr val="4D849B"/>
      </a:accent4>
      <a:accent5>
        <a:srgbClr val="DCF3FA"/>
      </a:accent5>
      <a:accent6>
        <a:srgbClr val="E6F6F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EXL Branding" id="{29A07B3C-76F4-4BCD-A166-A3E88CDF5D36}" vid="{D833C1E5-BEBE-4216-88DF-27FAB707CF15}"/>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8093-816F-446A-A91E-4CD35A1910AA}">
  <dimension ref="A1:BA230"/>
  <sheetViews>
    <sheetView showGridLines="0" zoomScale="87" workbookViewId="0">
      <pane ySplit="12" topLeftCell="A13" activePane="bottomLeft" state="frozen"/>
      <selection activeCell="I219" sqref="I219"/>
      <selection pane="bottomLeft" activeCell="C9" sqref="C9:E9"/>
    </sheetView>
  </sheetViews>
  <sheetFormatPr defaultColWidth="8.7109375" defaultRowHeight="12.75" x14ac:dyDescent="0.25"/>
  <cols>
    <col min="1" max="1" width="2.28515625" style="21" customWidth="1"/>
    <col min="2" max="2" width="5.42578125" style="21" customWidth="1"/>
    <col min="3" max="3" width="36.7109375" style="21" customWidth="1"/>
    <col min="4" max="4" width="11.7109375" style="22" customWidth="1"/>
    <col min="5" max="5" width="109.5703125" style="23" customWidth="1"/>
    <col min="6" max="16384" width="8.7109375" style="21"/>
  </cols>
  <sheetData>
    <row r="1" spans="2:7" ht="21" customHeight="1" x14ac:dyDescent="0.25">
      <c r="B1" s="150" t="s">
        <v>2811</v>
      </c>
      <c r="C1" s="150"/>
      <c r="D1" s="150"/>
      <c r="E1" s="150"/>
    </row>
    <row r="2" spans="2:7" ht="3.6" customHeight="1" x14ac:dyDescent="0.25"/>
    <row r="3" spans="2:7" s="22" customFormat="1" ht="12" x14ac:dyDescent="0.25">
      <c r="B3" s="24" t="s">
        <v>2812</v>
      </c>
      <c r="C3" s="149" t="s">
        <v>3274</v>
      </c>
      <c r="D3" s="149"/>
      <c r="E3" s="149"/>
      <c r="F3" s="149"/>
      <c r="G3" s="149"/>
    </row>
    <row r="4" spans="2:7" s="22" customFormat="1" ht="12" x14ac:dyDescent="0.25">
      <c r="B4" s="24" t="s">
        <v>2813</v>
      </c>
      <c r="C4" s="149" t="s">
        <v>3275</v>
      </c>
      <c r="D4" s="149"/>
      <c r="E4" s="149"/>
      <c r="F4" s="149"/>
      <c r="G4" s="149"/>
    </row>
    <row r="5" spans="2:7" s="22" customFormat="1" ht="12" x14ac:dyDescent="0.25">
      <c r="B5" s="24" t="s">
        <v>2814</v>
      </c>
      <c r="C5" s="149" t="s">
        <v>3276</v>
      </c>
      <c r="D5" s="149"/>
      <c r="E5" s="149"/>
    </row>
    <row r="6" spans="2:7" s="22" customFormat="1" ht="12" x14ac:dyDescent="0.25">
      <c r="B6" s="24" t="s">
        <v>2815</v>
      </c>
      <c r="C6" s="149" t="s">
        <v>3277</v>
      </c>
      <c r="D6" s="149"/>
      <c r="E6" s="149"/>
    </row>
    <row r="7" spans="2:7" s="22" customFormat="1" ht="12" x14ac:dyDescent="0.25">
      <c r="B7" s="24" t="s">
        <v>2816</v>
      </c>
      <c r="C7" s="149" t="s">
        <v>2817</v>
      </c>
      <c r="D7" s="149"/>
      <c r="E7" s="149"/>
    </row>
    <row r="8" spans="2:7" s="22" customFormat="1" ht="12" x14ac:dyDescent="0.25">
      <c r="B8" s="24" t="s">
        <v>2818</v>
      </c>
      <c r="C8" s="149" t="s">
        <v>2819</v>
      </c>
      <c r="D8" s="149"/>
      <c r="E8" s="149"/>
    </row>
    <row r="9" spans="2:7" s="22" customFormat="1" ht="12" x14ac:dyDescent="0.25">
      <c r="B9" s="24" t="s">
        <v>2820</v>
      </c>
      <c r="C9" s="149" t="s">
        <v>2821</v>
      </c>
      <c r="D9" s="149"/>
      <c r="E9" s="149"/>
    </row>
    <row r="10" spans="2:7" s="22" customFormat="1" ht="12" x14ac:dyDescent="0.25">
      <c r="B10" s="24" t="s">
        <v>2822</v>
      </c>
      <c r="C10" s="25" t="s">
        <v>3278</v>
      </c>
      <c r="D10" s="25"/>
      <c r="E10" s="25"/>
    </row>
    <row r="12" spans="2:7" ht="21" customHeight="1" x14ac:dyDescent="0.25">
      <c r="B12" s="150" t="s">
        <v>2823</v>
      </c>
      <c r="C12" s="150"/>
      <c r="D12" s="150"/>
      <c r="E12" s="150"/>
    </row>
    <row r="13" spans="2:7" ht="3.6" customHeight="1" x14ac:dyDescent="0.25"/>
    <row r="14" spans="2:7" s="29" customFormat="1" ht="15" x14ac:dyDescent="0.25">
      <c r="B14" s="26" t="s">
        <v>2824</v>
      </c>
      <c r="C14" s="27" t="s">
        <v>2825</v>
      </c>
      <c r="D14" s="27" t="s">
        <v>2826</v>
      </c>
      <c r="E14" s="28" t="s">
        <v>2827</v>
      </c>
    </row>
    <row r="15" spans="2:7" ht="12.6" customHeight="1" x14ac:dyDescent="0.25">
      <c r="B15" s="30" t="s">
        <v>2828</v>
      </c>
      <c r="C15" s="31"/>
      <c r="D15" s="31"/>
      <c r="E15" s="32"/>
    </row>
    <row r="16" spans="2:7" x14ac:dyDescent="0.25">
      <c r="B16" s="33">
        <v>1</v>
      </c>
      <c r="C16" s="34" t="s">
        <v>0</v>
      </c>
      <c r="D16" s="34" t="s">
        <v>2829</v>
      </c>
      <c r="E16" s="35" t="s">
        <v>2830</v>
      </c>
    </row>
    <row r="17" spans="2:5" ht="24" x14ac:dyDescent="0.25">
      <c r="B17" s="33">
        <v>2</v>
      </c>
      <c r="C17" s="34" t="s">
        <v>1</v>
      </c>
      <c r="D17" s="34" t="s">
        <v>2829</v>
      </c>
      <c r="E17" s="35" t="s">
        <v>2831</v>
      </c>
    </row>
    <row r="18" spans="2:5" ht="24" x14ac:dyDescent="0.25">
      <c r="B18" s="33">
        <v>3</v>
      </c>
      <c r="C18" s="34" t="s">
        <v>2</v>
      </c>
      <c r="D18" s="34" t="s">
        <v>2829</v>
      </c>
      <c r="E18" s="35" t="s">
        <v>3279</v>
      </c>
    </row>
    <row r="19" spans="2:5" ht="24" x14ac:dyDescent="0.25">
      <c r="B19" s="33">
        <v>4</v>
      </c>
      <c r="C19" s="34" t="s">
        <v>3</v>
      </c>
      <c r="D19" s="34" t="s">
        <v>2829</v>
      </c>
      <c r="E19" s="35" t="s">
        <v>3279</v>
      </c>
    </row>
    <row r="20" spans="2:5" x14ac:dyDescent="0.25">
      <c r="B20" s="33">
        <v>5</v>
      </c>
      <c r="C20" s="34" t="s">
        <v>4</v>
      </c>
      <c r="D20" s="34" t="s">
        <v>2832</v>
      </c>
      <c r="E20" s="35" t="s">
        <v>2833</v>
      </c>
    </row>
    <row r="21" spans="2:5" x14ac:dyDescent="0.25">
      <c r="B21" s="33">
        <v>6</v>
      </c>
      <c r="C21" s="34" t="s">
        <v>2834</v>
      </c>
      <c r="D21" s="34" t="s">
        <v>2832</v>
      </c>
      <c r="E21" s="35" t="s">
        <v>2835</v>
      </c>
    </row>
    <row r="22" spans="2:5" x14ac:dyDescent="0.25">
      <c r="B22" s="33">
        <v>7</v>
      </c>
      <c r="C22" s="34" t="s">
        <v>6</v>
      </c>
      <c r="D22" s="34" t="s">
        <v>2829</v>
      </c>
      <c r="E22" s="35" t="s">
        <v>2836</v>
      </c>
    </row>
    <row r="23" spans="2:5" x14ac:dyDescent="0.25">
      <c r="B23" s="33">
        <v>8</v>
      </c>
      <c r="C23" s="34" t="s">
        <v>7</v>
      </c>
      <c r="D23" s="34" t="s">
        <v>2829</v>
      </c>
      <c r="E23" s="35" t="s">
        <v>2837</v>
      </c>
    </row>
    <row r="24" spans="2:5" ht="24" x14ac:dyDescent="0.25">
      <c r="B24" s="33">
        <v>9</v>
      </c>
      <c r="C24" s="34" t="s">
        <v>8</v>
      </c>
      <c r="D24" s="34" t="s">
        <v>2829</v>
      </c>
      <c r="E24" s="35" t="s">
        <v>2838</v>
      </c>
    </row>
    <row r="25" spans="2:5" ht="24" x14ac:dyDescent="0.25">
      <c r="B25" s="33">
        <v>10</v>
      </c>
      <c r="C25" s="34" t="s">
        <v>9</v>
      </c>
      <c r="D25" s="34" t="s">
        <v>2829</v>
      </c>
      <c r="E25" s="35" t="s">
        <v>2839</v>
      </c>
    </row>
    <row r="26" spans="2:5" ht="24" x14ac:dyDescent="0.25">
      <c r="B26" s="33">
        <v>11</v>
      </c>
      <c r="C26" s="34" t="s">
        <v>10</v>
      </c>
      <c r="D26" s="34" t="s">
        <v>2832</v>
      </c>
      <c r="E26" s="35" t="s">
        <v>2840</v>
      </c>
    </row>
    <row r="27" spans="2:5" x14ac:dyDescent="0.25">
      <c r="B27" s="33">
        <v>12</v>
      </c>
      <c r="C27" s="34" t="s">
        <v>11</v>
      </c>
      <c r="D27" s="34" t="s">
        <v>2832</v>
      </c>
      <c r="E27" s="35" t="s">
        <v>2841</v>
      </c>
    </row>
    <row r="28" spans="2:5" x14ac:dyDescent="0.25">
      <c r="B28" s="33">
        <v>13</v>
      </c>
      <c r="C28" s="34" t="s">
        <v>12</v>
      </c>
      <c r="D28" s="34" t="s">
        <v>2829</v>
      </c>
      <c r="E28" s="35" t="s">
        <v>2842</v>
      </c>
    </row>
    <row r="29" spans="2:5" ht="36" x14ac:dyDescent="0.25">
      <c r="B29" s="33">
        <v>14</v>
      </c>
      <c r="C29" s="34" t="s">
        <v>13</v>
      </c>
      <c r="D29" s="34" t="s">
        <v>2832</v>
      </c>
      <c r="E29" s="35" t="s">
        <v>2843</v>
      </c>
    </row>
    <row r="30" spans="2:5" ht="36" x14ac:dyDescent="0.25">
      <c r="B30" s="33">
        <v>15</v>
      </c>
      <c r="C30" s="34" t="s">
        <v>14</v>
      </c>
      <c r="D30" s="34" t="s">
        <v>2832</v>
      </c>
      <c r="E30" s="35" t="s">
        <v>2844</v>
      </c>
    </row>
    <row r="31" spans="2:5" x14ac:dyDescent="0.25">
      <c r="B31" s="33">
        <v>16</v>
      </c>
      <c r="C31" s="34" t="s">
        <v>15</v>
      </c>
      <c r="D31" s="34" t="s">
        <v>2829</v>
      </c>
      <c r="E31" s="35" t="s">
        <v>2845</v>
      </c>
    </row>
    <row r="32" spans="2:5" x14ac:dyDescent="0.25">
      <c r="B32" s="33">
        <v>17</v>
      </c>
      <c r="C32" s="34" t="s">
        <v>16</v>
      </c>
      <c r="D32" s="34" t="s">
        <v>2829</v>
      </c>
      <c r="E32" s="35" t="s">
        <v>2846</v>
      </c>
    </row>
    <row r="33" spans="2:5" x14ac:dyDescent="0.25">
      <c r="B33" s="33">
        <v>18</v>
      </c>
      <c r="C33" s="34" t="s">
        <v>17</v>
      </c>
      <c r="D33" s="34" t="s">
        <v>2829</v>
      </c>
      <c r="E33" s="35" t="s">
        <v>2847</v>
      </c>
    </row>
    <row r="34" spans="2:5" ht="48" x14ac:dyDescent="0.25">
      <c r="B34" s="33">
        <v>19</v>
      </c>
      <c r="C34" s="34" t="s">
        <v>2848</v>
      </c>
      <c r="D34" s="34" t="s">
        <v>2832</v>
      </c>
      <c r="E34" s="35" t="s">
        <v>2849</v>
      </c>
    </row>
    <row r="35" spans="2:5" ht="48" x14ac:dyDescent="0.25">
      <c r="B35" s="33">
        <v>20</v>
      </c>
      <c r="C35" s="34" t="s">
        <v>2850</v>
      </c>
      <c r="D35" s="34" t="s">
        <v>2832</v>
      </c>
      <c r="E35" s="35" t="s">
        <v>2851</v>
      </c>
    </row>
    <row r="36" spans="2:5" ht="36" x14ac:dyDescent="0.25">
      <c r="B36" s="33">
        <v>21</v>
      </c>
      <c r="C36" s="34" t="s">
        <v>2852</v>
      </c>
      <c r="D36" s="34" t="s">
        <v>2832</v>
      </c>
      <c r="E36" s="35" t="s">
        <v>2853</v>
      </c>
    </row>
    <row r="37" spans="2:5" s="29" customFormat="1" x14ac:dyDescent="0.25">
      <c r="B37" s="30" t="s">
        <v>2854</v>
      </c>
      <c r="C37" s="31"/>
      <c r="D37" s="31"/>
      <c r="E37" s="32"/>
    </row>
    <row r="38" spans="2:5" x14ac:dyDescent="0.25">
      <c r="B38" s="33">
        <v>22</v>
      </c>
      <c r="C38" s="34" t="s">
        <v>21</v>
      </c>
      <c r="D38" s="34" t="s">
        <v>2829</v>
      </c>
      <c r="E38" s="35" t="s">
        <v>2855</v>
      </c>
    </row>
    <row r="39" spans="2:5" x14ac:dyDescent="0.25">
      <c r="B39" s="33">
        <v>23</v>
      </c>
      <c r="C39" s="34" t="s">
        <v>23</v>
      </c>
      <c r="D39" s="34" t="s">
        <v>2832</v>
      </c>
      <c r="E39" s="35" t="s">
        <v>2856</v>
      </c>
    </row>
    <row r="40" spans="2:5" x14ac:dyDescent="0.25">
      <c r="B40" s="33">
        <v>24</v>
      </c>
      <c r="C40" s="34" t="s">
        <v>24</v>
      </c>
      <c r="D40" s="34" t="s">
        <v>2832</v>
      </c>
      <c r="E40" s="35" t="s">
        <v>2857</v>
      </c>
    </row>
    <row r="41" spans="2:5" x14ac:dyDescent="0.25">
      <c r="B41" s="33">
        <v>25</v>
      </c>
      <c r="C41" s="34" t="s">
        <v>25</v>
      </c>
      <c r="D41" s="34" t="s">
        <v>2832</v>
      </c>
      <c r="E41" s="35" t="s">
        <v>2858</v>
      </c>
    </row>
    <row r="42" spans="2:5" x14ac:dyDescent="0.25">
      <c r="B42" s="33">
        <v>26</v>
      </c>
      <c r="C42" s="34" t="s">
        <v>26</v>
      </c>
      <c r="D42" s="34" t="s">
        <v>2832</v>
      </c>
      <c r="E42" s="35" t="s">
        <v>2859</v>
      </c>
    </row>
    <row r="43" spans="2:5" x14ac:dyDescent="0.25">
      <c r="B43" s="33">
        <v>27</v>
      </c>
      <c r="C43" s="34" t="s">
        <v>2860</v>
      </c>
      <c r="D43" s="34" t="s">
        <v>2832</v>
      </c>
      <c r="E43" s="35" t="s">
        <v>2861</v>
      </c>
    </row>
    <row r="44" spans="2:5" x14ac:dyDescent="0.25">
      <c r="B44" s="30" t="s">
        <v>2862</v>
      </c>
      <c r="C44" s="31"/>
      <c r="D44" s="31"/>
      <c r="E44" s="32"/>
    </row>
    <row r="45" spans="2:5" x14ac:dyDescent="0.25">
      <c r="B45" s="33">
        <v>28</v>
      </c>
      <c r="C45" s="34" t="s">
        <v>2863</v>
      </c>
      <c r="D45" s="34" t="s">
        <v>2829</v>
      </c>
      <c r="E45" s="35" t="s">
        <v>2864</v>
      </c>
    </row>
    <row r="46" spans="2:5" x14ac:dyDescent="0.25">
      <c r="B46" s="33">
        <v>29</v>
      </c>
      <c r="C46" s="34" t="s">
        <v>30</v>
      </c>
      <c r="D46" s="34" t="s">
        <v>2832</v>
      </c>
      <c r="E46" s="35" t="s">
        <v>2865</v>
      </c>
    </row>
    <row r="47" spans="2:5" x14ac:dyDescent="0.25">
      <c r="B47" s="33">
        <v>30</v>
      </c>
      <c r="C47" s="34" t="s">
        <v>31</v>
      </c>
      <c r="D47" s="34" t="s">
        <v>2832</v>
      </c>
      <c r="E47" s="35" t="s">
        <v>2866</v>
      </c>
    </row>
    <row r="48" spans="2:5" ht="24" x14ac:dyDescent="0.25">
      <c r="B48" s="33">
        <v>31</v>
      </c>
      <c r="C48" s="34" t="s">
        <v>32</v>
      </c>
      <c r="D48" s="34" t="s">
        <v>2832</v>
      </c>
      <c r="E48" s="35" t="s">
        <v>2867</v>
      </c>
    </row>
    <row r="49" spans="2:5" x14ac:dyDescent="0.25">
      <c r="B49" s="33">
        <v>32</v>
      </c>
      <c r="C49" s="34" t="s">
        <v>2868</v>
      </c>
      <c r="D49" s="34" t="s">
        <v>2832</v>
      </c>
      <c r="E49" s="35" t="s">
        <v>2869</v>
      </c>
    </row>
    <row r="50" spans="2:5" x14ac:dyDescent="0.25">
      <c r="B50" s="33">
        <v>33</v>
      </c>
      <c r="C50" s="34" t="s">
        <v>34</v>
      </c>
      <c r="D50" s="34" t="s">
        <v>2832</v>
      </c>
      <c r="E50" s="35" t="s">
        <v>2870</v>
      </c>
    </row>
    <row r="51" spans="2:5" x14ac:dyDescent="0.25">
      <c r="B51" s="33">
        <v>34</v>
      </c>
      <c r="C51" s="34" t="s">
        <v>35</v>
      </c>
      <c r="D51" s="34" t="s">
        <v>2832</v>
      </c>
      <c r="E51" s="35" t="s">
        <v>2871</v>
      </c>
    </row>
    <row r="52" spans="2:5" x14ac:dyDescent="0.25">
      <c r="B52" s="33">
        <v>35</v>
      </c>
      <c r="C52" s="34" t="s">
        <v>36</v>
      </c>
      <c r="D52" s="34" t="s">
        <v>2829</v>
      </c>
      <c r="E52" s="35" t="s">
        <v>2872</v>
      </c>
    </row>
    <row r="53" spans="2:5" x14ac:dyDescent="0.25">
      <c r="B53" s="33">
        <v>36</v>
      </c>
      <c r="C53" s="34" t="s">
        <v>37</v>
      </c>
      <c r="D53" s="34" t="s">
        <v>2832</v>
      </c>
      <c r="E53" s="35" t="s">
        <v>2873</v>
      </c>
    </row>
    <row r="54" spans="2:5" x14ac:dyDescent="0.25">
      <c r="B54" s="33">
        <v>37</v>
      </c>
      <c r="C54" s="34" t="s">
        <v>38</v>
      </c>
      <c r="D54" s="34" t="s">
        <v>2832</v>
      </c>
      <c r="E54" s="35" t="s">
        <v>2873</v>
      </c>
    </row>
    <row r="55" spans="2:5" x14ac:dyDescent="0.25">
      <c r="B55" s="30" t="s">
        <v>2874</v>
      </c>
      <c r="C55" s="31"/>
      <c r="D55" s="31"/>
      <c r="E55" s="32"/>
    </row>
    <row r="56" spans="2:5" x14ac:dyDescent="0.25">
      <c r="B56" s="33">
        <v>38</v>
      </c>
      <c r="C56" s="34" t="s">
        <v>39</v>
      </c>
      <c r="D56" s="34" t="s">
        <v>2832</v>
      </c>
      <c r="E56" s="35" t="s">
        <v>2875</v>
      </c>
    </row>
    <row r="57" spans="2:5" x14ac:dyDescent="0.25">
      <c r="B57" s="33">
        <v>39</v>
      </c>
      <c r="C57" s="34" t="s">
        <v>40</v>
      </c>
      <c r="D57" s="34" t="s">
        <v>2832</v>
      </c>
      <c r="E57" s="35" t="s">
        <v>2876</v>
      </c>
    </row>
    <row r="58" spans="2:5" x14ac:dyDescent="0.25">
      <c r="B58" s="33">
        <v>40</v>
      </c>
      <c r="C58" s="34" t="s">
        <v>41</v>
      </c>
      <c r="D58" s="34" t="s">
        <v>2829</v>
      </c>
      <c r="E58" s="35" t="s">
        <v>2877</v>
      </c>
    </row>
    <row r="59" spans="2:5" x14ac:dyDescent="0.25">
      <c r="B59" s="33">
        <v>41</v>
      </c>
      <c r="C59" s="34" t="s">
        <v>42</v>
      </c>
      <c r="D59" s="34" t="s">
        <v>2832</v>
      </c>
      <c r="E59" s="35" t="s">
        <v>2878</v>
      </c>
    </row>
    <row r="60" spans="2:5" x14ac:dyDescent="0.25">
      <c r="B60" s="33">
        <v>42</v>
      </c>
      <c r="C60" s="34" t="s">
        <v>43</v>
      </c>
      <c r="D60" s="34" t="s">
        <v>2832</v>
      </c>
      <c r="E60" s="35" t="s">
        <v>2879</v>
      </c>
    </row>
    <row r="61" spans="2:5" x14ac:dyDescent="0.25">
      <c r="B61" s="33">
        <v>43</v>
      </c>
      <c r="C61" s="34" t="s">
        <v>44</v>
      </c>
      <c r="D61" s="34" t="s">
        <v>2829</v>
      </c>
      <c r="E61" s="35" t="s">
        <v>2880</v>
      </c>
    </row>
    <row r="62" spans="2:5" x14ac:dyDescent="0.25">
      <c r="B62" s="33">
        <v>44</v>
      </c>
      <c r="C62" s="34" t="s">
        <v>45</v>
      </c>
      <c r="D62" s="34" t="s">
        <v>2832</v>
      </c>
      <c r="E62" s="35" t="s">
        <v>2878</v>
      </c>
    </row>
    <row r="63" spans="2:5" x14ac:dyDescent="0.25">
      <c r="B63" s="33">
        <v>45</v>
      </c>
      <c r="C63" s="34" t="s">
        <v>46</v>
      </c>
      <c r="D63" s="34" t="s">
        <v>2832</v>
      </c>
      <c r="E63" s="35" t="s">
        <v>2881</v>
      </c>
    </row>
    <row r="64" spans="2:5" x14ac:dyDescent="0.25">
      <c r="B64" s="33">
        <v>46</v>
      </c>
      <c r="C64" s="34" t="s">
        <v>47</v>
      </c>
      <c r="D64" s="34" t="s">
        <v>2832</v>
      </c>
      <c r="E64" s="35" t="s">
        <v>2882</v>
      </c>
    </row>
    <row r="65" spans="2:5" x14ac:dyDescent="0.25">
      <c r="B65" s="30" t="s">
        <v>2883</v>
      </c>
      <c r="C65" s="31"/>
      <c r="D65" s="31"/>
      <c r="E65" s="32"/>
    </row>
    <row r="66" spans="2:5" x14ac:dyDescent="0.25">
      <c r="B66" s="33">
        <v>47</v>
      </c>
      <c r="C66" s="34" t="s">
        <v>48</v>
      </c>
      <c r="D66" s="34" t="s">
        <v>2832</v>
      </c>
      <c r="E66" s="35" t="s">
        <v>2884</v>
      </c>
    </row>
    <row r="67" spans="2:5" x14ac:dyDescent="0.25">
      <c r="B67" s="33">
        <v>48</v>
      </c>
      <c r="C67" s="34" t="s">
        <v>49</v>
      </c>
      <c r="D67" s="34" t="s">
        <v>2829</v>
      </c>
      <c r="E67" s="35" t="s">
        <v>2885</v>
      </c>
    </row>
    <row r="68" spans="2:5" x14ac:dyDescent="0.25">
      <c r="B68" s="33">
        <v>49</v>
      </c>
      <c r="C68" s="34" t="s">
        <v>50</v>
      </c>
      <c r="D68" s="34" t="s">
        <v>2829</v>
      </c>
      <c r="E68" s="35" t="s">
        <v>2886</v>
      </c>
    </row>
    <row r="69" spans="2:5" x14ac:dyDescent="0.25">
      <c r="B69" s="33">
        <v>50</v>
      </c>
      <c r="C69" s="34" t="s">
        <v>51</v>
      </c>
      <c r="D69" s="34" t="s">
        <v>2832</v>
      </c>
      <c r="E69" s="35" t="s">
        <v>2887</v>
      </c>
    </row>
    <row r="70" spans="2:5" x14ac:dyDescent="0.25">
      <c r="B70" s="33">
        <v>51</v>
      </c>
      <c r="C70" s="34" t="s">
        <v>52</v>
      </c>
      <c r="D70" s="34" t="s">
        <v>2829</v>
      </c>
      <c r="E70" s="35" t="s">
        <v>2888</v>
      </c>
    </row>
    <row r="71" spans="2:5" x14ac:dyDescent="0.25">
      <c r="B71" s="33">
        <v>52</v>
      </c>
      <c r="C71" s="34" t="s">
        <v>53</v>
      </c>
      <c r="D71" s="34" t="s">
        <v>2832</v>
      </c>
      <c r="E71" s="35" t="s">
        <v>2889</v>
      </c>
    </row>
    <row r="72" spans="2:5" x14ac:dyDescent="0.25">
      <c r="B72" s="33">
        <v>53</v>
      </c>
      <c r="C72" s="34" t="s">
        <v>54</v>
      </c>
      <c r="D72" s="34" t="s">
        <v>2832</v>
      </c>
      <c r="E72" s="35" t="s">
        <v>2890</v>
      </c>
    </row>
    <row r="230" spans="1:53" customFormat="1" ht="276" x14ac:dyDescent="0.25">
      <c r="A230" s="36" t="s">
        <v>568</v>
      </c>
      <c r="B230" s="37"/>
      <c r="C230" s="37" t="s">
        <v>55</v>
      </c>
      <c r="D230" s="37" t="s">
        <v>252</v>
      </c>
      <c r="E230" s="38" t="s">
        <v>569</v>
      </c>
      <c r="F230" s="38" t="s">
        <v>2891</v>
      </c>
      <c r="G230" s="37" t="s">
        <v>57</v>
      </c>
      <c r="H230" s="39" t="s">
        <v>71</v>
      </c>
      <c r="I230" s="40" t="s">
        <v>167</v>
      </c>
      <c r="J230" s="40" t="s">
        <v>570</v>
      </c>
      <c r="K230" s="38" t="s">
        <v>571</v>
      </c>
      <c r="L230" s="38" t="s">
        <v>572</v>
      </c>
      <c r="M230" s="37" t="s">
        <v>149</v>
      </c>
      <c r="N230" s="37" t="s">
        <v>74</v>
      </c>
      <c r="O230" s="37" t="s">
        <v>573</v>
      </c>
      <c r="P230" s="37" t="s">
        <v>75</v>
      </c>
      <c r="Q230" s="37" t="s">
        <v>76</v>
      </c>
      <c r="R230" s="37" t="s">
        <v>90</v>
      </c>
      <c r="S230" s="38" t="s">
        <v>419</v>
      </c>
      <c r="T230" s="38" t="s">
        <v>2892</v>
      </c>
      <c r="U230" s="38" t="s">
        <v>2893</v>
      </c>
      <c r="V230" s="41" t="s">
        <v>78</v>
      </c>
      <c r="W230" s="42" t="s">
        <v>574</v>
      </c>
      <c r="X230" s="43" t="s">
        <v>575</v>
      </c>
      <c r="Y230" s="43">
        <v>1</v>
      </c>
      <c r="Z230" s="43">
        <v>1</v>
      </c>
      <c r="AA230" s="44">
        <v>9</v>
      </c>
      <c r="AB230" s="41" t="s">
        <v>2894</v>
      </c>
      <c r="AC230" s="45">
        <v>95000</v>
      </c>
      <c r="AD230" s="45" t="s">
        <v>66</v>
      </c>
      <c r="AE230" s="37" t="s">
        <v>576</v>
      </c>
      <c r="AF230" s="37" t="s">
        <v>2895</v>
      </c>
      <c r="AG230" s="46" t="s">
        <v>577</v>
      </c>
      <c r="AH230" s="46">
        <v>0.95</v>
      </c>
      <c r="AI230" s="37" t="s">
        <v>92</v>
      </c>
      <c r="AJ230" s="37"/>
      <c r="AK230" s="47"/>
      <c r="AL230" s="37" t="s">
        <v>578</v>
      </c>
      <c r="AM230" s="37" t="s">
        <v>579</v>
      </c>
      <c r="AN230" s="37"/>
      <c r="AO230" s="37"/>
      <c r="AP230" s="37"/>
      <c r="AQ230" s="37" t="s">
        <v>580</v>
      </c>
      <c r="AR230" s="48" t="s">
        <v>581</v>
      </c>
      <c r="AS230" s="37" t="s">
        <v>582</v>
      </c>
      <c r="AT230" s="37" t="s">
        <v>66</v>
      </c>
      <c r="AU230" s="41" t="s">
        <v>583</v>
      </c>
      <c r="AV230" s="37" t="s">
        <v>69</v>
      </c>
      <c r="AW230" s="37" t="s">
        <v>145</v>
      </c>
      <c r="AX230" s="37" t="s">
        <v>584</v>
      </c>
      <c r="AY230" s="37" t="s">
        <v>94</v>
      </c>
      <c r="AZ230" s="37" t="s">
        <v>585</v>
      </c>
      <c r="BA230" s="47" t="s">
        <v>586</v>
      </c>
    </row>
  </sheetData>
  <mergeCells count="11">
    <mergeCell ref="C5:E5"/>
    <mergeCell ref="B1:E1"/>
    <mergeCell ref="C3:E3"/>
    <mergeCell ref="F3:G3"/>
    <mergeCell ref="C4:E4"/>
    <mergeCell ref="F4:G4"/>
    <mergeCell ref="C6:E6"/>
    <mergeCell ref="C7:E7"/>
    <mergeCell ref="C8:E8"/>
    <mergeCell ref="C9:E9"/>
    <mergeCell ref="B12:E12"/>
  </mergeCells>
  <dataValidations disablePrompts="1" count="5">
    <dataValidation type="list" allowBlank="1" showInputMessage="1" showErrorMessage="1" sqref="R230" xr:uid="{AE0D90A6-C6CA-4687-B7EE-0EA07D2FF915}">
      <formula1>"L1, L2, L3, L4, L5"</formula1>
    </dataValidation>
    <dataValidation type="list" allowBlank="1" showInputMessage="1" showErrorMessage="1" sqref="Q230" xr:uid="{29EEF98D-CFFC-46C2-B013-91DBE370B88C}">
      <formula1>"Back Office, Voice, Blended"</formula1>
    </dataValidation>
    <dataValidation type="list" allowBlank="1" showInputMessage="1" showErrorMessage="1" sqref="G230" xr:uid="{27585557-5A58-4F4B-9260-86EC35FC1BB8}">
      <formula1>"Active, Inactive"</formula1>
    </dataValidation>
    <dataValidation type="list" allowBlank="1" showInputMessage="1" showErrorMessage="1" sqref="I230" xr:uid="{7C0AAC5C-8FA2-4856-97F0-7310133F4547}">
      <formula1>INDIRECT(SUBSTITUTE(H230, " ","_"))</formula1>
    </dataValidation>
    <dataValidation type="list" allowBlank="1" showInputMessage="1" showErrorMessage="1" sqref="J230 B230" xr:uid="{F5A63DF2-68B5-466C-907B-C4368979DFEB}">
      <formula1>INDIRECT(SUBSTITUTE(A230," ","_"))</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6F25-7B15-4C56-94A8-0CBBA65D282F}">
  <dimension ref="A2:F24"/>
  <sheetViews>
    <sheetView workbookViewId="0">
      <selection sqref="A1:XFD1"/>
    </sheetView>
  </sheetViews>
  <sheetFormatPr defaultRowHeight="15" x14ac:dyDescent="0.25"/>
  <cols>
    <col min="1" max="1" width="41.85546875" bestFit="1" customWidth="1"/>
    <col min="2" max="2" width="16.42578125" bestFit="1" customWidth="1"/>
    <col min="3" max="6" width="12.5703125" bestFit="1" customWidth="1"/>
    <col min="7" max="7" width="11.28515625" bestFit="1" customWidth="1"/>
  </cols>
  <sheetData>
    <row r="2" spans="1:6" x14ac:dyDescent="0.25">
      <c r="A2" s="1" t="s">
        <v>3134</v>
      </c>
      <c r="B2" s="1" t="s">
        <v>3133</v>
      </c>
    </row>
    <row r="3" spans="1:6" x14ac:dyDescent="0.25">
      <c r="A3" s="1" t="s">
        <v>3131</v>
      </c>
      <c r="B3" t="s">
        <v>3130</v>
      </c>
      <c r="C3" t="s">
        <v>3127</v>
      </c>
      <c r="D3" t="s">
        <v>3129</v>
      </c>
      <c r="E3" t="s">
        <v>3128</v>
      </c>
      <c r="F3" t="s">
        <v>3132</v>
      </c>
    </row>
    <row r="4" spans="1:6" x14ac:dyDescent="0.25">
      <c r="A4" s="2" t="s">
        <v>58</v>
      </c>
      <c r="B4" s="4">
        <v>13</v>
      </c>
      <c r="C4" s="4">
        <v>1855.4287851994361</v>
      </c>
      <c r="D4" s="4">
        <v>3498.24</v>
      </c>
      <c r="E4" s="4">
        <v>477.97999999999996</v>
      </c>
      <c r="F4" s="4">
        <v>5844.6487851994343</v>
      </c>
    </row>
    <row r="5" spans="1:6" x14ac:dyDescent="0.25">
      <c r="A5" s="3" t="s">
        <v>881</v>
      </c>
      <c r="B5" s="4"/>
      <c r="C5" s="4">
        <v>102.41874512495254</v>
      </c>
      <c r="D5" s="4">
        <v>178.76999999999998</v>
      </c>
      <c r="E5" s="4">
        <v>2.09</v>
      </c>
      <c r="F5" s="4">
        <v>283.27874512495248</v>
      </c>
    </row>
    <row r="6" spans="1:6" x14ac:dyDescent="0.25">
      <c r="A6" s="3" t="s">
        <v>146</v>
      </c>
      <c r="B6" s="4">
        <v>13</v>
      </c>
      <c r="C6" s="4">
        <v>761.42415291352347</v>
      </c>
      <c r="D6" s="4">
        <v>3231.74</v>
      </c>
      <c r="E6" s="4">
        <v>446.44</v>
      </c>
      <c r="F6" s="4">
        <v>4452.6041529135227</v>
      </c>
    </row>
    <row r="7" spans="1:6" x14ac:dyDescent="0.25">
      <c r="A7" s="3" t="s">
        <v>163</v>
      </c>
      <c r="B7" s="4"/>
      <c r="C7" s="4">
        <v>200.29462689772603</v>
      </c>
      <c r="D7" s="4">
        <v>39.200000000000003</v>
      </c>
      <c r="E7" s="4">
        <v>19.59</v>
      </c>
      <c r="F7" s="4">
        <v>259.08462689772603</v>
      </c>
    </row>
    <row r="8" spans="1:6" x14ac:dyDescent="0.25">
      <c r="A8" s="3" t="s">
        <v>396</v>
      </c>
      <c r="B8" s="4"/>
      <c r="C8" s="4">
        <v>572.94638846836233</v>
      </c>
      <c r="D8" s="4">
        <v>36.529999999999994</v>
      </c>
      <c r="E8" s="4">
        <v>6.18</v>
      </c>
      <c r="F8" s="4">
        <v>615.65638846836225</v>
      </c>
    </row>
    <row r="9" spans="1:6" x14ac:dyDescent="0.25">
      <c r="A9" s="3" t="s">
        <v>59</v>
      </c>
      <c r="B9" s="4"/>
      <c r="C9" s="4">
        <v>218.34487179487181</v>
      </c>
      <c r="D9" s="4">
        <v>12</v>
      </c>
      <c r="E9" s="4">
        <v>3.6799999999999997</v>
      </c>
      <c r="F9" s="4">
        <v>234.02487179487181</v>
      </c>
    </row>
    <row r="10" spans="1:6" x14ac:dyDescent="0.25">
      <c r="A10" s="2" t="s">
        <v>233</v>
      </c>
      <c r="B10" s="4"/>
      <c r="C10" s="4">
        <v>31</v>
      </c>
      <c r="D10" s="4"/>
      <c r="E10" s="4"/>
      <c r="F10" s="4">
        <v>31</v>
      </c>
    </row>
    <row r="11" spans="1:6" x14ac:dyDescent="0.25">
      <c r="A11" s="3" t="s">
        <v>884</v>
      </c>
      <c r="B11" s="4"/>
      <c r="C11" s="4">
        <v>19</v>
      </c>
      <c r="D11" s="4"/>
      <c r="E11" s="4"/>
      <c r="F11" s="4">
        <v>19</v>
      </c>
    </row>
    <row r="12" spans="1:6" x14ac:dyDescent="0.25">
      <c r="A12" s="3" t="s">
        <v>234</v>
      </c>
      <c r="B12" s="4"/>
      <c r="C12" s="4">
        <v>12</v>
      </c>
      <c r="D12" s="4"/>
      <c r="E12" s="4"/>
      <c r="F12" s="4">
        <v>12</v>
      </c>
    </row>
    <row r="13" spans="1:6" x14ac:dyDescent="0.25">
      <c r="A13" s="2" t="s">
        <v>480</v>
      </c>
      <c r="B13" s="4">
        <v>20</v>
      </c>
      <c r="C13" s="4">
        <v>110</v>
      </c>
      <c r="D13" s="4">
        <v>345</v>
      </c>
      <c r="E13" s="4">
        <v>447</v>
      </c>
      <c r="F13" s="4">
        <v>922</v>
      </c>
    </row>
    <row r="14" spans="1:6" x14ac:dyDescent="0.25">
      <c r="A14" s="3" t="s">
        <v>481</v>
      </c>
      <c r="B14" s="4">
        <v>20</v>
      </c>
      <c r="C14" s="4">
        <v>110</v>
      </c>
      <c r="D14" s="4">
        <v>345</v>
      </c>
      <c r="E14" s="4">
        <v>65</v>
      </c>
      <c r="F14" s="4">
        <v>540</v>
      </c>
    </row>
    <row r="15" spans="1:6" x14ac:dyDescent="0.25">
      <c r="A15" s="3" t="s">
        <v>807</v>
      </c>
      <c r="B15" s="4"/>
      <c r="C15" s="4"/>
      <c r="D15" s="4"/>
      <c r="E15" s="4">
        <v>382</v>
      </c>
      <c r="F15" s="4">
        <v>382</v>
      </c>
    </row>
    <row r="16" spans="1:6" x14ac:dyDescent="0.25">
      <c r="A16" s="2" t="s">
        <v>71</v>
      </c>
      <c r="B16" s="4"/>
      <c r="C16" s="4">
        <v>2147.3888382842097</v>
      </c>
      <c r="D16" s="4">
        <v>6</v>
      </c>
      <c r="E16" s="4">
        <v>109</v>
      </c>
      <c r="F16" s="4">
        <v>2262.3888382842097</v>
      </c>
    </row>
    <row r="17" spans="1:6" x14ac:dyDescent="0.25">
      <c r="A17" s="3" t="s">
        <v>167</v>
      </c>
      <c r="B17" s="4"/>
      <c r="C17" s="4">
        <v>49.51</v>
      </c>
      <c r="D17" s="4"/>
      <c r="E17" s="4"/>
      <c r="F17" s="4">
        <v>49.51</v>
      </c>
    </row>
    <row r="18" spans="1:6" x14ac:dyDescent="0.25">
      <c r="A18" s="3" t="s">
        <v>292</v>
      </c>
      <c r="B18" s="4"/>
      <c r="C18" s="4">
        <v>411.46000000000004</v>
      </c>
      <c r="D18" s="4"/>
      <c r="E18" s="4">
        <v>0</v>
      </c>
      <c r="F18" s="4">
        <v>411.46000000000004</v>
      </c>
    </row>
    <row r="19" spans="1:6" x14ac:dyDescent="0.25">
      <c r="A19" s="3" t="s">
        <v>102</v>
      </c>
      <c r="B19" s="4"/>
      <c r="C19" s="4">
        <v>492.86374476905019</v>
      </c>
      <c r="D19" s="4"/>
      <c r="E19" s="4"/>
      <c r="F19" s="4">
        <v>492.86374476905019</v>
      </c>
    </row>
    <row r="20" spans="1:6" x14ac:dyDescent="0.25">
      <c r="A20" s="3" t="s">
        <v>112</v>
      </c>
      <c r="B20" s="4"/>
      <c r="C20" s="4">
        <v>925.35497679069113</v>
      </c>
      <c r="D20" s="4">
        <v>5</v>
      </c>
      <c r="E20" s="4">
        <v>109</v>
      </c>
      <c r="F20" s="4">
        <v>1039.3549767906911</v>
      </c>
    </row>
    <row r="21" spans="1:6" x14ac:dyDescent="0.25">
      <c r="A21" s="3" t="s">
        <v>1547</v>
      </c>
      <c r="B21" s="4"/>
      <c r="C21" s="4">
        <v>29.93</v>
      </c>
      <c r="D21" s="4"/>
      <c r="E21" s="4"/>
      <c r="F21" s="4">
        <v>29.93</v>
      </c>
    </row>
    <row r="22" spans="1:6" x14ac:dyDescent="0.25">
      <c r="A22" s="3" t="s">
        <v>2702</v>
      </c>
      <c r="B22" s="4"/>
      <c r="C22" s="4">
        <v>238.27011672446818</v>
      </c>
      <c r="D22" s="4"/>
      <c r="E22" s="4"/>
      <c r="F22" s="4">
        <v>238.27011672446818</v>
      </c>
    </row>
    <row r="23" spans="1:6" x14ac:dyDescent="0.25">
      <c r="A23" s="3" t="s">
        <v>72</v>
      </c>
      <c r="B23" s="4"/>
      <c r="C23" s="4"/>
      <c r="D23" s="4">
        <v>1</v>
      </c>
      <c r="E23" s="4"/>
      <c r="F23" s="4">
        <v>1</v>
      </c>
    </row>
    <row r="24" spans="1:6" x14ac:dyDescent="0.25">
      <c r="A24" s="2" t="s">
        <v>3132</v>
      </c>
      <c r="B24" s="4">
        <v>33</v>
      </c>
      <c r="C24" s="4">
        <v>4143.8176234836455</v>
      </c>
      <c r="D24" s="4">
        <v>3849.24</v>
      </c>
      <c r="E24" s="4">
        <v>1033.98</v>
      </c>
      <c r="F24" s="4">
        <v>9060.037623483644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AA2D-EB9C-493A-836D-E59702ADE193}">
  <sheetPr filterMode="1"/>
  <dimension ref="A1:BD812"/>
  <sheetViews>
    <sheetView tabSelected="1" topLeftCell="N1" zoomScale="85" zoomScaleNormal="90" workbookViewId="0">
      <pane ySplit="2" topLeftCell="A280" activePane="bottomLeft" state="frozen"/>
      <selection pane="bottomLeft" activeCell="M144" sqref="M144"/>
    </sheetView>
  </sheetViews>
  <sheetFormatPr defaultColWidth="56.28515625" defaultRowHeight="15" x14ac:dyDescent="0.25"/>
  <cols>
    <col min="1" max="1" width="10.5703125" bestFit="1" customWidth="1"/>
    <col min="2" max="2" width="34.42578125" bestFit="1" customWidth="1"/>
    <col min="3" max="3" width="18" bestFit="1" customWidth="1"/>
    <col min="4" max="4" width="22.28515625" bestFit="1" customWidth="1"/>
    <col min="5" max="5" width="22.28515625" customWidth="1"/>
    <col min="6" max="6" width="22.28515625" bestFit="1" customWidth="1"/>
    <col min="7" max="7" width="27.7109375" bestFit="1" customWidth="1"/>
    <col min="8" max="8" width="15.140625" bestFit="1" customWidth="1"/>
    <col min="9" max="9" width="13.7109375" bestFit="1" customWidth="1"/>
    <col min="10" max="10" width="20.85546875" bestFit="1" customWidth="1"/>
    <col min="11" max="11" width="41.140625" bestFit="1" customWidth="1"/>
    <col min="13" max="13" width="70.42578125" customWidth="1"/>
    <col min="14" max="14" width="17.42578125" customWidth="1"/>
    <col min="15" max="15" width="20" customWidth="1"/>
    <col min="16" max="16" width="13.85546875" customWidth="1"/>
    <col min="17" max="17" width="12.7109375" customWidth="1"/>
    <col min="18" max="18" width="11" customWidth="1"/>
    <col min="19" max="19" width="17.28515625" customWidth="1"/>
    <col min="20" max="20" width="38.28515625" customWidth="1"/>
    <col min="21" max="21" width="33.85546875" customWidth="1"/>
    <col min="22" max="22" width="23.140625" customWidth="1"/>
    <col min="23" max="23" width="16" customWidth="1"/>
    <col min="24" max="24" width="17.140625" customWidth="1"/>
    <col min="25" max="25" width="12.85546875" customWidth="1"/>
    <col min="26" max="26" width="13.5703125" customWidth="1"/>
    <col min="27" max="27" width="19.5703125" customWidth="1"/>
    <col min="28" max="28" width="11.42578125" customWidth="1"/>
    <col min="29" max="29" width="35" customWidth="1"/>
    <col min="30" max="30" width="11.7109375" customWidth="1"/>
    <col min="31" max="31" width="10.28515625" customWidth="1"/>
    <col min="32" max="32" width="24.85546875" bestFit="1" customWidth="1"/>
    <col min="33" max="33" width="32.42578125" bestFit="1" customWidth="1"/>
    <col min="34" max="34" width="21.140625" bestFit="1" customWidth="1"/>
    <col min="35" max="35" width="31" customWidth="1"/>
    <col min="36" max="36" width="50.42578125" customWidth="1"/>
    <col min="37" max="37" width="21" customWidth="1"/>
    <col min="38" max="38" width="20.85546875" bestFit="1" customWidth="1"/>
    <col min="39" max="39" width="21.28515625" bestFit="1" customWidth="1"/>
    <col min="40" max="40" width="21.7109375" bestFit="1" customWidth="1"/>
    <col min="41" max="41" width="29.28515625" bestFit="1" customWidth="1"/>
    <col min="42" max="42" width="44.7109375" bestFit="1" customWidth="1"/>
    <col min="43" max="43" width="36.7109375" bestFit="1" customWidth="1"/>
    <col min="44" max="44" width="33.5703125" bestFit="1" customWidth="1"/>
    <col min="45" max="45" width="27.42578125" bestFit="1" customWidth="1"/>
    <col min="46" max="46" width="41.42578125" bestFit="1" customWidth="1"/>
    <col min="47" max="47" width="30.5703125" bestFit="1" customWidth="1"/>
    <col min="48" max="48" width="18.85546875" bestFit="1" customWidth="1"/>
    <col min="49" max="49" width="40.7109375" bestFit="1" customWidth="1"/>
    <col min="50" max="50" width="31.42578125" bestFit="1" customWidth="1"/>
    <col min="51" max="51" width="36" bestFit="1" customWidth="1"/>
    <col min="52" max="52" width="30.5703125" bestFit="1" customWidth="1"/>
    <col min="53" max="53" width="21" bestFit="1" customWidth="1"/>
    <col min="54" max="54" width="15" bestFit="1" customWidth="1"/>
    <col min="55" max="55" width="25" bestFit="1" customWidth="1"/>
    <col min="56" max="56" width="56.140625" bestFit="1" customWidth="1"/>
  </cols>
  <sheetData>
    <row r="1" spans="1:56" x14ac:dyDescent="0.25">
      <c r="A1" s="84" t="s">
        <v>0</v>
      </c>
      <c r="B1" s="85" t="s">
        <v>1</v>
      </c>
      <c r="C1" s="85" t="s">
        <v>2</v>
      </c>
      <c r="D1" s="85" t="s">
        <v>3</v>
      </c>
      <c r="E1" s="97" t="s">
        <v>3123</v>
      </c>
      <c r="F1" s="85" t="s">
        <v>4</v>
      </c>
      <c r="G1" s="85" t="s">
        <v>5</v>
      </c>
      <c r="H1" s="85" t="s">
        <v>6</v>
      </c>
      <c r="I1" s="85" t="s">
        <v>7</v>
      </c>
      <c r="J1" s="85" t="s">
        <v>8</v>
      </c>
      <c r="K1" s="85" t="s">
        <v>9</v>
      </c>
      <c r="L1" s="85" t="s">
        <v>10</v>
      </c>
      <c r="M1" s="85" t="s">
        <v>11</v>
      </c>
      <c r="N1" s="85" t="s">
        <v>12</v>
      </c>
      <c r="O1" s="85" t="s">
        <v>13</v>
      </c>
      <c r="P1" s="85" t="s">
        <v>14</v>
      </c>
      <c r="Q1" s="85" t="s">
        <v>15</v>
      </c>
      <c r="R1" s="85" t="s">
        <v>16</v>
      </c>
      <c r="S1" s="85" t="s">
        <v>17</v>
      </c>
      <c r="T1" s="85" t="s">
        <v>18</v>
      </c>
      <c r="U1" s="85" t="s">
        <v>19</v>
      </c>
      <c r="V1" s="85" t="s">
        <v>20</v>
      </c>
      <c r="W1" s="84" t="s">
        <v>21</v>
      </c>
      <c r="X1" s="85" t="s">
        <v>22</v>
      </c>
      <c r="Y1" s="85" t="s">
        <v>23</v>
      </c>
      <c r="Z1" s="85" t="s">
        <v>24</v>
      </c>
      <c r="AA1" s="85" t="s">
        <v>25</v>
      </c>
      <c r="AB1" s="85" t="s">
        <v>26</v>
      </c>
      <c r="AC1" s="86" t="s">
        <v>27</v>
      </c>
      <c r="AD1" s="87" t="s">
        <v>28</v>
      </c>
      <c r="AE1" s="87" t="s">
        <v>29</v>
      </c>
      <c r="AF1" s="85" t="s">
        <v>30</v>
      </c>
      <c r="AG1" s="85" t="s">
        <v>31</v>
      </c>
      <c r="AH1" s="85" t="s">
        <v>32</v>
      </c>
      <c r="AI1" s="85" t="s">
        <v>33</v>
      </c>
      <c r="AJ1" s="85" t="s">
        <v>34</v>
      </c>
      <c r="AK1" s="85" t="s">
        <v>35</v>
      </c>
      <c r="AL1" s="85" t="s">
        <v>36</v>
      </c>
      <c r="AM1" s="85" t="s">
        <v>37</v>
      </c>
      <c r="AN1" s="88" t="s">
        <v>38</v>
      </c>
      <c r="AO1" s="84" t="s">
        <v>39</v>
      </c>
      <c r="AP1" s="85" t="s">
        <v>40</v>
      </c>
      <c r="AQ1" s="85" t="s">
        <v>41</v>
      </c>
      <c r="AR1" s="85" t="s">
        <v>42</v>
      </c>
      <c r="AS1" s="85" t="s">
        <v>43</v>
      </c>
      <c r="AT1" s="85" t="s">
        <v>44</v>
      </c>
      <c r="AU1" s="85" t="s">
        <v>45</v>
      </c>
      <c r="AV1" s="85" t="s">
        <v>46</v>
      </c>
      <c r="AW1" s="85" t="s">
        <v>47</v>
      </c>
      <c r="AX1" s="89" t="s">
        <v>48</v>
      </c>
      <c r="AY1" s="90" t="s">
        <v>49</v>
      </c>
      <c r="AZ1" s="90" t="s">
        <v>50</v>
      </c>
      <c r="BA1" s="90" t="s">
        <v>51</v>
      </c>
      <c r="BB1" s="90" t="s">
        <v>52</v>
      </c>
      <c r="BC1" s="90" t="s">
        <v>53</v>
      </c>
      <c r="BD1" s="91" t="s">
        <v>54</v>
      </c>
    </row>
    <row r="2" spans="1:56" hidden="1" x14ac:dyDescent="0.25">
      <c r="A2" s="92" t="s">
        <v>2832</v>
      </c>
      <c r="B2" s="92" t="s">
        <v>2832</v>
      </c>
      <c r="C2" s="93" t="s">
        <v>2829</v>
      </c>
      <c r="D2" s="93" t="s">
        <v>2829</v>
      </c>
      <c r="E2" s="98" t="s">
        <v>3371</v>
      </c>
      <c r="F2" s="92" t="s">
        <v>2832</v>
      </c>
      <c r="G2" s="92" t="s">
        <v>2832</v>
      </c>
      <c r="H2" s="93" t="s">
        <v>2829</v>
      </c>
      <c r="I2" s="93" t="s">
        <v>2829</v>
      </c>
      <c r="J2" s="93" t="s">
        <v>2829</v>
      </c>
      <c r="K2" s="93" t="s">
        <v>2829</v>
      </c>
      <c r="L2" s="92" t="s">
        <v>2832</v>
      </c>
      <c r="M2" s="92" t="s">
        <v>2832</v>
      </c>
      <c r="N2" s="93" t="s">
        <v>2829</v>
      </c>
      <c r="O2" s="93" t="s">
        <v>2829</v>
      </c>
      <c r="P2" s="92" t="s">
        <v>2832</v>
      </c>
      <c r="Q2" s="93" t="s">
        <v>2829</v>
      </c>
      <c r="R2" s="93" t="s">
        <v>2829</v>
      </c>
      <c r="S2" s="93" t="s">
        <v>2829</v>
      </c>
      <c r="T2" s="92" t="s">
        <v>2832</v>
      </c>
      <c r="U2" s="94" t="s">
        <v>2832</v>
      </c>
      <c r="V2" s="94" t="s">
        <v>2832</v>
      </c>
      <c r="W2" s="93" t="s">
        <v>2829</v>
      </c>
      <c r="X2" s="93" t="s">
        <v>2829</v>
      </c>
      <c r="Y2" s="92" t="s">
        <v>2832</v>
      </c>
      <c r="Z2" s="92" t="s">
        <v>2832</v>
      </c>
      <c r="AA2" s="92" t="s">
        <v>2832</v>
      </c>
      <c r="AB2" s="92" t="s">
        <v>2832</v>
      </c>
      <c r="AC2" s="92" t="s">
        <v>2832</v>
      </c>
      <c r="AD2" s="92" t="s">
        <v>2832</v>
      </c>
      <c r="AE2" s="92" t="s">
        <v>2832</v>
      </c>
      <c r="AF2" s="92" t="s">
        <v>2832</v>
      </c>
      <c r="AG2" s="92" t="s">
        <v>2832</v>
      </c>
      <c r="AH2" s="92" t="s">
        <v>2832</v>
      </c>
      <c r="AI2" s="92" t="s">
        <v>2832</v>
      </c>
      <c r="AJ2" s="92" t="s">
        <v>2832</v>
      </c>
      <c r="AK2" s="92" t="s">
        <v>2832</v>
      </c>
      <c r="AL2" s="93" t="s">
        <v>2829</v>
      </c>
      <c r="AM2" s="92" t="s">
        <v>2832</v>
      </c>
      <c r="AN2" s="92" t="s">
        <v>2832</v>
      </c>
      <c r="AO2" s="92" t="s">
        <v>2832</v>
      </c>
      <c r="AP2" s="92" t="s">
        <v>2832</v>
      </c>
      <c r="AQ2" s="92" t="s">
        <v>2832</v>
      </c>
      <c r="AR2" s="92" t="s">
        <v>2832</v>
      </c>
      <c r="AS2" s="92" t="s">
        <v>2832</v>
      </c>
      <c r="AT2" s="92" t="s">
        <v>2832</v>
      </c>
      <c r="AU2" s="92" t="s">
        <v>2832</v>
      </c>
      <c r="AV2" s="92" t="s">
        <v>2832</v>
      </c>
      <c r="AW2" s="92" t="s">
        <v>2832</v>
      </c>
      <c r="AX2" s="92" t="s">
        <v>2832</v>
      </c>
      <c r="AY2" s="92" t="s">
        <v>2832</v>
      </c>
      <c r="AZ2" s="93" t="s">
        <v>2829</v>
      </c>
      <c r="BA2" s="92" t="s">
        <v>2832</v>
      </c>
      <c r="BB2" s="92" t="s">
        <v>2832</v>
      </c>
      <c r="BC2" s="92" t="s">
        <v>2832</v>
      </c>
      <c r="BD2" s="95" t="s">
        <v>2832</v>
      </c>
    </row>
    <row r="3" spans="1:56" ht="48" hidden="1" x14ac:dyDescent="0.25">
      <c r="A3" s="78" t="s">
        <v>1002</v>
      </c>
      <c r="B3" s="5" t="s">
        <v>1003</v>
      </c>
      <c r="C3" s="5" t="s">
        <v>55</v>
      </c>
      <c r="D3" s="5" t="s">
        <v>448</v>
      </c>
      <c r="E3" s="99" t="str">
        <f>VLOOKUP(D3,'Dropdown List'!$F$26:$G$40,2,0)</f>
        <v>Philippines</v>
      </c>
      <c r="F3" s="8" t="s">
        <v>1004</v>
      </c>
      <c r="G3" s="96" t="s">
        <v>3730</v>
      </c>
      <c r="H3" s="5" t="s">
        <v>57</v>
      </c>
      <c r="I3" s="8" t="s">
        <v>58</v>
      </c>
      <c r="J3" s="8" t="s">
        <v>146</v>
      </c>
      <c r="K3" s="8" t="s">
        <v>154</v>
      </c>
      <c r="L3" s="8" t="s">
        <v>3738</v>
      </c>
      <c r="M3" s="8" t="s">
        <v>3739</v>
      </c>
      <c r="N3" s="5" t="s">
        <v>319</v>
      </c>
      <c r="O3" s="5" t="s">
        <v>89</v>
      </c>
      <c r="P3" s="5" t="s">
        <v>89</v>
      </c>
      <c r="Q3" s="9" t="s">
        <v>75</v>
      </c>
      <c r="R3" s="5" t="s">
        <v>132</v>
      </c>
      <c r="S3" s="5" t="s">
        <v>64</v>
      </c>
      <c r="T3" s="96">
        <v>4</v>
      </c>
      <c r="U3" s="96">
        <v>6</v>
      </c>
      <c r="V3" s="96">
        <v>16</v>
      </c>
      <c r="W3" s="5" t="s">
        <v>78</v>
      </c>
      <c r="X3" s="10" t="s">
        <v>79</v>
      </c>
      <c r="Y3" s="11">
        <v>4372</v>
      </c>
      <c r="Z3" s="12">
        <v>30</v>
      </c>
      <c r="AA3" s="12">
        <v>10</v>
      </c>
      <c r="AB3" s="12">
        <v>4</v>
      </c>
      <c r="AC3" s="13">
        <v>30</v>
      </c>
      <c r="AD3" s="14">
        <f t="shared" ref="AD3:AD10" si="0">SUM(Z3:AC3)</f>
        <v>74</v>
      </c>
      <c r="AE3" s="15">
        <f t="shared" ref="AE3:AE10" si="1">AC3/AD3</f>
        <v>0.40540540540540543</v>
      </c>
      <c r="AF3" s="16"/>
      <c r="AG3" s="16"/>
      <c r="AH3" s="17"/>
      <c r="AI3" s="18" t="s">
        <v>3731</v>
      </c>
      <c r="AJ3" s="19"/>
      <c r="AK3" s="20" t="s">
        <v>3732</v>
      </c>
      <c r="AL3" s="17" t="s">
        <v>261</v>
      </c>
      <c r="AM3" s="5"/>
      <c r="AN3" s="5"/>
      <c r="AO3" s="5" t="s">
        <v>1006</v>
      </c>
      <c r="AP3" s="5"/>
      <c r="AQ3" s="5"/>
      <c r="AR3" s="5"/>
      <c r="AS3" s="5"/>
      <c r="AT3" s="5"/>
      <c r="AU3" s="5"/>
      <c r="AV3" s="5"/>
      <c r="AW3" s="5"/>
      <c r="AX3" s="5" t="s">
        <v>206</v>
      </c>
      <c r="AY3" s="5" t="s">
        <v>1007</v>
      </c>
      <c r="AZ3" s="5" t="s">
        <v>70</v>
      </c>
      <c r="BA3" s="19"/>
      <c r="BB3" s="17" t="s">
        <v>69</v>
      </c>
      <c r="BC3" s="5" t="s">
        <v>1008</v>
      </c>
      <c r="BD3" s="5" t="s">
        <v>1009</v>
      </c>
    </row>
    <row r="4" spans="1:56" ht="48" hidden="1" x14ac:dyDescent="0.25">
      <c r="A4" s="78" t="s">
        <v>1002</v>
      </c>
      <c r="B4" s="5" t="s">
        <v>1003</v>
      </c>
      <c r="C4" s="5" t="s">
        <v>55</v>
      </c>
      <c r="D4" s="5" t="s">
        <v>3369</v>
      </c>
      <c r="E4" s="99" t="str">
        <f>VLOOKUP(D4,'Dropdown List'!$F$26:$G$40,2,0)</f>
        <v>Philippines</v>
      </c>
      <c r="F4" s="8" t="s">
        <v>1004</v>
      </c>
      <c r="G4" s="96" t="s">
        <v>3730</v>
      </c>
      <c r="H4" s="5" t="s">
        <v>57</v>
      </c>
      <c r="I4" s="8" t="s">
        <v>58</v>
      </c>
      <c r="J4" s="8" t="s">
        <v>146</v>
      </c>
      <c r="K4" s="8" t="s">
        <v>154</v>
      </c>
      <c r="L4" s="8" t="s">
        <v>3738</v>
      </c>
      <c r="M4" s="8" t="s">
        <v>3739</v>
      </c>
      <c r="N4" s="5" t="s">
        <v>319</v>
      </c>
      <c r="O4" s="5" t="s">
        <v>89</v>
      </c>
      <c r="P4" s="5" t="s">
        <v>89</v>
      </c>
      <c r="Q4" s="9" t="s">
        <v>75</v>
      </c>
      <c r="R4" s="5" t="s">
        <v>132</v>
      </c>
      <c r="S4" s="5" t="s">
        <v>64</v>
      </c>
      <c r="T4" s="96">
        <v>4</v>
      </c>
      <c r="U4" s="96">
        <v>6</v>
      </c>
      <c r="V4" s="96">
        <v>16</v>
      </c>
      <c r="W4" s="5" t="s">
        <v>78</v>
      </c>
      <c r="X4" s="10" t="s">
        <v>79</v>
      </c>
      <c r="Y4" s="11">
        <v>4372</v>
      </c>
      <c r="Z4" s="12">
        <v>75</v>
      </c>
      <c r="AA4" s="12">
        <v>10</v>
      </c>
      <c r="AB4" s="12">
        <v>7</v>
      </c>
      <c r="AC4" s="13">
        <v>30</v>
      </c>
      <c r="AD4" s="14">
        <f t="shared" si="0"/>
        <v>122</v>
      </c>
      <c r="AE4" s="15">
        <f t="shared" si="1"/>
        <v>0.24590163934426229</v>
      </c>
      <c r="AF4" s="16"/>
      <c r="AG4" s="16"/>
      <c r="AH4" s="17"/>
      <c r="AI4" s="18" t="s">
        <v>3731</v>
      </c>
      <c r="AJ4" s="19"/>
      <c r="AK4" s="20" t="s">
        <v>3732</v>
      </c>
      <c r="AL4" s="17" t="s">
        <v>261</v>
      </c>
      <c r="AM4" s="5"/>
      <c r="AN4" s="5"/>
      <c r="AO4" s="5" t="s">
        <v>1006</v>
      </c>
      <c r="AP4" s="5"/>
      <c r="AQ4" s="5"/>
      <c r="AR4" s="5"/>
      <c r="AS4" s="5"/>
      <c r="AT4" s="5"/>
      <c r="AU4" s="5"/>
      <c r="AV4" s="5"/>
      <c r="AW4" s="5"/>
      <c r="AX4" s="5" t="s">
        <v>206</v>
      </c>
      <c r="AY4" s="5" t="s">
        <v>1007</v>
      </c>
      <c r="AZ4" s="5" t="s">
        <v>70</v>
      </c>
      <c r="BA4" s="19"/>
      <c r="BB4" s="17" t="s">
        <v>69</v>
      </c>
      <c r="BC4" s="5" t="s">
        <v>1008</v>
      </c>
      <c r="BD4" s="5" t="s">
        <v>1009</v>
      </c>
    </row>
    <row r="5" spans="1:56" ht="36" hidden="1" x14ac:dyDescent="0.25">
      <c r="A5" s="78" t="s">
        <v>1002</v>
      </c>
      <c r="B5" s="5" t="s">
        <v>1003</v>
      </c>
      <c r="C5" s="5" t="s">
        <v>55</v>
      </c>
      <c r="D5" s="5" t="s">
        <v>448</v>
      </c>
      <c r="E5" s="99" t="str">
        <f>VLOOKUP(D5,'Dropdown List'!$F$26:$G$40,2,0)</f>
        <v>Philippines</v>
      </c>
      <c r="F5" s="8" t="s">
        <v>3734</v>
      </c>
      <c r="G5" s="96" t="s">
        <v>3730</v>
      </c>
      <c r="H5" s="5" t="s">
        <v>57</v>
      </c>
      <c r="I5" s="8" t="s">
        <v>58</v>
      </c>
      <c r="J5" s="8" t="s">
        <v>146</v>
      </c>
      <c r="K5" s="8" t="s">
        <v>154</v>
      </c>
      <c r="L5" s="8" t="s">
        <v>3740</v>
      </c>
      <c r="M5" s="8" t="s">
        <v>3741</v>
      </c>
      <c r="N5" s="5" t="s">
        <v>319</v>
      </c>
      <c r="O5" s="5" t="s">
        <v>74</v>
      </c>
      <c r="P5" s="5" t="s">
        <v>74</v>
      </c>
      <c r="Q5" s="9" t="s">
        <v>75</v>
      </c>
      <c r="R5" s="5" t="s">
        <v>132</v>
      </c>
      <c r="S5" s="5" t="s">
        <v>64</v>
      </c>
      <c r="T5" s="96">
        <v>4</v>
      </c>
      <c r="U5" s="96">
        <v>6</v>
      </c>
      <c r="V5" s="96">
        <v>11</v>
      </c>
      <c r="W5" s="5" t="s">
        <v>78</v>
      </c>
      <c r="X5" s="10" t="s">
        <v>79</v>
      </c>
      <c r="Y5" s="11">
        <v>4372</v>
      </c>
      <c r="Z5" s="12">
        <v>30</v>
      </c>
      <c r="AA5" s="12">
        <v>5</v>
      </c>
      <c r="AB5" s="12">
        <v>2</v>
      </c>
      <c r="AC5" s="13">
        <v>3</v>
      </c>
      <c r="AD5" s="14">
        <f t="shared" si="0"/>
        <v>40</v>
      </c>
      <c r="AE5" s="15">
        <f t="shared" si="1"/>
        <v>7.4999999999999997E-2</v>
      </c>
      <c r="AF5" s="16"/>
      <c r="AG5" s="16"/>
      <c r="AH5" s="17"/>
      <c r="AI5" s="18" t="s">
        <v>3731</v>
      </c>
      <c r="AJ5" s="19"/>
      <c r="AK5" s="20" t="s">
        <v>3732</v>
      </c>
      <c r="AL5" s="17" t="s">
        <v>261</v>
      </c>
      <c r="AM5" s="5"/>
      <c r="AN5" s="5"/>
      <c r="AO5" s="5" t="s">
        <v>1006</v>
      </c>
      <c r="AP5" s="5"/>
      <c r="AQ5" s="5"/>
      <c r="AR5" s="5"/>
      <c r="AS5" s="5"/>
      <c r="AT5" s="5"/>
      <c r="AU5" s="5"/>
      <c r="AV5" s="5"/>
      <c r="AW5" s="5"/>
      <c r="AX5" s="5" t="s">
        <v>206</v>
      </c>
      <c r="AY5" s="5" t="s">
        <v>1007</v>
      </c>
      <c r="AZ5" s="5" t="s">
        <v>70</v>
      </c>
      <c r="BA5" s="19"/>
      <c r="BB5" s="17" t="s">
        <v>69</v>
      </c>
      <c r="BC5" s="5" t="s">
        <v>1008</v>
      </c>
      <c r="BD5" s="5" t="s">
        <v>1009</v>
      </c>
    </row>
    <row r="6" spans="1:56" ht="36" hidden="1" x14ac:dyDescent="0.25">
      <c r="A6" s="78" t="s">
        <v>1002</v>
      </c>
      <c r="B6" s="5" t="s">
        <v>1003</v>
      </c>
      <c r="C6" s="5" t="s">
        <v>55</v>
      </c>
      <c r="D6" s="5" t="s">
        <v>3369</v>
      </c>
      <c r="E6" s="99" t="str">
        <f>VLOOKUP(D6,'Dropdown List'!$F$26:$G$40,2,0)</f>
        <v>Philippines</v>
      </c>
      <c r="F6" s="8" t="s">
        <v>3734</v>
      </c>
      <c r="G6" s="96" t="s">
        <v>3730</v>
      </c>
      <c r="H6" s="5" t="s">
        <v>57</v>
      </c>
      <c r="I6" s="8" t="s">
        <v>58</v>
      </c>
      <c r="J6" s="8" t="s">
        <v>146</v>
      </c>
      <c r="K6" s="8" t="s">
        <v>154</v>
      </c>
      <c r="L6" s="8" t="s">
        <v>3740</v>
      </c>
      <c r="M6" s="8" t="s">
        <v>3741</v>
      </c>
      <c r="N6" s="5" t="s">
        <v>319</v>
      </c>
      <c r="O6" s="5" t="s">
        <v>74</v>
      </c>
      <c r="P6" s="5" t="s">
        <v>74</v>
      </c>
      <c r="Q6" s="9" t="s">
        <v>75</v>
      </c>
      <c r="R6" s="5" t="s">
        <v>132</v>
      </c>
      <c r="S6" s="5" t="s">
        <v>64</v>
      </c>
      <c r="T6" s="96">
        <v>4</v>
      </c>
      <c r="U6" s="96">
        <v>6</v>
      </c>
      <c r="V6" s="96">
        <v>11</v>
      </c>
      <c r="W6" s="5" t="s">
        <v>78</v>
      </c>
      <c r="X6" s="10" t="s">
        <v>79</v>
      </c>
      <c r="Y6" s="11">
        <v>4372</v>
      </c>
      <c r="Z6" s="12">
        <v>25</v>
      </c>
      <c r="AA6" s="12">
        <v>5</v>
      </c>
      <c r="AB6" s="12">
        <v>2</v>
      </c>
      <c r="AC6" s="13">
        <v>3</v>
      </c>
      <c r="AD6" s="14">
        <f t="shared" si="0"/>
        <v>35</v>
      </c>
      <c r="AE6" s="15">
        <f t="shared" si="1"/>
        <v>8.5714285714285715E-2</v>
      </c>
      <c r="AF6" s="16"/>
      <c r="AG6" s="16"/>
      <c r="AH6" s="17"/>
      <c r="AI6" s="18" t="s">
        <v>3731</v>
      </c>
      <c r="AJ6" s="19"/>
      <c r="AK6" s="20" t="s">
        <v>3732</v>
      </c>
      <c r="AL6" s="17" t="s">
        <v>261</v>
      </c>
      <c r="AM6" s="5"/>
      <c r="AN6" s="5"/>
      <c r="AO6" s="5" t="s">
        <v>1006</v>
      </c>
      <c r="AP6" s="5"/>
      <c r="AQ6" s="5"/>
      <c r="AR6" s="5"/>
      <c r="AS6" s="5"/>
      <c r="AT6" s="5"/>
      <c r="AU6" s="5"/>
      <c r="AV6" s="5"/>
      <c r="AW6" s="5"/>
      <c r="AX6" s="5" t="s">
        <v>206</v>
      </c>
      <c r="AY6" s="5" t="s">
        <v>1007</v>
      </c>
      <c r="AZ6" s="5" t="s">
        <v>70</v>
      </c>
      <c r="BA6" s="19"/>
      <c r="BB6" s="17" t="s">
        <v>69</v>
      </c>
      <c r="BC6" s="5" t="s">
        <v>1008</v>
      </c>
      <c r="BD6" s="5" t="s">
        <v>1009</v>
      </c>
    </row>
    <row r="7" spans="1:56" ht="36" hidden="1" x14ac:dyDescent="0.25">
      <c r="A7" s="78" t="s">
        <v>1002</v>
      </c>
      <c r="B7" s="5" t="s">
        <v>1003</v>
      </c>
      <c r="C7" s="5" t="s">
        <v>55</v>
      </c>
      <c r="D7" s="5" t="s">
        <v>448</v>
      </c>
      <c r="E7" s="99" t="str">
        <f>VLOOKUP(D7,'Dropdown List'!$F$26:$G$40,2,0)</f>
        <v>Philippines</v>
      </c>
      <c r="F7" s="8" t="s">
        <v>3734</v>
      </c>
      <c r="G7" s="96" t="s">
        <v>3730</v>
      </c>
      <c r="H7" s="5" t="s">
        <v>57</v>
      </c>
      <c r="I7" s="8" t="s">
        <v>58</v>
      </c>
      <c r="J7" s="8" t="s">
        <v>146</v>
      </c>
      <c r="K7" s="8" t="s">
        <v>154</v>
      </c>
      <c r="L7" s="8" t="s">
        <v>3735</v>
      </c>
      <c r="M7" s="8" t="s">
        <v>3736</v>
      </c>
      <c r="N7" s="5" t="s">
        <v>269</v>
      </c>
      <c r="O7" s="5" t="s">
        <v>61</v>
      </c>
      <c r="P7" s="5" t="s">
        <v>69</v>
      </c>
      <c r="Q7" s="9" t="s">
        <v>75</v>
      </c>
      <c r="R7" s="5" t="s">
        <v>132</v>
      </c>
      <c r="S7" s="5" t="s">
        <v>64</v>
      </c>
      <c r="T7" s="96">
        <v>4</v>
      </c>
      <c r="U7" s="96">
        <v>6</v>
      </c>
      <c r="V7" s="96">
        <v>11</v>
      </c>
      <c r="W7" s="5" t="s">
        <v>78</v>
      </c>
      <c r="X7" s="10" t="s">
        <v>79</v>
      </c>
      <c r="Y7" s="11">
        <v>5247</v>
      </c>
      <c r="Z7" s="12">
        <v>30</v>
      </c>
      <c r="AA7" s="12">
        <v>3</v>
      </c>
      <c r="AB7" s="12">
        <v>1</v>
      </c>
      <c r="AC7" s="13">
        <v>3</v>
      </c>
      <c r="AD7" s="14">
        <f t="shared" si="0"/>
        <v>37</v>
      </c>
      <c r="AE7" s="15">
        <f t="shared" si="1"/>
        <v>8.1081081081081086E-2</v>
      </c>
      <c r="AF7" s="16"/>
      <c r="AG7" s="16"/>
      <c r="AH7" s="17"/>
      <c r="AI7" s="18" t="s">
        <v>3737</v>
      </c>
      <c r="AJ7" s="19"/>
      <c r="AK7" s="20">
        <v>0.95</v>
      </c>
      <c r="AL7" s="17" t="s">
        <v>1276</v>
      </c>
      <c r="AM7" s="5"/>
      <c r="AN7" s="5"/>
      <c r="AO7" s="5" t="s">
        <v>1006</v>
      </c>
      <c r="AP7" s="5"/>
      <c r="AQ7" s="5"/>
      <c r="AR7" s="5"/>
      <c r="AS7" s="5"/>
      <c r="AT7" s="5"/>
      <c r="AU7" s="5"/>
      <c r="AV7" s="5"/>
      <c r="AW7" s="5"/>
      <c r="AX7" s="5" t="s">
        <v>206</v>
      </c>
      <c r="AY7" s="5" t="s">
        <v>1007</v>
      </c>
      <c r="AZ7" s="5" t="s">
        <v>70</v>
      </c>
      <c r="BA7" s="19"/>
      <c r="BB7" s="17" t="s">
        <v>69</v>
      </c>
      <c r="BC7" s="5" t="s">
        <v>1008</v>
      </c>
      <c r="BD7" s="5" t="s">
        <v>1009</v>
      </c>
    </row>
    <row r="8" spans="1:56" ht="36" hidden="1" x14ac:dyDescent="0.25">
      <c r="A8" s="78" t="s">
        <v>1002</v>
      </c>
      <c r="B8" s="5" t="s">
        <v>1003</v>
      </c>
      <c r="C8" s="5" t="s">
        <v>3293</v>
      </c>
      <c r="D8" s="5" t="s">
        <v>448</v>
      </c>
      <c r="E8" s="99" t="str">
        <f>VLOOKUP(D8,'Dropdown List'!$F$26:$G$40,2,0)</f>
        <v>Philippines</v>
      </c>
      <c r="F8" s="8" t="s">
        <v>1014</v>
      </c>
      <c r="G8" s="96" t="s">
        <v>3733</v>
      </c>
      <c r="H8" s="5" t="s">
        <v>57</v>
      </c>
      <c r="I8" s="8" t="s">
        <v>58</v>
      </c>
      <c r="J8" s="8" t="s">
        <v>146</v>
      </c>
      <c r="K8" s="8" t="s">
        <v>154</v>
      </c>
      <c r="L8" s="8" t="s">
        <v>1015</v>
      </c>
      <c r="M8" s="8" t="s">
        <v>1016</v>
      </c>
      <c r="N8" s="5" t="s">
        <v>1034</v>
      </c>
      <c r="O8" s="5" t="s">
        <v>61</v>
      </c>
      <c r="P8" s="5" t="s">
        <v>1005</v>
      </c>
      <c r="Q8" s="9" t="s">
        <v>75</v>
      </c>
      <c r="R8" s="5" t="s">
        <v>132</v>
      </c>
      <c r="S8" s="5" t="s">
        <v>64</v>
      </c>
      <c r="T8" s="96">
        <v>4</v>
      </c>
      <c r="U8" s="96">
        <v>6</v>
      </c>
      <c r="V8" s="96">
        <v>11</v>
      </c>
      <c r="W8" s="5" t="s">
        <v>78</v>
      </c>
      <c r="X8" s="10" t="s">
        <v>79</v>
      </c>
      <c r="Y8" s="11">
        <v>5247</v>
      </c>
      <c r="Z8" s="12">
        <v>30</v>
      </c>
      <c r="AA8" s="12">
        <v>2</v>
      </c>
      <c r="AB8" s="12">
        <v>1</v>
      </c>
      <c r="AC8" s="13">
        <v>3</v>
      </c>
      <c r="AD8" s="14">
        <f t="shared" si="0"/>
        <v>36</v>
      </c>
      <c r="AE8" s="15">
        <f t="shared" si="1"/>
        <v>8.3333333333333329E-2</v>
      </c>
      <c r="AF8" s="16"/>
      <c r="AG8" s="16"/>
      <c r="AH8" s="17"/>
      <c r="AI8" s="18"/>
      <c r="AJ8" s="19"/>
      <c r="AK8" s="20">
        <v>0.9</v>
      </c>
      <c r="AL8" s="17" t="s">
        <v>261</v>
      </c>
      <c r="AM8" s="5"/>
      <c r="AN8" s="5"/>
      <c r="AO8" s="5" t="s">
        <v>1006</v>
      </c>
      <c r="AP8" s="5"/>
      <c r="AQ8" s="5"/>
      <c r="AR8" s="5"/>
      <c r="AS8" s="5"/>
      <c r="AT8" s="5"/>
      <c r="AU8" s="5"/>
      <c r="AV8" s="5"/>
      <c r="AW8" s="5"/>
      <c r="AX8" s="5" t="s">
        <v>206</v>
      </c>
      <c r="AY8" s="5" t="s">
        <v>1007</v>
      </c>
      <c r="AZ8" s="5" t="s">
        <v>70</v>
      </c>
      <c r="BA8" s="19"/>
      <c r="BB8" s="17" t="s">
        <v>69</v>
      </c>
      <c r="BC8" s="5" t="s">
        <v>1008</v>
      </c>
      <c r="BD8" s="5" t="s">
        <v>1009</v>
      </c>
    </row>
    <row r="9" spans="1:56" ht="36" hidden="1" x14ac:dyDescent="0.25">
      <c r="A9" s="78" t="s">
        <v>1002</v>
      </c>
      <c r="B9" s="5" t="s">
        <v>1003</v>
      </c>
      <c r="C9" s="5" t="s">
        <v>3293</v>
      </c>
      <c r="D9" s="5" t="s">
        <v>448</v>
      </c>
      <c r="E9" s="99" t="str">
        <f>VLOOKUP(D9,'Dropdown List'!$F$26:$G$40,2,0)</f>
        <v>Philippines</v>
      </c>
      <c r="F9" s="8" t="s">
        <v>1014</v>
      </c>
      <c r="G9" s="96" t="s">
        <v>3733</v>
      </c>
      <c r="H9" s="5" t="s">
        <v>57</v>
      </c>
      <c r="I9" s="8" t="s">
        <v>58</v>
      </c>
      <c r="J9" s="8" t="s">
        <v>146</v>
      </c>
      <c r="K9" s="8" t="s">
        <v>154</v>
      </c>
      <c r="L9" s="8" t="s">
        <v>1015</v>
      </c>
      <c r="M9" s="8" t="s">
        <v>1016</v>
      </c>
      <c r="N9" s="5" t="s">
        <v>1034</v>
      </c>
      <c r="O9" s="5" t="s">
        <v>61</v>
      </c>
      <c r="P9" s="5" t="s">
        <v>1005</v>
      </c>
      <c r="Q9" s="9" t="s">
        <v>75</v>
      </c>
      <c r="R9" s="5" t="s">
        <v>132</v>
      </c>
      <c r="S9" s="5" t="s">
        <v>64</v>
      </c>
      <c r="T9" s="96">
        <v>4</v>
      </c>
      <c r="U9" s="96">
        <v>6</v>
      </c>
      <c r="V9" s="96">
        <v>11</v>
      </c>
      <c r="W9" s="5" t="s">
        <v>78</v>
      </c>
      <c r="X9" s="10" t="s">
        <v>79</v>
      </c>
      <c r="Y9" s="11">
        <v>5247</v>
      </c>
      <c r="Z9" s="12">
        <v>25</v>
      </c>
      <c r="AA9" s="12">
        <v>2</v>
      </c>
      <c r="AB9" s="12">
        <v>1</v>
      </c>
      <c r="AC9" s="13">
        <v>3</v>
      </c>
      <c r="AD9" s="14">
        <f t="shared" si="0"/>
        <v>31</v>
      </c>
      <c r="AE9" s="15">
        <f t="shared" si="1"/>
        <v>9.6774193548387094E-2</v>
      </c>
      <c r="AF9" s="16"/>
      <c r="AG9" s="16"/>
      <c r="AH9" s="17"/>
      <c r="AI9" s="18"/>
      <c r="AJ9" s="19"/>
      <c r="AK9" s="20">
        <v>0.95</v>
      </c>
      <c r="AL9" s="17" t="s">
        <v>1276</v>
      </c>
      <c r="AM9" s="5"/>
      <c r="AN9" s="5"/>
      <c r="AO9" s="5" t="s">
        <v>1006</v>
      </c>
      <c r="AP9" s="5"/>
      <c r="AQ9" s="5"/>
      <c r="AR9" s="5"/>
      <c r="AS9" s="5"/>
      <c r="AT9" s="5"/>
      <c r="AU9" s="5"/>
      <c r="AV9" s="5"/>
      <c r="AW9" s="5"/>
      <c r="AX9" s="5" t="s">
        <v>206</v>
      </c>
      <c r="AY9" s="5" t="s">
        <v>1007</v>
      </c>
      <c r="AZ9" s="5" t="s">
        <v>70</v>
      </c>
      <c r="BA9" s="19"/>
      <c r="BB9" s="17" t="s">
        <v>69</v>
      </c>
      <c r="BC9" s="5" t="s">
        <v>1008</v>
      </c>
      <c r="BD9" s="5" t="s">
        <v>1009</v>
      </c>
    </row>
    <row r="10" spans="1:56" ht="36" hidden="1" x14ac:dyDescent="0.25">
      <c r="A10" s="78" t="s">
        <v>1002</v>
      </c>
      <c r="B10" s="5" t="s">
        <v>1003</v>
      </c>
      <c r="C10" s="5" t="s">
        <v>3293</v>
      </c>
      <c r="D10" s="5" t="s">
        <v>448</v>
      </c>
      <c r="E10" s="99" t="str">
        <f>VLOOKUP(D10,'Dropdown List'!$F$26:$G$40,2,0)</f>
        <v>Philippines</v>
      </c>
      <c r="F10" s="8" t="s">
        <v>1014</v>
      </c>
      <c r="G10" s="96" t="s">
        <v>3733</v>
      </c>
      <c r="H10" s="5" t="s">
        <v>85</v>
      </c>
      <c r="I10" s="8" t="s">
        <v>58</v>
      </c>
      <c r="J10" s="8" t="s">
        <v>146</v>
      </c>
      <c r="K10" s="8" t="s">
        <v>154</v>
      </c>
      <c r="L10" s="8" t="s">
        <v>1017</v>
      </c>
      <c r="M10" s="8" t="s">
        <v>1016</v>
      </c>
      <c r="N10" s="5" t="s">
        <v>319</v>
      </c>
      <c r="O10" s="5" t="s">
        <v>61</v>
      </c>
      <c r="P10" s="5" t="s">
        <v>1005</v>
      </c>
      <c r="Q10" s="9" t="s">
        <v>75</v>
      </c>
      <c r="R10" s="5" t="s">
        <v>132</v>
      </c>
      <c r="S10" s="5" t="s">
        <v>64</v>
      </c>
      <c r="T10" s="96">
        <v>4</v>
      </c>
      <c r="U10" s="96">
        <v>6</v>
      </c>
      <c r="V10" s="96">
        <v>20</v>
      </c>
      <c r="W10" s="5" t="s">
        <v>78</v>
      </c>
      <c r="X10" s="10" t="s">
        <v>79</v>
      </c>
      <c r="Y10" s="11">
        <v>5247</v>
      </c>
      <c r="Z10" s="12">
        <v>19</v>
      </c>
      <c r="AA10" s="12">
        <v>1</v>
      </c>
      <c r="AB10" s="12">
        <v>2</v>
      </c>
      <c r="AC10" s="13">
        <v>2</v>
      </c>
      <c r="AD10" s="14">
        <f t="shared" si="0"/>
        <v>24</v>
      </c>
      <c r="AE10" s="15">
        <f t="shared" si="1"/>
        <v>8.3333333333333329E-2</v>
      </c>
      <c r="AF10" s="16"/>
      <c r="AG10" s="16"/>
      <c r="AH10" s="17"/>
      <c r="AI10" s="18"/>
      <c r="AJ10" s="19"/>
      <c r="AK10" s="20">
        <v>0.95</v>
      </c>
      <c r="AL10" s="17" t="s">
        <v>1276</v>
      </c>
      <c r="AM10" s="5"/>
      <c r="AN10" s="5"/>
      <c r="AO10" s="5" t="s">
        <v>1006</v>
      </c>
      <c r="AP10" s="5"/>
      <c r="AQ10" s="5"/>
      <c r="AR10" s="5"/>
      <c r="AS10" s="5"/>
      <c r="AT10" s="5"/>
      <c r="AU10" s="5"/>
      <c r="AV10" s="5"/>
      <c r="AW10" s="5"/>
      <c r="AX10" s="5" t="s">
        <v>206</v>
      </c>
      <c r="AY10" s="5" t="s">
        <v>1007</v>
      </c>
      <c r="AZ10" s="5" t="s">
        <v>70</v>
      </c>
      <c r="BA10" s="19"/>
      <c r="BB10" s="17" t="s">
        <v>69</v>
      </c>
      <c r="BC10" s="5" t="s">
        <v>1008</v>
      </c>
      <c r="BD10" s="5" t="s">
        <v>1009</v>
      </c>
    </row>
    <row r="11" spans="1:56" ht="409.5" hidden="1" x14ac:dyDescent="0.25">
      <c r="A11" s="78" t="s">
        <v>1002</v>
      </c>
      <c r="B11" s="5" t="s">
        <v>1003</v>
      </c>
      <c r="C11" s="5" t="s">
        <v>3293</v>
      </c>
      <c r="D11" s="5" t="s">
        <v>448</v>
      </c>
      <c r="E11" s="99" t="str">
        <f>VLOOKUP(D11,'Dropdown List'!$F$26:$G$40,2,0)</f>
        <v>Philippines</v>
      </c>
      <c r="F11" s="8" t="s">
        <v>1018</v>
      </c>
      <c r="G11" s="96" t="s">
        <v>3733</v>
      </c>
      <c r="H11" s="5" t="s">
        <v>57</v>
      </c>
      <c r="I11" s="8" t="s">
        <v>58</v>
      </c>
      <c r="J11" s="8" t="s">
        <v>146</v>
      </c>
      <c r="K11" s="8" t="s">
        <v>267</v>
      </c>
      <c r="L11" s="8" t="s">
        <v>1019</v>
      </c>
      <c r="M11" s="8" t="s">
        <v>1020</v>
      </c>
      <c r="N11" s="5" t="s">
        <v>319</v>
      </c>
      <c r="O11" s="5" t="s">
        <v>61</v>
      </c>
      <c r="P11" s="5" t="s">
        <v>89</v>
      </c>
      <c r="Q11" s="9" t="s">
        <v>75</v>
      </c>
      <c r="R11" s="5" t="s">
        <v>63</v>
      </c>
      <c r="S11" s="5" t="s">
        <v>90</v>
      </c>
      <c r="T11" s="96">
        <v>2</v>
      </c>
      <c r="U11" s="96">
        <v>5</v>
      </c>
      <c r="V11" s="96">
        <v>6</v>
      </c>
      <c r="W11" s="5" t="s">
        <v>91</v>
      </c>
      <c r="X11" s="10" t="s">
        <v>79</v>
      </c>
      <c r="Y11" s="11">
        <v>31927.5</v>
      </c>
      <c r="Z11" s="12">
        <v>28</v>
      </c>
      <c r="AA11" s="12">
        <v>3</v>
      </c>
      <c r="AB11" s="12">
        <v>2</v>
      </c>
      <c r="AC11" s="13">
        <v>13</v>
      </c>
      <c r="AD11" s="14">
        <f t="shared" ref="AD11:AD68" si="2">SUM(Z11:AC11)</f>
        <v>46</v>
      </c>
      <c r="AE11" s="15">
        <f t="shared" ref="AE11:AE68" si="3">AC11/AD11</f>
        <v>0.28260869565217389</v>
      </c>
      <c r="AF11" s="16"/>
      <c r="AG11" s="16"/>
      <c r="AH11" s="17"/>
      <c r="AI11" s="18"/>
      <c r="AJ11" s="19"/>
      <c r="AK11" s="20">
        <v>0.9</v>
      </c>
      <c r="AL11" s="17" t="s">
        <v>261</v>
      </c>
      <c r="AM11" s="5"/>
      <c r="AN11" s="5"/>
      <c r="AO11" s="5" t="s">
        <v>1006</v>
      </c>
      <c r="AP11" s="5"/>
      <c r="AQ11" s="5"/>
      <c r="AR11" s="5"/>
      <c r="AS11" s="5"/>
      <c r="AT11" s="5"/>
      <c r="AU11" s="5"/>
      <c r="AV11" s="5"/>
      <c r="AW11" s="5"/>
      <c r="AX11" s="5" t="s">
        <v>206</v>
      </c>
      <c r="AY11" s="5" t="s">
        <v>1021</v>
      </c>
      <c r="AZ11" s="5" t="s">
        <v>70</v>
      </c>
      <c r="BA11" s="19"/>
      <c r="BB11" s="17" t="s">
        <v>69</v>
      </c>
      <c r="BC11" s="5" t="s">
        <v>1008</v>
      </c>
      <c r="BD11" s="5" t="s">
        <v>1022</v>
      </c>
    </row>
    <row r="12" spans="1:56" ht="409.5" hidden="1" x14ac:dyDescent="0.25">
      <c r="A12" s="78" t="s">
        <v>1002</v>
      </c>
      <c r="B12" s="5" t="s">
        <v>1003</v>
      </c>
      <c r="C12" s="5" t="s">
        <v>3293</v>
      </c>
      <c r="D12" s="5" t="s">
        <v>448</v>
      </c>
      <c r="E12" s="99" t="str">
        <f>VLOOKUP(D12,'Dropdown List'!$F$26:$G$40,2,0)</f>
        <v>Philippines</v>
      </c>
      <c r="F12" s="8" t="s">
        <v>1018</v>
      </c>
      <c r="G12" s="96" t="s">
        <v>3733</v>
      </c>
      <c r="H12" s="5" t="s">
        <v>57</v>
      </c>
      <c r="I12" s="8" t="s">
        <v>58</v>
      </c>
      <c r="J12" s="8" t="s">
        <v>146</v>
      </c>
      <c r="K12" s="8" t="s">
        <v>147</v>
      </c>
      <c r="L12" s="8" t="s">
        <v>1023</v>
      </c>
      <c r="M12" s="8" t="s">
        <v>1024</v>
      </c>
      <c r="N12" s="5" t="s">
        <v>319</v>
      </c>
      <c r="O12" s="5" t="s">
        <v>61</v>
      </c>
      <c r="P12" s="5" t="s">
        <v>89</v>
      </c>
      <c r="Q12" s="9" t="s">
        <v>75</v>
      </c>
      <c r="R12" s="5" t="s">
        <v>76</v>
      </c>
      <c r="S12" s="5" t="s">
        <v>90</v>
      </c>
      <c r="T12" s="96">
        <v>2</v>
      </c>
      <c r="U12" s="96">
        <v>5</v>
      </c>
      <c r="V12" s="96">
        <v>6</v>
      </c>
      <c r="W12" s="5" t="s">
        <v>91</v>
      </c>
      <c r="X12" s="10" t="s">
        <v>79</v>
      </c>
      <c r="Y12" s="11">
        <v>31927.5</v>
      </c>
      <c r="Z12" s="12">
        <v>16</v>
      </c>
      <c r="AA12" s="12">
        <v>3</v>
      </c>
      <c r="AB12" s="12">
        <v>2</v>
      </c>
      <c r="AC12" s="13">
        <v>3</v>
      </c>
      <c r="AD12" s="14">
        <f t="shared" si="2"/>
        <v>24</v>
      </c>
      <c r="AE12" s="15">
        <f t="shared" si="3"/>
        <v>0.125</v>
      </c>
      <c r="AF12" s="16"/>
      <c r="AG12" s="16"/>
      <c r="AH12" s="17"/>
      <c r="AI12" s="18"/>
      <c r="AJ12" s="19"/>
      <c r="AK12" s="20">
        <v>0.9</v>
      </c>
      <c r="AL12" s="17" t="s">
        <v>261</v>
      </c>
      <c r="AM12" s="5"/>
      <c r="AN12" s="5"/>
      <c r="AO12" s="5" t="s">
        <v>1006</v>
      </c>
      <c r="AP12" s="5"/>
      <c r="AQ12" s="5"/>
      <c r="AR12" s="5"/>
      <c r="AS12" s="5"/>
      <c r="AT12" s="5"/>
      <c r="AU12" s="5"/>
      <c r="AV12" s="5"/>
      <c r="AW12" s="5"/>
      <c r="AX12" s="5" t="s">
        <v>206</v>
      </c>
      <c r="AY12" s="5" t="s">
        <v>1025</v>
      </c>
      <c r="AZ12" s="5" t="s">
        <v>70</v>
      </c>
      <c r="BA12" s="19"/>
      <c r="BB12" s="17" t="s">
        <v>69</v>
      </c>
      <c r="BC12" s="5" t="s">
        <v>1008</v>
      </c>
      <c r="BD12" s="5" t="s">
        <v>1026</v>
      </c>
    </row>
    <row r="13" spans="1:56" ht="409.5" hidden="1" x14ac:dyDescent="0.25">
      <c r="A13" s="78" t="s">
        <v>1002</v>
      </c>
      <c r="B13" s="5" t="s">
        <v>1003</v>
      </c>
      <c r="C13" s="5" t="s">
        <v>3293</v>
      </c>
      <c r="D13" s="5" t="s">
        <v>448</v>
      </c>
      <c r="E13" s="99" t="str">
        <f>VLOOKUP(D13,'Dropdown List'!$F$26:$G$40,2,0)</f>
        <v>Philippines</v>
      </c>
      <c r="F13" s="8" t="s">
        <v>1018</v>
      </c>
      <c r="G13" s="96" t="s">
        <v>3733</v>
      </c>
      <c r="H13" s="5" t="s">
        <v>57</v>
      </c>
      <c r="I13" s="8" t="s">
        <v>58</v>
      </c>
      <c r="J13" s="8" t="s">
        <v>146</v>
      </c>
      <c r="K13" s="8" t="s">
        <v>147</v>
      </c>
      <c r="L13" s="8" t="s">
        <v>1027</v>
      </c>
      <c r="M13" s="8" t="s">
        <v>1028</v>
      </c>
      <c r="N13" s="5" t="s">
        <v>319</v>
      </c>
      <c r="O13" s="5" t="s">
        <v>61</v>
      </c>
      <c r="P13" s="5" t="s">
        <v>89</v>
      </c>
      <c r="Q13" s="9" t="s">
        <v>75</v>
      </c>
      <c r="R13" s="5" t="s">
        <v>63</v>
      </c>
      <c r="S13" s="5" t="s">
        <v>90</v>
      </c>
      <c r="T13" s="96">
        <v>2</v>
      </c>
      <c r="U13" s="96">
        <v>5</v>
      </c>
      <c r="V13" s="96">
        <v>6</v>
      </c>
      <c r="W13" s="5" t="s">
        <v>91</v>
      </c>
      <c r="X13" s="10" t="s">
        <v>79</v>
      </c>
      <c r="Y13" s="11">
        <v>31893.75</v>
      </c>
      <c r="Z13" s="12">
        <v>9</v>
      </c>
      <c r="AA13" s="12">
        <v>4</v>
      </c>
      <c r="AB13" s="12">
        <v>2</v>
      </c>
      <c r="AC13" s="13">
        <v>13</v>
      </c>
      <c r="AD13" s="14">
        <f t="shared" si="2"/>
        <v>28</v>
      </c>
      <c r="AE13" s="15">
        <f t="shared" si="3"/>
        <v>0.4642857142857143</v>
      </c>
      <c r="AF13" s="16"/>
      <c r="AG13" s="16"/>
      <c r="AH13" s="17"/>
      <c r="AI13" s="18"/>
      <c r="AJ13" s="19"/>
      <c r="AK13" s="20">
        <v>0.9</v>
      </c>
      <c r="AL13" s="17" t="s">
        <v>261</v>
      </c>
      <c r="AM13" s="5"/>
      <c r="AN13" s="5"/>
      <c r="AO13" s="5" t="s">
        <v>1006</v>
      </c>
      <c r="AP13" s="5"/>
      <c r="AQ13" s="5"/>
      <c r="AR13" s="5"/>
      <c r="AS13" s="5"/>
      <c r="AT13" s="5"/>
      <c r="AU13" s="5"/>
      <c r="AV13" s="5"/>
      <c r="AW13" s="5"/>
      <c r="AX13" s="5" t="s">
        <v>206</v>
      </c>
      <c r="AY13" s="5" t="s">
        <v>1029</v>
      </c>
      <c r="AZ13" s="5" t="s">
        <v>70</v>
      </c>
      <c r="BA13" s="19"/>
      <c r="BB13" s="17" t="s">
        <v>69</v>
      </c>
      <c r="BC13" s="5" t="s">
        <v>1008</v>
      </c>
      <c r="BD13" s="5" t="s">
        <v>1030</v>
      </c>
    </row>
    <row r="14" spans="1:56" ht="409.5" hidden="1" x14ac:dyDescent="0.25">
      <c r="A14" s="78" t="s">
        <v>1002</v>
      </c>
      <c r="B14" s="5" t="s">
        <v>1003</v>
      </c>
      <c r="C14" s="5" t="s">
        <v>3293</v>
      </c>
      <c r="D14" s="5" t="s">
        <v>448</v>
      </c>
      <c r="E14" s="99" t="str">
        <f>VLOOKUP(D14,'Dropdown List'!$F$26:$G$40,2,0)</f>
        <v>Philippines</v>
      </c>
      <c r="F14" s="8" t="s">
        <v>1031</v>
      </c>
      <c r="G14" s="96" t="s">
        <v>3733</v>
      </c>
      <c r="H14" s="5" t="s">
        <v>57</v>
      </c>
      <c r="I14" s="8" t="s">
        <v>58</v>
      </c>
      <c r="J14" s="8" t="s">
        <v>146</v>
      </c>
      <c r="K14" s="8" t="s">
        <v>147</v>
      </c>
      <c r="L14" s="8" t="s">
        <v>1032</v>
      </c>
      <c r="M14" s="8" t="s">
        <v>1033</v>
      </c>
      <c r="N14" s="5" t="s">
        <v>1034</v>
      </c>
      <c r="O14" s="5" t="s">
        <v>61</v>
      </c>
      <c r="P14" s="5" t="s">
        <v>1034</v>
      </c>
      <c r="Q14" s="9" t="s">
        <v>75</v>
      </c>
      <c r="R14" s="5" t="s">
        <v>63</v>
      </c>
      <c r="S14" s="5" t="s">
        <v>90</v>
      </c>
      <c r="T14" s="96">
        <v>2</v>
      </c>
      <c r="U14" s="96">
        <v>7</v>
      </c>
      <c r="V14" s="96">
        <v>4</v>
      </c>
      <c r="W14" s="5" t="s">
        <v>91</v>
      </c>
      <c r="X14" s="10" t="s">
        <v>79</v>
      </c>
      <c r="Y14" s="11">
        <v>34115</v>
      </c>
      <c r="Z14" s="12">
        <v>7</v>
      </c>
      <c r="AA14" s="12">
        <v>2</v>
      </c>
      <c r="AB14" s="12">
        <v>1</v>
      </c>
      <c r="AC14" s="13">
        <v>3</v>
      </c>
      <c r="AD14" s="14">
        <f t="shared" si="2"/>
        <v>13</v>
      </c>
      <c r="AE14" s="15">
        <f t="shared" si="3"/>
        <v>0.23076923076923078</v>
      </c>
      <c r="AF14" s="16"/>
      <c r="AG14" s="16"/>
      <c r="AH14" s="17"/>
      <c r="AI14" s="18"/>
      <c r="AJ14" s="19"/>
      <c r="AK14" s="20">
        <v>0.9</v>
      </c>
      <c r="AL14" s="17" t="s">
        <v>261</v>
      </c>
      <c r="AM14" s="5"/>
      <c r="AN14" s="5"/>
      <c r="AO14" s="5" t="s">
        <v>1006</v>
      </c>
      <c r="AP14" s="5"/>
      <c r="AQ14" s="5"/>
      <c r="AR14" s="5"/>
      <c r="AS14" s="5"/>
      <c r="AT14" s="5"/>
      <c r="AU14" s="5"/>
      <c r="AV14" s="5"/>
      <c r="AW14" s="5"/>
      <c r="AX14" s="5" t="s">
        <v>206</v>
      </c>
      <c r="AY14" s="5" t="s">
        <v>1035</v>
      </c>
      <c r="AZ14" s="5" t="s">
        <v>70</v>
      </c>
      <c r="BA14" s="19"/>
      <c r="BB14" s="17" t="s">
        <v>69</v>
      </c>
      <c r="BC14" s="5" t="s">
        <v>1036</v>
      </c>
      <c r="BD14" s="5" t="s">
        <v>1037</v>
      </c>
    </row>
    <row r="15" spans="1:56" ht="300" hidden="1" x14ac:dyDescent="0.25">
      <c r="A15" s="78" t="s">
        <v>1002</v>
      </c>
      <c r="B15" s="5" t="s">
        <v>1003</v>
      </c>
      <c r="C15" s="5" t="s">
        <v>3293</v>
      </c>
      <c r="D15" s="5" t="s">
        <v>448</v>
      </c>
      <c r="E15" s="99" t="str">
        <f>VLOOKUP(D15,'Dropdown List'!$F$26:$G$40,2,0)</f>
        <v>Philippines</v>
      </c>
      <c r="F15" s="8" t="s">
        <v>1038</v>
      </c>
      <c r="G15" s="96" t="s">
        <v>3733</v>
      </c>
      <c r="H15" s="5" t="s">
        <v>57</v>
      </c>
      <c r="I15" s="8" t="s">
        <v>58</v>
      </c>
      <c r="J15" s="8" t="s">
        <v>146</v>
      </c>
      <c r="K15" s="8" t="s">
        <v>267</v>
      </c>
      <c r="L15" s="8" t="s">
        <v>1039</v>
      </c>
      <c r="M15" s="8" t="s">
        <v>1040</v>
      </c>
      <c r="N15" s="5" t="s">
        <v>1034</v>
      </c>
      <c r="O15" s="5" t="s">
        <v>61</v>
      </c>
      <c r="P15" s="5" t="s">
        <v>1034</v>
      </c>
      <c r="Q15" s="9" t="s">
        <v>75</v>
      </c>
      <c r="R15" s="5" t="s">
        <v>63</v>
      </c>
      <c r="S15" s="5" t="s">
        <v>90</v>
      </c>
      <c r="T15" s="96">
        <v>2</v>
      </c>
      <c r="U15" s="96">
        <v>5</v>
      </c>
      <c r="V15" s="96">
        <v>6</v>
      </c>
      <c r="W15" s="5" t="s">
        <v>91</v>
      </c>
      <c r="X15" s="10" t="s">
        <v>79</v>
      </c>
      <c r="Y15" s="11">
        <v>31910.625</v>
      </c>
      <c r="Z15" s="12">
        <v>8</v>
      </c>
      <c r="AA15" s="12">
        <v>2</v>
      </c>
      <c r="AB15" s="12">
        <v>1</v>
      </c>
      <c r="AC15" s="13">
        <v>3</v>
      </c>
      <c r="AD15" s="14">
        <f t="shared" si="2"/>
        <v>14</v>
      </c>
      <c r="AE15" s="15">
        <f t="shared" si="3"/>
        <v>0.21428571428571427</v>
      </c>
      <c r="AF15" s="16"/>
      <c r="AG15" s="16"/>
      <c r="AH15" s="17"/>
      <c r="AI15" s="18"/>
      <c r="AJ15" s="19"/>
      <c r="AK15" s="20">
        <v>0.9</v>
      </c>
      <c r="AL15" s="17" t="s">
        <v>261</v>
      </c>
      <c r="AM15" s="5"/>
      <c r="AN15" s="5"/>
      <c r="AO15" s="5" t="s">
        <v>1006</v>
      </c>
      <c r="AP15" s="5"/>
      <c r="AQ15" s="5"/>
      <c r="AR15" s="5"/>
      <c r="AS15" s="5"/>
      <c r="AT15" s="5"/>
      <c r="AU15" s="5"/>
      <c r="AV15" s="5"/>
      <c r="AW15" s="5"/>
      <c r="AX15" s="5" t="s">
        <v>206</v>
      </c>
      <c r="AY15" s="5" t="s">
        <v>1041</v>
      </c>
      <c r="AZ15" s="5" t="s">
        <v>70</v>
      </c>
      <c r="BA15" s="19"/>
      <c r="BB15" s="17" t="s">
        <v>69</v>
      </c>
      <c r="BC15" s="5" t="s">
        <v>1008</v>
      </c>
      <c r="BD15" s="5" t="s">
        <v>1022</v>
      </c>
    </row>
    <row r="16" spans="1:56" ht="409.5" hidden="1" x14ac:dyDescent="0.25">
      <c r="A16" s="78" t="s">
        <v>1002</v>
      </c>
      <c r="B16" s="5" t="s">
        <v>1003</v>
      </c>
      <c r="C16" s="5" t="s">
        <v>3293</v>
      </c>
      <c r="D16" s="5" t="s">
        <v>448</v>
      </c>
      <c r="E16" s="99" t="str">
        <f>VLOOKUP(D16,'Dropdown List'!$F$26:$G$40,2,0)</f>
        <v>Philippines</v>
      </c>
      <c r="F16" s="8" t="s">
        <v>1038</v>
      </c>
      <c r="G16" s="96" t="s">
        <v>3733</v>
      </c>
      <c r="H16" s="5" t="s">
        <v>57</v>
      </c>
      <c r="I16" s="8" t="s">
        <v>58</v>
      </c>
      <c r="J16" s="8" t="s">
        <v>146</v>
      </c>
      <c r="K16" s="8" t="s">
        <v>147</v>
      </c>
      <c r="L16" s="8" t="s">
        <v>1042</v>
      </c>
      <c r="M16" s="8" t="s">
        <v>1043</v>
      </c>
      <c r="N16" s="5" t="s">
        <v>1034</v>
      </c>
      <c r="O16" s="5" t="s">
        <v>61</v>
      </c>
      <c r="P16" s="5" t="s">
        <v>1034</v>
      </c>
      <c r="Q16" s="9" t="s">
        <v>75</v>
      </c>
      <c r="R16" s="5" t="s">
        <v>63</v>
      </c>
      <c r="S16" s="5" t="s">
        <v>90</v>
      </c>
      <c r="T16" s="96">
        <v>2</v>
      </c>
      <c r="U16" s="96">
        <v>7</v>
      </c>
      <c r="V16" s="96">
        <v>7</v>
      </c>
      <c r="W16" s="5" t="s">
        <v>91</v>
      </c>
      <c r="X16" s="10" t="s">
        <v>79</v>
      </c>
      <c r="Y16" s="11">
        <v>32855.625</v>
      </c>
      <c r="Z16" s="12">
        <v>24</v>
      </c>
      <c r="AA16" s="12">
        <v>2</v>
      </c>
      <c r="AB16" s="12">
        <v>2</v>
      </c>
      <c r="AC16" s="13">
        <v>7</v>
      </c>
      <c r="AD16" s="14">
        <f t="shared" si="2"/>
        <v>35</v>
      </c>
      <c r="AE16" s="15">
        <f t="shared" si="3"/>
        <v>0.2</v>
      </c>
      <c r="AF16" s="16"/>
      <c r="AG16" s="16"/>
      <c r="AH16" s="17"/>
      <c r="AI16" s="18"/>
      <c r="AJ16" s="19"/>
      <c r="AK16" s="20">
        <v>0.9</v>
      </c>
      <c r="AL16" s="17" t="s">
        <v>261</v>
      </c>
      <c r="AM16" s="5"/>
      <c r="AN16" s="5"/>
      <c r="AO16" s="5" t="s">
        <v>1006</v>
      </c>
      <c r="AP16" s="5"/>
      <c r="AQ16" s="5"/>
      <c r="AR16" s="5"/>
      <c r="AS16" s="5"/>
      <c r="AT16" s="5"/>
      <c r="AU16" s="5"/>
      <c r="AV16" s="5"/>
      <c r="AW16" s="5"/>
      <c r="AX16" s="5" t="s">
        <v>206</v>
      </c>
      <c r="AY16" s="5" t="s">
        <v>1044</v>
      </c>
      <c r="AZ16" s="5" t="s">
        <v>70</v>
      </c>
      <c r="BA16" s="19"/>
      <c r="BB16" s="17" t="s">
        <v>69</v>
      </c>
      <c r="BC16" s="5" t="s">
        <v>1008</v>
      </c>
      <c r="BD16" s="5" t="s">
        <v>1022</v>
      </c>
    </row>
    <row r="17" spans="1:56" ht="168" hidden="1" x14ac:dyDescent="0.25">
      <c r="A17" s="78" t="s">
        <v>1002</v>
      </c>
      <c r="B17" s="5" t="s">
        <v>1003</v>
      </c>
      <c r="C17" s="5" t="s">
        <v>3293</v>
      </c>
      <c r="D17" s="5" t="s">
        <v>448</v>
      </c>
      <c r="E17" s="99" t="str">
        <f>VLOOKUP(D17,'Dropdown List'!$F$26:$G$40,2,0)</f>
        <v>Philippines</v>
      </c>
      <c r="F17" s="8" t="s">
        <v>1038</v>
      </c>
      <c r="G17" s="96" t="s">
        <v>3733</v>
      </c>
      <c r="H17" s="5" t="s">
        <v>57</v>
      </c>
      <c r="I17" s="8" t="s">
        <v>58</v>
      </c>
      <c r="J17" s="8" t="s">
        <v>146</v>
      </c>
      <c r="K17" s="8" t="s">
        <v>147</v>
      </c>
      <c r="L17" s="8" t="s">
        <v>1045</v>
      </c>
      <c r="M17" s="8" t="s">
        <v>1046</v>
      </c>
      <c r="N17" s="5" t="s">
        <v>1034</v>
      </c>
      <c r="O17" s="5" t="s">
        <v>61</v>
      </c>
      <c r="P17" s="5" t="s">
        <v>1034</v>
      </c>
      <c r="Q17" s="9" t="s">
        <v>75</v>
      </c>
      <c r="R17" s="5" t="s">
        <v>63</v>
      </c>
      <c r="S17" s="5" t="s">
        <v>90</v>
      </c>
      <c r="T17" s="96">
        <v>2</v>
      </c>
      <c r="U17" s="96">
        <v>5</v>
      </c>
      <c r="V17" s="96">
        <v>3</v>
      </c>
      <c r="W17" s="5" t="s">
        <v>91</v>
      </c>
      <c r="X17" s="10" t="s">
        <v>79</v>
      </c>
      <c r="Y17" s="11">
        <v>34391.25</v>
      </c>
      <c r="Z17" s="12">
        <v>6</v>
      </c>
      <c r="AA17" s="12">
        <v>2</v>
      </c>
      <c r="AB17" s="12">
        <v>1</v>
      </c>
      <c r="AC17" s="13">
        <v>2</v>
      </c>
      <c r="AD17" s="14">
        <f t="shared" si="2"/>
        <v>11</v>
      </c>
      <c r="AE17" s="15">
        <f t="shared" si="3"/>
        <v>0.18181818181818182</v>
      </c>
      <c r="AF17" s="16"/>
      <c r="AG17" s="16"/>
      <c r="AH17" s="17"/>
      <c r="AI17" s="18"/>
      <c r="AJ17" s="19"/>
      <c r="AK17" s="20">
        <v>0.98499999999999999</v>
      </c>
      <c r="AL17" s="17" t="s">
        <v>1276</v>
      </c>
      <c r="AM17" s="5"/>
      <c r="AN17" s="5"/>
      <c r="AO17" s="5" t="s">
        <v>1006</v>
      </c>
      <c r="AP17" s="5"/>
      <c r="AQ17" s="5"/>
      <c r="AR17" s="5"/>
      <c r="AS17" s="5"/>
      <c r="AT17" s="5"/>
      <c r="AU17" s="5"/>
      <c r="AV17" s="5"/>
      <c r="AW17" s="5"/>
      <c r="AX17" s="5" t="s">
        <v>206</v>
      </c>
      <c r="AY17" s="5" t="s">
        <v>1044</v>
      </c>
      <c r="AZ17" s="5" t="s">
        <v>70</v>
      </c>
      <c r="BA17" s="19"/>
      <c r="BB17" s="17" t="s">
        <v>69</v>
      </c>
      <c r="BC17" s="5" t="s">
        <v>1008</v>
      </c>
      <c r="BD17" s="5" t="s">
        <v>1030</v>
      </c>
    </row>
    <row r="18" spans="1:56" ht="96" hidden="1" x14ac:dyDescent="0.25">
      <c r="A18" s="78" t="s">
        <v>1002</v>
      </c>
      <c r="B18" s="5" t="s">
        <v>1003</v>
      </c>
      <c r="C18" s="5" t="s">
        <v>3293</v>
      </c>
      <c r="D18" s="5" t="s">
        <v>448</v>
      </c>
      <c r="E18" s="99" t="str">
        <f>VLOOKUP(D18,'Dropdown List'!$F$26:$G$40,2,0)</f>
        <v>Philippines</v>
      </c>
      <c r="F18" s="8" t="s">
        <v>1038</v>
      </c>
      <c r="G18" s="96" t="s">
        <v>3733</v>
      </c>
      <c r="H18" s="5" t="s">
        <v>57</v>
      </c>
      <c r="I18" s="8" t="s">
        <v>58</v>
      </c>
      <c r="J18" s="8" t="s">
        <v>146</v>
      </c>
      <c r="K18" s="8" t="s">
        <v>267</v>
      </c>
      <c r="L18" s="8" t="s">
        <v>1047</v>
      </c>
      <c r="M18" s="8" t="s">
        <v>1048</v>
      </c>
      <c r="N18" s="5" t="s">
        <v>1034</v>
      </c>
      <c r="O18" s="5" t="s">
        <v>61</v>
      </c>
      <c r="P18" s="5" t="s">
        <v>1034</v>
      </c>
      <c r="Q18" s="9" t="s">
        <v>75</v>
      </c>
      <c r="R18" s="5" t="s">
        <v>63</v>
      </c>
      <c r="S18" s="5" t="s">
        <v>90</v>
      </c>
      <c r="T18" s="96">
        <v>2</v>
      </c>
      <c r="U18" s="96">
        <v>14</v>
      </c>
      <c r="V18" s="96">
        <v>8</v>
      </c>
      <c r="W18" s="5" t="s">
        <v>91</v>
      </c>
      <c r="X18" s="10" t="s">
        <v>79</v>
      </c>
      <c r="Y18" s="11">
        <v>32855.625</v>
      </c>
      <c r="Z18" s="12">
        <v>9</v>
      </c>
      <c r="AA18" s="12">
        <v>2</v>
      </c>
      <c r="AB18" s="12">
        <v>1</v>
      </c>
      <c r="AC18" s="13">
        <v>3</v>
      </c>
      <c r="AD18" s="14">
        <f t="shared" si="2"/>
        <v>15</v>
      </c>
      <c r="AE18" s="15">
        <f t="shared" si="3"/>
        <v>0.2</v>
      </c>
      <c r="AF18" s="16"/>
      <c r="AG18" s="16"/>
      <c r="AH18" s="17"/>
      <c r="AI18" s="18"/>
      <c r="AJ18" s="19"/>
      <c r="AK18" s="20">
        <v>0.95</v>
      </c>
      <c r="AL18" s="17" t="s">
        <v>1276</v>
      </c>
      <c r="AM18" s="5"/>
      <c r="AN18" s="5"/>
      <c r="AO18" s="5" t="s">
        <v>1006</v>
      </c>
      <c r="AP18" s="5"/>
      <c r="AQ18" s="5"/>
      <c r="AR18" s="5"/>
      <c r="AS18" s="5"/>
      <c r="AT18" s="5"/>
      <c r="AU18" s="5"/>
      <c r="AV18" s="5"/>
      <c r="AW18" s="5"/>
      <c r="AX18" s="5" t="s">
        <v>206</v>
      </c>
      <c r="AY18" s="5" t="s">
        <v>1049</v>
      </c>
      <c r="AZ18" s="5" t="s">
        <v>70</v>
      </c>
      <c r="BA18" s="19"/>
      <c r="BB18" s="17" t="s">
        <v>69</v>
      </c>
      <c r="BC18" s="5" t="s">
        <v>1008</v>
      </c>
      <c r="BD18" s="5" t="s">
        <v>1030</v>
      </c>
    </row>
    <row r="19" spans="1:56" ht="180" hidden="1" x14ac:dyDescent="0.25">
      <c r="A19" s="78" t="s">
        <v>164</v>
      </c>
      <c r="B19" s="5" t="s">
        <v>165</v>
      </c>
      <c r="C19" s="5" t="s">
        <v>3293</v>
      </c>
      <c r="D19" s="5" t="s">
        <v>56</v>
      </c>
      <c r="E19" s="99" t="str">
        <f>VLOOKUP(D19,'Dropdown List'!$F$26:$G$40,2,0)</f>
        <v>India</v>
      </c>
      <c r="F19" s="8" t="s">
        <v>166</v>
      </c>
      <c r="G19" s="96">
        <v>5</v>
      </c>
      <c r="H19" s="5" t="s">
        <v>57</v>
      </c>
      <c r="I19" s="8" t="s">
        <v>71</v>
      </c>
      <c r="J19" s="8" t="s">
        <v>167</v>
      </c>
      <c r="K19" s="8" t="s">
        <v>168</v>
      </c>
      <c r="L19" s="8" t="s">
        <v>169</v>
      </c>
      <c r="M19" s="8" t="s">
        <v>170</v>
      </c>
      <c r="N19" s="5" t="s">
        <v>269</v>
      </c>
      <c r="O19" s="5" t="s">
        <v>61</v>
      </c>
      <c r="P19" s="5" t="s">
        <v>171</v>
      </c>
      <c r="Q19" s="9" t="s">
        <v>172</v>
      </c>
      <c r="R19" s="5" t="s">
        <v>76</v>
      </c>
      <c r="S19" s="5" t="s">
        <v>64</v>
      </c>
      <c r="T19" s="96">
        <v>1</v>
      </c>
      <c r="U19" s="96">
        <v>8</v>
      </c>
      <c r="V19" s="96">
        <v>8</v>
      </c>
      <c r="W19" s="5" t="s">
        <v>91</v>
      </c>
      <c r="X19" s="10" t="s">
        <v>79</v>
      </c>
      <c r="Y19" s="11">
        <v>29825.983464999998</v>
      </c>
      <c r="Z19" s="12">
        <v>17</v>
      </c>
      <c r="AA19" s="12">
        <v>2</v>
      </c>
      <c r="AB19" s="12">
        <v>1</v>
      </c>
      <c r="AC19" s="13">
        <v>2</v>
      </c>
      <c r="AD19" s="14">
        <f t="shared" si="2"/>
        <v>22</v>
      </c>
      <c r="AE19" s="15">
        <f t="shared" si="3"/>
        <v>9.0909090909090912E-2</v>
      </c>
      <c r="AF19" s="16">
        <v>21000</v>
      </c>
      <c r="AG19" s="16" t="s">
        <v>66</v>
      </c>
      <c r="AH19" s="17" t="s">
        <v>173</v>
      </c>
      <c r="AI19" s="18">
        <v>20</v>
      </c>
      <c r="AJ19" s="19" t="s">
        <v>174</v>
      </c>
      <c r="AK19" s="20">
        <v>0.96</v>
      </c>
      <c r="AL19" s="17" t="s">
        <v>92</v>
      </c>
      <c r="AM19" s="5" t="s">
        <v>66</v>
      </c>
      <c r="AN19" s="5" t="s">
        <v>66</v>
      </c>
      <c r="AO19" s="5" t="s">
        <v>175</v>
      </c>
      <c r="AP19" s="5" t="s">
        <v>176</v>
      </c>
      <c r="AQ19" s="5" t="s">
        <v>66</v>
      </c>
      <c r="AR19" s="5" t="s">
        <v>66</v>
      </c>
      <c r="AS19" s="5" t="s">
        <v>66</v>
      </c>
      <c r="AT19" s="5" t="s">
        <v>66</v>
      </c>
      <c r="AU19" s="5" t="s">
        <v>66</v>
      </c>
      <c r="AV19" s="5" t="s">
        <v>66</v>
      </c>
      <c r="AW19" s="5" t="s">
        <v>177</v>
      </c>
      <c r="AX19" s="5" t="s">
        <v>178</v>
      </c>
      <c r="AY19" s="5" t="s">
        <v>69</v>
      </c>
      <c r="AZ19" s="5" t="s">
        <v>145</v>
      </c>
      <c r="BA19" s="19" t="s">
        <v>179</v>
      </c>
      <c r="BB19" s="17" t="s">
        <v>110</v>
      </c>
      <c r="BC19" s="5" t="s">
        <v>180</v>
      </c>
      <c r="BD19" s="5" t="s">
        <v>181</v>
      </c>
    </row>
    <row r="20" spans="1:56" ht="156" hidden="1" x14ac:dyDescent="0.25">
      <c r="A20" s="78" t="s">
        <v>164</v>
      </c>
      <c r="B20" s="5" t="s">
        <v>165</v>
      </c>
      <c r="C20" s="5" t="s">
        <v>3293</v>
      </c>
      <c r="D20" s="5" t="s">
        <v>56</v>
      </c>
      <c r="E20" s="99" t="str">
        <f>VLOOKUP(D20,'Dropdown List'!$F$26:$G$40,2,0)</f>
        <v>India</v>
      </c>
      <c r="F20" s="8" t="s">
        <v>166</v>
      </c>
      <c r="G20" s="96">
        <v>5</v>
      </c>
      <c r="H20" s="5" t="s">
        <v>57</v>
      </c>
      <c r="I20" s="8" t="s">
        <v>71</v>
      </c>
      <c r="J20" s="8" t="s">
        <v>112</v>
      </c>
      <c r="K20" s="8" t="s">
        <v>113</v>
      </c>
      <c r="L20" s="8" t="s">
        <v>182</v>
      </c>
      <c r="M20" s="8" t="s">
        <v>183</v>
      </c>
      <c r="N20" s="5" t="s">
        <v>269</v>
      </c>
      <c r="O20" s="5" t="s">
        <v>61</v>
      </c>
      <c r="P20" s="5" t="s">
        <v>171</v>
      </c>
      <c r="Q20" s="9" t="s">
        <v>172</v>
      </c>
      <c r="R20" s="5" t="s">
        <v>76</v>
      </c>
      <c r="S20" s="5" t="s">
        <v>64</v>
      </c>
      <c r="T20" s="96">
        <v>1</v>
      </c>
      <c r="U20" s="96">
        <v>4</v>
      </c>
      <c r="V20" s="96">
        <v>6</v>
      </c>
      <c r="W20" s="5" t="s">
        <v>91</v>
      </c>
      <c r="X20" s="10" t="s">
        <v>79</v>
      </c>
      <c r="Y20" s="11">
        <v>29825.983465000001</v>
      </c>
      <c r="Z20" s="12">
        <v>27</v>
      </c>
      <c r="AA20" s="12">
        <v>2</v>
      </c>
      <c r="AB20" s="12">
        <v>1</v>
      </c>
      <c r="AC20" s="13">
        <v>3</v>
      </c>
      <c r="AD20" s="14">
        <f t="shared" si="2"/>
        <v>33</v>
      </c>
      <c r="AE20" s="15">
        <f t="shared" si="3"/>
        <v>9.0909090909090912E-2</v>
      </c>
      <c r="AF20" s="16">
        <v>25000</v>
      </c>
      <c r="AG20" s="16" t="s">
        <v>66</v>
      </c>
      <c r="AH20" s="17" t="s">
        <v>173</v>
      </c>
      <c r="AI20" s="18">
        <v>9</v>
      </c>
      <c r="AJ20" s="19" t="s">
        <v>184</v>
      </c>
      <c r="AK20" s="20">
        <v>0.92</v>
      </c>
      <c r="AL20" s="17" t="s">
        <v>92</v>
      </c>
      <c r="AM20" s="5" t="s">
        <v>66</v>
      </c>
      <c r="AN20" s="5" t="s">
        <v>66</v>
      </c>
      <c r="AO20" s="5" t="s">
        <v>185</v>
      </c>
      <c r="AP20" s="5" t="s">
        <v>176</v>
      </c>
      <c r="AQ20" s="5" t="s">
        <v>66</v>
      </c>
      <c r="AR20" s="5" t="s">
        <v>66</v>
      </c>
      <c r="AS20" s="5" t="s">
        <v>66</v>
      </c>
      <c r="AT20" s="5" t="s">
        <v>66</v>
      </c>
      <c r="AU20" s="5" t="s">
        <v>66</v>
      </c>
      <c r="AV20" s="5" t="s">
        <v>66</v>
      </c>
      <c r="AW20" s="5" t="s">
        <v>177</v>
      </c>
      <c r="AX20" s="5" t="s">
        <v>186</v>
      </c>
      <c r="AY20" s="5" t="s">
        <v>69</v>
      </c>
      <c r="AZ20" s="5" t="s">
        <v>70</v>
      </c>
      <c r="BA20" s="19" t="s">
        <v>187</v>
      </c>
      <c r="BB20" s="17" t="s">
        <v>110</v>
      </c>
      <c r="BC20" s="5" t="s">
        <v>188</v>
      </c>
      <c r="BD20" s="5" t="s">
        <v>189</v>
      </c>
    </row>
    <row r="21" spans="1:56" ht="132" hidden="1" x14ac:dyDescent="0.25">
      <c r="A21" s="78" t="s">
        <v>164</v>
      </c>
      <c r="B21" s="5" t="s">
        <v>165</v>
      </c>
      <c r="C21" s="5" t="s">
        <v>3293</v>
      </c>
      <c r="D21" s="5" t="s">
        <v>56</v>
      </c>
      <c r="E21" s="99" t="str">
        <f>VLOOKUP(D21,'Dropdown List'!$F$26:$G$40,2,0)</f>
        <v>India</v>
      </c>
      <c r="F21" s="8" t="s">
        <v>166</v>
      </c>
      <c r="G21" s="96">
        <v>5</v>
      </c>
      <c r="H21" s="5" t="s">
        <v>57</v>
      </c>
      <c r="I21" s="8" t="s">
        <v>71</v>
      </c>
      <c r="J21" s="8" t="s">
        <v>112</v>
      </c>
      <c r="K21" s="8" t="s">
        <v>190</v>
      </c>
      <c r="L21" s="8" t="s">
        <v>191</v>
      </c>
      <c r="M21" s="8" t="s">
        <v>192</v>
      </c>
      <c r="N21" s="5" t="s">
        <v>269</v>
      </c>
      <c r="O21" s="5" t="s">
        <v>61</v>
      </c>
      <c r="P21" s="5" t="s">
        <v>171</v>
      </c>
      <c r="Q21" s="9" t="s">
        <v>172</v>
      </c>
      <c r="R21" s="5" t="s">
        <v>76</v>
      </c>
      <c r="S21" s="5" t="s">
        <v>64</v>
      </c>
      <c r="T21" s="96">
        <v>1</v>
      </c>
      <c r="U21" s="96">
        <v>2</v>
      </c>
      <c r="V21" s="96">
        <v>2</v>
      </c>
      <c r="W21" s="5" t="s">
        <v>91</v>
      </c>
      <c r="X21" s="10" t="s">
        <v>79</v>
      </c>
      <c r="Y21" s="11">
        <v>29825.983464999998</v>
      </c>
      <c r="Z21" s="12">
        <v>7</v>
      </c>
      <c r="AA21" s="12">
        <v>0</v>
      </c>
      <c r="AB21" s="12">
        <v>0.5</v>
      </c>
      <c r="AC21" s="13">
        <v>1</v>
      </c>
      <c r="AD21" s="14">
        <f t="shared" si="2"/>
        <v>8.5</v>
      </c>
      <c r="AE21" s="15">
        <f t="shared" si="3"/>
        <v>0.11764705882352941</v>
      </c>
      <c r="AF21" s="16">
        <v>7000</v>
      </c>
      <c r="AG21" s="16" t="s">
        <v>66</v>
      </c>
      <c r="AH21" s="17" t="s">
        <v>173</v>
      </c>
      <c r="AI21" s="18">
        <v>5</v>
      </c>
      <c r="AJ21" s="19" t="s">
        <v>174</v>
      </c>
      <c r="AK21" s="20">
        <v>0.9</v>
      </c>
      <c r="AL21" s="17" t="s">
        <v>92</v>
      </c>
      <c r="AM21" s="5" t="s">
        <v>66</v>
      </c>
      <c r="AN21" s="5" t="s">
        <v>66</v>
      </c>
      <c r="AO21" s="5" t="s">
        <v>66</v>
      </c>
      <c r="AP21" s="5" t="s">
        <v>66</v>
      </c>
      <c r="AQ21" s="5" t="s">
        <v>66</v>
      </c>
      <c r="AR21" s="5" t="s">
        <v>66</v>
      </c>
      <c r="AS21" s="5" t="s">
        <v>66</v>
      </c>
      <c r="AT21" s="5" t="s">
        <v>66</v>
      </c>
      <c r="AU21" s="5" t="s">
        <v>66</v>
      </c>
      <c r="AV21" s="5" t="s">
        <v>66</v>
      </c>
      <c r="AW21" s="5" t="s">
        <v>177</v>
      </c>
      <c r="AX21" s="5" t="s">
        <v>193</v>
      </c>
      <c r="AY21" s="5" t="s">
        <v>69</v>
      </c>
      <c r="AZ21" s="5" t="s">
        <v>70</v>
      </c>
      <c r="BA21" s="19" t="s">
        <v>194</v>
      </c>
      <c r="BB21" s="17" t="s">
        <v>110</v>
      </c>
      <c r="BC21" s="5" t="s">
        <v>195</v>
      </c>
      <c r="BD21" s="5" t="s">
        <v>196</v>
      </c>
    </row>
    <row r="22" spans="1:56" ht="216" hidden="1" x14ac:dyDescent="0.25">
      <c r="A22" s="78" t="s">
        <v>164</v>
      </c>
      <c r="B22" s="5" t="s">
        <v>165</v>
      </c>
      <c r="C22" s="5" t="s">
        <v>3293</v>
      </c>
      <c r="D22" s="5" t="s">
        <v>56</v>
      </c>
      <c r="E22" s="99" t="str">
        <f>VLOOKUP(D22,'Dropdown List'!$F$26:$G$40,2,0)</f>
        <v>India</v>
      </c>
      <c r="F22" s="8" t="s">
        <v>166</v>
      </c>
      <c r="G22" s="96">
        <v>2.9</v>
      </c>
      <c r="H22" s="5" t="s">
        <v>57</v>
      </c>
      <c r="I22" s="8" t="s">
        <v>58</v>
      </c>
      <c r="J22" s="8" t="s">
        <v>163</v>
      </c>
      <c r="K22" s="8" t="s">
        <v>957</v>
      </c>
      <c r="L22" s="8" t="s">
        <v>197</v>
      </c>
      <c r="M22" s="8" t="s">
        <v>198</v>
      </c>
      <c r="N22" s="5" t="s">
        <v>269</v>
      </c>
      <c r="O22" s="5" t="s">
        <v>61</v>
      </c>
      <c r="P22" s="5" t="s">
        <v>171</v>
      </c>
      <c r="Q22" s="9" t="s">
        <v>172</v>
      </c>
      <c r="R22" s="5" t="s">
        <v>76</v>
      </c>
      <c r="S22" s="5" t="s">
        <v>64</v>
      </c>
      <c r="T22" s="96">
        <v>1</v>
      </c>
      <c r="U22" s="96">
        <v>3</v>
      </c>
      <c r="V22" s="96">
        <v>3</v>
      </c>
      <c r="W22" s="5" t="s">
        <v>91</v>
      </c>
      <c r="X22" s="10" t="s">
        <v>79</v>
      </c>
      <c r="Y22" s="11">
        <v>28113.85</v>
      </c>
      <c r="Z22" s="12">
        <v>4</v>
      </c>
      <c r="AA22" s="12">
        <v>0</v>
      </c>
      <c r="AB22" s="12">
        <v>0.5</v>
      </c>
      <c r="AC22" s="13">
        <v>1</v>
      </c>
      <c r="AD22" s="14">
        <f t="shared" si="2"/>
        <v>5.5</v>
      </c>
      <c r="AE22" s="15">
        <f t="shared" si="3"/>
        <v>0.18181818181818182</v>
      </c>
      <c r="AF22" s="16">
        <v>12000</v>
      </c>
      <c r="AG22" s="16" t="s">
        <v>66</v>
      </c>
      <c r="AH22" s="17" t="s">
        <v>199</v>
      </c>
      <c r="AI22" s="18">
        <v>3</v>
      </c>
      <c r="AJ22" s="19" t="s">
        <v>174</v>
      </c>
      <c r="AK22" s="20">
        <v>0.9</v>
      </c>
      <c r="AL22" s="17" t="s">
        <v>92</v>
      </c>
      <c r="AM22" s="5" t="s">
        <v>66</v>
      </c>
      <c r="AN22" s="5" t="s">
        <v>66</v>
      </c>
      <c r="AO22" s="5" t="s">
        <v>66</v>
      </c>
      <c r="AP22" s="5" t="s">
        <v>66</v>
      </c>
      <c r="AQ22" s="5" t="s">
        <v>66</v>
      </c>
      <c r="AR22" s="5" t="s">
        <v>66</v>
      </c>
      <c r="AS22" s="5" t="s">
        <v>66</v>
      </c>
      <c r="AT22" s="5" t="s">
        <v>66</v>
      </c>
      <c r="AU22" s="5" t="s">
        <v>66</v>
      </c>
      <c r="AV22" s="5" t="s">
        <v>66</v>
      </c>
      <c r="AW22" s="5" t="s">
        <v>200</v>
      </c>
      <c r="AX22" s="5" t="s">
        <v>201</v>
      </c>
      <c r="AY22" s="5" t="s">
        <v>69</v>
      </c>
      <c r="AZ22" s="5" t="s">
        <v>70</v>
      </c>
      <c r="BA22" s="19" t="s">
        <v>202</v>
      </c>
      <c r="BB22" s="17" t="s">
        <v>110</v>
      </c>
      <c r="BC22" s="5" t="s">
        <v>195</v>
      </c>
      <c r="BD22" s="5" t="s">
        <v>203</v>
      </c>
    </row>
    <row r="23" spans="1:56" ht="132" hidden="1" x14ac:dyDescent="0.25">
      <c r="A23" s="78" t="s">
        <v>488</v>
      </c>
      <c r="B23" s="5" t="s">
        <v>489</v>
      </c>
      <c r="C23" s="5" t="s">
        <v>290</v>
      </c>
      <c r="D23" s="5" t="s">
        <v>252</v>
      </c>
      <c r="E23" s="99" t="str">
        <f>VLOOKUP(D23,'Dropdown List'!$F$26:$G$40,2,0)</f>
        <v>India</v>
      </c>
      <c r="F23" s="8" t="s">
        <v>490</v>
      </c>
      <c r="G23" s="96">
        <v>1</v>
      </c>
      <c r="H23" s="5" t="s">
        <v>57</v>
      </c>
      <c r="I23" s="8" t="s">
        <v>71</v>
      </c>
      <c r="J23" s="8" t="s">
        <v>167</v>
      </c>
      <c r="K23" s="8" t="s">
        <v>491</v>
      </c>
      <c r="L23" s="8" t="s">
        <v>492</v>
      </c>
      <c r="M23" s="8" t="s">
        <v>493</v>
      </c>
      <c r="N23" s="5" t="s">
        <v>1034</v>
      </c>
      <c r="O23" s="5" t="s">
        <v>61</v>
      </c>
      <c r="P23" s="5" t="s">
        <v>494</v>
      </c>
      <c r="Q23" s="9" t="s">
        <v>75</v>
      </c>
      <c r="R23" s="5" t="s">
        <v>76</v>
      </c>
      <c r="S23" s="5" t="s">
        <v>495</v>
      </c>
      <c r="T23" s="96" t="s">
        <v>496</v>
      </c>
      <c r="U23" s="96" t="s">
        <v>497</v>
      </c>
      <c r="V23" s="96" t="s">
        <v>498</v>
      </c>
      <c r="W23" s="5" t="s">
        <v>91</v>
      </c>
      <c r="X23" s="10" t="s">
        <v>321</v>
      </c>
      <c r="Y23" s="11">
        <v>25059</v>
      </c>
      <c r="Z23" s="12">
        <v>2</v>
      </c>
      <c r="AA23" s="12">
        <v>0</v>
      </c>
      <c r="AB23" s="12">
        <v>1</v>
      </c>
      <c r="AC23" s="13">
        <v>0</v>
      </c>
      <c r="AD23" s="14">
        <f t="shared" si="2"/>
        <v>3</v>
      </c>
      <c r="AE23" s="15">
        <f t="shared" si="3"/>
        <v>0</v>
      </c>
      <c r="AF23" s="16" t="s">
        <v>66</v>
      </c>
      <c r="AG23" s="16" t="s">
        <v>66</v>
      </c>
      <c r="AH23" s="17" t="s">
        <v>66</v>
      </c>
      <c r="AI23" s="18" t="s">
        <v>66</v>
      </c>
      <c r="AJ23" s="19" t="s">
        <v>66</v>
      </c>
      <c r="AK23" s="20" t="s">
        <v>66</v>
      </c>
      <c r="AL23" s="17" t="s">
        <v>65</v>
      </c>
      <c r="AM23" s="5" t="s">
        <v>66</v>
      </c>
      <c r="AN23" s="5" t="s">
        <v>66</v>
      </c>
      <c r="AO23" s="5" t="s">
        <v>66</v>
      </c>
      <c r="AP23" s="5" t="s">
        <v>66</v>
      </c>
      <c r="AQ23" s="5" t="s">
        <v>66</v>
      </c>
      <c r="AR23" s="5" t="s">
        <v>66</v>
      </c>
      <c r="AS23" s="5" t="s">
        <v>66</v>
      </c>
      <c r="AT23" s="5" t="s">
        <v>66</v>
      </c>
      <c r="AU23" s="5" t="s">
        <v>66</v>
      </c>
      <c r="AV23" s="5" t="s">
        <v>66</v>
      </c>
      <c r="AW23" s="5" t="s">
        <v>66</v>
      </c>
      <c r="AX23" s="5" t="s">
        <v>499</v>
      </c>
      <c r="AY23" s="5" t="s">
        <v>500</v>
      </c>
      <c r="AZ23" s="5" t="s">
        <v>70</v>
      </c>
      <c r="BA23" s="19" t="s">
        <v>501</v>
      </c>
      <c r="BB23" s="17" t="s">
        <v>502</v>
      </c>
      <c r="BC23" s="5" t="s">
        <v>503</v>
      </c>
      <c r="BD23" s="5" t="s">
        <v>504</v>
      </c>
    </row>
    <row r="24" spans="1:56" ht="168" hidden="1" x14ac:dyDescent="0.25">
      <c r="A24" s="78" t="s">
        <v>488</v>
      </c>
      <c r="B24" s="5" t="s">
        <v>489</v>
      </c>
      <c r="C24" s="5" t="s">
        <v>290</v>
      </c>
      <c r="D24" s="5" t="s">
        <v>56</v>
      </c>
      <c r="E24" s="99" t="str">
        <f>VLOOKUP(D24,'Dropdown List'!$F$26:$G$40,2,0)</f>
        <v>India</v>
      </c>
      <c r="F24" s="8" t="s">
        <v>490</v>
      </c>
      <c r="G24" s="96">
        <v>1</v>
      </c>
      <c r="H24" s="5" t="s">
        <v>57</v>
      </c>
      <c r="I24" s="8" t="s">
        <v>71</v>
      </c>
      <c r="J24" s="8" t="s">
        <v>292</v>
      </c>
      <c r="K24" s="8" t="s">
        <v>505</v>
      </c>
      <c r="L24" s="8" t="s">
        <v>506</v>
      </c>
      <c r="M24" s="8" t="s">
        <v>507</v>
      </c>
      <c r="N24" s="5" t="s">
        <v>1034</v>
      </c>
      <c r="O24" s="5" t="s">
        <v>61</v>
      </c>
      <c r="P24" s="5" t="s">
        <v>494</v>
      </c>
      <c r="Q24" s="9" t="s">
        <v>75</v>
      </c>
      <c r="R24" s="5" t="s">
        <v>76</v>
      </c>
      <c r="S24" s="5" t="s">
        <v>64</v>
      </c>
      <c r="T24" s="96" t="s">
        <v>496</v>
      </c>
      <c r="U24" s="96">
        <v>0</v>
      </c>
      <c r="V24" s="96" t="s">
        <v>497</v>
      </c>
      <c r="W24" s="5" t="s">
        <v>91</v>
      </c>
      <c r="X24" s="10" t="s">
        <v>321</v>
      </c>
      <c r="Y24" s="11">
        <v>20183.240000000002</v>
      </c>
      <c r="Z24" s="12">
        <v>28</v>
      </c>
      <c r="AA24" s="12">
        <v>2</v>
      </c>
      <c r="AB24" s="12">
        <v>1</v>
      </c>
      <c r="AC24" s="13">
        <v>2.5</v>
      </c>
      <c r="AD24" s="14">
        <f t="shared" si="2"/>
        <v>33.5</v>
      </c>
      <c r="AE24" s="15">
        <f t="shared" si="3"/>
        <v>7.4626865671641784E-2</v>
      </c>
      <c r="AF24" s="16">
        <v>29303</v>
      </c>
      <c r="AG24" s="16" t="s">
        <v>66</v>
      </c>
      <c r="AH24" s="17" t="s">
        <v>508</v>
      </c>
      <c r="AI24" s="18" t="s">
        <v>509</v>
      </c>
      <c r="AJ24" s="19">
        <v>0.95</v>
      </c>
      <c r="AK24" s="20">
        <v>0.95</v>
      </c>
      <c r="AL24" s="17" t="s">
        <v>2810</v>
      </c>
      <c r="AM24" s="5" t="s">
        <v>66</v>
      </c>
      <c r="AN24" s="5" t="s">
        <v>66</v>
      </c>
      <c r="AO24" s="5" t="s">
        <v>66</v>
      </c>
      <c r="AP24" s="5" t="s">
        <v>66</v>
      </c>
      <c r="AQ24" s="5" t="s">
        <v>66</v>
      </c>
      <c r="AR24" s="5" t="s">
        <v>66</v>
      </c>
      <c r="AS24" s="5" t="s">
        <v>66</v>
      </c>
      <c r="AT24" s="5" t="s">
        <v>66</v>
      </c>
      <c r="AU24" s="5" t="s">
        <v>66</v>
      </c>
      <c r="AV24" s="5" t="s">
        <v>66</v>
      </c>
      <c r="AW24" s="5" t="s">
        <v>66</v>
      </c>
      <c r="AX24" s="5" t="s">
        <v>510</v>
      </c>
      <c r="AY24" s="5" t="s">
        <v>511</v>
      </c>
      <c r="AZ24" s="5" t="s">
        <v>70</v>
      </c>
      <c r="BA24" s="19" t="s">
        <v>512</v>
      </c>
      <c r="BB24" s="17" t="s">
        <v>513</v>
      </c>
      <c r="BC24" s="5" t="s">
        <v>514</v>
      </c>
      <c r="BD24" s="5" t="s">
        <v>515</v>
      </c>
    </row>
    <row r="25" spans="1:56" ht="168" hidden="1" x14ac:dyDescent="0.25">
      <c r="A25" s="78" t="s">
        <v>488</v>
      </c>
      <c r="B25" s="5" t="s">
        <v>489</v>
      </c>
      <c r="C25" s="5" t="s">
        <v>290</v>
      </c>
      <c r="D25" s="5" t="s">
        <v>252</v>
      </c>
      <c r="E25" s="99" t="str">
        <f>VLOOKUP(D25,'Dropdown List'!$F$26:$G$40,2,0)</f>
        <v>India</v>
      </c>
      <c r="F25" s="8" t="s">
        <v>490</v>
      </c>
      <c r="G25" s="96">
        <v>1</v>
      </c>
      <c r="H25" s="5" t="s">
        <v>57</v>
      </c>
      <c r="I25" s="8" t="s">
        <v>71</v>
      </c>
      <c r="J25" s="8" t="s">
        <v>292</v>
      </c>
      <c r="K25" s="8" t="s">
        <v>505</v>
      </c>
      <c r="L25" s="8" t="s">
        <v>506</v>
      </c>
      <c r="M25" s="8" t="s">
        <v>507</v>
      </c>
      <c r="N25" s="5" t="s">
        <v>1034</v>
      </c>
      <c r="O25" s="5" t="s">
        <v>61</v>
      </c>
      <c r="P25" s="5" t="s">
        <v>494</v>
      </c>
      <c r="Q25" s="9" t="s">
        <v>75</v>
      </c>
      <c r="R25" s="5" t="s">
        <v>76</v>
      </c>
      <c r="S25" s="5" t="s">
        <v>64</v>
      </c>
      <c r="T25" s="96" t="s">
        <v>496</v>
      </c>
      <c r="U25" s="96">
        <v>0</v>
      </c>
      <c r="V25" s="96" t="s">
        <v>497</v>
      </c>
      <c r="W25" s="5" t="s">
        <v>91</v>
      </c>
      <c r="X25" s="10" t="s">
        <v>321</v>
      </c>
      <c r="Y25" s="11">
        <v>20183.240000000002</v>
      </c>
      <c r="Z25" s="12">
        <v>28</v>
      </c>
      <c r="AA25" s="12">
        <v>2</v>
      </c>
      <c r="AB25" s="12">
        <v>1</v>
      </c>
      <c r="AC25" s="12">
        <v>2.5</v>
      </c>
      <c r="AD25" s="14">
        <f t="shared" si="2"/>
        <v>33.5</v>
      </c>
      <c r="AE25" s="15">
        <f t="shared" si="3"/>
        <v>7.4626865671641784E-2</v>
      </c>
      <c r="AF25" s="16">
        <v>29303</v>
      </c>
      <c r="AG25" s="16" t="s">
        <v>66</v>
      </c>
      <c r="AH25" s="17" t="s">
        <v>508</v>
      </c>
      <c r="AI25" s="18" t="s">
        <v>509</v>
      </c>
      <c r="AJ25" s="19">
        <v>0.95</v>
      </c>
      <c r="AK25" s="20">
        <v>0.95</v>
      </c>
      <c r="AL25" s="17" t="s">
        <v>2810</v>
      </c>
      <c r="AM25" s="5" t="s">
        <v>66</v>
      </c>
      <c r="AN25" s="5" t="s">
        <v>66</v>
      </c>
      <c r="AO25" s="5" t="s">
        <v>66</v>
      </c>
      <c r="AP25" s="5" t="s">
        <v>66</v>
      </c>
      <c r="AQ25" s="5" t="s">
        <v>66</v>
      </c>
      <c r="AR25" s="5" t="s">
        <v>66</v>
      </c>
      <c r="AS25" s="5" t="s">
        <v>66</v>
      </c>
      <c r="AT25" s="5" t="s">
        <v>66</v>
      </c>
      <c r="AU25" s="5" t="s">
        <v>66</v>
      </c>
      <c r="AV25" s="5" t="s">
        <v>66</v>
      </c>
      <c r="AW25" s="5" t="s">
        <v>66</v>
      </c>
      <c r="AX25" s="5" t="s">
        <v>510</v>
      </c>
      <c r="AY25" s="5" t="s">
        <v>511</v>
      </c>
      <c r="AZ25" s="5" t="s">
        <v>70</v>
      </c>
      <c r="BA25" s="19" t="s">
        <v>512</v>
      </c>
      <c r="BB25" s="17" t="s">
        <v>513</v>
      </c>
      <c r="BC25" s="5" t="s">
        <v>514</v>
      </c>
      <c r="BD25" s="5" t="s">
        <v>515</v>
      </c>
    </row>
    <row r="26" spans="1:56" ht="144" hidden="1" x14ac:dyDescent="0.25">
      <c r="A26" s="78" t="s">
        <v>488</v>
      </c>
      <c r="B26" s="5" t="s">
        <v>489</v>
      </c>
      <c r="C26" s="5" t="s">
        <v>290</v>
      </c>
      <c r="D26" s="5" t="s">
        <v>56</v>
      </c>
      <c r="E26" s="99" t="str">
        <f>VLOOKUP(D26,'Dropdown List'!$F$26:$G$40,2,0)</f>
        <v>India</v>
      </c>
      <c r="F26" s="8" t="s">
        <v>490</v>
      </c>
      <c r="G26" s="96">
        <v>1</v>
      </c>
      <c r="H26" s="5" t="s">
        <v>57</v>
      </c>
      <c r="I26" s="8" t="s">
        <v>71</v>
      </c>
      <c r="J26" s="8" t="s">
        <v>102</v>
      </c>
      <c r="K26" s="8" t="s">
        <v>516</v>
      </c>
      <c r="L26" s="8" t="s">
        <v>517</v>
      </c>
      <c r="M26" s="8" t="s">
        <v>518</v>
      </c>
      <c r="N26" s="5" t="s">
        <v>1034</v>
      </c>
      <c r="O26" s="5" t="s">
        <v>61</v>
      </c>
      <c r="P26" s="5" t="s">
        <v>494</v>
      </c>
      <c r="Q26" s="9" t="s">
        <v>75</v>
      </c>
      <c r="R26" s="5" t="s">
        <v>76</v>
      </c>
      <c r="S26" s="5" t="s">
        <v>64</v>
      </c>
      <c r="T26" s="96" t="s">
        <v>496</v>
      </c>
      <c r="U26" s="96" t="s">
        <v>519</v>
      </c>
      <c r="V26" s="96" t="s">
        <v>520</v>
      </c>
      <c r="W26" s="5" t="s">
        <v>91</v>
      </c>
      <c r="X26" s="10" t="s">
        <v>321</v>
      </c>
      <c r="Y26" s="11">
        <v>20183.240000000002</v>
      </c>
      <c r="Z26" s="12">
        <v>4.5</v>
      </c>
      <c r="AA26" s="12">
        <v>0.5</v>
      </c>
      <c r="AB26" s="12">
        <v>1</v>
      </c>
      <c r="AC26" s="13">
        <v>0.5</v>
      </c>
      <c r="AD26" s="14">
        <f t="shared" si="2"/>
        <v>6.5</v>
      </c>
      <c r="AE26" s="15">
        <f t="shared" si="3"/>
        <v>7.6923076923076927E-2</v>
      </c>
      <c r="AF26" s="16">
        <v>1563.5</v>
      </c>
      <c r="AG26" s="16" t="s">
        <v>66</v>
      </c>
      <c r="AH26" s="17" t="s">
        <v>508</v>
      </c>
      <c r="AI26" s="18" t="s">
        <v>509</v>
      </c>
      <c r="AJ26" s="19">
        <v>0.95</v>
      </c>
      <c r="AK26" s="20">
        <v>0.95</v>
      </c>
      <c r="AL26" s="17" t="s">
        <v>2810</v>
      </c>
      <c r="AM26" s="5" t="s">
        <v>66</v>
      </c>
      <c r="AN26" s="5" t="s">
        <v>66</v>
      </c>
      <c r="AO26" s="5" t="s">
        <v>66</v>
      </c>
      <c r="AP26" s="5" t="s">
        <v>66</v>
      </c>
      <c r="AQ26" s="5" t="s">
        <v>66</v>
      </c>
      <c r="AR26" s="5" t="s">
        <v>66</v>
      </c>
      <c r="AS26" s="5" t="s">
        <v>66</v>
      </c>
      <c r="AT26" s="5" t="s">
        <v>66</v>
      </c>
      <c r="AU26" s="5" t="s">
        <v>66</v>
      </c>
      <c r="AV26" s="5" t="s">
        <v>66</v>
      </c>
      <c r="AW26" s="5" t="s">
        <v>66</v>
      </c>
      <c r="AX26" s="5" t="s">
        <v>514</v>
      </c>
      <c r="AY26" s="5" t="s">
        <v>521</v>
      </c>
      <c r="AZ26" s="5" t="s">
        <v>70</v>
      </c>
      <c r="BA26" s="19" t="s">
        <v>522</v>
      </c>
      <c r="BB26" s="17" t="s">
        <v>523</v>
      </c>
      <c r="BC26" s="5" t="s">
        <v>514</v>
      </c>
      <c r="BD26" s="5" t="s">
        <v>515</v>
      </c>
    </row>
    <row r="27" spans="1:56" ht="144" hidden="1" x14ac:dyDescent="0.25">
      <c r="A27" s="78" t="s">
        <v>488</v>
      </c>
      <c r="B27" s="5" t="s">
        <v>489</v>
      </c>
      <c r="C27" s="5" t="s">
        <v>290</v>
      </c>
      <c r="D27" s="5" t="s">
        <v>252</v>
      </c>
      <c r="E27" s="99" t="str">
        <f>VLOOKUP(D27,'Dropdown List'!$F$26:$G$40,2,0)</f>
        <v>India</v>
      </c>
      <c r="F27" s="8" t="s">
        <v>490</v>
      </c>
      <c r="G27" s="96">
        <v>1</v>
      </c>
      <c r="H27" s="5" t="s">
        <v>57</v>
      </c>
      <c r="I27" s="8" t="s">
        <v>71</v>
      </c>
      <c r="J27" s="8" t="s">
        <v>102</v>
      </c>
      <c r="K27" s="8" t="s">
        <v>516</v>
      </c>
      <c r="L27" s="8" t="s">
        <v>517</v>
      </c>
      <c r="M27" s="8" t="s">
        <v>518</v>
      </c>
      <c r="N27" s="5" t="s">
        <v>1034</v>
      </c>
      <c r="O27" s="5" t="s">
        <v>61</v>
      </c>
      <c r="P27" s="5" t="s">
        <v>494</v>
      </c>
      <c r="Q27" s="9" t="s">
        <v>75</v>
      </c>
      <c r="R27" s="5" t="s">
        <v>76</v>
      </c>
      <c r="S27" s="5" t="s">
        <v>64</v>
      </c>
      <c r="T27" s="96" t="s">
        <v>496</v>
      </c>
      <c r="U27" s="96" t="s">
        <v>519</v>
      </c>
      <c r="V27" s="96" t="s">
        <v>520</v>
      </c>
      <c r="W27" s="5" t="s">
        <v>91</v>
      </c>
      <c r="X27" s="10" t="s">
        <v>321</v>
      </c>
      <c r="Y27" s="11">
        <v>20183.240000000002</v>
      </c>
      <c r="Z27" s="12">
        <v>4.5</v>
      </c>
      <c r="AA27" s="12">
        <v>0.5</v>
      </c>
      <c r="AB27" s="12">
        <v>1</v>
      </c>
      <c r="AC27" s="12">
        <v>0.5</v>
      </c>
      <c r="AD27" s="14">
        <f t="shared" si="2"/>
        <v>6.5</v>
      </c>
      <c r="AE27" s="15">
        <f t="shared" si="3"/>
        <v>7.6923076923076927E-2</v>
      </c>
      <c r="AF27" s="16">
        <v>1563.5</v>
      </c>
      <c r="AG27" s="16" t="s">
        <v>66</v>
      </c>
      <c r="AH27" s="17" t="s">
        <v>508</v>
      </c>
      <c r="AI27" s="18" t="s">
        <v>509</v>
      </c>
      <c r="AJ27" s="19">
        <v>0.95</v>
      </c>
      <c r="AK27" s="20">
        <v>0.95</v>
      </c>
      <c r="AL27" s="17" t="s">
        <v>2810</v>
      </c>
      <c r="AM27" s="5" t="s">
        <v>66</v>
      </c>
      <c r="AN27" s="5" t="s">
        <v>66</v>
      </c>
      <c r="AO27" s="5" t="s">
        <v>66</v>
      </c>
      <c r="AP27" s="5" t="s">
        <v>66</v>
      </c>
      <c r="AQ27" s="5" t="s">
        <v>66</v>
      </c>
      <c r="AR27" s="5" t="s">
        <v>66</v>
      </c>
      <c r="AS27" s="5" t="s">
        <v>66</v>
      </c>
      <c r="AT27" s="5" t="s">
        <v>66</v>
      </c>
      <c r="AU27" s="5" t="s">
        <v>66</v>
      </c>
      <c r="AV27" s="5" t="s">
        <v>66</v>
      </c>
      <c r="AW27" s="5" t="s">
        <v>66</v>
      </c>
      <c r="AX27" s="5" t="s">
        <v>514</v>
      </c>
      <c r="AY27" s="5" t="s">
        <v>521</v>
      </c>
      <c r="AZ27" s="5" t="s">
        <v>70</v>
      </c>
      <c r="BA27" s="19" t="s">
        <v>522</v>
      </c>
      <c r="BB27" s="17" t="s">
        <v>523</v>
      </c>
      <c r="BC27" s="5" t="s">
        <v>514</v>
      </c>
      <c r="BD27" s="5" t="s">
        <v>515</v>
      </c>
    </row>
    <row r="28" spans="1:56" ht="156" hidden="1" x14ac:dyDescent="0.25">
      <c r="A28" s="78" t="s">
        <v>488</v>
      </c>
      <c r="B28" s="5" t="s">
        <v>489</v>
      </c>
      <c r="C28" s="5" t="s">
        <v>290</v>
      </c>
      <c r="D28" s="5" t="s">
        <v>252</v>
      </c>
      <c r="E28" s="99" t="str">
        <f>VLOOKUP(D28,'Dropdown List'!$F$26:$G$40,2,0)</f>
        <v>India</v>
      </c>
      <c r="F28" s="8" t="s">
        <v>490</v>
      </c>
      <c r="G28" s="96">
        <v>1</v>
      </c>
      <c r="H28" s="5" t="s">
        <v>57</v>
      </c>
      <c r="I28" s="8" t="s">
        <v>71</v>
      </c>
      <c r="J28" s="8" t="s">
        <v>112</v>
      </c>
      <c r="K28" s="8" t="s">
        <v>524</v>
      </c>
      <c r="L28" s="8" t="s">
        <v>525</v>
      </c>
      <c r="M28" s="8" t="s">
        <v>526</v>
      </c>
      <c r="N28" s="5" t="s">
        <v>1034</v>
      </c>
      <c r="O28" s="5" t="s">
        <v>61</v>
      </c>
      <c r="P28" s="5" t="s">
        <v>494</v>
      </c>
      <c r="Q28" s="9" t="s">
        <v>75</v>
      </c>
      <c r="R28" s="5" t="s">
        <v>76</v>
      </c>
      <c r="S28" s="5" t="s">
        <v>64</v>
      </c>
      <c r="T28" s="96" t="s">
        <v>496</v>
      </c>
      <c r="U28" s="96" t="s">
        <v>497</v>
      </c>
      <c r="V28" s="96" t="s">
        <v>497</v>
      </c>
      <c r="W28" s="5" t="s">
        <v>91</v>
      </c>
      <c r="X28" s="10" t="s">
        <v>321</v>
      </c>
      <c r="Y28" s="11">
        <v>20183.240000000002</v>
      </c>
      <c r="Z28" s="12">
        <v>28</v>
      </c>
      <c r="AA28" s="12">
        <v>2</v>
      </c>
      <c r="AB28" s="12">
        <v>2</v>
      </c>
      <c r="AC28" s="13">
        <v>3</v>
      </c>
      <c r="AD28" s="14">
        <f t="shared" si="2"/>
        <v>35</v>
      </c>
      <c r="AE28" s="15">
        <f t="shared" si="3"/>
        <v>8.5714285714285715E-2</v>
      </c>
      <c r="AF28" s="16">
        <v>27938</v>
      </c>
      <c r="AG28" s="16" t="s">
        <v>66</v>
      </c>
      <c r="AH28" s="17" t="s">
        <v>508</v>
      </c>
      <c r="AI28" s="18" t="s">
        <v>509</v>
      </c>
      <c r="AJ28" s="19">
        <v>0.95</v>
      </c>
      <c r="AK28" s="20">
        <v>0.95</v>
      </c>
      <c r="AL28" s="17" t="s">
        <v>2810</v>
      </c>
      <c r="AM28" s="5" t="s">
        <v>66</v>
      </c>
      <c r="AN28" s="5" t="s">
        <v>66</v>
      </c>
      <c r="AO28" s="5" t="s">
        <v>66</v>
      </c>
      <c r="AP28" s="5" t="s">
        <v>66</v>
      </c>
      <c r="AQ28" s="5" t="s">
        <v>66</v>
      </c>
      <c r="AR28" s="5" t="s">
        <v>66</v>
      </c>
      <c r="AS28" s="5" t="s">
        <v>66</v>
      </c>
      <c r="AT28" s="5" t="s">
        <v>66</v>
      </c>
      <c r="AU28" s="5" t="s">
        <v>66</v>
      </c>
      <c r="AV28" s="5" t="s">
        <v>66</v>
      </c>
      <c r="AW28" s="5" t="s">
        <v>66</v>
      </c>
      <c r="AX28" s="5" t="s">
        <v>527</v>
      </c>
      <c r="AY28" s="5" t="s">
        <v>528</v>
      </c>
      <c r="AZ28" s="5" t="s">
        <v>70</v>
      </c>
      <c r="BA28" s="19" t="s">
        <v>529</v>
      </c>
      <c r="BB28" s="17" t="s">
        <v>530</v>
      </c>
      <c r="BC28" s="5" t="s">
        <v>514</v>
      </c>
      <c r="BD28" s="5" t="s">
        <v>515</v>
      </c>
    </row>
    <row r="29" spans="1:56" ht="240" hidden="1" x14ac:dyDescent="0.25">
      <c r="A29" s="78" t="s">
        <v>488</v>
      </c>
      <c r="B29" s="5" t="s">
        <v>489</v>
      </c>
      <c r="C29" s="5" t="s">
        <v>290</v>
      </c>
      <c r="D29" s="5" t="s">
        <v>252</v>
      </c>
      <c r="E29" s="99" t="str">
        <f>VLOOKUP(D29,'Dropdown List'!$F$26:$G$40,2,0)</f>
        <v>India</v>
      </c>
      <c r="F29" s="8" t="s">
        <v>490</v>
      </c>
      <c r="G29" s="96">
        <v>1</v>
      </c>
      <c r="H29" s="5" t="s">
        <v>57</v>
      </c>
      <c r="I29" s="8" t="s">
        <v>71</v>
      </c>
      <c r="J29" s="8" t="s">
        <v>112</v>
      </c>
      <c r="K29" s="8" t="s">
        <v>524</v>
      </c>
      <c r="L29" s="8" t="s">
        <v>531</v>
      </c>
      <c r="M29" s="8" t="s">
        <v>532</v>
      </c>
      <c r="N29" s="5" t="s">
        <v>1034</v>
      </c>
      <c r="O29" s="5" t="s">
        <v>61</v>
      </c>
      <c r="P29" s="5" t="s">
        <v>494</v>
      </c>
      <c r="Q29" s="9" t="s">
        <v>75</v>
      </c>
      <c r="R29" s="5" t="s">
        <v>76</v>
      </c>
      <c r="S29" s="5" t="s">
        <v>533</v>
      </c>
      <c r="T29" s="96" t="s">
        <v>496</v>
      </c>
      <c r="U29" s="96" t="s">
        <v>534</v>
      </c>
      <c r="V29" s="96" t="s">
        <v>535</v>
      </c>
      <c r="W29" s="5" t="s">
        <v>91</v>
      </c>
      <c r="X29" s="10" t="s">
        <v>321</v>
      </c>
      <c r="Y29" s="11" t="s">
        <v>2896</v>
      </c>
      <c r="Z29" s="12">
        <v>104</v>
      </c>
      <c r="AA29" s="12">
        <v>0</v>
      </c>
      <c r="AB29" s="12">
        <v>5</v>
      </c>
      <c r="AC29" s="13">
        <v>25</v>
      </c>
      <c r="AD29" s="14">
        <f t="shared" si="2"/>
        <v>134</v>
      </c>
      <c r="AE29" s="15">
        <f t="shared" si="3"/>
        <v>0.18656716417910449</v>
      </c>
      <c r="AF29" s="16">
        <v>25318</v>
      </c>
      <c r="AG29" s="16" t="s">
        <v>66</v>
      </c>
      <c r="AH29" s="17" t="s">
        <v>508</v>
      </c>
      <c r="AI29" s="18" t="s">
        <v>536</v>
      </c>
      <c r="AJ29" s="19">
        <v>0.95</v>
      </c>
      <c r="AK29" s="20" t="s">
        <v>66</v>
      </c>
      <c r="AL29" s="17" t="s">
        <v>1276</v>
      </c>
      <c r="AM29" s="5" t="s">
        <v>66</v>
      </c>
      <c r="AN29" s="5" t="s">
        <v>66</v>
      </c>
      <c r="AO29" s="5" t="s">
        <v>66</v>
      </c>
      <c r="AP29" s="5" t="s">
        <v>66</v>
      </c>
      <c r="AQ29" s="5" t="s">
        <v>66</v>
      </c>
      <c r="AR29" s="5" t="s">
        <v>66</v>
      </c>
      <c r="AS29" s="5" t="s">
        <v>66</v>
      </c>
      <c r="AT29" s="5" t="s">
        <v>66</v>
      </c>
      <c r="AU29" s="5" t="s">
        <v>66</v>
      </c>
      <c r="AV29" s="5" t="s">
        <v>66</v>
      </c>
      <c r="AW29" s="5" t="s">
        <v>66</v>
      </c>
      <c r="AX29" s="5" t="s">
        <v>510</v>
      </c>
      <c r="AY29" s="5" t="s">
        <v>537</v>
      </c>
      <c r="AZ29" s="5" t="s">
        <v>70</v>
      </c>
      <c r="BA29" s="19" t="s">
        <v>512</v>
      </c>
      <c r="BB29" s="17" t="s">
        <v>538</v>
      </c>
      <c r="BC29" s="5" t="s">
        <v>514</v>
      </c>
      <c r="BD29" s="5" t="s">
        <v>539</v>
      </c>
    </row>
    <row r="30" spans="1:56" ht="204" hidden="1" x14ac:dyDescent="0.25">
      <c r="A30" s="78" t="s">
        <v>488</v>
      </c>
      <c r="B30" s="5" t="s">
        <v>489</v>
      </c>
      <c r="C30" s="5" t="s">
        <v>290</v>
      </c>
      <c r="D30" s="5" t="s">
        <v>56</v>
      </c>
      <c r="E30" s="99" t="str">
        <f>VLOOKUP(D30,'Dropdown List'!$F$26:$G$40,2,0)</f>
        <v>India</v>
      </c>
      <c r="F30" s="8" t="s">
        <v>490</v>
      </c>
      <c r="G30" s="96">
        <v>1</v>
      </c>
      <c r="H30" s="5" t="s">
        <v>57</v>
      </c>
      <c r="I30" s="8" t="s">
        <v>71</v>
      </c>
      <c r="J30" s="8" t="s">
        <v>112</v>
      </c>
      <c r="K30" s="8" t="s">
        <v>540</v>
      </c>
      <c r="L30" s="8" t="s">
        <v>541</v>
      </c>
      <c r="M30" s="8" t="s">
        <v>542</v>
      </c>
      <c r="N30" s="5" t="s">
        <v>1034</v>
      </c>
      <c r="O30" s="5" t="s">
        <v>61</v>
      </c>
      <c r="P30" s="5" t="s">
        <v>494</v>
      </c>
      <c r="Q30" s="9" t="s">
        <v>75</v>
      </c>
      <c r="R30" s="5" t="s">
        <v>63</v>
      </c>
      <c r="S30" s="5" t="s">
        <v>90</v>
      </c>
      <c r="T30" s="96" t="s">
        <v>496</v>
      </c>
      <c r="U30" s="96" t="s">
        <v>497</v>
      </c>
      <c r="V30" s="96" t="s">
        <v>497</v>
      </c>
      <c r="W30" s="5" t="s">
        <v>91</v>
      </c>
      <c r="X30" s="10" t="s">
        <v>321</v>
      </c>
      <c r="Y30" s="11" t="s">
        <v>2897</v>
      </c>
      <c r="Z30" s="12">
        <v>3</v>
      </c>
      <c r="AA30" s="12">
        <v>0</v>
      </c>
      <c r="AB30" s="12">
        <v>1</v>
      </c>
      <c r="AC30" s="13">
        <v>1</v>
      </c>
      <c r="AD30" s="14">
        <f t="shared" si="2"/>
        <v>5</v>
      </c>
      <c r="AE30" s="15">
        <f t="shared" si="3"/>
        <v>0.2</v>
      </c>
      <c r="AF30" s="16" t="s">
        <v>66</v>
      </c>
      <c r="AG30" s="16" t="s">
        <v>66</v>
      </c>
      <c r="AH30" s="17" t="s">
        <v>508</v>
      </c>
      <c r="AI30" s="18" t="s">
        <v>66</v>
      </c>
      <c r="AJ30" s="19">
        <v>0.95</v>
      </c>
      <c r="AK30" s="20" t="s">
        <v>66</v>
      </c>
      <c r="AL30" s="17" t="s">
        <v>65</v>
      </c>
      <c r="AM30" s="5" t="s">
        <v>66</v>
      </c>
      <c r="AN30" s="5" t="s">
        <v>66</v>
      </c>
      <c r="AO30" s="5" t="s">
        <v>66</v>
      </c>
      <c r="AP30" s="5" t="s">
        <v>66</v>
      </c>
      <c r="AQ30" s="5" t="s">
        <v>66</v>
      </c>
      <c r="AR30" s="5" t="s">
        <v>66</v>
      </c>
      <c r="AS30" s="5" t="s">
        <v>66</v>
      </c>
      <c r="AT30" s="5" t="s">
        <v>66</v>
      </c>
      <c r="AU30" s="5" t="s">
        <v>66</v>
      </c>
      <c r="AV30" s="5" t="s">
        <v>66</v>
      </c>
      <c r="AW30" s="5" t="s">
        <v>66</v>
      </c>
      <c r="AX30" s="5" t="s">
        <v>510</v>
      </c>
      <c r="AY30" s="5" t="s">
        <v>543</v>
      </c>
      <c r="AZ30" s="5" t="s">
        <v>70</v>
      </c>
      <c r="BA30" s="19" t="s">
        <v>544</v>
      </c>
      <c r="BB30" s="17" t="s">
        <v>545</v>
      </c>
      <c r="BC30" s="5" t="s">
        <v>514</v>
      </c>
      <c r="BD30" s="5" t="s">
        <v>515</v>
      </c>
    </row>
    <row r="31" spans="1:56" ht="36" hidden="1" x14ac:dyDescent="0.25">
      <c r="A31" s="78" t="s">
        <v>894</v>
      </c>
      <c r="B31" s="5" t="s">
        <v>895</v>
      </c>
      <c r="C31" s="5" t="s">
        <v>3293</v>
      </c>
      <c r="D31" s="5" t="s">
        <v>56</v>
      </c>
      <c r="E31" s="99" t="str">
        <f>VLOOKUP(D31,'Dropdown List'!$F$26:$G$40,2,0)</f>
        <v>India</v>
      </c>
      <c r="F31" s="8" t="s">
        <v>896</v>
      </c>
      <c r="G31" s="96">
        <v>10</v>
      </c>
      <c r="H31" s="5" t="s">
        <v>57</v>
      </c>
      <c r="I31" s="8" t="s">
        <v>58</v>
      </c>
      <c r="J31" s="8" t="s">
        <v>146</v>
      </c>
      <c r="K31" s="8" t="s">
        <v>897</v>
      </c>
      <c r="L31" s="8" t="s">
        <v>898</v>
      </c>
      <c r="M31" s="8" t="s">
        <v>899</v>
      </c>
      <c r="N31" s="5" t="s">
        <v>319</v>
      </c>
      <c r="O31" s="5" t="s">
        <v>61</v>
      </c>
      <c r="P31" s="5" t="s">
        <v>900</v>
      </c>
      <c r="Q31" s="9" t="s">
        <v>418</v>
      </c>
      <c r="R31" s="5" t="s">
        <v>76</v>
      </c>
      <c r="S31" s="5" t="s">
        <v>90</v>
      </c>
      <c r="T31" s="96">
        <v>1</v>
      </c>
      <c r="U31" s="96">
        <v>2</v>
      </c>
      <c r="V31" s="96">
        <v>3</v>
      </c>
      <c r="W31" s="5" t="s">
        <v>91</v>
      </c>
      <c r="X31" s="10" t="s">
        <v>79</v>
      </c>
      <c r="Y31" s="11">
        <v>24417.299117249997</v>
      </c>
      <c r="Z31" s="12">
        <v>2</v>
      </c>
      <c r="AA31" s="12">
        <v>0.1</v>
      </c>
      <c r="AB31" s="12">
        <v>0.04</v>
      </c>
      <c r="AC31" s="13">
        <v>1.1000000000000001</v>
      </c>
      <c r="AD31" s="14">
        <f t="shared" si="2"/>
        <v>3.24</v>
      </c>
      <c r="AE31" s="15">
        <f t="shared" si="3"/>
        <v>0.33950617283950618</v>
      </c>
      <c r="AF31" s="16">
        <v>428</v>
      </c>
      <c r="AG31" s="16" t="s">
        <v>66</v>
      </c>
      <c r="AH31" s="17" t="s">
        <v>66</v>
      </c>
      <c r="AI31" s="18">
        <v>17.28</v>
      </c>
      <c r="AJ31" s="19">
        <v>0.95</v>
      </c>
      <c r="AK31" s="20">
        <v>0.95</v>
      </c>
      <c r="AL31" s="17" t="s">
        <v>92</v>
      </c>
      <c r="AM31" s="5" t="s">
        <v>66</v>
      </c>
      <c r="AN31" s="5" t="s">
        <v>66</v>
      </c>
      <c r="AO31" s="5" t="s">
        <v>66</v>
      </c>
      <c r="AP31" s="5" t="s">
        <v>66</v>
      </c>
      <c r="AQ31" s="5" t="s">
        <v>66</v>
      </c>
      <c r="AR31" s="5" t="s">
        <v>66</v>
      </c>
      <c r="AS31" s="5" t="s">
        <v>66</v>
      </c>
      <c r="AT31" s="5" t="s">
        <v>66</v>
      </c>
      <c r="AU31" s="5" t="s">
        <v>66</v>
      </c>
      <c r="AV31" s="5" t="s">
        <v>66</v>
      </c>
      <c r="AW31" s="5" t="s">
        <v>66</v>
      </c>
      <c r="AX31" s="5" t="s">
        <v>901</v>
      </c>
      <c r="AY31" s="5" t="s">
        <v>902</v>
      </c>
      <c r="AZ31" s="5" t="s">
        <v>145</v>
      </c>
      <c r="BA31" s="19">
        <v>1</v>
      </c>
      <c r="BB31" s="17" t="s">
        <v>903</v>
      </c>
      <c r="BC31" s="5" t="s">
        <v>904</v>
      </c>
      <c r="BD31" s="5" t="s">
        <v>905</v>
      </c>
    </row>
    <row r="32" spans="1:56" ht="96" hidden="1" x14ac:dyDescent="0.25">
      <c r="A32" s="78" t="s">
        <v>894</v>
      </c>
      <c r="B32" s="5" t="s">
        <v>895</v>
      </c>
      <c r="C32" s="5" t="s">
        <v>3293</v>
      </c>
      <c r="D32" s="5" t="s">
        <v>56</v>
      </c>
      <c r="E32" s="99" t="str">
        <f>VLOOKUP(D32,'Dropdown List'!$F$26:$G$40,2,0)</f>
        <v>India</v>
      </c>
      <c r="F32" s="8" t="s">
        <v>896</v>
      </c>
      <c r="G32" s="96">
        <v>10</v>
      </c>
      <c r="H32" s="5" t="s">
        <v>57</v>
      </c>
      <c r="I32" s="8" t="s">
        <v>58</v>
      </c>
      <c r="J32" s="8" t="s">
        <v>146</v>
      </c>
      <c r="K32" s="8" t="s">
        <v>897</v>
      </c>
      <c r="L32" s="8" t="s">
        <v>906</v>
      </c>
      <c r="M32" s="8" t="s">
        <v>907</v>
      </c>
      <c r="N32" s="5" t="s">
        <v>319</v>
      </c>
      <c r="O32" s="5" t="s">
        <v>61</v>
      </c>
      <c r="P32" s="5" t="s">
        <v>900</v>
      </c>
      <c r="Q32" s="9" t="s">
        <v>418</v>
      </c>
      <c r="R32" s="5" t="s">
        <v>76</v>
      </c>
      <c r="S32" s="5" t="s">
        <v>334</v>
      </c>
      <c r="T32" s="96">
        <v>1</v>
      </c>
      <c r="U32" s="96">
        <v>1</v>
      </c>
      <c r="V32" s="96">
        <v>2</v>
      </c>
      <c r="W32" s="5" t="s">
        <v>91</v>
      </c>
      <c r="X32" s="10" t="s">
        <v>79</v>
      </c>
      <c r="Y32" s="11">
        <v>20576.695042124997</v>
      </c>
      <c r="Z32" s="12">
        <v>6</v>
      </c>
      <c r="AA32" s="12">
        <v>0.1</v>
      </c>
      <c r="AB32" s="12">
        <v>0.04</v>
      </c>
      <c r="AC32" s="13">
        <v>1.1000000000000001</v>
      </c>
      <c r="AD32" s="14">
        <f t="shared" si="2"/>
        <v>7.24</v>
      </c>
      <c r="AE32" s="15">
        <f t="shared" si="3"/>
        <v>0.15193370165745856</v>
      </c>
      <c r="AF32" s="16">
        <v>2502</v>
      </c>
      <c r="AG32" s="16" t="s">
        <v>66</v>
      </c>
      <c r="AH32" s="17" t="s">
        <v>66</v>
      </c>
      <c r="AI32" s="18">
        <v>4.5199999999999996</v>
      </c>
      <c r="AJ32" s="19">
        <v>0.95</v>
      </c>
      <c r="AK32" s="20">
        <v>0.95</v>
      </c>
      <c r="AL32" s="17" t="s">
        <v>92</v>
      </c>
      <c r="AM32" s="5" t="s">
        <v>66</v>
      </c>
      <c r="AN32" s="5" t="s">
        <v>66</v>
      </c>
      <c r="AO32" s="5" t="s">
        <v>66</v>
      </c>
      <c r="AP32" s="5" t="s">
        <v>66</v>
      </c>
      <c r="AQ32" s="5" t="s">
        <v>66</v>
      </c>
      <c r="AR32" s="5" t="s">
        <v>66</v>
      </c>
      <c r="AS32" s="5" t="s">
        <v>66</v>
      </c>
      <c r="AT32" s="5" t="s">
        <v>66</v>
      </c>
      <c r="AU32" s="5" t="s">
        <v>66</v>
      </c>
      <c r="AV32" s="5" t="s">
        <v>66</v>
      </c>
      <c r="AW32" s="5" t="s">
        <v>66</v>
      </c>
      <c r="AX32" s="5" t="s">
        <v>908</v>
      </c>
      <c r="AY32" s="5" t="s">
        <v>110</v>
      </c>
      <c r="AZ32" s="5" t="s">
        <v>70</v>
      </c>
      <c r="BA32" s="19">
        <v>1</v>
      </c>
      <c r="BB32" s="17" t="s">
        <v>909</v>
      </c>
      <c r="BC32" s="5" t="s">
        <v>910</v>
      </c>
      <c r="BD32" s="5" t="s">
        <v>911</v>
      </c>
    </row>
    <row r="33" spans="1:56" ht="36" hidden="1" x14ac:dyDescent="0.25">
      <c r="A33" s="78" t="s">
        <v>894</v>
      </c>
      <c r="B33" s="5" t="s">
        <v>895</v>
      </c>
      <c r="C33" s="5" t="s">
        <v>3293</v>
      </c>
      <c r="D33" s="5" t="s">
        <v>56</v>
      </c>
      <c r="E33" s="99" t="str">
        <f>VLOOKUP(D33,'Dropdown List'!$F$26:$G$40,2,0)</f>
        <v>India</v>
      </c>
      <c r="F33" s="8" t="s">
        <v>896</v>
      </c>
      <c r="G33" s="96">
        <v>10</v>
      </c>
      <c r="H33" s="5" t="s">
        <v>57</v>
      </c>
      <c r="I33" s="8" t="s">
        <v>58</v>
      </c>
      <c r="J33" s="8" t="s">
        <v>146</v>
      </c>
      <c r="K33" s="8" t="s">
        <v>897</v>
      </c>
      <c r="L33" s="8" t="s">
        <v>912</v>
      </c>
      <c r="M33" s="8" t="s">
        <v>913</v>
      </c>
      <c r="N33" s="5" t="s">
        <v>319</v>
      </c>
      <c r="O33" s="5" t="s">
        <v>61</v>
      </c>
      <c r="P33" s="5" t="s">
        <v>900</v>
      </c>
      <c r="Q33" s="9" t="s">
        <v>418</v>
      </c>
      <c r="R33" s="5" t="s">
        <v>76</v>
      </c>
      <c r="S33" s="5" t="s">
        <v>90</v>
      </c>
      <c r="T33" s="96">
        <v>1</v>
      </c>
      <c r="U33" s="96">
        <v>2</v>
      </c>
      <c r="V33" s="96">
        <v>3</v>
      </c>
      <c r="W33" s="5" t="s">
        <v>91</v>
      </c>
      <c r="X33" s="10" t="s">
        <v>79</v>
      </c>
      <c r="Y33" s="11">
        <v>24417.299117249997</v>
      </c>
      <c r="Z33" s="12">
        <v>2</v>
      </c>
      <c r="AA33" s="12">
        <v>0.1</v>
      </c>
      <c r="AB33" s="12">
        <v>0.04</v>
      </c>
      <c r="AC33" s="13">
        <v>1.1000000000000001</v>
      </c>
      <c r="AD33" s="14">
        <f t="shared" si="2"/>
        <v>3.24</v>
      </c>
      <c r="AE33" s="15">
        <f t="shared" si="3"/>
        <v>0.33950617283950618</v>
      </c>
      <c r="AF33" s="16">
        <v>670</v>
      </c>
      <c r="AG33" s="16" t="s">
        <v>66</v>
      </c>
      <c r="AH33" s="17" t="s">
        <v>66</v>
      </c>
      <c r="AI33" s="18">
        <v>14.6</v>
      </c>
      <c r="AJ33" s="19">
        <v>0.95</v>
      </c>
      <c r="AK33" s="20">
        <v>0.95</v>
      </c>
      <c r="AL33" s="17" t="s">
        <v>92</v>
      </c>
      <c r="AM33" s="5" t="s">
        <v>66</v>
      </c>
      <c r="AN33" s="5" t="s">
        <v>66</v>
      </c>
      <c r="AO33" s="5" t="s">
        <v>66</v>
      </c>
      <c r="AP33" s="5" t="s">
        <v>66</v>
      </c>
      <c r="AQ33" s="5" t="s">
        <v>66</v>
      </c>
      <c r="AR33" s="5" t="s">
        <v>66</v>
      </c>
      <c r="AS33" s="5" t="s">
        <v>66</v>
      </c>
      <c r="AT33" s="5" t="s">
        <v>66</v>
      </c>
      <c r="AU33" s="5" t="s">
        <v>66</v>
      </c>
      <c r="AV33" s="5" t="s">
        <v>66</v>
      </c>
      <c r="AW33" s="5" t="s">
        <v>66</v>
      </c>
      <c r="AX33" s="5" t="s">
        <v>901</v>
      </c>
      <c r="AY33" s="5" t="s">
        <v>902</v>
      </c>
      <c r="AZ33" s="5" t="s">
        <v>145</v>
      </c>
      <c r="BA33" s="19">
        <v>1</v>
      </c>
      <c r="BB33" s="17" t="s">
        <v>914</v>
      </c>
      <c r="BC33" s="5" t="s">
        <v>915</v>
      </c>
      <c r="BD33" s="5" t="s">
        <v>916</v>
      </c>
    </row>
    <row r="34" spans="1:56" ht="24" hidden="1" x14ac:dyDescent="0.25">
      <c r="A34" s="78" t="s">
        <v>894</v>
      </c>
      <c r="B34" s="5" t="s">
        <v>895</v>
      </c>
      <c r="C34" s="5" t="s">
        <v>3293</v>
      </c>
      <c r="D34" s="5" t="s">
        <v>56</v>
      </c>
      <c r="E34" s="99" t="str">
        <f>VLOOKUP(D34,'Dropdown List'!$F$26:$G$40,2,0)</f>
        <v>India</v>
      </c>
      <c r="F34" s="8" t="s">
        <v>896</v>
      </c>
      <c r="G34" s="96">
        <v>10</v>
      </c>
      <c r="H34" s="5" t="s">
        <v>57</v>
      </c>
      <c r="I34" s="8" t="s">
        <v>58</v>
      </c>
      <c r="J34" s="8" t="s">
        <v>881</v>
      </c>
      <c r="K34" s="8" t="s">
        <v>917</v>
      </c>
      <c r="L34" s="8" t="s">
        <v>918</v>
      </c>
      <c r="M34" s="8" t="s">
        <v>918</v>
      </c>
      <c r="N34" s="5" t="s">
        <v>319</v>
      </c>
      <c r="O34" s="5" t="s">
        <v>61</v>
      </c>
      <c r="P34" s="5" t="s">
        <v>900</v>
      </c>
      <c r="Q34" s="9" t="s">
        <v>418</v>
      </c>
      <c r="R34" s="5" t="s">
        <v>76</v>
      </c>
      <c r="S34" s="5" t="s">
        <v>120</v>
      </c>
      <c r="T34" s="96" t="s">
        <v>66</v>
      </c>
      <c r="U34" s="96" t="s">
        <v>66</v>
      </c>
      <c r="V34" s="96" t="s">
        <v>66</v>
      </c>
      <c r="W34" s="5" t="s">
        <v>91</v>
      </c>
      <c r="X34" s="10" t="s">
        <v>79</v>
      </c>
      <c r="Y34" s="11">
        <v>33328.05932249999</v>
      </c>
      <c r="Z34" s="12">
        <v>3</v>
      </c>
      <c r="AA34" s="12">
        <v>0.1</v>
      </c>
      <c r="AB34" s="12">
        <v>0.04</v>
      </c>
      <c r="AC34" s="13">
        <v>1.1000000000000001</v>
      </c>
      <c r="AD34" s="14">
        <f t="shared" si="2"/>
        <v>4.24</v>
      </c>
      <c r="AE34" s="15">
        <f t="shared" si="3"/>
        <v>0.25943396226415094</v>
      </c>
      <c r="AF34" s="16" t="s">
        <v>66</v>
      </c>
      <c r="AG34" s="16" t="s">
        <v>66</v>
      </c>
      <c r="AH34" s="17" t="s">
        <v>66</v>
      </c>
      <c r="AI34" s="18" t="s">
        <v>66</v>
      </c>
      <c r="AJ34" s="19">
        <v>0.95</v>
      </c>
      <c r="AK34" s="20">
        <v>0.95</v>
      </c>
      <c r="AL34" s="17" t="s">
        <v>92</v>
      </c>
      <c r="AM34" s="5" t="s">
        <v>66</v>
      </c>
      <c r="AN34" s="5" t="s">
        <v>66</v>
      </c>
      <c r="AO34" s="5" t="s">
        <v>66</v>
      </c>
      <c r="AP34" s="5" t="s">
        <v>66</v>
      </c>
      <c r="AQ34" s="5" t="s">
        <v>66</v>
      </c>
      <c r="AR34" s="5" t="s">
        <v>66</v>
      </c>
      <c r="AS34" s="5" t="s">
        <v>66</v>
      </c>
      <c r="AT34" s="5" t="s">
        <v>66</v>
      </c>
      <c r="AU34" s="5" t="s">
        <v>66</v>
      </c>
      <c r="AV34" s="5" t="s">
        <v>66</v>
      </c>
      <c r="AW34" s="5" t="s">
        <v>66</v>
      </c>
      <c r="AX34" s="5" t="s">
        <v>66</v>
      </c>
      <c r="AY34" s="5" t="s">
        <v>69</v>
      </c>
      <c r="AZ34" s="5" t="s">
        <v>145</v>
      </c>
      <c r="BA34" s="19" t="s">
        <v>66</v>
      </c>
      <c r="BB34" s="17" t="s">
        <v>66</v>
      </c>
      <c r="BC34" s="5" t="s">
        <v>66</v>
      </c>
      <c r="BD34" s="5" t="s">
        <v>919</v>
      </c>
    </row>
    <row r="35" spans="1:56" ht="36" hidden="1" x14ac:dyDescent="0.25">
      <c r="A35" s="78" t="s">
        <v>894</v>
      </c>
      <c r="B35" s="5" t="s">
        <v>895</v>
      </c>
      <c r="C35" s="5" t="s">
        <v>3293</v>
      </c>
      <c r="D35" s="5" t="s">
        <v>56</v>
      </c>
      <c r="E35" s="99" t="str">
        <f>VLOOKUP(D35,'Dropdown List'!$F$26:$G$40,2,0)</f>
        <v>India</v>
      </c>
      <c r="F35" s="8" t="s">
        <v>896</v>
      </c>
      <c r="G35" s="96">
        <v>10</v>
      </c>
      <c r="H35" s="5" t="s">
        <v>57</v>
      </c>
      <c r="I35" s="8" t="s">
        <v>58</v>
      </c>
      <c r="J35" s="8" t="s">
        <v>59</v>
      </c>
      <c r="K35" s="8" t="s">
        <v>920</v>
      </c>
      <c r="L35" s="8" t="s">
        <v>921</v>
      </c>
      <c r="M35" s="8" t="s">
        <v>922</v>
      </c>
      <c r="N35" s="5" t="s">
        <v>319</v>
      </c>
      <c r="O35" s="5" t="s">
        <v>61</v>
      </c>
      <c r="P35" s="5" t="s">
        <v>900</v>
      </c>
      <c r="Q35" s="9" t="s">
        <v>418</v>
      </c>
      <c r="R35" s="5" t="s">
        <v>76</v>
      </c>
      <c r="S35" s="5" t="s">
        <v>90</v>
      </c>
      <c r="T35" s="96">
        <v>1</v>
      </c>
      <c r="U35" s="96">
        <v>2</v>
      </c>
      <c r="V35" s="96">
        <v>3</v>
      </c>
      <c r="W35" s="5" t="s">
        <v>91</v>
      </c>
      <c r="X35" s="10" t="s">
        <v>79</v>
      </c>
      <c r="Y35" s="11">
        <v>24417.299117249997</v>
      </c>
      <c r="Z35" s="12">
        <v>2</v>
      </c>
      <c r="AA35" s="12">
        <v>0.1</v>
      </c>
      <c r="AB35" s="12">
        <v>0.04</v>
      </c>
      <c r="AC35" s="13">
        <v>1.1000000000000001</v>
      </c>
      <c r="AD35" s="14">
        <f t="shared" si="2"/>
        <v>3.24</v>
      </c>
      <c r="AE35" s="15">
        <f t="shared" si="3"/>
        <v>0.33950617283950618</v>
      </c>
      <c r="AF35" s="16">
        <v>1088</v>
      </c>
      <c r="AG35" s="16" t="s">
        <v>66</v>
      </c>
      <c r="AH35" s="17" t="s">
        <v>66</v>
      </c>
      <c r="AI35" s="18">
        <v>5.86</v>
      </c>
      <c r="AJ35" s="19">
        <v>0.95</v>
      </c>
      <c r="AK35" s="20">
        <v>0.95</v>
      </c>
      <c r="AL35" s="17" t="s">
        <v>92</v>
      </c>
      <c r="AM35" s="5" t="s">
        <v>66</v>
      </c>
      <c r="AN35" s="5" t="s">
        <v>66</v>
      </c>
      <c r="AO35" s="5" t="s">
        <v>66</v>
      </c>
      <c r="AP35" s="5" t="s">
        <v>66</v>
      </c>
      <c r="AQ35" s="5" t="s">
        <v>66</v>
      </c>
      <c r="AR35" s="5" t="s">
        <v>66</v>
      </c>
      <c r="AS35" s="5" t="s">
        <v>66</v>
      </c>
      <c r="AT35" s="5" t="s">
        <v>66</v>
      </c>
      <c r="AU35" s="5" t="s">
        <v>66</v>
      </c>
      <c r="AV35" s="5" t="s">
        <v>66</v>
      </c>
      <c r="AW35" s="5" t="s">
        <v>66</v>
      </c>
      <c r="AX35" s="5" t="s">
        <v>894</v>
      </c>
      <c r="AY35" s="5" t="s">
        <v>110</v>
      </c>
      <c r="AZ35" s="5" t="s">
        <v>70</v>
      </c>
      <c r="BA35" s="19">
        <v>1</v>
      </c>
      <c r="BB35" s="17" t="s">
        <v>923</v>
      </c>
      <c r="BC35" s="5" t="s">
        <v>924</v>
      </c>
      <c r="BD35" s="5" t="s">
        <v>925</v>
      </c>
    </row>
    <row r="36" spans="1:56" ht="60" hidden="1" x14ac:dyDescent="0.25">
      <c r="A36" s="78" t="s">
        <v>894</v>
      </c>
      <c r="B36" s="5" t="s">
        <v>895</v>
      </c>
      <c r="C36" s="5" t="s">
        <v>3293</v>
      </c>
      <c r="D36" s="5" t="s">
        <v>56</v>
      </c>
      <c r="E36" s="99" t="str">
        <f>VLOOKUP(D36,'Dropdown List'!$F$26:$G$40,2,0)</f>
        <v>India</v>
      </c>
      <c r="F36" s="8" t="s">
        <v>896</v>
      </c>
      <c r="G36" s="96">
        <v>10</v>
      </c>
      <c r="H36" s="5" t="s">
        <v>57</v>
      </c>
      <c r="I36" s="8" t="s">
        <v>58</v>
      </c>
      <c r="J36" s="8" t="s">
        <v>146</v>
      </c>
      <c r="K36" s="8" t="s">
        <v>897</v>
      </c>
      <c r="L36" s="8" t="s">
        <v>926</v>
      </c>
      <c r="M36" s="8" t="s">
        <v>927</v>
      </c>
      <c r="N36" s="5" t="s">
        <v>319</v>
      </c>
      <c r="O36" s="5" t="s">
        <v>61</v>
      </c>
      <c r="P36" s="5" t="s">
        <v>900</v>
      </c>
      <c r="Q36" s="9" t="s">
        <v>418</v>
      </c>
      <c r="R36" s="5" t="s">
        <v>76</v>
      </c>
      <c r="S36" s="5" t="s">
        <v>90</v>
      </c>
      <c r="T36" s="96">
        <v>1</v>
      </c>
      <c r="U36" s="96">
        <v>2</v>
      </c>
      <c r="V36" s="96">
        <v>3</v>
      </c>
      <c r="W36" s="5" t="s">
        <v>91</v>
      </c>
      <c r="X36" s="10" t="s">
        <v>79</v>
      </c>
      <c r="Y36" s="11">
        <v>24417.299117249997</v>
      </c>
      <c r="Z36" s="12">
        <v>1</v>
      </c>
      <c r="AA36" s="12">
        <v>0.1</v>
      </c>
      <c r="AB36" s="12">
        <v>0.04</v>
      </c>
      <c r="AC36" s="13">
        <v>1.1000000000000001</v>
      </c>
      <c r="AD36" s="14">
        <f t="shared" si="2"/>
        <v>2.2400000000000002</v>
      </c>
      <c r="AE36" s="15">
        <f t="shared" si="3"/>
        <v>0.49107142857142855</v>
      </c>
      <c r="AF36" s="16">
        <v>312</v>
      </c>
      <c r="AG36" s="16" t="s">
        <v>66</v>
      </c>
      <c r="AH36" s="17" t="s">
        <v>66</v>
      </c>
      <c r="AI36" s="18">
        <v>8.67</v>
      </c>
      <c r="AJ36" s="19">
        <v>0.95</v>
      </c>
      <c r="AK36" s="20">
        <v>0.95</v>
      </c>
      <c r="AL36" s="17" t="s">
        <v>92</v>
      </c>
      <c r="AM36" s="5" t="s">
        <v>66</v>
      </c>
      <c r="AN36" s="5" t="s">
        <v>66</v>
      </c>
      <c r="AO36" s="5" t="s">
        <v>66</v>
      </c>
      <c r="AP36" s="5" t="s">
        <v>66</v>
      </c>
      <c r="AQ36" s="5" t="s">
        <v>66</v>
      </c>
      <c r="AR36" s="5" t="s">
        <v>66</v>
      </c>
      <c r="AS36" s="5" t="s">
        <v>66</v>
      </c>
      <c r="AT36" s="5" t="s">
        <v>66</v>
      </c>
      <c r="AU36" s="5" t="s">
        <v>66</v>
      </c>
      <c r="AV36" s="5" t="s">
        <v>66</v>
      </c>
      <c r="AW36" s="5" t="s">
        <v>66</v>
      </c>
      <c r="AX36" s="5" t="s">
        <v>894</v>
      </c>
      <c r="AY36" s="5" t="s">
        <v>110</v>
      </c>
      <c r="AZ36" s="5" t="s">
        <v>70</v>
      </c>
      <c r="BA36" s="19">
        <v>1</v>
      </c>
      <c r="BB36" s="17" t="s">
        <v>928</v>
      </c>
      <c r="BC36" s="5" t="s">
        <v>929</v>
      </c>
      <c r="BD36" s="5" t="s">
        <v>930</v>
      </c>
    </row>
    <row r="37" spans="1:56" ht="84" hidden="1" x14ac:dyDescent="0.25">
      <c r="A37" s="78" t="s">
        <v>894</v>
      </c>
      <c r="B37" s="5" t="s">
        <v>895</v>
      </c>
      <c r="C37" s="5" t="s">
        <v>3293</v>
      </c>
      <c r="D37" s="5" t="s">
        <v>56</v>
      </c>
      <c r="E37" s="99" t="str">
        <f>VLOOKUP(D37,'Dropdown List'!$F$26:$G$40,2,0)</f>
        <v>India</v>
      </c>
      <c r="F37" s="8" t="s">
        <v>896</v>
      </c>
      <c r="G37" s="96">
        <v>10</v>
      </c>
      <c r="H37" s="5" t="s">
        <v>57</v>
      </c>
      <c r="I37" s="8" t="s">
        <v>58</v>
      </c>
      <c r="J37" s="8" t="s">
        <v>146</v>
      </c>
      <c r="K37" s="8" t="s">
        <v>931</v>
      </c>
      <c r="L37" s="8" t="s">
        <v>2898</v>
      </c>
      <c r="M37" s="8" t="s">
        <v>2899</v>
      </c>
      <c r="N37" s="5" t="s">
        <v>319</v>
      </c>
      <c r="O37" s="5" t="s">
        <v>61</v>
      </c>
      <c r="P37" s="5" t="s">
        <v>900</v>
      </c>
      <c r="Q37" s="9" t="s">
        <v>418</v>
      </c>
      <c r="R37" s="5" t="s">
        <v>76</v>
      </c>
      <c r="S37" s="5" t="s">
        <v>90</v>
      </c>
      <c r="T37" s="96">
        <v>1</v>
      </c>
      <c r="U37" s="96">
        <v>2</v>
      </c>
      <c r="V37" s="96">
        <v>3</v>
      </c>
      <c r="W37" s="5" t="s">
        <v>91</v>
      </c>
      <c r="X37" s="10" t="s">
        <v>79</v>
      </c>
      <c r="Y37" s="11">
        <v>24417.299117249997</v>
      </c>
      <c r="Z37" s="12">
        <v>1</v>
      </c>
      <c r="AA37" s="12">
        <v>0.1</v>
      </c>
      <c r="AB37" s="12">
        <v>0.04</v>
      </c>
      <c r="AC37" s="13">
        <v>1.1000000000000001</v>
      </c>
      <c r="AD37" s="14">
        <f t="shared" si="2"/>
        <v>2.2400000000000002</v>
      </c>
      <c r="AE37" s="15">
        <f t="shared" si="3"/>
        <v>0.49107142857142855</v>
      </c>
      <c r="AF37" s="16">
        <v>2567</v>
      </c>
      <c r="AG37" s="16" t="s">
        <v>66</v>
      </c>
      <c r="AH37" s="17" t="s">
        <v>66</v>
      </c>
      <c r="AI37" s="18">
        <v>6</v>
      </c>
      <c r="AJ37" s="19">
        <v>0.95</v>
      </c>
      <c r="AK37" s="20">
        <v>0.95</v>
      </c>
      <c r="AL37" s="17" t="s">
        <v>92</v>
      </c>
      <c r="AM37" s="5" t="s">
        <v>66</v>
      </c>
      <c r="AN37" s="5" t="s">
        <v>66</v>
      </c>
      <c r="AO37" s="5" t="s">
        <v>66</v>
      </c>
      <c r="AP37" s="5" t="s">
        <v>66</v>
      </c>
      <c r="AQ37" s="5" t="s">
        <v>66</v>
      </c>
      <c r="AR37" s="5" t="s">
        <v>66</v>
      </c>
      <c r="AS37" s="5" t="s">
        <v>66</v>
      </c>
      <c r="AT37" s="5" t="s">
        <v>66</v>
      </c>
      <c r="AU37" s="5" t="s">
        <v>66</v>
      </c>
      <c r="AV37" s="5" t="s">
        <v>66</v>
      </c>
      <c r="AW37" s="5" t="s">
        <v>66</v>
      </c>
      <c r="AX37" s="5" t="s">
        <v>894</v>
      </c>
      <c r="AY37" s="5" t="s">
        <v>110</v>
      </c>
      <c r="AZ37" s="5" t="s">
        <v>145</v>
      </c>
      <c r="BA37" s="19">
        <v>1</v>
      </c>
      <c r="BB37" s="17" t="s">
        <v>2900</v>
      </c>
      <c r="BC37" s="5" t="s">
        <v>932</v>
      </c>
      <c r="BD37" s="5" t="s">
        <v>933</v>
      </c>
    </row>
    <row r="38" spans="1:56" ht="36" hidden="1" x14ac:dyDescent="0.25">
      <c r="A38" s="78" t="s">
        <v>894</v>
      </c>
      <c r="B38" s="5" t="s">
        <v>895</v>
      </c>
      <c r="C38" s="5" t="s">
        <v>3293</v>
      </c>
      <c r="D38" s="5" t="s">
        <v>56</v>
      </c>
      <c r="E38" s="99" t="str">
        <f>VLOOKUP(D38,'Dropdown List'!$F$26:$G$40,2,0)</f>
        <v>India</v>
      </c>
      <c r="F38" s="8" t="s">
        <v>896</v>
      </c>
      <c r="G38" s="96">
        <v>10</v>
      </c>
      <c r="H38" s="5" t="s">
        <v>57</v>
      </c>
      <c r="I38" s="8" t="s">
        <v>58</v>
      </c>
      <c r="J38" s="8" t="s">
        <v>146</v>
      </c>
      <c r="K38" s="8" t="s">
        <v>190</v>
      </c>
      <c r="L38" s="8" t="s">
        <v>934</v>
      </c>
      <c r="M38" s="8" t="s">
        <v>935</v>
      </c>
      <c r="N38" s="5" t="s">
        <v>319</v>
      </c>
      <c r="O38" s="5" t="s">
        <v>61</v>
      </c>
      <c r="P38" s="5" t="s">
        <v>900</v>
      </c>
      <c r="Q38" s="9" t="s">
        <v>418</v>
      </c>
      <c r="R38" s="5" t="s">
        <v>76</v>
      </c>
      <c r="S38" s="5" t="s">
        <v>64</v>
      </c>
      <c r="T38" s="96">
        <v>1</v>
      </c>
      <c r="U38" s="96">
        <v>4</v>
      </c>
      <c r="V38" s="96">
        <v>4</v>
      </c>
      <c r="W38" s="5" t="s">
        <v>91</v>
      </c>
      <c r="X38" s="10" t="s">
        <v>79</v>
      </c>
      <c r="Y38" s="11">
        <v>29414.285223749994</v>
      </c>
      <c r="Z38" s="12">
        <v>8.4</v>
      </c>
      <c r="AA38" s="12">
        <v>0.1</v>
      </c>
      <c r="AB38" s="12">
        <v>0.04</v>
      </c>
      <c r="AC38" s="13">
        <v>1.1000000000000001</v>
      </c>
      <c r="AD38" s="14">
        <f t="shared" si="2"/>
        <v>9.6399999999999988</v>
      </c>
      <c r="AE38" s="15">
        <f t="shared" si="3"/>
        <v>0.11410788381742741</v>
      </c>
      <c r="AF38" s="16">
        <v>14140</v>
      </c>
      <c r="AG38" s="16" t="s">
        <v>66</v>
      </c>
      <c r="AH38" s="17" t="s">
        <v>66</v>
      </c>
      <c r="AI38" s="18">
        <v>4.78</v>
      </c>
      <c r="AJ38" s="19">
        <v>0.95</v>
      </c>
      <c r="AK38" s="20">
        <v>0.95</v>
      </c>
      <c r="AL38" s="17" t="s">
        <v>92</v>
      </c>
      <c r="AM38" s="5" t="s">
        <v>66</v>
      </c>
      <c r="AN38" s="5" t="s">
        <v>66</v>
      </c>
      <c r="AO38" s="5" t="s">
        <v>66</v>
      </c>
      <c r="AP38" s="5" t="s">
        <v>66</v>
      </c>
      <c r="AQ38" s="5" t="s">
        <v>66</v>
      </c>
      <c r="AR38" s="5" t="s">
        <v>66</v>
      </c>
      <c r="AS38" s="5" t="s">
        <v>66</v>
      </c>
      <c r="AT38" s="5" t="s">
        <v>66</v>
      </c>
      <c r="AU38" s="5" t="s">
        <v>66</v>
      </c>
      <c r="AV38" s="5" t="s">
        <v>66</v>
      </c>
      <c r="AW38" s="5" t="s">
        <v>66</v>
      </c>
      <c r="AX38" s="5" t="s">
        <v>894</v>
      </c>
      <c r="AY38" s="5" t="s">
        <v>936</v>
      </c>
      <c r="AZ38" s="5" t="s">
        <v>80</v>
      </c>
      <c r="BA38" s="19">
        <v>1</v>
      </c>
      <c r="BB38" s="17" t="s">
        <v>937</v>
      </c>
      <c r="BC38" s="5" t="s">
        <v>901</v>
      </c>
      <c r="BD38" s="5" t="s">
        <v>938</v>
      </c>
    </row>
    <row r="39" spans="1:56" ht="24" hidden="1" x14ac:dyDescent="0.25">
      <c r="A39" s="78" t="s">
        <v>894</v>
      </c>
      <c r="B39" s="5" t="s">
        <v>895</v>
      </c>
      <c r="C39" s="5" t="s">
        <v>3293</v>
      </c>
      <c r="D39" s="5" t="s">
        <v>56</v>
      </c>
      <c r="E39" s="99" t="str">
        <f>VLOOKUP(D39,'Dropdown List'!$F$26:$G$40,2,0)</f>
        <v>India</v>
      </c>
      <c r="F39" s="8" t="s">
        <v>896</v>
      </c>
      <c r="G39" s="96">
        <v>10</v>
      </c>
      <c r="H39" s="5" t="s">
        <v>57</v>
      </c>
      <c r="I39" s="8" t="s">
        <v>58</v>
      </c>
      <c r="J39" s="8" t="s">
        <v>396</v>
      </c>
      <c r="K39" s="8" t="s">
        <v>397</v>
      </c>
      <c r="L39" s="8" t="s">
        <v>939</v>
      </c>
      <c r="M39" s="8" t="s">
        <v>940</v>
      </c>
      <c r="N39" s="5" t="s">
        <v>319</v>
      </c>
      <c r="O39" s="5" t="s">
        <v>61</v>
      </c>
      <c r="P39" s="5" t="s">
        <v>900</v>
      </c>
      <c r="Q39" s="9" t="s">
        <v>418</v>
      </c>
      <c r="R39" s="5" t="s">
        <v>76</v>
      </c>
      <c r="S39" s="5" t="s">
        <v>90</v>
      </c>
      <c r="T39" s="96">
        <v>1</v>
      </c>
      <c r="U39" s="96">
        <v>2</v>
      </c>
      <c r="V39" s="96">
        <v>3</v>
      </c>
      <c r="W39" s="5" t="s">
        <v>91</v>
      </c>
      <c r="X39" s="10" t="s">
        <v>79</v>
      </c>
      <c r="Y39" s="11">
        <v>24417.299117249997</v>
      </c>
      <c r="Z39" s="12">
        <v>8.5</v>
      </c>
      <c r="AA39" s="12">
        <v>0.1</v>
      </c>
      <c r="AB39" s="12">
        <v>0.04</v>
      </c>
      <c r="AC39" s="13">
        <v>1.1000000000000001</v>
      </c>
      <c r="AD39" s="14">
        <f t="shared" si="2"/>
        <v>9.7399999999999984</v>
      </c>
      <c r="AE39" s="15">
        <f t="shared" si="3"/>
        <v>0.1129363449691992</v>
      </c>
      <c r="AF39" s="16">
        <v>6360</v>
      </c>
      <c r="AG39" s="16" t="s">
        <v>66</v>
      </c>
      <c r="AH39" s="17" t="s">
        <v>66</v>
      </c>
      <c r="AI39" s="18">
        <v>6</v>
      </c>
      <c r="AJ39" s="19">
        <v>0.95</v>
      </c>
      <c r="AK39" s="20">
        <v>0.95</v>
      </c>
      <c r="AL39" s="17" t="s">
        <v>92</v>
      </c>
      <c r="AM39" s="5" t="s">
        <v>66</v>
      </c>
      <c r="AN39" s="5" t="s">
        <v>66</v>
      </c>
      <c r="AO39" s="5" t="s">
        <v>66</v>
      </c>
      <c r="AP39" s="5" t="s">
        <v>66</v>
      </c>
      <c r="AQ39" s="5" t="s">
        <v>66</v>
      </c>
      <c r="AR39" s="5" t="s">
        <v>66</v>
      </c>
      <c r="AS39" s="5" t="s">
        <v>66</v>
      </c>
      <c r="AT39" s="5" t="s">
        <v>66</v>
      </c>
      <c r="AU39" s="5" t="s">
        <v>66</v>
      </c>
      <c r="AV39" s="5" t="s">
        <v>66</v>
      </c>
      <c r="AW39" s="5" t="s">
        <v>66</v>
      </c>
      <c r="AX39" s="5" t="s">
        <v>924</v>
      </c>
      <c r="AY39" s="5" t="s">
        <v>110</v>
      </c>
      <c r="AZ39" s="5" t="s">
        <v>145</v>
      </c>
      <c r="BA39" s="19">
        <v>1</v>
      </c>
      <c r="BB39" s="17" t="s">
        <v>941</v>
      </c>
      <c r="BC39" s="5" t="s">
        <v>924</v>
      </c>
      <c r="BD39" s="5" t="s">
        <v>942</v>
      </c>
    </row>
    <row r="40" spans="1:56" ht="36" hidden="1" x14ac:dyDescent="0.25">
      <c r="A40" s="78" t="s">
        <v>894</v>
      </c>
      <c r="B40" s="5" t="s">
        <v>895</v>
      </c>
      <c r="C40" s="5" t="s">
        <v>3293</v>
      </c>
      <c r="D40" s="5" t="s">
        <v>56</v>
      </c>
      <c r="E40" s="99" t="str">
        <f>VLOOKUP(D40,'Dropdown List'!$F$26:$G$40,2,0)</f>
        <v>India</v>
      </c>
      <c r="F40" s="8" t="s">
        <v>896</v>
      </c>
      <c r="G40" s="96">
        <v>10</v>
      </c>
      <c r="H40" s="5" t="s">
        <v>57</v>
      </c>
      <c r="I40" s="8" t="s">
        <v>58</v>
      </c>
      <c r="J40" s="8" t="s">
        <v>59</v>
      </c>
      <c r="K40" s="8" t="s">
        <v>86</v>
      </c>
      <c r="L40" s="8" t="s">
        <v>943</v>
      </c>
      <c r="M40" s="8" t="s">
        <v>944</v>
      </c>
      <c r="N40" s="5" t="s">
        <v>319</v>
      </c>
      <c r="O40" s="5" t="s">
        <v>61</v>
      </c>
      <c r="P40" s="5" t="s">
        <v>900</v>
      </c>
      <c r="Q40" s="9" t="s">
        <v>418</v>
      </c>
      <c r="R40" s="5" t="s">
        <v>76</v>
      </c>
      <c r="S40" s="5" t="s">
        <v>90</v>
      </c>
      <c r="T40" s="96">
        <v>1</v>
      </c>
      <c r="U40" s="96">
        <v>2</v>
      </c>
      <c r="V40" s="96">
        <v>3</v>
      </c>
      <c r="W40" s="5" t="s">
        <v>91</v>
      </c>
      <c r="X40" s="10" t="s">
        <v>79</v>
      </c>
      <c r="Y40" s="11">
        <v>24417.299117249997</v>
      </c>
      <c r="Z40" s="12">
        <v>5</v>
      </c>
      <c r="AA40" s="12">
        <v>0.1</v>
      </c>
      <c r="AB40" s="12">
        <v>0.04</v>
      </c>
      <c r="AC40" s="13">
        <v>1.1000000000000001</v>
      </c>
      <c r="AD40" s="14">
        <f t="shared" si="2"/>
        <v>6.24</v>
      </c>
      <c r="AE40" s="15">
        <f t="shared" si="3"/>
        <v>0.17628205128205129</v>
      </c>
      <c r="AF40" s="16">
        <v>2914</v>
      </c>
      <c r="AG40" s="16" t="s">
        <v>66</v>
      </c>
      <c r="AH40" s="17" t="s">
        <v>66</v>
      </c>
      <c r="AI40" s="18">
        <v>10.43</v>
      </c>
      <c r="AJ40" s="19">
        <v>0.95</v>
      </c>
      <c r="AK40" s="20">
        <v>0.95</v>
      </c>
      <c r="AL40" s="17" t="s">
        <v>92</v>
      </c>
      <c r="AM40" s="5" t="s">
        <v>66</v>
      </c>
      <c r="AN40" s="5" t="s">
        <v>66</v>
      </c>
      <c r="AO40" s="5" t="s">
        <v>66</v>
      </c>
      <c r="AP40" s="5" t="s">
        <v>66</v>
      </c>
      <c r="AQ40" s="5" t="s">
        <v>66</v>
      </c>
      <c r="AR40" s="5" t="s">
        <v>66</v>
      </c>
      <c r="AS40" s="5" t="s">
        <v>66</v>
      </c>
      <c r="AT40" s="5" t="s">
        <v>66</v>
      </c>
      <c r="AU40" s="5" t="s">
        <v>66</v>
      </c>
      <c r="AV40" s="5" t="s">
        <v>66</v>
      </c>
      <c r="AW40" s="5" t="s">
        <v>66</v>
      </c>
      <c r="AX40" s="5" t="s">
        <v>894</v>
      </c>
      <c r="AY40" s="5" t="s">
        <v>110</v>
      </c>
      <c r="AZ40" s="5" t="s">
        <v>70</v>
      </c>
      <c r="BA40" s="19">
        <v>1</v>
      </c>
      <c r="BB40" s="17" t="s">
        <v>945</v>
      </c>
      <c r="BC40" s="5" t="s">
        <v>901</v>
      </c>
      <c r="BD40" s="5" t="s">
        <v>925</v>
      </c>
    </row>
    <row r="41" spans="1:56" ht="36" hidden="1" x14ac:dyDescent="0.25">
      <c r="A41" s="78" t="s">
        <v>894</v>
      </c>
      <c r="B41" s="5" t="s">
        <v>895</v>
      </c>
      <c r="C41" s="5" t="s">
        <v>3293</v>
      </c>
      <c r="D41" s="5" t="s">
        <v>56</v>
      </c>
      <c r="E41" s="99" t="str">
        <f>VLOOKUP(D41,'Dropdown List'!$F$26:$G$40,2,0)</f>
        <v>India</v>
      </c>
      <c r="F41" s="8" t="s">
        <v>896</v>
      </c>
      <c r="G41" s="96">
        <v>10</v>
      </c>
      <c r="H41" s="5" t="s">
        <v>57</v>
      </c>
      <c r="I41" s="8" t="s">
        <v>58</v>
      </c>
      <c r="J41" s="8" t="s">
        <v>59</v>
      </c>
      <c r="K41" s="8" t="s">
        <v>86</v>
      </c>
      <c r="L41" s="8" t="s">
        <v>946</v>
      </c>
      <c r="M41" s="8" t="s">
        <v>947</v>
      </c>
      <c r="N41" s="5" t="s">
        <v>319</v>
      </c>
      <c r="O41" s="5" t="s">
        <v>61</v>
      </c>
      <c r="P41" s="5" t="s">
        <v>900</v>
      </c>
      <c r="Q41" s="9" t="s">
        <v>418</v>
      </c>
      <c r="R41" s="5" t="s">
        <v>76</v>
      </c>
      <c r="S41" s="5" t="s">
        <v>90</v>
      </c>
      <c r="T41" s="96">
        <v>1</v>
      </c>
      <c r="U41" s="96">
        <v>2</v>
      </c>
      <c r="V41" s="96">
        <v>3</v>
      </c>
      <c r="W41" s="5" t="s">
        <v>91</v>
      </c>
      <c r="X41" s="10" t="s">
        <v>79</v>
      </c>
      <c r="Y41" s="11">
        <v>24417.299117249997</v>
      </c>
      <c r="Z41" s="12">
        <v>1</v>
      </c>
      <c r="AA41" s="12">
        <v>0.1</v>
      </c>
      <c r="AB41" s="12">
        <v>0.04</v>
      </c>
      <c r="AC41" s="13">
        <v>1.1000000000000001</v>
      </c>
      <c r="AD41" s="14">
        <f t="shared" si="2"/>
        <v>2.2400000000000002</v>
      </c>
      <c r="AE41" s="15">
        <f t="shared" si="3"/>
        <v>0.49107142857142855</v>
      </c>
      <c r="AF41" s="16">
        <v>766</v>
      </c>
      <c r="AG41" s="16" t="s">
        <v>66</v>
      </c>
      <c r="AH41" s="17" t="s">
        <v>66</v>
      </c>
      <c r="AI41" s="18">
        <v>4.84</v>
      </c>
      <c r="AJ41" s="19">
        <v>0.95</v>
      </c>
      <c r="AK41" s="20">
        <v>0.95</v>
      </c>
      <c r="AL41" s="17" t="s">
        <v>92</v>
      </c>
      <c r="AM41" s="5" t="s">
        <v>66</v>
      </c>
      <c r="AN41" s="5" t="s">
        <v>66</v>
      </c>
      <c r="AO41" s="5" t="s">
        <v>66</v>
      </c>
      <c r="AP41" s="5" t="s">
        <v>66</v>
      </c>
      <c r="AQ41" s="5" t="s">
        <v>66</v>
      </c>
      <c r="AR41" s="5" t="s">
        <v>66</v>
      </c>
      <c r="AS41" s="5" t="s">
        <v>66</v>
      </c>
      <c r="AT41" s="5" t="s">
        <v>66</v>
      </c>
      <c r="AU41" s="5" t="s">
        <v>66</v>
      </c>
      <c r="AV41" s="5" t="s">
        <v>66</v>
      </c>
      <c r="AW41" s="5" t="s">
        <v>66</v>
      </c>
      <c r="AX41" s="5" t="s">
        <v>894</v>
      </c>
      <c r="AY41" s="5" t="s">
        <v>110</v>
      </c>
      <c r="AZ41" s="5" t="s">
        <v>70</v>
      </c>
      <c r="BA41" s="19">
        <v>1</v>
      </c>
      <c r="BB41" s="17" t="s">
        <v>948</v>
      </c>
      <c r="BC41" s="5" t="s">
        <v>220</v>
      </c>
      <c r="BD41" s="5" t="s">
        <v>925</v>
      </c>
    </row>
    <row r="42" spans="1:56" ht="24" hidden="1" x14ac:dyDescent="0.25">
      <c r="A42" s="78" t="s">
        <v>894</v>
      </c>
      <c r="B42" s="5" t="s">
        <v>895</v>
      </c>
      <c r="C42" s="5" t="s">
        <v>3293</v>
      </c>
      <c r="D42" s="5" t="s">
        <v>56</v>
      </c>
      <c r="E42" s="99" t="str">
        <f>VLOOKUP(D42,'Dropdown List'!$F$26:$G$40,2,0)</f>
        <v>India</v>
      </c>
      <c r="F42" s="8" t="s">
        <v>896</v>
      </c>
      <c r="G42" s="96">
        <v>10</v>
      </c>
      <c r="H42" s="5" t="s">
        <v>57</v>
      </c>
      <c r="I42" s="8" t="s">
        <v>58</v>
      </c>
      <c r="J42" s="8" t="s">
        <v>396</v>
      </c>
      <c r="K42" s="8" t="s">
        <v>397</v>
      </c>
      <c r="L42" s="8" t="s">
        <v>949</v>
      </c>
      <c r="M42" s="8" t="s">
        <v>940</v>
      </c>
      <c r="N42" s="5" t="s">
        <v>319</v>
      </c>
      <c r="O42" s="5" t="s">
        <v>61</v>
      </c>
      <c r="P42" s="5" t="s">
        <v>900</v>
      </c>
      <c r="Q42" s="9" t="s">
        <v>418</v>
      </c>
      <c r="R42" s="5" t="s">
        <v>76</v>
      </c>
      <c r="S42" s="5" t="s">
        <v>90</v>
      </c>
      <c r="T42" s="96">
        <v>1</v>
      </c>
      <c r="U42" s="96">
        <v>2</v>
      </c>
      <c r="V42" s="96">
        <v>3</v>
      </c>
      <c r="W42" s="5" t="s">
        <v>91</v>
      </c>
      <c r="X42" s="10" t="s">
        <v>79</v>
      </c>
      <c r="Y42" s="11">
        <v>24417.299117249997</v>
      </c>
      <c r="Z42" s="12">
        <v>1</v>
      </c>
      <c r="AA42" s="12">
        <v>0.1</v>
      </c>
      <c r="AB42" s="12">
        <v>0.04</v>
      </c>
      <c r="AC42" s="13">
        <v>1.1000000000000001</v>
      </c>
      <c r="AD42" s="14">
        <f t="shared" si="2"/>
        <v>2.2400000000000002</v>
      </c>
      <c r="AE42" s="15">
        <f t="shared" si="3"/>
        <v>0.49107142857142855</v>
      </c>
      <c r="AF42" s="16">
        <v>106</v>
      </c>
      <c r="AG42" s="16" t="s">
        <v>66</v>
      </c>
      <c r="AH42" s="17" t="s">
        <v>66</v>
      </c>
      <c r="AI42" s="18">
        <v>8</v>
      </c>
      <c r="AJ42" s="19">
        <v>0.95</v>
      </c>
      <c r="AK42" s="20">
        <v>0.95</v>
      </c>
      <c r="AL42" s="17" t="s">
        <v>92</v>
      </c>
      <c r="AM42" s="5" t="s">
        <v>66</v>
      </c>
      <c r="AN42" s="5" t="s">
        <v>66</v>
      </c>
      <c r="AO42" s="5" t="s">
        <v>66</v>
      </c>
      <c r="AP42" s="5" t="s">
        <v>66</v>
      </c>
      <c r="AQ42" s="5" t="s">
        <v>66</v>
      </c>
      <c r="AR42" s="5" t="s">
        <v>66</v>
      </c>
      <c r="AS42" s="5" t="s">
        <v>66</v>
      </c>
      <c r="AT42" s="5" t="s">
        <v>66</v>
      </c>
      <c r="AU42" s="5" t="s">
        <v>66</v>
      </c>
      <c r="AV42" s="5" t="s">
        <v>66</v>
      </c>
      <c r="AW42" s="5" t="s">
        <v>66</v>
      </c>
      <c r="AX42" s="5" t="s">
        <v>924</v>
      </c>
      <c r="AY42" s="5" t="s">
        <v>110</v>
      </c>
      <c r="AZ42" s="5" t="s">
        <v>70</v>
      </c>
      <c r="BA42" s="19">
        <v>1</v>
      </c>
      <c r="BB42" s="17" t="s">
        <v>941</v>
      </c>
      <c r="BC42" s="5" t="s">
        <v>924</v>
      </c>
      <c r="BD42" s="5" t="s">
        <v>950</v>
      </c>
    </row>
    <row r="43" spans="1:56" ht="24" hidden="1" x14ac:dyDescent="0.25">
      <c r="A43" s="78" t="s">
        <v>894</v>
      </c>
      <c r="B43" s="5" t="s">
        <v>895</v>
      </c>
      <c r="C43" s="5" t="s">
        <v>3293</v>
      </c>
      <c r="D43" s="5" t="s">
        <v>56</v>
      </c>
      <c r="E43" s="99" t="str">
        <f>VLOOKUP(D43,'Dropdown List'!$F$26:$G$40,2,0)</f>
        <v>India</v>
      </c>
      <c r="F43" s="8" t="s">
        <v>896</v>
      </c>
      <c r="G43" s="96">
        <v>10</v>
      </c>
      <c r="H43" s="5" t="s">
        <v>57</v>
      </c>
      <c r="I43" s="8" t="s">
        <v>58</v>
      </c>
      <c r="J43" s="8" t="s">
        <v>146</v>
      </c>
      <c r="K43" s="8" t="s">
        <v>147</v>
      </c>
      <c r="L43" s="8" t="s">
        <v>951</v>
      </c>
      <c r="M43" s="8" t="s">
        <v>952</v>
      </c>
      <c r="N43" s="5" t="s">
        <v>319</v>
      </c>
      <c r="O43" s="5" t="s">
        <v>61</v>
      </c>
      <c r="P43" s="5" t="s">
        <v>900</v>
      </c>
      <c r="Q43" s="9" t="s">
        <v>418</v>
      </c>
      <c r="R43" s="5" t="s">
        <v>76</v>
      </c>
      <c r="S43" s="5" t="s">
        <v>64</v>
      </c>
      <c r="T43" s="96">
        <v>1</v>
      </c>
      <c r="U43" s="96">
        <v>4</v>
      </c>
      <c r="V43" s="96">
        <v>3</v>
      </c>
      <c r="W43" s="5" t="s">
        <v>91</v>
      </c>
      <c r="X43" s="10" t="s">
        <v>79</v>
      </c>
      <c r="Y43" s="11">
        <v>29414.285223749994</v>
      </c>
      <c r="Z43" s="12">
        <v>5</v>
      </c>
      <c r="AA43" s="12">
        <v>0.1</v>
      </c>
      <c r="AB43" s="12">
        <v>0.04</v>
      </c>
      <c r="AC43" s="13">
        <v>1.1000000000000001</v>
      </c>
      <c r="AD43" s="14">
        <f t="shared" si="2"/>
        <v>6.24</v>
      </c>
      <c r="AE43" s="15">
        <f t="shared" si="3"/>
        <v>0.17628205128205129</v>
      </c>
      <c r="AF43" s="16">
        <v>779</v>
      </c>
      <c r="AG43" s="16" t="s">
        <v>66</v>
      </c>
      <c r="AH43" s="17" t="s">
        <v>66</v>
      </c>
      <c r="AI43" s="18">
        <v>15</v>
      </c>
      <c r="AJ43" s="19">
        <v>0.95</v>
      </c>
      <c r="AK43" s="20">
        <v>0.95</v>
      </c>
      <c r="AL43" s="17" t="s">
        <v>92</v>
      </c>
      <c r="AM43" s="5" t="s">
        <v>66</v>
      </c>
      <c r="AN43" s="5" t="s">
        <v>66</v>
      </c>
      <c r="AO43" s="5" t="s">
        <v>66</v>
      </c>
      <c r="AP43" s="5" t="s">
        <v>66</v>
      </c>
      <c r="AQ43" s="5" t="s">
        <v>66</v>
      </c>
      <c r="AR43" s="5" t="s">
        <v>66</v>
      </c>
      <c r="AS43" s="5" t="s">
        <v>66</v>
      </c>
      <c r="AT43" s="5" t="s">
        <v>66</v>
      </c>
      <c r="AU43" s="5" t="s">
        <v>66</v>
      </c>
      <c r="AV43" s="5" t="s">
        <v>66</v>
      </c>
      <c r="AW43" s="5" t="s">
        <v>66</v>
      </c>
      <c r="AX43" s="5" t="s">
        <v>894</v>
      </c>
      <c r="AY43" s="5" t="s">
        <v>936</v>
      </c>
      <c r="AZ43" s="5" t="s">
        <v>145</v>
      </c>
      <c r="BA43" s="19">
        <v>1</v>
      </c>
      <c r="BB43" s="17" t="s">
        <v>953</v>
      </c>
      <c r="BC43" s="5" t="s">
        <v>901</v>
      </c>
      <c r="BD43" s="5" t="s">
        <v>925</v>
      </c>
    </row>
    <row r="44" spans="1:56" ht="36" hidden="1" x14ac:dyDescent="0.25">
      <c r="A44" s="78" t="s">
        <v>894</v>
      </c>
      <c r="B44" s="5" t="s">
        <v>895</v>
      </c>
      <c r="C44" s="5" t="s">
        <v>3293</v>
      </c>
      <c r="D44" s="5" t="s">
        <v>56</v>
      </c>
      <c r="E44" s="99" t="str">
        <f>VLOOKUP(D44,'Dropdown List'!$F$26:$G$40,2,0)</f>
        <v>India</v>
      </c>
      <c r="F44" s="8" t="s">
        <v>896</v>
      </c>
      <c r="G44" s="96">
        <v>10</v>
      </c>
      <c r="H44" s="5" t="s">
        <v>57</v>
      </c>
      <c r="I44" s="8" t="s">
        <v>58</v>
      </c>
      <c r="J44" s="8" t="s">
        <v>146</v>
      </c>
      <c r="K44" s="8" t="s">
        <v>190</v>
      </c>
      <c r="L44" s="8" t="s">
        <v>954</v>
      </c>
      <c r="M44" s="8" t="s">
        <v>955</v>
      </c>
      <c r="N44" s="5" t="s">
        <v>319</v>
      </c>
      <c r="O44" s="5" t="s">
        <v>61</v>
      </c>
      <c r="P44" s="5" t="s">
        <v>900</v>
      </c>
      <c r="Q44" s="9" t="s">
        <v>418</v>
      </c>
      <c r="R44" s="5" t="s">
        <v>76</v>
      </c>
      <c r="S44" s="5" t="s">
        <v>64</v>
      </c>
      <c r="T44" s="96">
        <v>1</v>
      </c>
      <c r="U44" s="96">
        <v>4</v>
      </c>
      <c r="V44" s="96">
        <v>3</v>
      </c>
      <c r="W44" s="5" t="s">
        <v>91</v>
      </c>
      <c r="X44" s="10" t="s">
        <v>79</v>
      </c>
      <c r="Y44" s="11">
        <v>29414.285223749994</v>
      </c>
      <c r="Z44" s="12">
        <v>3</v>
      </c>
      <c r="AA44" s="12">
        <v>0.1</v>
      </c>
      <c r="AB44" s="12">
        <v>0.04</v>
      </c>
      <c r="AC44" s="13">
        <v>1.1000000000000001</v>
      </c>
      <c r="AD44" s="14">
        <f t="shared" si="2"/>
        <v>4.24</v>
      </c>
      <c r="AE44" s="15">
        <f t="shared" si="3"/>
        <v>0.25943396226415094</v>
      </c>
      <c r="AF44" s="16">
        <v>6169</v>
      </c>
      <c r="AG44" s="16" t="s">
        <v>66</v>
      </c>
      <c r="AH44" s="17" t="s">
        <v>66</v>
      </c>
      <c r="AI44" s="18">
        <v>3.5</v>
      </c>
      <c r="AJ44" s="19">
        <v>0.95</v>
      </c>
      <c r="AK44" s="20">
        <v>0.95</v>
      </c>
      <c r="AL44" s="17" t="s">
        <v>92</v>
      </c>
      <c r="AM44" s="5" t="s">
        <v>66</v>
      </c>
      <c r="AN44" s="5" t="s">
        <v>66</v>
      </c>
      <c r="AO44" s="5" t="s">
        <v>66</v>
      </c>
      <c r="AP44" s="5" t="s">
        <v>66</v>
      </c>
      <c r="AQ44" s="5" t="s">
        <v>66</v>
      </c>
      <c r="AR44" s="5" t="s">
        <v>66</v>
      </c>
      <c r="AS44" s="5" t="s">
        <v>66</v>
      </c>
      <c r="AT44" s="5" t="s">
        <v>66</v>
      </c>
      <c r="AU44" s="5" t="s">
        <v>66</v>
      </c>
      <c r="AV44" s="5" t="s">
        <v>66</v>
      </c>
      <c r="AW44" s="5" t="s">
        <v>66</v>
      </c>
      <c r="AX44" s="5" t="s">
        <v>894</v>
      </c>
      <c r="AY44" s="5" t="s">
        <v>936</v>
      </c>
      <c r="AZ44" s="5" t="s">
        <v>80</v>
      </c>
      <c r="BA44" s="19">
        <v>1</v>
      </c>
      <c r="BB44" s="17" t="s">
        <v>937</v>
      </c>
      <c r="BC44" s="5" t="s">
        <v>901</v>
      </c>
      <c r="BD44" s="5" t="s">
        <v>956</v>
      </c>
    </row>
    <row r="45" spans="1:56" ht="48" hidden="1" x14ac:dyDescent="0.25">
      <c r="A45" s="78" t="s">
        <v>894</v>
      </c>
      <c r="B45" s="5" t="s">
        <v>895</v>
      </c>
      <c r="C45" s="5" t="s">
        <v>3293</v>
      </c>
      <c r="D45" s="5" t="s">
        <v>56</v>
      </c>
      <c r="E45" s="99" t="str">
        <f>VLOOKUP(D45,'Dropdown List'!$F$26:$G$40,2,0)</f>
        <v>India</v>
      </c>
      <c r="F45" s="8" t="s">
        <v>896</v>
      </c>
      <c r="G45" s="96">
        <v>10</v>
      </c>
      <c r="H45" s="5" t="s">
        <v>57</v>
      </c>
      <c r="I45" s="8" t="s">
        <v>58</v>
      </c>
      <c r="J45" s="8" t="s">
        <v>163</v>
      </c>
      <c r="K45" s="8" t="s">
        <v>957</v>
      </c>
      <c r="L45" s="8" t="s">
        <v>958</v>
      </c>
      <c r="M45" s="8" t="s">
        <v>959</v>
      </c>
      <c r="N45" s="5" t="s">
        <v>319</v>
      </c>
      <c r="O45" s="5" t="s">
        <v>61</v>
      </c>
      <c r="P45" s="5" t="s">
        <v>900</v>
      </c>
      <c r="Q45" s="9" t="s">
        <v>418</v>
      </c>
      <c r="R45" s="5" t="s">
        <v>76</v>
      </c>
      <c r="S45" s="5" t="s">
        <v>64</v>
      </c>
      <c r="T45" s="96">
        <v>1</v>
      </c>
      <c r="U45" s="96">
        <v>2</v>
      </c>
      <c r="V45" s="96">
        <v>3</v>
      </c>
      <c r="W45" s="5" t="s">
        <v>91</v>
      </c>
      <c r="X45" s="10" t="s">
        <v>79</v>
      </c>
      <c r="Y45" s="11">
        <v>29414.285223749994</v>
      </c>
      <c r="Z45" s="12">
        <v>1</v>
      </c>
      <c r="AA45" s="12">
        <v>0.1</v>
      </c>
      <c r="AB45" s="12">
        <v>0.04</v>
      </c>
      <c r="AC45" s="13">
        <v>1.1000000000000001</v>
      </c>
      <c r="AD45" s="14">
        <f t="shared" si="2"/>
        <v>2.2400000000000002</v>
      </c>
      <c r="AE45" s="15">
        <f t="shared" si="3"/>
        <v>0.49107142857142855</v>
      </c>
      <c r="AF45" s="16">
        <v>1149</v>
      </c>
      <c r="AG45" s="16" t="s">
        <v>66</v>
      </c>
      <c r="AH45" s="17" t="s">
        <v>66</v>
      </c>
      <c r="AI45" s="18">
        <v>9</v>
      </c>
      <c r="AJ45" s="19">
        <v>0.95</v>
      </c>
      <c r="AK45" s="20">
        <v>0.95</v>
      </c>
      <c r="AL45" s="17" t="s">
        <v>92</v>
      </c>
      <c r="AM45" s="5" t="s">
        <v>66</v>
      </c>
      <c r="AN45" s="5" t="s">
        <v>66</v>
      </c>
      <c r="AO45" s="5" t="s">
        <v>66</v>
      </c>
      <c r="AP45" s="5" t="s">
        <v>66</v>
      </c>
      <c r="AQ45" s="5" t="s">
        <v>66</v>
      </c>
      <c r="AR45" s="5" t="s">
        <v>66</v>
      </c>
      <c r="AS45" s="5" t="s">
        <v>66</v>
      </c>
      <c r="AT45" s="5" t="s">
        <v>66</v>
      </c>
      <c r="AU45" s="5" t="s">
        <v>66</v>
      </c>
      <c r="AV45" s="5" t="s">
        <v>66</v>
      </c>
      <c r="AW45" s="5" t="s">
        <v>66</v>
      </c>
      <c r="AX45" s="5" t="s">
        <v>894</v>
      </c>
      <c r="AY45" s="5" t="s">
        <v>110</v>
      </c>
      <c r="AZ45" s="5" t="s">
        <v>80</v>
      </c>
      <c r="BA45" s="19">
        <v>1</v>
      </c>
      <c r="BB45" s="17" t="s">
        <v>960</v>
      </c>
      <c r="BC45" s="5" t="s">
        <v>901</v>
      </c>
      <c r="BD45" s="5" t="s">
        <v>961</v>
      </c>
    </row>
    <row r="46" spans="1:56" ht="24" hidden="1" x14ac:dyDescent="0.25">
      <c r="A46" s="78" t="s">
        <v>894</v>
      </c>
      <c r="B46" s="5" t="s">
        <v>895</v>
      </c>
      <c r="C46" s="5" t="s">
        <v>3293</v>
      </c>
      <c r="D46" s="5" t="s">
        <v>275</v>
      </c>
      <c r="E46" s="99" t="str">
        <f>VLOOKUP(D46,'Dropdown List'!$F$26:$G$40,2,0)</f>
        <v>South Africa</v>
      </c>
      <c r="F46" s="8" t="s">
        <v>276</v>
      </c>
      <c r="G46" s="96">
        <v>4</v>
      </c>
      <c r="H46" s="5" t="s">
        <v>57</v>
      </c>
      <c r="I46" s="8" t="s">
        <v>58</v>
      </c>
      <c r="J46" s="8" t="s">
        <v>146</v>
      </c>
      <c r="K46" s="8" t="s">
        <v>897</v>
      </c>
      <c r="L46" s="8" t="s">
        <v>962</v>
      </c>
      <c r="M46" s="8" t="s">
        <v>963</v>
      </c>
      <c r="N46" s="5" t="s">
        <v>319</v>
      </c>
      <c r="O46" s="5" t="s">
        <v>61</v>
      </c>
      <c r="P46" s="5" t="s">
        <v>900</v>
      </c>
      <c r="Q46" s="9" t="s">
        <v>418</v>
      </c>
      <c r="R46" s="5" t="s">
        <v>76</v>
      </c>
      <c r="S46" s="5" t="s">
        <v>334</v>
      </c>
      <c r="T46" s="96">
        <v>1</v>
      </c>
      <c r="U46" s="96">
        <v>2</v>
      </c>
      <c r="V46" s="96">
        <v>2</v>
      </c>
      <c r="W46" s="5" t="s">
        <v>91</v>
      </c>
      <c r="X46" s="10" t="s">
        <v>79</v>
      </c>
      <c r="Y46" s="11">
        <v>28463.005286999993</v>
      </c>
      <c r="Z46" s="12">
        <v>1.5</v>
      </c>
      <c r="AA46" s="12">
        <v>0.09</v>
      </c>
      <c r="AB46" s="12">
        <v>0.06</v>
      </c>
      <c r="AC46" s="13">
        <v>1.0900000000000001</v>
      </c>
      <c r="AD46" s="14">
        <f t="shared" si="2"/>
        <v>2.74</v>
      </c>
      <c r="AE46" s="15">
        <f t="shared" si="3"/>
        <v>0.3978102189781022</v>
      </c>
      <c r="AF46" s="16">
        <v>5724</v>
      </c>
      <c r="AG46" s="16" t="s">
        <v>66</v>
      </c>
      <c r="AH46" s="17" t="s">
        <v>66</v>
      </c>
      <c r="AI46" s="18">
        <v>3</v>
      </c>
      <c r="AJ46" s="19">
        <v>0.95</v>
      </c>
      <c r="AK46" s="20">
        <v>0.95</v>
      </c>
      <c r="AL46" s="17" t="s">
        <v>92</v>
      </c>
      <c r="AM46" s="5" t="s">
        <v>66</v>
      </c>
      <c r="AN46" s="5" t="s">
        <v>66</v>
      </c>
      <c r="AO46" s="5" t="s">
        <v>66</v>
      </c>
      <c r="AP46" s="5" t="s">
        <v>66</v>
      </c>
      <c r="AQ46" s="5" t="s">
        <v>66</v>
      </c>
      <c r="AR46" s="5" t="s">
        <v>66</v>
      </c>
      <c r="AS46" s="5" t="s">
        <v>66</v>
      </c>
      <c r="AT46" s="5" t="s">
        <v>66</v>
      </c>
      <c r="AU46" s="5" t="s">
        <v>66</v>
      </c>
      <c r="AV46" s="5" t="s">
        <v>66</v>
      </c>
      <c r="AW46" s="5" t="s">
        <v>66</v>
      </c>
      <c r="AX46" s="5" t="s">
        <v>901</v>
      </c>
      <c r="AY46" s="5" t="s">
        <v>94</v>
      </c>
      <c r="AZ46" s="5" t="s">
        <v>80</v>
      </c>
      <c r="BA46" s="19">
        <v>1</v>
      </c>
      <c r="BB46" s="17" t="s">
        <v>94</v>
      </c>
      <c r="BC46" s="5" t="s">
        <v>901</v>
      </c>
      <c r="BD46" s="5" t="s">
        <v>964</v>
      </c>
    </row>
    <row r="47" spans="1:56" ht="24" hidden="1" x14ac:dyDescent="0.25">
      <c r="A47" s="78" t="s">
        <v>894</v>
      </c>
      <c r="B47" s="5" t="s">
        <v>895</v>
      </c>
      <c r="C47" s="5" t="s">
        <v>3293</v>
      </c>
      <c r="D47" s="5" t="s">
        <v>275</v>
      </c>
      <c r="E47" s="99" t="str">
        <f>VLOOKUP(D47,'Dropdown List'!$F$26:$G$40,2,0)</f>
        <v>South Africa</v>
      </c>
      <c r="F47" s="8" t="s">
        <v>276</v>
      </c>
      <c r="G47" s="96">
        <v>4</v>
      </c>
      <c r="H47" s="5" t="s">
        <v>57</v>
      </c>
      <c r="I47" s="8" t="s">
        <v>58</v>
      </c>
      <c r="J47" s="8" t="s">
        <v>396</v>
      </c>
      <c r="K47" s="8" t="s">
        <v>397</v>
      </c>
      <c r="L47" s="8" t="s">
        <v>965</v>
      </c>
      <c r="M47" s="8" t="s">
        <v>940</v>
      </c>
      <c r="N47" s="5" t="s">
        <v>319</v>
      </c>
      <c r="O47" s="5" t="s">
        <v>61</v>
      </c>
      <c r="P47" s="5" t="s">
        <v>900</v>
      </c>
      <c r="Q47" s="9" t="s">
        <v>418</v>
      </c>
      <c r="R47" s="5" t="s">
        <v>76</v>
      </c>
      <c r="S47" s="5" t="s">
        <v>90</v>
      </c>
      <c r="T47" s="96">
        <v>1</v>
      </c>
      <c r="U47" s="96">
        <v>2</v>
      </c>
      <c r="V47" s="96">
        <v>2</v>
      </c>
      <c r="W47" s="5" t="s">
        <v>91</v>
      </c>
      <c r="X47" s="10" t="s">
        <v>79</v>
      </c>
      <c r="Y47" s="11">
        <v>30143.821585499994</v>
      </c>
      <c r="Z47" s="12">
        <v>2</v>
      </c>
      <c r="AA47" s="12">
        <v>0.09</v>
      </c>
      <c r="AB47" s="12">
        <v>0.06</v>
      </c>
      <c r="AC47" s="13">
        <v>1.0900000000000001</v>
      </c>
      <c r="AD47" s="14">
        <f t="shared" si="2"/>
        <v>3.24</v>
      </c>
      <c r="AE47" s="15">
        <f t="shared" si="3"/>
        <v>0.33641975308641975</v>
      </c>
      <c r="AF47" s="16">
        <v>252</v>
      </c>
      <c r="AG47" s="16" t="s">
        <v>66</v>
      </c>
      <c r="AH47" s="17" t="s">
        <v>66</v>
      </c>
      <c r="AI47" s="18">
        <v>2.88</v>
      </c>
      <c r="AJ47" s="19">
        <v>0.95</v>
      </c>
      <c r="AK47" s="20">
        <v>0.95</v>
      </c>
      <c r="AL47" s="17" t="s">
        <v>92</v>
      </c>
      <c r="AM47" s="5" t="s">
        <v>66</v>
      </c>
      <c r="AN47" s="5" t="s">
        <v>66</v>
      </c>
      <c r="AO47" s="5" t="s">
        <v>66</v>
      </c>
      <c r="AP47" s="5" t="s">
        <v>66</v>
      </c>
      <c r="AQ47" s="5" t="s">
        <v>66</v>
      </c>
      <c r="AR47" s="5" t="s">
        <v>66</v>
      </c>
      <c r="AS47" s="5" t="s">
        <v>66</v>
      </c>
      <c r="AT47" s="5" t="s">
        <v>66</v>
      </c>
      <c r="AU47" s="5" t="s">
        <v>66</v>
      </c>
      <c r="AV47" s="5" t="s">
        <v>66</v>
      </c>
      <c r="AW47" s="5" t="s">
        <v>66</v>
      </c>
      <c r="AX47" s="5" t="s">
        <v>901</v>
      </c>
      <c r="AY47" s="5" t="s">
        <v>80</v>
      </c>
      <c r="AZ47" s="5" t="s">
        <v>80</v>
      </c>
      <c r="BA47" s="19">
        <v>1</v>
      </c>
      <c r="BB47" s="17" t="s">
        <v>941</v>
      </c>
      <c r="BC47" s="5" t="s">
        <v>901</v>
      </c>
      <c r="BD47" s="5" t="s">
        <v>925</v>
      </c>
    </row>
    <row r="48" spans="1:56" ht="96" hidden="1" x14ac:dyDescent="0.25">
      <c r="A48" s="78" t="s">
        <v>894</v>
      </c>
      <c r="B48" s="5" t="s">
        <v>895</v>
      </c>
      <c r="C48" s="5" t="s">
        <v>3293</v>
      </c>
      <c r="D48" s="5" t="s">
        <v>275</v>
      </c>
      <c r="E48" s="99" t="str">
        <f>VLOOKUP(D48,'Dropdown List'!$F$26:$G$40,2,0)</f>
        <v>South Africa</v>
      </c>
      <c r="F48" s="8" t="s">
        <v>276</v>
      </c>
      <c r="G48" s="96">
        <v>4</v>
      </c>
      <c r="H48" s="5" t="s">
        <v>57</v>
      </c>
      <c r="I48" s="8" t="s">
        <v>58</v>
      </c>
      <c r="J48" s="8" t="s">
        <v>146</v>
      </c>
      <c r="K48" s="8" t="s">
        <v>897</v>
      </c>
      <c r="L48" s="8" t="s">
        <v>906</v>
      </c>
      <c r="M48" s="8" t="s">
        <v>907</v>
      </c>
      <c r="N48" s="5" t="s">
        <v>319</v>
      </c>
      <c r="O48" s="5" t="s">
        <v>61</v>
      </c>
      <c r="P48" s="5" t="s">
        <v>900</v>
      </c>
      <c r="Q48" s="9" t="s">
        <v>418</v>
      </c>
      <c r="R48" s="5" t="s">
        <v>76</v>
      </c>
      <c r="S48" s="5" t="s">
        <v>334</v>
      </c>
      <c r="T48" s="96">
        <v>1</v>
      </c>
      <c r="U48" s="96">
        <v>3</v>
      </c>
      <c r="V48" s="96">
        <v>3</v>
      </c>
      <c r="W48" s="5" t="s">
        <v>91</v>
      </c>
      <c r="X48" s="10" t="s">
        <v>79</v>
      </c>
      <c r="Y48" s="11">
        <v>28463.005286999993</v>
      </c>
      <c r="Z48" s="12">
        <v>5</v>
      </c>
      <c r="AA48" s="12">
        <v>0.09</v>
      </c>
      <c r="AB48" s="12">
        <v>0.06</v>
      </c>
      <c r="AC48" s="13">
        <v>1.0900000000000001</v>
      </c>
      <c r="AD48" s="14">
        <f t="shared" si="2"/>
        <v>6.2399999999999993</v>
      </c>
      <c r="AE48" s="15">
        <f t="shared" si="3"/>
        <v>0.17467948717948723</v>
      </c>
      <c r="AF48" s="16">
        <v>3820</v>
      </c>
      <c r="AG48" s="16" t="s">
        <v>66</v>
      </c>
      <c r="AH48" s="17" t="s">
        <v>66</v>
      </c>
      <c r="AI48" s="18">
        <v>4.5199999999999996</v>
      </c>
      <c r="AJ48" s="19">
        <v>0.95</v>
      </c>
      <c r="AK48" s="20">
        <v>0.95</v>
      </c>
      <c r="AL48" s="17" t="s">
        <v>92</v>
      </c>
      <c r="AM48" s="5" t="s">
        <v>66</v>
      </c>
      <c r="AN48" s="5" t="s">
        <v>66</v>
      </c>
      <c r="AO48" s="5" t="s">
        <v>66</v>
      </c>
      <c r="AP48" s="5" t="s">
        <v>66</v>
      </c>
      <c r="AQ48" s="5" t="s">
        <v>66</v>
      </c>
      <c r="AR48" s="5" t="s">
        <v>66</v>
      </c>
      <c r="AS48" s="5" t="s">
        <v>66</v>
      </c>
      <c r="AT48" s="5" t="s">
        <v>66</v>
      </c>
      <c r="AU48" s="5" t="s">
        <v>66</v>
      </c>
      <c r="AV48" s="5" t="s">
        <v>66</v>
      </c>
      <c r="AW48" s="5" t="s">
        <v>66</v>
      </c>
      <c r="AX48" s="5" t="s">
        <v>966</v>
      </c>
      <c r="AY48" s="5" t="s">
        <v>110</v>
      </c>
      <c r="AZ48" s="5" t="s">
        <v>145</v>
      </c>
      <c r="BA48" s="19">
        <v>1</v>
      </c>
      <c r="BB48" s="17" t="s">
        <v>909</v>
      </c>
      <c r="BC48" s="5" t="s">
        <v>910</v>
      </c>
      <c r="BD48" s="5" t="s">
        <v>967</v>
      </c>
    </row>
    <row r="49" spans="1:56" ht="36" hidden="1" x14ac:dyDescent="0.25">
      <c r="A49" s="78" t="s">
        <v>894</v>
      </c>
      <c r="B49" s="5" t="s">
        <v>895</v>
      </c>
      <c r="C49" s="5" t="s">
        <v>3293</v>
      </c>
      <c r="D49" s="5" t="s">
        <v>275</v>
      </c>
      <c r="E49" s="99" t="str">
        <f>VLOOKUP(D49,'Dropdown List'!$F$26:$G$40,2,0)</f>
        <v>South Africa</v>
      </c>
      <c r="F49" s="8" t="s">
        <v>276</v>
      </c>
      <c r="G49" s="96">
        <v>4</v>
      </c>
      <c r="H49" s="5" t="s">
        <v>57</v>
      </c>
      <c r="I49" s="8" t="s">
        <v>58</v>
      </c>
      <c r="J49" s="8" t="s">
        <v>59</v>
      </c>
      <c r="K49" s="8" t="s">
        <v>920</v>
      </c>
      <c r="L49" s="8" t="s">
        <v>968</v>
      </c>
      <c r="M49" s="8" t="s">
        <v>922</v>
      </c>
      <c r="N49" s="5" t="s">
        <v>319</v>
      </c>
      <c r="O49" s="5" t="s">
        <v>61</v>
      </c>
      <c r="P49" s="5" t="s">
        <v>900</v>
      </c>
      <c r="Q49" s="9" t="s">
        <v>418</v>
      </c>
      <c r="R49" s="5" t="s">
        <v>76</v>
      </c>
      <c r="S49" s="5" t="s">
        <v>90</v>
      </c>
      <c r="T49" s="96">
        <v>1</v>
      </c>
      <c r="U49" s="96">
        <v>2</v>
      </c>
      <c r="V49" s="96">
        <v>2</v>
      </c>
      <c r="W49" s="5" t="s">
        <v>91</v>
      </c>
      <c r="X49" s="10" t="s">
        <v>79</v>
      </c>
      <c r="Y49" s="11">
        <v>30143.821585499994</v>
      </c>
      <c r="Z49" s="12">
        <v>1</v>
      </c>
      <c r="AA49" s="12">
        <v>0.09</v>
      </c>
      <c r="AB49" s="12">
        <v>0.06</v>
      </c>
      <c r="AC49" s="13">
        <v>1.0900000000000001</v>
      </c>
      <c r="AD49" s="14">
        <f t="shared" si="2"/>
        <v>2.2400000000000002</v>
      </c>
      <c r="AE49" s="15">
        <f t="shared" si="3"/>
        <v>0.48660714285714285</v>
      </c>
      <c r="AF49" s="16">
        <v>2450</v>
      </c>
      <c r="AG49" s="16" t="s">
        <v>66</v>
      </c>
      <c r="AH49" s="17" t="s">
        <v>66</v>
      </c>
      <c r="AI49" s="18">
        <v>3</v>
      </c>
      <c r="AJ49" s="19">
        <v>0.95</v>
      </c>
      <c r="AK49" s="20">
        <v>0.95</v>
      </c>
      <c r="AL49" s="17" t="s">
        <v>92</v>
      </c>
      <c r="AM49" s="5" t="s">
        <v>66</v>
      </c>
      <c r="AN49" s="5" t="s">
        <v>66</v>
      </c>
      <c r="AO49" s="5" t="s">
        <v>66</v>
      </c>
      <c r="AP49" s="5" t="s">
        <v>66</v>
      </c>
      <c r="AQ49" s="5" t="s">
        <v>66</v>
      </c>
      <c r="AR49" s="5" t="s">
        <v>66</v>
      </c>
      <c r="AS49" s="5" t="s">
        <v>66</v>
      </c>
      <c r="AT49" s="5" t="s">
        <v>66</v>
      </c>
      <c r="AU49" s="5" t="s">
        <v>66</v>
      </c>
      <c r="AV49" s="5" t="s">
        <v>66</v>
      </c>
      <c r="AW49" s="5" t="s">
        <v>66</v>
      </c>
      <c r="AX49" s="5" t="s">
        <v>901</v>
      </c>
      <c r="AY49" s="5" t="s">
        <v>110</v>
      </c>
      <c r="AZ49" s="5" t="s">
        <v>145</v>
      </c>
      <c r="BA49" s="19">
        <v>1</v>
      </c>
      <c r="BB49" s="17" t="s">
        <v>945</v>
      </c>
      <c r="BC49" s="5" t="s">
        <v>901</v>
      </c>
      <c r="BD49" s="5" t="s">
        <v>925</v>
      </c>
    </row>
    <row r="50" spans="1:56" ht="24" hidden="1" x14ac:dyDescent="0.25">
      <c r="A50" s="78" t="s">
        <v>894</v>
      </c>
      <c r="B50" s="5" t="s">
        <v>895</v>
      </c>
      <c r="C50" s="5" t="s">
        <v>3293</v>
      </c>
      <c r="D50" s="5" t="s">
        <v>275</v>
      </c>
      <c r="E50" s="99" t="str">
        <f>VLOOKUP(D50,'Dropdown List'!$F$26:$G$40,2,0)</f>
        <v>South Africa</v>
      </c>
      <c r="F50" s="8" t="s">
        <v>276</v>
      </c>
      <c r="G50" s="96">
        <v>4</v>
      </c>
      <c r="H50" s="5" t="s">
        <v>57</v>
      </c>
      <c r="I50" s="8" t="s">
        <v>58</v>
      </c>
      <c r="J50" s="8" t="s">
        <v>146</v>
      </c>
      <c r="K50" s="8" t="s">
        <v>897</v>
      </c>
      <c r="L50" s="8" t="s">
        <v>969</v>
      </c>
      <c r="M50" s="8" t="s">
        <v>970</v>
      </c>
      <c r="N50" s="5" t="s">
        <v>319</v>
      </c>
      <c r="O50" s="5" t="s">
        <v>61</v>
      </c>
      <c r="P50" s="5" t="s">
        <v>900</v>
      </c>
      <c r="Q50" s="9" t="s">
        <v>418</v>
      </c>
      <c r="R50" s="5" t="s">
        <v>76</v>
      </c>
      <c r="S50" s="5" t="s">
        <v>334</v>
      </c>
      <c r="T50" s="96">
        <v>1</v>
      </c>
      <c r="U50" s="96">
        <v>2</v>
      </c>
      <c r="V50" s="96">
        <v>2</v>
      </c>
      <c r="W50" s="5" t="s">
        <v>91</v>
      </c>
      <c r="X50" s="10" t="s">
        <v>79</v>
      </c>
      <c r="Y50" s="11">
        <v>28463.005286999993</v>
      </c>
      <c r="Z50" s="12">
        <v>1</v>
      </c>
      <c r="AA50" s="12">
        <v>0.09</v>
      </c>
      <c r="AB50" s="12">
        <v>0.06</v>
      </c>
      <c r="AC50" s="13">
        <v>1.0900000000000001</v>
      </c>
      <c r="AD50" s="14">
        <f t="shared" si="2"/>
        <v>2.2400000000000002</v>
      </c>
      <c r="AE50" s="15">
        <f t="shared" si="3"/>
        <v>0.48660714285714285</v>
      </c>
      <c r="AF50" s="16">
        <v>1010</v>
      </c>
      <c r="AG50" s="16" t="s">
        <v>66</v>
      </c>
      <c r="AH50" s="17" t="s">
        <v>66</v>
      </c>
      <c r="AI50" s="18">
        <v>4.59</v>
      </c>
      <c r="AJ50" s="19">
        <v>0.95</v>
      </c>
      <c r="AK50" s="20">
        <v>0.95</v>
      </c>
      <c r="AL50" s="17" t="s">
        <v>92</v>
      </c>
      <c r="AM50" s="5" t="s">
        <v>66</v>
      </c>
      <c r="AN50" s="5" t="s">
        <v>66</v>
      </c>
      <c r="AO50" s="5" t="s">
        <v>66</v>
      </c>
      <c r="AP50" s="5" t="s">
        <v>66</v>
      </c>
      <c r="AQ50" s="5" t="s">
        <v>66</v>
      </c>
      <c r="AR50" s="5" t="s">
        <v>66</v>
      </c>
      <c r="AS50" s="5" t="s">
        <v>66</v>
      </c>
      <c r="AT50" s="5" t="s">
        <v>66</v>
      </c>
      <c r="AU50" s="5" t="s">
        <v>66</v>
      </c>
      <c r="AV50" s="5" t="s">
        <v>66</v>
      </c>
      <c r="AW50" s="5" t="s">
        <v>66</v>
      </c>
      <c r="AX50" s="5" t="s">
        <v>901</v>
      </c>
      <c r="AY50" s="5" t="s">
        <v>110</v>
      </c>
      <c r="AZ50" s="5" t="s">
        <v>145</v>
      </c>
      <c r="BA50" s="19">
        <v>1</v>
      </c>
      <c r="BB50" s="17" t="s">
        <v>2901</v>
      </c>
      <c r="BC50" s="5" t="s">
        <v>901</v>
      </c>
      <c r="BD50" s="5" t="s">
        <v>925</v>
      </c>
    </row>
    <row r="51" spans="1:56" ht="48" hidden="1" x14ac:dyDescent="0.25">
      <c r="A51" s="78" t="s">
        <v>894</v>
      </c>
      <c r="B51" s="5" t="s">
        <v>895</v>
      </c>
      <c r="C51" s="5" t="s">
        <v>3293</v>
      </c>
      <c r="D51" s="5" t="s">
        <v>275</v>
      </c>
      <c r="E51" s="99" t="str">
        <f>VLOOKUP(D51,'Dropdown List'!$F$26:$G$40,2,0)</f>
        <v>South Africa</v>
      </c>
      <c r="F51" s="8" t="s">
        <v>276</v>
      </c>
      <c r="G51" s="96">
        <v>4</v>
      </c>
      <c r="H51" s="5" t="s">
        <v>57</v>
      </c>
      <c r="I51" s="8" t="s">
        <v>58</v>
      </c>
      <c r="J51" s="8" t="s">
        <v>146</v>
      </c>
      <c r="K51" s="8" t="s">
        <v>897</v>
      </c>
      <c r="L51" s="8" t="s">
        <v>971</v>
      </c>
      <c r="M51" s="8" t="s">
        <v>972</v>
      </c>
      <c r="N51" s="5" t="s">
        <v>319</v>
      </c>
      <c r="O51" s="5" t="s">
        <v>61</v>
      </c>
      <c r="P51" s="5" t="s">
        <v>900</v>
      </c>
      <c r="Q51" s="9" t="s">
        <v>418</v>
      </c>
      <c r="R51" s="5" t="s">
        <v>132</v>
      </c>
      <c r="S51" s="5" t="s">
        <v>90</v>
      </c>
      <c r="T51" s="96">
        <v>1</v>
      </c>
      <c r="U51" s="96">
        <v>2</v>
      </c>
      <c r="V51" s="96">
        <v>2</v>
      </c>
      <c r="W51" s="5" t="s">
        <v>91</v>
      </c>
      <c r="X51" s="10" t="s">
        <v>79</v>
      </c>
      <c r="Y51" s="11">
        <v>30143.821585499994</v>
      </c>
      <c r="Z51" s="12">
        <v>1.5</v>
      </c>
      <c r="AA51" s="12">
        <v>0.09</v>
      </c>
      <c r="AB51" s="12">
        <v>0.06</v>
      </c>
      <c r="AC51" s="13">
        <v>1.0900000000000001</v>
      </c>
      <c r="AD51" s="14">
        <f t="shared" si="2"/>
        <v>2.74</v>
      </c>
      <c r="AE51" s="15">
        <f t="shared" si="3"/>
        <v>0.3978102189781022</v>
      </c>
      <c r="AF51" s="16">
        <v>231</v>
      </c>
      <c r="AG51" s="16" t="s">
        <v>66</v>
      </c>
      <c r="AH51" s="17" t="s">
        <v>66</v>
      </c>
      <c r="AI51" s="18">
        <v>4.2699999999999996</v>
      </c>
      <c r="AJ51" s="19">
        <v>0.95</v>
      </c>
      <c r="AK51" s="20">
        <v>0.95</v>
      </c>
      <c r="AL51" s="17" t="s">
        <v>92</v>
      </c>
      <c r="AM51" s="5" t="s">
        <v>66</v>
      </c>
      <c r="AN51" s="5" t="s">
        <v>66</v>
      </c>
      <c r="AO51" s="5" t="s">
        <v>66</v>
      </c>
      <c r="AP51" s="5" t="s">
        <v>66</v>
      </c>
      <c r="AQ51" s="5" t="s">
        <v>66</v>
      </c>
      <c r="AR51" s="5" t="s">
        <v>66</v>
      </c>
      <c r="AS51" s="5" t="s">
        <v>66</v>
      </c>
      <c r="AT51" s="5" t="s">
        <v>66</v>
      </c>
      <c r="AU51" s="5" t="s">
        <v>66</v>
      </c>
      <c r="AV51" s="5" t="s">
        <v>66</v>
      </c>
      <c r="AW51" s="5" t="s">
        <v>66</v>
      </c>
      <c r="AX51" s="5" t="s">
        <v>901</v>
      </c>
      <c r="AY51" s="5" t="s">
        <v>94</v>
      </c>
      <c r="AZ51" s="5" t="s">
        <v>80</v>
      </c>
      <c r="BA51" s="19" t="s">
        <v>66</v>
      </c>
      <c r="BB51" s="17" t="s">
        <v>2902</v>
      </c>
      <c r="BC51" s="5" t="s">
        <v>901</v>
      </c>
      <c r="BD51" s="5" t="s">
        <v>973</v>
      </c>
    </row>
    <row r="52" spans="1:56" ht="48" hidden="1" x14ac:dyDescent="0.25">
      <c r="A52" s="78" t="s">
        <v>894</v>
      </c>
      <c r="B52" s="5" t="s">
        <v>895</v>
      </c>
      <c r="C52" s="5" t="s">
        <v>3293</v>
      </c>
      <c r="D52" s="5" t="s">
        <v>275</v>
      </c>
      <c r="E52" s="99" t="str">
        <f>VLOOKUP(D52,'Dropdown List'!$F$26:$G$40,2,0)</f>
        <v>South Africa</v>
      </c>
      <c r="F52" s="8" t="s">
        <v>276</v>
      </c>
      <c r="G52" s="96">
        <v>4</v>
      </c>
      <c r="H52" s="5" t="s">
        <v>57</v>
      </c>
      <c r="I52" s="8" t="s">
        <v>58</v>
      </c>
      <c r="J52" s="8" t="s">
        <v>146</v>
      </c>
      <c r="K52" s="8" t="s">
        <v>897</v>
      </c>
      <c r="L52" s="8" t="s">
        <v>974</v>
      </c>
      <c r="M52" s="8" t="s">
        <v>975</v>
      </c>
      <c r="N52" s="5" t="s">
        <v>319</v>
      </c>
      <c r="O52" s="5" t="s">
        <v>61</v>
      </c>
      <c r="P52" s="5" t="s">
        <v>900</v>
      </c>
      <c r="Q52" s="9" t="s">
        <v>418</v>
      </c>
      <c r="R52" s="5" t="s">
        <v>132</v>
      </c>
      <c r="S52" s="5" t="s">
        <v>334</v>
      </c>
      <c r="T52" s="96">
        <v>1</v>
      </c>
      <c r="U52" s="96">
        <v>3</v>
      </c>
      <c r="V52" s="96">
        <v>3</v>
      </c>
      <c r="W52" s="5" t="s">
        <v>91</v>
      </c>
      <c r="X52" s="10" t="s">
        <v>79</v>
      </c>
      <c r="Y52" s="11">
        <v>28463.005286999993</v>
      </c>
      <c r="Z52" s="12">
        <v>0.5</v>
      </c>
      <c r="AA52" s="12">
        <v>0.09</v>
      </c>
      <c r="AB52" s="12">
        <v>0.06</v>
      </c>
      <c r="AC52" s="13">
        <v>1.0900000000000001</v>
      </c>
      <c r="AD52" s="14">
        <f t="shared" si="2"/>
        <v>1.74</v>
      </c>
      <c r="AE52" s="15">
        <f t="shared" si="3"/>
        <v>0.62643678160919547</v>
      </c>
      <c r="AF52" s="16">
        <v>227</v>
      </c>
      <c r="AG52" s="16" t="s">
        <v>66</v>
      </c>
      <c r="AH52" s="17" t="s">
        <v>66</v>
      </c>
      <c r="AI52" s="18">
        <v>4.2699999999999996</v>
      </c>
      <c r="AJ52" s="19">
        <v>0.95</v>
      </c>
      <c r="AK52" s="20">
        <v>0.95</v>
      </c>
      <c r="AL52" s="17" t="s">
        <v>92</v>
      </c>
      <c r="AM52" s="5" t="s">
        <v>66</v>
      </c>
      <c r="AN52" s="5" t="s">
        <v>66</v>
      </c>
      <c r="AO52" s="5" t="s">
        <v>66</v>
      </c>
      <c r="AP52" s="5" t="s">
        <v>66</v>
      </c>
      <c r="AQ52" s="5" t="s">
        <v>66</v>
      </c>
      <c r="AR52" s="5" t="s">
        <v>66</v>
      </c>
      <c r="AS52" s="5" t="s">
        <v>66</v>
      </c>
      <c r="AT52" s="5" t="s">
        <v>66</v>
      </c>
      <c r="AU52" s="5" t="s">
        <v>66</v>
      </c>
      <c r="AV52" s="5" t="s">
        <v>66</v>
      </c>
      <c r="AW52" s="5" t="s">
        <v>66</v>
      </c>
      <c r="AX52" s="5" t="s">
        <v>901</v>
      </c>
      <c r="AY52" s="5" t="s">
        <v>94</v>
      </c>
      <c r="AZ52" s="5" t="s">
        <v>80</v>
      </c>
      <c r="BA52" s="19">
        <v>1</v>
      </c>
      <c r="BB52" s="17" t="s">
        <v>2903</v>
      </c>
      <c r="BC52" s="5" t="s">
        <v>901</v>
      </c>
      <c r="BD52" s="5" t="s">
        <v>973</v>
      </c>
    </row>
    <row r="53" spans="1:56" ht="36" hidden="1" x14ac:dyDescent="0.25">
      <c r="A53" s="78" t="s">
        <v>894</v>
      </c>
      <c r="B53" s="5" t="s">
        <v>895</v>
      </c>
      <c r="C53" s="5" t="s">
        <v>3293</v>
      </c>
      <c r="D53" s="5" t="s">
        <v>275</v>
      </c>
      <c r="E53" s="99" t="str">
        <f>VLOOKUP(D53,'Dropdown List'!$F$26:$G$40,2,0)</f>
        <v>South Africa</v>
      </c>
      <c r="F53" s="8" t="s">
        <v>276</v>
      </c>
      <c r="G53" s="96">
        <v>4</v>
      </c>
      <c r="H53" s="5" t="s">
        <v>57</v>
      </c>
      <c r="I53" s="8" t="s">
        <v>58</v>
      </c>
      <c r="J53" s="8" t="s">
        <v>146</v>
      </c>
      <c r="K53" s="8" t="s">
        <v>897</v>
      </c>
      <c r="L53" s="8" t="s">
        <v>976</v>
      </c>
      <c r="M53" s="8" t="s">
        <v>899</v>
      </c>
      <c r="N53" s="5" t="s">
        <v>319</v>
      </c>
      <c r="O53" s="5" t="s">
        <v>61</v>
      </c>
      <c r="P53" s="5" t="s">
        <v>900</v>
      </c>
      <c r="Q53" s="9" t="s">
        <v>418</v>
      </c>
      <c r="R53" s="5" t="s">
        <v>76</v>
      </c>
      <c r="S53" s="5" t="s">
        <v>90</v>
      </c>
      <c r="T53" s="96">
        <v>1</v>
      </c>
      <c r="U53" s="96">
        <v>2</v>
      </c>
      <c r="V53" s="96">
        <v>2</v>
      </c>
      <c r="W53" s="5" t="s">
        <v>91</v>
      </c>
      <c r="X53" s="10" t="s">
        <v>79</v>
      </c>
      <c r="Y53" s="11">
        <v>30143.821585499994</v>
      </c>
      <c r="Z53" s="12">
        <v>6.75</v>
      </c>
      <c r="AA53" s="12">
        <v>0.09</v>
      </c>
      <c r="AB53" s="12">
        <v>0.06</v>
      </c>
      <c r="AC53" s="13">
        <v>1.0900000000000001</v>
      </c>
      <c r="AD53" s="14">
        <f t="shared" si="2"/>
        <v>7.9899999999999993</v>
      </c>
      <c r="AE53" s="15">
        <f t="shared" si="3"/>
        <v>0.13642052565707136</v>
      </c>
      <c r="AF53" s="16">
        <v>3507</v>
      </c>
      <c r="AG53" s="16" t="s">
        <v>66</v>
      </c>
      <c r="AH53" s="17" t="s">
        <v>66</v>
      </c>
      <c r="AI53" s="18">
        <v>7.58</v>
      </c>
      <c r="AJ53" s="19">
        <v>0.95</v>
      </c>
      <c r="AK53" s="20">
        <v>0.95</v>
      </c>
      <c r="AL53" s="17" t="s">
        <v>92</v>
      </c>
      <c r="AM53" s="5" t="s">
        <v>66</v>
      </c>
      <c r="AN53" s="5" t="s">
        <v>66</v>
      </c>
      <c r="AO53" s="5" t="s">
        <v>66</v>
      </c>
      <c r="AP53" s="5" t="s">
        <v>66</v>
      </c>
      <c r="AQ53" s="5" t="s">
        <v>66</v>
      </c>
      <c r="AR53" s="5" t="s">
        <v>66</v>
      </c>
      <c r="AS53" s="5" t="s">
        <v>66</v>
      </c>
      <c r="AT53" s="5" t="s">
        <v>66</v>
      </c>
      <c r="AU53" s="5" t="s">
        <v>66</v>
      </c>
      <c r="AV53" s="5" t="s">
        <v>66</v>
      </c>
      <c r="AW53" s="5" t="s">
        <v>66</v>
      </c>
      <c r="AX53" s="5" t="s">
        <v>901</v>
      </c>
      <c r="AY53" s="5" t="s">
        <v>94</v>
      </c>
      <c r="AZ53" s="5" t="s">
        <v>145</v>
      </c>
      <c r="BA53" s="19">
        <v>1</v>
      </c>
      <c r="BB53" s="17" t="s">
        <v>903</v>
      </c>
      <c r="BC53" s="5" t="s">
        <v>904</v>
      </c>
      <c r="BD53" s="5" t="s">
        <v>905</v>
      </c>
    </row>
    <row r="54" spans="1:56" ht="24" hidden="1" x14ac:dyDescent="0.25">
      <c r="A54" s="78" t="s">
        <v>894</v>
      </c>
      <c r="B54" s="5" t="s">
        <v>895</v>
      </c>
      <c r="C54" s="5" t="s">
        <v>3293</v>
      </c>
      <c r="D54" s="5" t="s">
        <v>275</v>
      </c>
      <c r="E54" s="99" t="str">
        <f>VLOOKUP(D54,'Dropdown List'!$F$26:$G$40,2,0)</f>
        <v>South Africa</v>
      </c>
      <c r="F54" s="8" t="s">
        <v>276</v>
      </c>
      <c r="G54" s="96">
        <v>4</v>
      </c>
      <c r="H54" s="5" t="s">
        <v>57</v>
      </c>
      <c r="I54" s="8" t="s">
        <v>58</v>
      </c>
      <c r="J54" s="8" t="s">
        <v>146</v>
      </c>
      <c r="K54" s="8" t="s">
        <v>897</v>
      </c>
      <c r="L54" s="8" t="s">
        <v>977</v>
      </c>
      <c r="M54" s="8" t="s">
        <v>978</v>
      </c>
      <c r="N54" s="5" t="s">
        <v>319</v>
      </c>
      <c r="O54" s="5" t="s">
        <v>61</v>
      </c>
      <c r="P54" s="5" t="s">
        <v>900</v>
      </c>
      <c r="Q54" s="9" t="s">
        <v>418</v>
      </c>
      <c r="R54" s="5" t="s">
        <v>76</v>
      </c>
      <c r="S54" s="5" t="s">
        <v>334</v>
      </c>
      <c r="T54" s="96">
        <v>1</v>
      </c>
      <c r="U54" s="96">
        <v>2</v>
      </c>
      <c r="V54" s="96">
        <v>2</v>
      </c>
      <c r="W54" s="5" t="s">
        <v>91</v>
      </c>
      <c r="X54" s="10" t="s">
        <v>79</v>
      </c>
      <c r="Y54" s="11">
        <v>28463.005286999993</v>
      </c>
      <c r="Z54" s="12">
        <v>0.25</v>
      </c>
      <c r="AA54" s="12">
        <v>0.09</v>
      </c>
      <c r="AB54" s="12">
        <v>0.06</v>
      </c>
      <c r="AC54" s="13">
        <v>1.0900000000000001</v>
      </c>
      <c r="AD54" s="14">
        <f t="shared" si="2"/>
        <v>1.49</v>
      </c>
      <c r="AE54" s="15">
        <f t="shared" si="3"/>
        <v>0.73154362416107388</v>
      </c>
      <c r="AF54" s="16">
        <v>105</v>
      </c>
      <c r="AG54" s="16" t="s">
        <v>66</v>
      </c>
      <c r="AH54" s="17" t="s">
        <v>66</v>
      </c>
      <c r="AI54" s="18">
        <v>4.1500000000000004</v>
      </c>
      <c r="AJ54" s="19">
        <v>0.95</v>
      </c>
      <c r="AK54" s="20">
        <v>0.95</v>
      </c>
      <c r="AL54" s="17" t="s">
        <v>92</v>
      </c>
      <c r="AM54" s="5" t="s">
        <v>66</v>
      </c>
      <c r="AN54" s="5" t="s">
        <v>66</v>
      </c>
      <c r="AO54" s="5" t="s">
        <v>66</v>
      </c>
      <c r="AP54" s="5" t="s">
        <v>66</v>
      </c>
      <c r="AQ54" s="5" t="s">
        <v>66</v>
      </c>
      <c r="AR54" s="5" t="s">
        <v>66</v>
      </c>
      <c r="AS54" s="5" t="s">
        <v>66</v>
      </c>
      <c r="AT54" s="5" t="s">
        <v>66</v>
      </c>
      <c r="AU54" s="5" t="s">
        <v>66</v>
      </c>
      <c r="AV54" s="5" t="s">
        <v>66</v>
      </c>
      <c r="AW54" s="5" t="s">
        <v>66</v>
      </c>
      <c r="AX54" s="5" t="s">
        <v>901</v>
      </c>
      <c r="AY54" s="5" t="s">
        <v>110</v>
      </c>
      <c r="AZ54" s="5" t="s">
        <v>145</v>
      </c>
      <c r="BA54" s="19">
        <v>1</v>
      </c>
      <c r="BB54" s="17" t="s">
        <v>2904</v>
      </c>
      <c r="BC54" s="5" t="s">
        <v>901</v>
      </c>
      <c r="BD54" s="5" t="s">
        <v>925</v>
      </c>
    </row>
    <row r="55" spans="1:56" ht="36" hidden="1" x14ac:dyDescent="0.25">
      <c r="A55" s="78" t="s">
        <v>894</v>
      </c>
      <c r="B55" s="5" t="s">
        <v>895</v>
      </c>
      <c r="C55" s="5" t="s">
        <v>3293</v>
      </c>
      <c r="D55" s="5" t="s">
        <v>275</v>
      </c>
      <c r="E55" s="99" t="str">
        <f>VLOOKUP(D55,'Dropdown List'!$F$26:$G$40,2,0)</f>
        <v>South Africa</v>
      </c>
      <c r="F55" s="8" t="s">
        <v>276</v>
      </c>
      <c r="G55" s="96">
        <v>4</v>
      </c>
      <c r="H55" s="5" t="s">
        <v>57</v>
      </c>
      <c r="I55" s="8" t="s">
        <v>58</v>
      </c>
      <c r="J55" s="8" t="s">
        <v>146</v>
      </c>
      <c r="K55" s="8" t="s">
        <v>147</v>
      </c>
      <c r="L55" s="8" t="s">
        <v>979</v>
      </c>
      <c r="M55" s="8" t="s">
        <v>980</v>
      </c>
      <c r="N55" s="5" t="s">
        <v>319</v>
      </c>
      <c r="O55" s="5" t="s">
        <v>61</v>
      </c>
      <c r="P55" s="5" t="s">
        <v>900</v>
      </c>
      <c r="Q55" s="9" t="s">
        <v>418</v>
      </c>
      <c r="R55" s="5" t="s">
        <v>76</v>
      </c>
      <c r="S55" s="5" t="s">
        <v>334</v>
      </c>
      <c r="T55" s="96">
        <v>1</v>
      </c>
      <c r="U55" s="96">
        <v>2</v>
      </c>
      <c r="V55" s="96">
        <v>2</v>
      </c>
      <c r="W55" s="5" t="s">
        <v>91</v>
      </c>
      <c r="X55" s="10" t="s">
        <v>79</v>
      </c>
      <c r="Y55" s="11">
        <v>28463.005286999993</v>
      </c>
      <c r="Z55" s="12">
        <v>1</v>
      </c>
      <c r="AA55" s="12">
        <v>0.09</v>
      </c>
      <c r="AB55" s="12">
        <v>0.06</v>
      </c>
      <c r="AC55" s="13">
        <v>1.0900000000000001</v>
      </c>
      <c r="AD55" s="14">
        <f t="shared" si="2"/>
        <v>2.2400000000000002</v>
      </c>
      <c r="AE55" s="15">
        <f t="shared" si="3"/>
        <v>0.48660714285714285</v>
      </c>
      <c r="AF55" s="16">
        <v>2255</v>
      </c>
      <c r="AG55" s="16" t="s">
        <v>66</v>
      </c>
      <c r="AH55" s="17" t="s">
        <v>66</v>
      </c>
      <c r="AI55" s="18">
        <v>5</v>
      </c>
      <c r="AJ55" s="19">
        <v>0.95</v>
      </c>
      <c r="AK55" s="20">
        <v>0.95</v>
      </c>
      <c r="AL55" s="17" t="s">
        <v>92</v>
      </c>
      <c r="AM55" s="5" t="s">
        <v>66</v>
      </c>
      <c r="AN55" s="5" t="s">
        <v>66</v>
      </c>
      <c r="AO55" s="5" t="s">
        <v>66</v>
      </c>
      <c r="AP55" s="5" t="s">
        <v>66</v>
      </c>
      <c r="AQ55" s="5" t="s">
        <v>66</v>
      </c>
      <c r="AR55" s="5" t="s">
        <v>66</v>
      </c>
      <c r="AS55" s="5" t="s">
        <v>66</v>
      </c>
      <c r="AT55" s="5" t="s">
        <v>66</v>
      </c>
      <c r="AU55" s="5" t="s">
        <v>66</v>
      </c>
      <c r="AV55" s="5" t="s">
        <v>66</v>
      </c>
      <c r="AW55" s="5" t="s">
        <v>66</v>
      </c>
      <c r="AX55" s="5" t="s">
        <v>901</v>
      </c>
      <c r="AY55" s="5" t="s">
        <v>94</v>
      </c>
      <c r="AZ55" s="5" t="s">
        <v>80</v>
      </c>
      <c r="BA55" s="19">
        <v>1</v>
      </c>
      <c r="BB55" s="17" t="s">
        <v>2905</v>
      </c>
      <c r="BC55" s="5" t="s">
        <v>901</v>
      </c>
      <c r="BD55" s="5" t="s">
        <v>2906</v>
      </c>
    </row>
    <row r="56" spans="1:56" ht="60" hidden="1" x14ac:dyDescent="0.25">
      <c r="A56" s="78" t="s">
        <v>894</v>
      </c>
      <c r="B56" s="5" t="s">
        <v>895</v>
      </c>
      <c r="C56" s="5" t="s">
        <v>3293</v>
      </c>
      <c r="D56" s="5" t="s">
        <v>275</v>
      </c>
      <c r="E56" s="99" t="str">
        <f>VLOOKUP(D56,'Dropdown List'!$F$26:$G$40,2,0)</f>
        <v>South Africa</v>
      </c>
      <c r="F56" s="8" t="s">
        <v>276</v>
      </c>
      <c r="G56" s="96">
        <v>4</v>
      </c>
      <c r="H56" s="5" t="s">
        <v>57</v>
      </c>
      <c r="I56" s="8" t="s">
        <v>58</v>
      </c>
      <c r="J56" s="8" t="s">
        <v>146</v>
      </c>
      <c r="K56" s="8" t="s">
        <v>147</v>
      </c>
      <c r="L56" s="8" t="s">
        <v>981</v>
      </c>
      <c r="M56" s="8" t="s">
        <v>982</v>
      </c>
      <c r="N56" s="5" t="s">
        <v>319</v>
      </c>
      <c r="O56" s="5" t="s">
        <v>61</v>
      </c>
      <c r="P56" s="5" t="s">
        <v>900</v>
      </c>
      <c r="Q56" s="9" t="s">
        <v>418</v>
      </c>
      <c r="R56" s="5" t="s">
        <v>76</v>
      </c>
      <c r="S56" s="5" t="s">
        <v>334</v>
      </c>
      <c r="T56" s="96">
        <v>1</v>
      </c>
      <c r="U56" s="96">
        <v>2</v>
      </c>
      <c r="V56" s="96">
        <v>2</v>
      </c>
      <c r="W56" s="5" t="s">
        <v>91</v>
      </c>
      <c r="X56" s="10" t="s">
        <v>79</v>
      </c>
      <c r="Y56" s="11">
        <v>28463.005286999993</v>
      </c>
      <c r="Z56" s="12">
        <v>2</v>
      </c>
      <c r="AA56" s="12">
        <v>0.09</v>
      </c>
      <c r="AB56" s="12">
        <v>0.06</v>
      </c>
      <c r="AC56" s="13">
        <v>1.0900000000000001</v>
      </c>
      <c r="AD56" s="14">
        <f t="shared" si="2"/>
        <v>3.24</v>
      </c>
      <c r="AE56" s="15">
        <f t="shared" si="3"/>
        <v>0.33641975308641975</v>
      </c>
      <c r="AF56" s="16">
        <v>3471</v>
      </c>
      <c r="AG56" s="16" t="s">
        <v>66</v>
      </c>
      <c r="AH56" s="17" t="s">
        <v>66</v>
      </c>
      <c r="AI56" s="18">
        <v>4.84</v>
      </c>
      <c r="AJ56" s="19">
        <v>0.95</v>
      </c>
      <c r="AK56" s="20">
        <v>0.95</v>
      </c>
      <c r="AL56" s="17" t="s">
        <v>92</v>
      </c>
      <c r="AM56" s="5" t="s">
        <v>66</v>
      </c>
      <c r="AN56" s="5" t="s">
        <v>66</v>
      </c>
      <c r="AO56" s="5" t="s">
        <v>66</v>
      </c>
      <c r="AP56" s="5" t="s">
        <v>66</v>
      </c>
      <c r="AQ56" s="5" t="s">
        <v>66</v>
      </c>
      <c r="AR56" s="5" t="s">
        <v>66</v>
      </c>
      <c r="AS56" s="5" t="s">
        <v>66</v>
      </c>
      <c r="AT56" s="5" t="s">
        <v>66</v>
      </c>
      <c r="AU56" s="5" t="s">
        <v>66</v>
      </c>
      <c r="AV56" s="5" t="s">
        <v>66</v>
      </c>
      <c r="AW56" s="5" t="s">
        <v>66</v>
      </c>
      <c r="AX56" s="5" t="s">
        <v>901</v>
      </c>
      <c r="AY56" s="5" t="s">
        <v>94</v>
      </c>
      <c r="AZ56" s="5" t="s">
        <v>80</v>
      </c>
      <c r="BA56" s="19">
        <v>1</v>
      </c>
      <c r="BB56" s="17" t="s">
        <v>2907</v>
      </c>
      <c r="BC56" s="5" t="s">
        <v>901</v>
      </c>
      <c r="BD56" s="5" t="s">
        <v>2908</v>
      </c>
    </row>
    <row r="57" spans="1:56" ht="48" hidden="1" x14ac:dyDescent="0.25">
      <c r="A57" s="78" t="s">
        <v>894</v>
      </c>
      <c r="B57" s="5" t="s">
        <v>895</v>
      </c>
      <c r="C57" s="5" t="s">
        <v>3293</v>
      </c>
      <c r="D57" s="5" t="s">
        <v>275</v>
      </c>
      <c r="E57" s="99" t="str">
        <f>VLOOKUP(D57,'Dropdown List'!$F$26:$G$40,2,0)</f>
        <v>South Africa</v>
      </c>
      <c r="F57" s="8" t="s">
        <v>276</v>
      </c>
      <c r="G57" s="96">
        <v>4</v>
      </c>
      <c r="H57" s="5" t="s">
        <v>57</v>
      </c>
      <c r="I57" s="8" t="s">
        <v>58</v>
      </c>
      <c r="J57" s="8" t="s">
        <v>146</v>
      </c>
      <c r="K57" s="8" t="s">
        <v>147</v>
      </c>
      <c r="L57" s="8" t="s">
        <v>983</v>
      </c>
      <c r="M57" s="8" t="s">
        <v>984</v>
      </c>
      <c r="N57" s="5" t="s">
        <v>319</v>
      </c>
      <c r="O57" s="5" t="s">
        <v>61</v>
      </c>
      <c r="P57" s="5" t="s">
        <v>900</v>
      </c>
      <c r="Q57" s="9" t="s">
        <v>418</v>
      </c>
      <c r="R57" s="5" t="s">
        <v>76</v>
      </c>
      <c r="S57" s="5" t="s">
        <v>334</v>
      </c>
      <c r="T57" s="96">
        <v>1</v>
      </c>
      <c r="U57" s="96">
        <v>2</v>
      </c>
      <c r="V57" s="96">
        <v>2</v>
      </c>
      <c r="W57" s="5" t="s">
        <v>91</v>
      </c>
      <c r="X57" s="10" t="s">
        <v>79</v>
      </c>
      <c r="Y57" s="11">
        <v>28463.005286999993</v>
      </c>
      <c r="Z57" s="12">
        <v>1.5</v>
      </c>
      <c r="AA57" s="12">
        <v>0.09</v>
      </c>
      <c r="AB57" s="12">
        <v>0.06</v>
      </c>
      <c r="AC57" s="13">
        <v>1.0900000000000001</v>
      </c>
      <c r="AD57" s="14">
        <f t="shared" si="2"/>
        <v>2.74</v>
      </c>
      <c r="AE57" s="15">
        <f t="shared" si="3"/>
        <v>0.3978102189781022</v>
      </c>
      <c r="AF57" s="16">
        <v>1723</v>
      </c>
      <c r="AG57" s="16" t="s">
        <v>66</v>
      </c>
      <c r="AH57" s="17" t="s">
        <v>66</v>
      </c>
      <c r="AI57" s="18">
        <v>5.98</v>
      </c>
      <c r="AJ57" s="19">
        <v>0.95</v>
      </c>
      <c r="AK57" s="20">
        <v>0.95</v>
      </c>
      <c r="AL57" s="17" t="s">
        <v>92</v>
      </c>
      <c r="AM57" s="5" t="s">
        <v>66</v>
      </c>
      <c r="AN57" s="5" t="s">
        <v>66</v>
      </c>
      <c r="AO57" s="5" t="s">
        <v>66</v>
      </c>
      <c r="AP57" s="5" t="s">
        <v>66</v>
      </c>
      <c r="AQ57" s="5" t="s">
        <v>66</v>
      </c>
      <c r="AR57" s="5" t="s">
        <v>66</v>
      </c>
      <c r="AS57" s="5" t="s">
        <v>66</v>
      </c>
      <c r="AT57" s="5" t="s">
        <v>66</v>
      </c>
      <c r="AU57" s="5" t="s">
        <v>66</v>
      </c>
      <c r="AV57" s="5" t="s">
        <v>66</v>
      </c>
      <c r="AW57" s="5" t="s">
        <v>66</v>
      </c>
      <c r="AX57" s="5" t="s">
        <v>901</v>
      </c>
      <c r="AY57" s="5" t="s">
        <v>94</v>
      </c>
      <c r="AZ57" s="5" t="s">
        <v>80</v>
      </c>
      <c r="BA57" s="19">
        <v>1</v>
      </c>
      <c r="BB57" s="17" t="s">
        <v>2909</v>
      </c>
      <c r="BC57" s="5" t="s">
        <v>901</v>
      </c>
      <c r="BD57" s="5" t="s">
        <v>925</v>
      </c>
    </row>
    <row r="58" spans="1:56" ht="36" hidden="1" x14ac:dyDescent="0.25">
      <c r="A58" s="78" t="s">
        <v>894</v>
      </c>
      <c r="B58" s="5" t="s">
        <v>895</v>
      </c>
      <c r="C58" s="5" t="s">
        <v>3293</v>
      </c>
      <c r="D58" s="5" t="s">
        <v>275</v>
      </c>
      <c r="E58" s="99" t="str">
        <f>VLOOKUP(D58,'Dropdown List'!$F$26:$G$40,2,0)</f>
        <v>South Africa</v>
      </c>
      <c r="F58" s="8" t="s">
        <v>276</v>
      </c>
      <c r="G58" s="96">
        <v>4</v>
      </c>
      <c r="H58" s="5" t="s">
        <v>57</v>
      </c>
      <c r="I58" s="8" t="s">
        <v>58</v>
      </c>
      <c r="J58" s="8" t="s">
        <v>146</v>
      </c>
      <c r="K58" s="8" t="s">
        <v>897</v>
      </c>
      <c r="L58" s="8" t="s">
        <v>985</v>
      </c>
      <c r="M58" s="8" t="s">
        <v>986</v>
      </c>
      <c r="N58" s="5" t="s">
        <v>319</v>
      </c>
      <c r="O58" s="5" t="s">
        <v>61</v>
      </c>
      <c r="P58" s="5" t="s">
        <v>900</v>
      </c>
      <c r="Q58" s="9" t="s">
        <v>418</v>
      </c>
      <c r="R58" s="5" t="s">
        <v>76</v>
      </c>
      <c r="S58" s="5" t="s">
        <v>90</v>
      </c>
      <c r="T58" s="96">
        <v>1</v>
      </c>
      <c r="U58" s="96">
        <v>2</v>
      </c>
      <c r="V58" s="96">
        <v>2</v>
      </c>
      <c r="W58" s="5" t="s">
        <v>91</v>
      </c>
      <c r="X58" s="10" t="s">
        <v>79</v>
      </c>
      <c r="Y58" s="11">
        <v>30143.821585499994</v>
      </c>
      <c r="Z58" s="12">
        <v>1</v>
      </c>
      <c r="AA58" s="12">
        <v>0.09</v>
      </c>
      <c r="AB58" s="12">
        <v>0.06</v>
      </c>
      <c r="AC58" s="13">
        <v>1.0900000000000001</v>
      </c>
      <c r="AD58" s="14">
        <f t="shared" si="2"/>
        <v>2.2400000000000002</v>
      </c>
      <c r="AE58" s="15">
        <f t="shared" si="3"/>
        <v>0.48660714285714285</v>
      </c>
      <c r="AF58" s="16">
        <v>1509</v>
      </c>
      <c r="AG58" s="16" t="s">
        <v>66</v>
      </c>
      <c r="AH58" s="17" t="s">
        <v>66</v>
      </c>
      <c r="AI58" s="18">
        <v>6.31</v>
      </c>
      <c r="AJ58" s="19">
        <v>0.95</v>
      </c>
      <c r="AK58" s="20">
        <v>0.95</v>
      </c>
      <c r="AL58" s="17" t="s">
        <v>92</v>
      </c>
      <c r="AM58" s="5" t="s">
        <v>66</v>
      </c>
      <c r="AN58" s="5" t="s">
        <v>66</v>
      </c>
      <c r="AO58" s="5" t="s">
        <v>66</v>
      </c>
      <c r="AP58" s="5" t="s">
        <v>66</v>
      </c>
      <c r="AQ58" s="5" t="s">
        <v>66</v>
      </c>
      <c r="AR58" s="5" t="s">
        <v>66</v>
      </c>
      <c r="AS58" s="5" t="s">
        <v>66</v>
      </c>
      <c r="AT58" s="5" t="s">
        <v>66</v>
      </c>
      <c r="AU58" s="5" t="s">
        <v>66</v>
      </c>
      <c r="AV58" s="5" t="s">
        <v>66</v>
      </c>
      <c r="AW58" s="5" t="s">
        <v>66</v>
      </c>
      <c r="AX58" s="5" t="s">
        <v>901</v>
      </c>
      <c r="AY58" s="5" t="s">
        <v>94</v>
      </c>
      <c r="AZ58" s="5" t="s">
        <v>145</v>
      </c>
      <c r="BA58" s="19">
        <v>1</v>
      </c>
      <c r="BB58" s="17" t="s">
        <v>903</v>
      </c>
      <c r="BC58" s="5" t="s">
        <v>901</v>
      </c>
      <c r="BD58" s="5" t="s">
        <v>2910</v>
      </c>
    </row>
    <row r="59" spans="1:56" ht="36" hidden="1" x14ac:dyDescent="0.25">
      <c r="A59" s="78" t="s">
        <v>894</v>
      </c>
      <c r="B59" s="5" t="s">
        <v>895</v>
      </c>
      <c r="C59" s="5" t="s">
        <v>3293</v>
      </c>
      <c r="D59" s="5" t="s">
        <v>275</v>
      </c>
      <c r="E59" s="99" t="str">
        <f>VLOOKUP(D59,'Dropdown List'!$F$26:$G$40,2,0)</f>
        <v>South Africa</v>
      </c>
      <c r="F59" s="8" t="s">
        <v>276</v>
      </c>
      <c r="G59" s="96">
        <v>4</v>
      </c>
      <c r="H59" s="5" t="s">
        <v>57</v>
      </c>
      <c r="I59" s="8" t="s">
        <v>58</v>
      </c>
      <c r="J59" s="8" t="s">
        <v>146</v>
      </c>
      <c r="K59" s="8" t="s">
        <v>190</v>
      </c>
      <c r="L59" s="8" t="s">
        <v>987</v>
      </c>
      <c r="M59" s="8" t="s">
        <v>988</v>
      </c>
      <c r="N59" s="5" t="s">
        <v>319</v>
      </c>
      <c r="O59" s="5" t="s">
        <v>61</v>
      </c>
      <c r="P59" s="5" t="s">
        <v>900</v>
      </c>
      <c r="Q59" s="9" t="s">
        <v>418</v>
      </c>
      <c r="R59" s="5" t="s">
        <v>76</v>
      </c>
      <c r="S59" s="5" t="s">
        <v>90</v>
      </c>
      <c r="T59" s="96">
        <v>1</v>
      </c>
      <c r="U59" s="96">
        <v>2</v>
      </c>
      <c r="V59" s="96">
        <v>2</v>
      </c>
      <c r="W59" s="5" t="s">
        <v>91</v>
      </c>
      <c r="X59" s="10" t="s">
        <v>79</v>
      </c>
      <c r="Y59" s="11">
        <v>30143.821585499994</v>
      </c>
      <c r="Z59" s="12">
        <v>0.5</v>
      </c>
      <c r="AA59" s="12">
        <v>0.09</v>
      </c>
      <c r="AB59" s="12">
        <v>0.06</v>
      </c>
      <c r="AC59" s="13">
        <v>1.0900000000000001</v>
      </c>
      <c r="AD59" s="14">
        <f t="shared" si="2"/>
        <v>1.74</v>
      </c>
      <c r="AE59" s="15">
        <f t="shared" si="3"/>
        <v>0.62643678160919547</v>
      </c>
      <c r="AF59" s="16">
        <v>354</v>
      </c>
      <c r="AG59" s="16" t="s">
        <v>66</v>
      </c>
      <c r="AH59" s="17" t="s">
        <v>66</v>
      </c>
      <c r="AI59" s="18">
        <v>5.04</v>
      </c>
      <c r="AJ59" s="19">
        <v>0.95</v>
      </c>
      <c r="AK59" s="20">
        <v>0.95</v>
      </c>
      <c r="AL59" s="17" t="s">
        <v>92</v>
      </c>
      <c r="AM59" s="5" t="s">
        <v>66</v>
      </c>
      <c r="AN59" s="5" t="s">
        <v>66</v>
      </c>
      <c r="AO59" s="5" t="s">
        <v>66</v>
      </c>
      <c r="AP59" s="5" t="s">
        <v>66</v>
      </c>
      <c r="AQ59" s="5" t="s">
        <v>66</v>
      </c>
      <c r="AR59" s="5" t="s">
        <v>66</v>
      </c>
      <c r="AS59" s="5" t="s">
        <v>66</v>
      </c>
      <c r="AT59" s="5" t="s">
        <v>66</v>
      </c>
      <c r="AU59" s="5" t="s">
        <v>66</v>
      </c>
      <c r="AV59" s="5" t="s">
        <v>66</v>
      </c>
      <c r="AW59" s="5" t="s">
        <v>66</v>
      </c>
      <c r="AX59" s="5" t="s">
        <v>901</v>
      </c>
      <c r="AY59" s="5" t="s">
        <v>936</v>
      </c>
      <c r="AZ59" s="5" t="s">
        <v>80</v>
      </c>
      <c r="BA59" s="19">
        <v>1</v>
      </c>
      <c r="BB59" s="17" t="s">
        <v>2911</v>
      </c>
      <c r="BC59" s="5" t="s">
        <v>901</v>
      </c>
      <c r="BD59" s="5" t="s">
        <v>2912</v>
      </c>
    </row>
    <row r="60" spans="1:56" ht="36" hidden="1" x14ac:dyDescent="0.25">
      <c r="A60" s="78" t="s">
        <v>894</v>
      </c>
      <c r="B60" s="5" t="s">
        <v>895</v>
      </c>
      <c r="C60" s="5" t="s">
        <v>3293</v>
      </c>
      <c r="D60" s="5" t="s">
        <v>275</v>
      </c>
      <c r="E60" s="99" t="str">
        <f>VLOOKUP(D60,'Dropdown List'!$F$26:$G$40,2,0)</f>
        <v>South Africa</v>
      </c>
      <c r="F60" s="8" t="s">
        <v>276</v>
      </c>
      <c r="G60" s="96">
        <v>4</v>
      </c>
      <c r="H60" s="5" t="s">
        <v>57</v>
      </c>
      <c r="I60" s="8" t="s">
        <v>58</v>
      </c>
      <c r="J60" s="8" t="s">
        <v>146</v>
      </c>
      <c r="K60" s="8" t="s">
        <v>190</v>
      </c>
      <c r="L60" s="8" t="s">
        <v>989</v>
      </c>
      <c r="M60" s="8" t="s">
        <v>990</v>
      </c>
      <c r="N60" s="5" t="s">
        <v>319</v>
      </c>
      <c r="O60" s="5" t="s">
        <v>61</v>
      </c>
      <c r="P60" s="5" t="s">
        <v>900</v>
      </c>
      <c r="Q60" s="9" t="s">
        <v>418</v>
      </c>
      <c r="R60" s="5" t="s">
        <v>76</v>
      </c>
      <c r="S60" s="5" t="s">
        <v>90</v>
      </c>
      <c r="T60" s="96">
        <v>1</v>
      </c>
      <c r="U60" s="96">
        <v>2</v>
      </c>
      <c r="V60" s="96">
        <v>2</v>
      </c>
      <c r="W60" s="5" t="s">
        <v>91</v>
      </c>
      <c r="X60" s="10" t="s">
        <v>79</v>
      </c>
      <c r="Y60" s="11">
        <v>30143.821585499994</v>
      </c>
      <c r="Z60" s="12">
        <v>0.5</v>
      </c>
      <c r="AA60" s="12">
        <v>0.09</v>
      </c>
      <c r="AB60" s="12">
        <v>0.06</v>
      </c>
      <c r="AC60" s="13">
        <v>1.0900000000000001</v>
      </c>
      <c r="AD60" s="14">
        <f t="shared" si="2"/>
        <v>1.74</v>
      </c>
      <c r="AE60" s="15">
        <f t="shared" si="3"/>
        <v>0.62643678160919547</v>
      </c>
      <c r="AF60" s="16">
        <v>731</v>
      </c>
      <c r="AG60" s="16" t="s">
        <v>66</v>
      </c>
      <c r="AH60" s="17" t="s">
        <v>66</v>
      </c>
      <c r="AI60" s="18">
        <v>5.04</v>
      </c>
      <c r="AJ60" s="19">
        <v>0.95</v>
      </c>
      <c r="AK60" s="20">
        <v>0.95</v>
      </c>
      <c r="AL60" s="17" t="s">
        <v>92</v>
      </c>
      <c r="AM60" s="5" t="s">
        <v>66</v>
      </c>
      <c r="AN60" s="5" t="s">
        <v>66</v>
      </c>
      <c r="AO60" s="5" t="s">
        <v>66</v>
      </c>
      <c r="AP60" s="5" t="s">
        <v>66</v>
      </c>
      <c r="AQ60" s="5" t="s">
        <v>66</v>
      </c>
      <c r="AR60" s="5" t="s">
        <v>66</v>
      </c>
      <c r="AS60" s="5" t="s">
        <v>66</v>
      </c>
      <c r="AT60" s="5" t="s">
        <v>66</v>
      </c>
      <c r="AU60" s="5" t="s">
        <v>66</v>
      </c>
      <c r="AV60" s="5" t="s">
        <v>66</v>
      </c>
      <c r="AW60" s="5" t="s">
        <v>66</v>
      </c>
      <c r="AX60" s="5" t="s">
        <v>901</v>
      </c>
      <c r="AY60" s="5" t="s">
        <v>936</v>
      </c>
      <c r="AZ60" s="5" t="s">
        <v>80</v>
      </c>
      <c r="BA60" s="19">
        <v>1</v>
      </c>
      <c r="BB60" s="17" t="s">
        <v>2913</v>
      </c>
      <c r="BC60" s="5" t="s">
        <v>901</v>
      </c>
      <c r="BD60" s="5" t="s">
        <v>925</v>
      </c>
    </row>
    <row r="61" spans="1:56" ht="24" hidden="1" x14ac:dyDescent="0.25">
      <c r="A61" s="78" t="s">
        <v>894</v>
      </c>
      <c r="B61" s="5" t="s">
        <v>895</v>
      </c>
      <c r="C61" s="5" t="s">
        <v>3293</v>
      </c>
      <c r="D61" s="5" t="s">
        <v>275</v>
      </c>
      <c r="E61" s="99" t="str">
        <f>VLOOKUP(D61,'Dropdown List'!$F$26:$G$40,2,0)</f>
        <v>South Africa</v>
      </c>
      <c r="F61" s="8" t="s">
        <v>276</v>
      </c>
      <c r="G61" s="96">
        <v>4</v>
      </c>
      <c r="H61" s="5" t="s">
        <v>57</v>
      </c>
      <c r="I61" s="8" t="s">
        <v>58</v>
      </c>
      <c r="J61" s="8" t="s">
        <v>146</v>
      </c>
      <c r="K61" s="8" t="s">
        <v>147</v>
      </c>
      <c r="L61" s="8" t="s">
        <v>991</v>
      </c>
      <c r="M61" s="8" t="s">
        <v>992</v>
      </c>
      <c r="N61" s="5" t="s">
        <v>319</v>
      </c>
      <c r="O61" s="5" t="s">
        <v>61</v>
      </c>
      <c r="P61" s="5" t="s">
        <v>900</v>
      </c>
      <c r="Q61" s="9" t="s">
        <v>418</v>
      </c>
      <c r="R61" s="5" t="s">
        <v>76</v>
      </c>
      <c r="S61" s="5" t="s">
        <v>90</v>
      </c>
      <c r="T61" s="96">
        <v>1</v>
      </c>
      <c r="U61" s="96">
        <v>2</v>
      </c>
      <c r="V61" s="96">
        <v>2</v>
      </c>
      <c r="W61" s="5" t="s">
        <v>91</v>
      </c>
      <c r="X61" s="10" t="s">
        <v>79</v>
      </c>
      <c r="Y61" s="11">
        <v>30143.821585499994</v>
      </c>
      <c r="Z61" s="12">
        <v>1</v>
      </c>
      <c r="AA61" s="12">
        <v>0.09</v>
      </c>
      <c r="AB61" s="12">
        <v>0.06</v>
      </c>
      <c r="AC61" s="13">
        <v>1.0900000000000001</v>
      </c>
      <c r="AD61" s="14">
        <f t="shared" si="2"/>
        <v>2.2400000000000002</v>
      </c>
      <c r="AE61" s="15">
        <f t="shared" si="3"/>
        <v>0.48660714285714285</v>
      </c>
      <c r="AF61" s="16">
        <v>246</v>
      </c>
      <c r="AG61" s="16" t="s">
        <v>66</v>
      </c>
      <c r="AH61" s="17" t="s">
        <v>66</v>
      </c>
      <c r="AI61" s="18">
        <v>5.18</v>
      </c>
      <c r="AJ61" s="19">
        <v>0.95</v>
      </c>
      <c r="AK61" s="20">
        <v>0.95</v>
      </c>
      <c r="AL61" s="17" t="s">
        <v>92</v>
      </c>
      <c r="AM61" s="5" t="s">
        <v>66</v>
      </c>
      <c r="AN61" s="5" t="s">
        <v>66</v>
      </c>
      <c r="AO61" s="5" t="s">
        <v>66</v>
      </c>
      <c r="AP61" s="5" t="s">
        <v>66</v>
      </c>
      <c r="AQ61" s="5" t="s">
        <v>66</v>
      </c>
      <c r="AR61" s="5" t="s">
        <v>66</v>
      </c>
      <c r="AS61" s="5" t="s">
        <v>66</v>
      </c>
      <c r="AT61" s="5" t="s">
        <v>66</v>
      </c>
      <c r="AU61" s="5" t="s">
        <v>66</v>
      </c>
      <c r="AV61" s="5" t="s">
        <v>66</v>
      </c>
      <c r="AW61" s="5" t="s">
        <v>66</v>
      </c>
      <c r="AX61" s="5" t="s">
        <v>901</v>
      </c>
      <c r="AY61" s="5" t="s">
        <v>94</v>
      </c>
      <c r="AZ61" s="5" t="s">
        <v>80</v>
      </c>
      <c r="BA61" s="19">
        <v>1</v>
      </c>
      <c r="BB61" s="17" t="s">
        <v>2914</v>
      </c>
      <c r="BC61" s="5" t="s">
        <v>901</v>
      </c>
      <c r="BD61" s="5" t="s">
        <v>925</v>
      </c>
    </row>
    <row r="62" spans="1:56" ht="24" hidden="1" x14ac:dyDescent="0.25">
      <c r="A62" s="78" t="s">
        <v>894</v>
      </c>
      <c r="B62" s="5" t="s">
        <v>895</v>
      </c>
      <c r="C62" s="5" t="s">
        <v>3293</v>
      </c>
      <c r="D62" s="5" t="s">
        <v>275</v>
      </c>
      <c r="E62" s="99" t="str">
        <f>VLOOKUP(D62,'Dropdown List'!$F$26:$G$40,2,0)</f>
        <v>South Africa</v>
      </c>
      <c r="F62" s="8" t="s">
        <v>276</v>
      </c>
      <c r="G62" s="96">
        <v>4</v>
      </c>
      <c r="H62" s="5" t="s">
        <v>57</v>
      </c>
      <c r="I62" s="8" t="s">
        <v>58</v>
      </c>
      <c r="J62" s="8" t="s">
        <v>881</v>
      </c>
      <c r="K62" s="8" t="s">
        <v>917</v>
      </c>
      <c r="L62" s="8" t="s">
        <v>918</v>
      </c>
      <c r="M62" s="8" t="s">
        <v>918</v>
      </c>
      <c r="N62" s="5" t="s">
        <v>319</v>
      </c>
      <c r="O62" s="5" t="s">
        <v>61</v>
      </c>
      <c r="P62" s="5" t="s">
        <v>900</v>
      </c>
      <c r="Q62" s="9" t="s">
        <v>418</v>
      </c>
      <c r="R62" s="5" t="s">
        <v>76</v>
      </c>
      <c r="S62" s="5" t="s">
        <v>120</v>
      </c>
      <c r="T62" s="96" t="s">
        <v>66</v>
      </c>
      <c r="U62" s="96" t="s">
        <v>66</v>
      </c>
      <c r="V62" s="96" t="s">
        <v>66</v>
      </c>
      <c r="W62" s="5" t="s">
        <v>91</v>
      </c>
      <c r="X62" s="10" t="s">
        <v>79</v>
      </c>
      <c r="Y62" s="11">
        <v>32906.960774999992</v>
      </c>
      <c r="Z62" s="12">
        <v>1</v>
      </c>
      <c r="AA62" s="12">
        <v>0.09</v>
      </c>
      <c r="AB62" s="12">
        <v>0.06</v>
      </c>
      <c r="AC62" s="13">
        <v>1.0900000000000001</v>
      </c>
      <c r="AD62" s="14">
        <f t="shared" si="2"/>
        <v>2.2400000000000002</v>
      </c>
      <c r="AE62" s="15">
        <f t="shared" si="3"/>
        <v>0.48660714285714285</v>
      </c>
      <c r="AF62" s="16" t="s">
        <v>281</v>
      </c>
      <c r="AG62" s="16" t="s">
        <v>66</v>
      </c>
      <c r="AH62" s="17" t="s">
        <v>66</v>
      </c>
      <c r="AI62" s="18" t="s">
        <v>66</v>
      </c>
      <c r="AJ62" s="19">
        <v>0.95</v>
      </c>
      <c r="AK62" s="20">
        <v>0.95</v>
      </c>
      <c r="AL62" s="17" t="s">
        <v>92</v>
      </c>
      <c r="AM62" s="5" t="s">
        <v>66</v>
      </c>
      <c r="AN62" s="5" t="s">
        <v>66</v>
      </c>
      <c r="AO62" s="5" t="s">
        <v>66</v>
      </c>
      <c r="AP62" s="5" t="s">
        <v>66</v>
      </c>
      <c r="AQ62" s="5" t="s">
        <v>66</v>
      </c>
      <c r="AR62" s="5" t="s">
        <v>66</v>
      </c>
      <c r="AS62" s="5" t="s">
        <v>66</v>
      </c>
      <c r="AT62" s="5" t="s">
        <v>66</v>
      </c>
      <c r="AU62" s="5" t="s">
        <v>66</v>
      </c>
      <c r="AV62" s="5" t="s">
        <v>66</v>
      </c>
      <c r="AW62" s="5" t="s">
        <v>66</v>
      </c>
      <c r="AX62" s="5" t="s">
        <v>901</v>
      </c>
      <c r="AY62" s="5" t="s">
        <v>69</v>
      </c>
      <c r="AZ62" s="5" t="s">
        <v>145</v>
      </c>
      <c r="BA62" s="19">
        <v>1</v>
      </c>
      <c r="BB62" s="17" t="s">
        <v>66</v>
      </c>
      <c r="BC62" s="5" t="s">
        <v>66</v>
      </c>
      <c r="BD62" s="5" t="s">
        <v>973</v>
      </c>
    </row>
    <row r="63" spans="1:56" ht="48" hidden="1" x14ac:dyDescent="0.25">
      <c r="A63" s="78" t="s">
        <v>894</v>
      </c>
      <c r="B63" s="5" t="s">
        <v>895</v>
      </c>
      <c r="C63" s="5" t="s">
        <v>3293</v>
      </c>
      <c r="D63" s="5" t="s">
        <v>275</v>
      </c>
      <c r="E63" s="99" t="str">
        <f>VLOOKUP(D63,'Dropdown List'!$F$26:$G$40,2,0)</f>
        <v>South Africa</v>
      </c>
      <c r="F63" s="8" t="s">
        <v>276</v>
      </c>
      <c r="G63" s="96">
        <v>4</v>
      </c>
      <c r="H63" s="5" t="s">
        <v>57</v>
      </c>
      <c r="I63" s="8" t="s">
        <v>58</v>
      </c>
      <c r="J63" s="8" t="s">
        <v>146</v>
      </c>
      <c r="K63" s="8" t="s">
        <v>897</v>
      </c>
      <c r="L63" s="8" t="s">
        <v>993</v>
      </c>
      <c r="M63" s="8" t="s">
        <v>994</v>
      </c>
      <c r="N63" s="5" t="s">
        <v>319</v>
      </c>
      <c r="O63" s="5" t="s">
        <v>61</v>
      </c>
      <c r="P63" s="5" t="s">
        <v>900</v>
      </c>
      <c r="Q63" s="9" t="s">
        <v>418</v>
      </c>
      <c r="R63" s="5" t="s">
        <v>76</v>
      </c>
      <c r="S63" s="5" t="s">
        <v>90</v>
      </c>
      <c r="T63" s="96">
        <v>1</v>
      </c>
      <c r="U63" s="96">
        <v>2</v>
      </c>
      <c r="V63" s="96">
        <v>2</v>
      </c>
      <c r="W63" s="5" t="s">
        <v>91</v>
      </c>
      <c r="X63" s="10" t="s">
        <v>79</v>
      </c>
      <c r="Y63" s="11">
        <v>30143.821585499994</v>
      </c>
      <c r="Z63" s="12">
        <v>0.5</v>
      </c>
      <c r="AA63" s="12">
        <v>0.09</v>
      </c>
      <c r="AB63" s="12">
        <v>0.06</v>
      </c>
      <c r="AC63" s="13">
        <v>1.0900000000000001</v>
      </c>
      <c r="AD63" s="14">
        <f t="shared" si="2"/>
        <v>1.74</v>
      </c>
      <c r="AE63" s="15">
        <f t="shared" si="3"/>
        <v>0.62643678160919547</v>
      </c>
      <c r="AF63" s="16">
        <v>1345</v>
      </c>
      <c r="AG63" s="16" t="s">
        <v>66</v>
      </c>
      <c r="AH63" s="17" t="s">
        <v>66</v>
      </c>
      <c r="AI63" s="18">
        <v>4.59</v>
      </c>
      <c r="AJ63" s="19">
        <v>0.95</v>
      </c>
      <c r="AK63" s="20">
        <v>0.95</v>
      </c>
      <c r="AL63" s="17" t="s">
        <v>92</v>
      </c>
      <c r="AM63" s="5" t="s">
        <v>66</v>
      </c>
      <c r="AN63" s="5" t="s">
        <v>66</v>
      </c>
      <c r="AO63" s="5" t="s">
        <v>66</v>
      </c>
      <c r="AP63" s="5" t="s">
        <v>66</v>
      </c>
      <c r="AQ63" s="5" t="s">
        <v>66</v>
      </c>
      <c r="AR63" s="5" t="s">
        <v>66</v>
      </c>
      <c r="AS63" s="5" t="s">
        <v>66</v>
      </c>
      <c r="AT63" s="5" t="s">
        <v>66</v>
      </c>
      <c r="AU63" s="5" t="s">
        <v>66</v>
      </c>
      <c r="AV63" s="5" t="s">
        <v>66</v>
      </c>
      <c r="AW63" s="5" t="s">
        <v>66</v>
      </c>
      <c r="AX63" s="5" t="s">
        <v>901</v>
      </c>
      <c r="AY63" s="5" t="s">
        <v>936</v>
      </c>
      <c r="AZ63" s="5" t="s">
        <v>80</v>
      </c>
      <c r="BA63" s="19">
        <v>1</v>
      </c>
      <c r="BB63" s="17" t="s">
        <v>2915</v>
      </c>
      <c r="BC63" s="5" t="s">
        <v>901</v>
      </c>
      <c r="BD63" s="5" t="s">
        <v>995</v>
      </c>
    </row>
    <row r="64" spans="1:56" ht="36" hidden="1" x14ac:dyDescent="0.25">
      <c r="A64" s="78" t="s">
        <v>894</v>
      </c>
      <c r="B64" s="5" t="s">
        <v>895</v>
      </c>
      <c r="C64" s="5" t="s">
        <v>3293</v>
      </c>
      <c r="D64" s="5" t="s">
        <v>275</v>
      </c>
      <c r="E64" s="99" t="str">
        <f>VLOOKUP(D64,'Dropdown List'!$F$26:$G$40,2,0)</f>
        <v>South Africa</v>
      </c>
      <c r="F64" s="8" t="s">
        <v>276</v>
      </c>
      <c r="G64" s="96">
        <v>4</v>
      </c>
      <c r="H64" s="5" t="s">
        <v>57</v>
      </c>
      <c r="I64" s="8" t="s">
        <v>58</v>
      </c>
      <c r="J64" s="8" t="s">
        <v>59</v>
      </c>
      <c r="K64" s="8" t="s">
        <v>996</v>
      </c>
      <c r="L64" s="8" t="s">
        <v>997</v>
      </c>
      <c r="M64" s="8" t="s">
        <v>998</v>
      </c>
      <c r="N64" s="5" t="s">
        <v>319</v>
      </c>
      <c r="O64" s="5" t="s">
        <v>61</v>
      </c>
      <c r="P64" s="5" t="s">
        <v>900</v>
      </c>
      <c r="Q64" s="9" t="s">
        <v>418</v>
      </c>
      <c r="R64" s="5" t="s">
        <v>76</v>
      </c>
      <c r="S64" s="5" t="s">
        <v>90</v>
      </c>
      <c r="T64" s="96">
        <v>1</v>
      </c>
      <c r="U64" s="96">
        <v>2</v>
      </c>
      <c r="V64" s="96">
        <v>2</v>
      </c>
      <c r="W64" s="5" t="s">
        <v>91</v>
      </c>
      <c r="X64" s="10" t="s">
        <v>79</v>
      </c>
      <c r="Y64" s="11">
        <v>30143.821585499994</v>
      </c>
      <c r="Z64" s="12">
        <v>0.5</v>
      </c>
      <c r="AA64" s="12">
        <v>0.09</v>
      </c>
      <c r="AB64" s="12">
        <v>0.06</v>
      </c>
      <c r="AC64" s="13">
        <v>1.0900000000000001</v>
      </c>
      <c r="AD64" s="14">
        <f t="shared" si="2"/>
        <v>1.74</v>
      </c>
      <c r="AE64" s="15">
        <f t="shared" si="3"/>
        <v>0.62643678160919547</v>
      </c>
      <c r="AF64" s="16">
        <v>3126</v>
      </c>
      <c r="AG64" s="16" t="s">
        <v>66</v>
      </c>
      <c r="AH64" s="17" t="s">
        <v>66</v>
      </c>
      <c r="AI64" s="18">
        <v>4.49</v>
      </c>
      <c r="AJ64" s="19">
        <v>0.95</v>
      </c>
      <c r="AK64" s="20">
        <v>0.95</v>
      </c>
      <c r="AL64" s="17" t="s">
        <v>92</v>
      </c>
      <c r="AM64" s="5" t="s">
        <v>66</v>
      </c>
      <c r="AN64" s="5" t="s">
        <v>66</v>
      </c>
      <c r="AO64" s="5" t="s">
        <v>66</v>
      </c>
      <c r="AP64" s="5" t="s">
        <v>66</v>
      </c>
      <c r="AQ64" s="5" t="s">
        <v>66</v>
      </c>
      <c r="AR64" s="5" t="s">
        <v>66</v>
      </c>
      <c r="AS64" s="5" t="s">
        <v>66</v>
      </c>
      <c r="AT64" s="5" t="s">
        <v>66</v>
      </c>
      <c r="AU64" s="5" t="s">
        <v>66</v>
      </c>
      <c r="AV64" s="5" t="s">
        <v>66</v>
      </c>
      <c r="AW64" s="5" t="s">
        <v>66</v>
      </c>
      <c r="AX64" s="5" t="s">
        <v>901</v>
      </c>
      <c r="AY64" s="5" t="s">
        <v>94</v>
      </c>
      <c r="AZ64" s="5" t="s">
        <v>80</v>
      </c>
      <c r="BA64" s="19">
        <v>1</v>
      </c>
      <c r="BB64" s="17" t="s">
        <v>2916</v>
      </c>
      <c r="BC64" s="5" t="s">
        <v>901</v>
      </c>
      <c r="BD64" s="5" t="s">
        <v>999</v>
      </c>
    </row>
    <row r="65" spans="1:56" ht="24" hidden="1" x14ac:dyDescent="0.25">
      <c r="A65" s="78" t="s">
        <v>894</v>
      </c>
      <c r="B65" s="5" t="s">
        <v>895</v>
      </c>
      <c r="C65" s="5" t="s">
        <v>3293</v>
      </c>
      <c r="D65" s="5" t="s">
        <v>275</v>
      </c>
      <c r="E65" s="99" t="str">
        <f>VLOOKUP(D65,'Dropdown List'!$F$26:$G$40,2,0)</f>
        <v>South Africa</v>
      </c>
      <c r="F65" s="8" t="s">
        <v>276</v>
      </c>
      <c r="G65" s="96">
        <v>4</v>
      </c>
      <c r="H65" s="5" t="s">
        <v>57</v>
      </c>
      <c r="I65" s="8" t="s">
        <v>58</v>
      </c>
      <c r="J65" s="8" t="s">
        <v>396</v>
      </c>
      <c r="K65" s="8" t="s">
        <v>397</v>
      </c>
      <c r="L65" s="8" t="s">
        <v>949</v>
      </c>
      <c r="M65" s="8" t="s">
        <v>940</v>
      </c>
      <c r="N65" s="5" t="s">
        <v>319</v>
      </c>
      <c r="O65" s="5" t="s">
        <v>61</v>
      </c>
      <c r="P65" s="5" t="s">
        <v>900</v>
      </c>
      <c r="Q65" s="9" t="s">
        <v>418</v>
      </c>
      <c r="R65" s="5" t="s">
        <v>76</v>
      </c>
      <c r="S65" s="5" t="s">
        <v>90</v>
      </c>
      <c r="T65" s="96">
        <v>1</v>
      </c>
      <c r="U65" s="96">
        <v>3</v>
      </c>
      <c r="V65" s="96">
        <v>3</v>
      </c>
      <c r="W65" s="5" t="s">
        <v>91</v>
      </c>
      <c r="X65" s="10" t="s">
        <v>79</v>
      </c>
      <c r="Y65" s="11">
        <v>30143.821585499994</v>
      </c>
      <c r="Z65" s="12">
        <v>2</v>
      </c>
      <c r="AA65" s="12">
        <v>0.09</v>
      </c>
      <c r="AB65" s="12">
        <v>0.06</v>
      </c>
      <c r="AC65" s="13">
        <v>1.0900000000000001</v>
      </c>
      <c r="AD65" s="14">
        <f t="shared" si="2"/>
        <v>3.24</v>
      </c>
      <c r="AE65" s="15">
        <f t="shared" si="3"/>
        <v>0.33641975308641975</v>
      </c>
      <c r="AF65" s="16">
        <v>1</v>
      </c>
      <c r="AG65" s="16" t="s">
        <v>66</v>
      </c>
      <c r="AH65" s="17" t="s">
        <v>66</v>
      </c>
      <c r="AI65" s="18">
        <v>15.15</v>
      </c>
      <c r="AJ65" s="19">
        <v>0.95</v>
      </c>
      <c r="AK65" s="20">
        <v>0.95</v>
      </c>
      <c r="AL65" s="17" t="s">
        <v>92</v>
      </c>
      <c r="AM65" s="5" t="s">
        <v>66</v>
      </c>
      <c r="AN65" s="5" t="s">
        <v>66</v>
      </c>
      <c r="AO65" s="5" t="s">
        <v>66</v>
      </c>
      <c r="AP65" s="5" t="s">
        <v>66</v>
      </c>
      <c r="AQ65" s="5" t="s">
        <v>66</v>
      </c>
      <c r="AR65" s="5" t="s">
        <v>66</v>
      </c>
      <c r="AS65" s="5" t="s">
        <v>66</v>
      </c>
      <c r="AT65" s="5" t="s">
        <v>66</v>
      </c>
      <c r="AU65" s="5" t="s">
        <v>66</v>
      </c>
      <c r="AV65" s="5" t="s">
        <v>66</v>
      </c>
      <c r="AW65" s="5" t="s">
        <v>66</v>
      </c>
      <c r="AX65" s="5" t="s">
        <v>924</v>
      </c>
      <c r="AY65" s="5" t="s">
        <v>94</v>
      </c>
      <c r="AZ65" s="5" t="s">
        <v>80</v>
      </c>
      <c r="BA65" s="19">
        <v>1</v>
      </c>
      <c r="BB65" s="17" t="s">
        <v>941</v>
      </c>
      <c r="BC65" s="5" t="s">
        <v>901</v>
      </c>
      <c r="BD65" s="5" t="s">
        <v>950</v>
      </c>
    </row>
    <row r="66" spans="1:56" ht="48" hidden="1" x14ac:dyDescent="0.25">
      <c r="A66" s="78" t="s">
        <v>894</v>
      </c>
      <c r="B66" s="5" t="s">
        <v>895</v>
      </c>
      <c r="C66" s="5" t="s">
        <v>3293</v>
      </c>
      <c r="D66" s="5" t="s">
        <v>275</v>
      </c>
      <c r="E66" s="99" t="str">
        <f>VLOOKUP(D66,'Dropdown List'!$F$26:$G$40,2,0)</f>
        <v>South Africa</v>
      </c>
      <c r="F66" s="8" t="s">
        <v>276</v>
      </c>
      <c r="G66" s="96">
        <v>4</v>
      </c>
      <c r="H66" s="5" t="s">
        <v>57</v>
      </c>
      <c r="I66" s="8" t="s">
        <v>58</v>
      </c>
      <c r="J66" s="8" t="s">
        <v>163</v>
      </c>
      <c r="K66" s="8" t="s">
        <v>957</v>
      </c>
      <c r="L66" s="8" t="s">
        <v>958</v>
      </c>
      <c r="M66" s="8" t="s">
        <v>959</v>
      </c>
      <c r="N66" s="5" t="s">
        <v>319</v>
      </c>
      <c r="O66" s="5" t="s">
        <v>61</v>
      </c>
      <c r="P66" s="5" t="s">
        <v>900</v>
      </c>
      <c r="Q66" s="9" t="s">
        <v>418</v>
      </c>
      <c r="R66" s="5" t="s">
        <v>76</v>
      </c>
      <c r="S66" s="5" t="s">
        <v>90</v>
      </c>
      <c r="T66" s="96">
        <v>1</v>
      </c>
      <c r="U66" s="96">
        <v>2</v>
      </c>
      <c r="V66" s="96">
        <v>2</v>
      </c>
      <c r="W66" s="5" t="s">
        <v>91</v>
      </c>
      <c r="X66" s="10" t="s">
        <v>79</v>
      </c>
      <c r="Y66" s="11">
        <v>30143.821585499994</v>
      </c>
      <c r="Z66" s="12">
        <v>0.5</v>
      </c>
      <c r="AA66" s="12">
        <v>0.09</v>
      </c>
      <c r="AB66" s="12">
        <v>0.06</v>
      </c>
      <c r="AC66" s="13">
        <v>1.0900000000000001</v>
      </c>
      <c r="AD66" s="14">
        <f t="shared" si="2"/>
        <v>1.74</v>
      </c>
      <c r="AE66" s="15">
        <f t="shared" si="3"/>
        <v>0.62643678160919547</v>
      </c>
      <c r="AF66" s="16">
        <v>1240</v>
      </c>
      <c r="AG66" s="16" t="s">
        <v>66</v>
      </c>
      <c r="AH66" s="17" t="s">
        <v>66</v>
      </c>
      <c r="AI66" s="18">
        <v>2.2999999999999998</v>
      </c>
      <c r="AJ66" s="19">
        <v>0.95</v>
      </c>
      <c r="AK66" s="20">
        <v>0.95</v>
      </c>
      <c r="AL66" s="17" t="s">
        <v>92</v>
      </c>
      <c r="AM66" s="5" t="s">
        <v>66</v>
      </c>
      <c r="AN66" s="5" t="s">
        <v>66</v>
      </c>
      <c r="AO66" s="5" t="s">
        <v>66</v>
      </c>
      <c r="AP66" s="5" t="s">
        <v>66</v>
      </c>
      <c r="AQ66" s="5" t="s">
        <v>66</v>
      </c>
      <c r="AR66" s="5" t="s">
        <v>66</v>
      </c>
      <c r="AS66" s="5" t="s">
        <v>66</v>
      </c>
      <c r="AT66" s="5" t="s">
        <v>66</v>
      </c>
      <c r="AU66" s="5" t="s">
        <v>66</v>
      </c>
      <c r="AV66" s="5" t="s">
        <v>66</v>
      </c>
      <c r="AW66" s="5" t="s">
        <v>66</v>
      </c>
      <c r="AX66" s="5" t="s">
        <v>901</v>
      </c>
      <c r="AY66" s="5" t="s">
        <v>94</v>
      </c>
      <c r="AZ66" s="5" t="s">
        <v>80</v>
      </c>
      <c r="BA66" s="19">
        <v>1</v>
      </c>
      <c r="BB66" s="17" t="s">
        <v>960</v>
      </c>
      <c r="BC66" s="5" t="s">
        <v>901</v>
      </c>
      <c r="BD66" s="5" t="s">
        <v>1000</v>
      </c>
    </row>
    <row r="67" spans="1:56" ht="36" hidden="1" x14ac:dyDescent="0.25">
      <c r="A67" s="78" t="s">
        <v>894</v>
      </c>
      <c r="B67" s="5" t="s">
        <v>895</v>
      </c>
      <c r="C67" s="5" t="s">
        <v>3293</v>
      </c>
      <c r="D67" s="5" t="s">
        <v>275</v>
      </c>
      <c r="E67" s="99" t="str">
        <f>VLOOKUP(D67,'Dropdown List'!$F$26:$G$40,2,0)</f>
        <v>South Africa</v>
      </c>
      <c r="F67" s="8" t="s">
        <v>276</v>
      </c>
      <c r="G67" s="96">
        <v>4</v>
      </c>
      <c r="H67" s="5" t="s">
        <v>57</v>
      </c>
      <c r="I67" s="8" t="s">
        <v>58</v>
      </c>
      <c r="J67" s="8" t="s">
        <v>146</v>
      </c>
      <c r="K67" s="8" t="s">
        <v>190</v>
      </c>
      <c r="L67" s="8" t="s">
        <v>954</v>
      </c>
      <c r="M67" s="8" t="s">
        <v>955</v>
      </c>
      <c r="N67" s="5" t="s">
        <v>319</v>
      </c>
      <c r="O67" s="5" t="s">
        <v>61</v>
      </c>
      <c r="P67" s="5" t="s">
        <v>900</v>
      </c>
      <c r="Q67" s="9" t="s">
        <v>418</v>
      </c>
      <c r="R67" s="5" t="s">
        <v>76</v>
      </c>
      <c r="S67" s="5" t="s">
        <v>90</v>
      </c>
      <c r="T67" s="96">
        <v>1</v>
      </c>
      <c r="U67" s="96">
        <v>3</v>
      </c>
      <c r="V67" s="96">
        <v>3</v>
      </c>
      <c r="W67" s="5" t="s">
        <v>91</v>
      </c>
      <c r="X67" s="10" t="s">
        <v>79</v>
      </c>
      <c r="Y67" s="11">
        <v>30143.821585499994</v>
      </c>
      <c r="Z67" s="12">
        <v>2.5</v>
      </c>
      <c r="AA67" s="12">
        <v>0.09</v>
      </c>
      <c r="AB67" s="12">
        <v>0.06</v>
      </c>
      <c r="AC67" s="13">
        <v>1.0900000000000001</v>
      </c>
      <c r="AD67" s="14">
        <f t="shared" si="2"/>
        <v>3.74</v>
      </c>
      <c r="AE67" s="15">
        <f t="shared" si="3"/>
        <v>0.29144385026737968</v>
      </c>
      <c r="AF67" s="16">
        <v>6167</v>
      </c>
      <c r="AG67" s="16" t="s">
        <v>66</v>
      </c>
      <c r="AH67" s="17" t="s">
        <v>66</v>
      </c>
      <c r="AI67" s="18">
        <v>1.57</v>
      </c>
      <c r="AJ67" s="19">
        <v>0.95</v>
      </c>
      <c r="AK67" s="20">
        <v>0.95</v>
      </c>
      <c r="AL67" s="17" t="s">
        <v>92</v>
      </c>
      <c r="AM67" s="5" t="s">
        <v>66</v>
      </c>
      <c r="AN67" s="5" t="s">
        <v>66</v>
      </c>
      <c r="AO67" s="5" t="s">
        <v>66</v>
      </c>
      <c r="AP67" s="5" t="s">
        <v>66</v>
      </c>
      <c r="AQ67" s="5" t="s">
        <v>66</v>
      </c>
      <c r="AR67" s="5" t="s">
        <v>66</v>
      </c>
      <c r="AS67" s="5" t="s">
        <v>66</v>
      </c>
      <c r="AT67" s="5" t="s">
        <v>66</v>
      </c>
      <c r="AU67" s="5" t="s">
        <v>66</v>
      </c>
      <c r="AV67" s="5" t="s">
        <v>66</v>
      </c>
      <c r="AW67" s="5" t="s">
        <v>66</v>
      </c>
      <c r="AX67" s="5" t="s">
        <v>901</v>
      </c>
      <c r="AY67" s="5" t="s">
        <v>94</v>
      </c>
      <c r="AZ67" s="5" t="s">
        <v>80</v>
      </c>
      <c r="BA67" s="19">
        <v>1</v>
      </c>
      <c r="BB67" s="17" t="s">
        <v>937</v>
      </c>
      <c r="BC67" s="5" t="s">
        <v>901</v>
      </c>
      <c r="BD67" s="5" t="s">
        <v>1001</v>
      </c>
    </row>
    <row r="68" spans="1:56" ht="48" hidden="1" x14ac:dyDescent="0.25">
      <c r="A68" s="78" t="s">
        <v>207</v>
      </c>
      <c r="B68" s="5" t="s">
        <v>208</v>
      </c>
      <c r="C68" s="5" t="s">
        <v>3293</v>
      </c>
      <c r="D68" s="5" t="s">
        <v>209</v>
      </c>
      <c r="E68" s="99" t="str">
        <f>VLOOKUP(D68,'Dropdown List'!$F$26:$G$40,2,0)</f>
        <v>Philippines</v>
      </c>
      <c r="F68" s="8" t="s">
        <v>210</v>
      </c>
      <c r="G68" s="96">
        <v>5</v>
      </c>
      <c r="H68" s="5" t="s">
        <v>57</v>
      </c>
      <c r="I68" s="8" t="s">
        <v>58</v>
      </c>
      <c r="J68" s="8" t="s">
        <v>146</v>
      </c>
      <c r="K68" s="8" t="s">
        <v>211</v>
      </c>
      <c r="L68" s="8" t="s">
        <v>212</v>
      </c>
      <c r="M68" s="8" t="s">
        <v>213</v>
      </c>
      <c r="N68" s="5" t="s">
        <v>319</v>
      </c>
      <c r="O68" s="5" t="s">
        <v>74</v>
      </c>
      <c r="P68" s="5" t="s">
        <v>214</v>
      </c>
      <c r="Q68" s="9" t="s">
        <v>75</v>
      </c>
      <c r="R68" s="5" t="s">
        <v>132</v>
      </c>
      <c r="S68" s="5" t="s">
        <v>64</v>
      </c>
      <c r="T68" s="96">
        <v>2</v>
      </c>
      <c r="U68" s="96">
        <v>5</v>
      </c>
      <c r="V68" s="96">
        <v>6</v>
      </c>
      <c r="W68" s="5" t="s">
        <v>91</v>
      </c>
      <c r="X68" s="10" t="s">
        <v>79</v>
      </c>
      <c r="Y68" s="11">
        <v>30000</v>
      </c>
      <c r="Z68" s="12">
        <v>35</v>
      </c>
      <c r="AA68" s="12">
        <v>3</v>
      </c>
      <c r="AB68" s="12">
        <v>2</v>
      </c>
      <c r="AC68" s="13">
        <v>5</v>
      </c>
      <c r="AD68" s="14">
        <f t="shared" si="2"/>
        <v>45</v>
      </c>
      <c r="AE68" s="15">
        <f t="shared" si="3"/>
        <v>0.1111111111111111</v>
      </c>
      <c r="AF68" s="16">
        <v>34000</v>
      </c>
      <c r="AG68" s="16">
        <v>34000</v>
      </c>
      <c r="AH68" s="17" t="s">
        <v>2917</v>
      </c>
      <c r="AI68" s="18" t="s">
        <v>216</v>
      </c>
      <c r="AJ68" s="19" t="s">
        <v>217</v>
      </c>
      <c r="AK68" s="20">
        <v>0.95</v>
      </c>
      <c r="AL68" s="17" t="s">
        <v>92</v>
      </c>
      <c r="AM68" s="5" t="s">
        <v>66</v>
      </c>
      <c r="AN68" s="5" t="s">
        <v>66</v>
      </c>
      <c r="AO68" s="5" t="s">
        <v>66</v>
      </c>
      <c r="AP68" s="5" t="s">
        <v>66</v>
      </c>
      <c r="AQ68" s="5" t="s">
        <v>66</v>
      </c>
      <c r="AR68" s="5" t="s">
        <v>66</v>
      </c>
      <c r="AS68" s="5" t="s">
        <v>66</v>
      </c>
      <c r="AT68" s="5" t="s">
        <v>218</v>
      </c>
      <c r="AU68" s="5" t="s">
        <v>66</v>
      </c>
      <c r="AV68" s="5" t="s">
        <v>66</v>
      </c>
      <c r="AW68" s="5" t="s">
        <v>66</v>
      </c>
      <c r="AX68" s="5" t="s">
        <v>219</v>
      </c>
      <c r="AY68" s="5" t="s">
        <v>65</v>
      </c>
      <c r="AZ68" s="5" t="s">
        <v>70</v>
      </c>
      <c r="BA68" s="19" t="s">
        <v>66</v>
      </c>
      <c r="BB68" s="17" t="s">
        <v>65</v>
      </c>
      <c r="BC68" s="5" t="s">
        <v>220</v>
      </c>
      <c r="BD68" s="5" t="s">
        <v>221</v>
      </c>
    </row>
    <row r="69" spans="1:56" ht="60" hidden="1" x14ac:dyDescent="0.25">
      <c r="A69" s="78" t="s">
        <v>207</v>
      </c>
      <c r="B69" s="5" t="s">
        <v>208</v>
      </c>
      <c r="C69" s="5" t="s">
        <v>3293</v>
      </c>
      <c r="D69" s="5" t="s">
        <v>209</v>
      </c>
      <c r="E69" s="99" t="str">
        <f>VLOOKUP(D69,'Dropdown List'!$F$26:$G$40,2,0)</f>
        <v>Philippines</v>
      </c>
      <c r="F69" s="8" t="s">
        <v>210</v>
      </c>
      <c r="G69" s="96">
        <v>4</v>
      </c>
      <c r="H69" s="5" t="s">
        <v>57</v>
      </c>
      <c r="I69" s="8" t="s">
        <v>58</v>
      </c>
      <c r="J69" s="8" t="s">
        <v>146</v>
      </c>
      <c r="K69" s="8" t="s">
        <v>154</v>
      </c>
      <c r="L69" s="8" t="s">
        <v>222</v>
      </c>
      <c r="M69" s="8" t="s">
        <v>223</v>
      </c>
      <c r="N69" s="5" t="s">
        <v>319</v>
      </c>
      <c r="O69" s="5" t="s">
        <v>156</v>
      </c>
      <c r="P69" s="5" t="s">
        <v>214</v>
      </c>
      <c r="Q69" s="9" t="s">
        <v>75</v>
      </c>
      <c r="R69" s="5" t="s">
        <v>132</v>
      </c>
      <c r="S69" s="5" t="s">
        <v>64</v>
      </c>
      <c r="T69" s="96">
        <v>2</v>
      </c>
      <c r="U69" s="96">
        <v>2</v>
      </c>
      <c r="V69" s="96">
        <v>12</v>
      </c>
      <c r="W69" s="5" t="s">
        <v>91</v>
      </c>
      <c r="X69" s="10" t="s">
        <v>79</v>
      </c>
      <c r="Y69" s="11">
        <v>29786.16</v>
      </c>
      <c r="Z69" s="12">
        <v>52</v>
      </c>
      <c r="AA69" s="12">
        <v>4</v>
      </c>
      <c r="AB69" s="12">
        <v>4</v>
      </c>
      <c r="AC69" s="13">
        <v>8</v>
      </c>
      <c r="AD69" s="14">
        <f t="shared" ref="AD69:AD132" si="4">SUM(Z69:AC69)</f>
        <v>68</v>
      </c>
      <c r="AE69" s="15">
        <f t="shared" ref="AE69:AE132" si="5">AC69/AD69</f>
        <v>0.11764705882352941</v>
      </c>
      <c r="AF69" s="16">
        <v>46000</v>
      </c>
      <c r="AG69" s="16">
        <v>46000</v>
      </c>
      <c r="AH69" s="17" t="s">
        <v>215</v>
      </c>
      <c r="AI69" s="18" t="s">
        <v>224</v>
      </c>
      <c r="AJ69" s="19">
        <v>0.8</v>
      </c>
      <c r="AK69" s="20">
        <v>0.9</v>
      </c>
      <c r="AL69" s="17" t="s">
        <v>92</v>
      </c>
      <c r="AM69" s="5" t="s">
        <v>225</v>
      </c>
      <c r="AN69" s="5" t="s">
        <v>66</v>
      </c>
      <c r="AO69" s="5" t="s">
        <v>66</v>
      </c>
      <c r="AP69" s="5" t="s">
        <v>66</v>
      </c>
      <c r="AQ69" s="5" t="s">
        <v>226</v>
      </c>
      <c r="AR69" s="5" t="s">
        <v>227</v>
      </c>
      <c r="AS69" s="5" t="s">
        <v>228</v>
      </c>
      <c r="AT69" s="5" t="s">
        <v>218</v>
      </c>
      <c r="AU69" s="5" t="s">
        <v>229</v>
      </c>
      <c r="AV69" s="5" t="s">
        <v>230</v>
      </c>
      <c r="AW69" s="5" t="s">
        <v>66</v>
      </c>
      <c r="AX69" s="5" t="s">
        <v>220</v>
      </c>
      <c r="AY69" s="5" t="s">
        <v>65</v>
      </c>
      <c r="AZ69" s="5" t="s">
        <v>70</v>
      </c>
      <c r="BA69" s="19" t="s">
        <v>66</v>
      </c>
      <c r="BB69" s="17" t="s">
        <v>69</v>
      </c>
      <c r="BC69" s="5" t="s">
        <v>220</v>
      </c>
      <c r="BD69" s="5" t="s">
        <v>231</v>
      </c>
    </row>
    <row r="70" spans="1:56" ht="36" hidden="1" x14ac:dyDescent="0.25">
      <c r="A70" s="78" t="s">
        <v>1352</v>
      </c>
      <c r="B70" s="5" t="s">
        <v>1353</v>
      </c>
      <c r="C70" s="5" t="s">
        <v>3293</v>
      </c>
      <c r="D70" s="5" t="s">
        <v>56</v>
      </c>
      <c r="E70" s="99" t="str">
        <f>VLOOKUP(D70,'Dropdown List'!$F$26:$G$40,2,0)</f>
        <v>India</v>
      </c>
      <c r="F70" s="8" t="s">
        <v>1354</v>
      </c>
      <c r="G70" s="96">
        <v>6</v>
      </c>
      <c r="H70" s="5" t="s">
        <v>57</v>
      </c>
      <c r="I70" s="8" t="s">
        <v>58</v>
      </c>
      <c r="J70" s="8" t="s">
        <v>396</v>
      </c>
      <c r="K70" s="8" t="s">
        <v>1355</v>
      </c>
      <c r="L70" s="8" t="s">
        <v>1356</v>
      </c>
      <c r="M70" s="8" t="s">
        <v>1357</v>
      </c>
      <c r="N70" s="5" t="s">
        <v>1034</v>
      </c>
      <c r="O70" s="5" t="s">
        <v>61</v>
      </c>
      <c r="P70" s="5" t="s">
        <v>1358</v>
      </c>
      <c r="Q70" s="9" t="s">
        <v>418</v>
      </c>
      <c r="R70" s="5" t="s">
        <v>76</v>
      </c>
      <c r="S70" s="5" t="s">
        <v>334</v>
      </c>
      <c r="T70" s="96">
        <v>1</v>
      </c>
      <c r="U70" s="96">
        <v>2</v>
      </c>
      <c r="V70" s="96">
        <v>3</v>
      </c>
      <c r="W70" s="5" t="s">
        <v>78</v>
      </c>
      <c r="X70" s="10" t="s">
        <v>79</v>
      </c>
      <c r="Y70" s="11">
        <v>0.65854268132330507</v>
      </c>
      <c r="Z70" s="12">
        <v>3.49</v>
      </c>
      <c r="AA70" s="12">
        <v>0</v>
      </c>
      <c r="AB70" s="12">
        <v>8.3333333333333329E-2</v>
      </c>
      <c r="AC70" s="13">
        <v>4</v>
      </c>
      <c r="AD70" s="14">
        <f t="shared" si="4"/>
        <v>7.5733333333333341</v>
      </c>
      <c r="AE70" s="15">
        <f t="shared" si="5"/>
        <v>0.528169014084507</v>
      </c>
      <c r="AF70" s="16">
        <v>7324.0000000000018</v>
      </c>
      <c r="AG70" s="16" t="s">
        <v>66</v>
      </c>
      <c r="AH70" s="17" t="s">
        <v>66</v>
      </c>
      <c r="AI70" s="18">
        <v>5.2760911252588789</v>
      </c>
      <c r="AJ70" s="19">
        <v>1</v>
      </c>
      <c r="AK70" s="20">
        <v>0.97</v>
      </c>
      <c r="AL70" s="17" t="s">
        <v>261</v>
      </c>
      <c r="AM70" s="5" t="s">
        <v>66</v>
      </c>
      <c r="AN70" s="5" t="s">
        <v>66</v>
      </c>
      <c r="AO70" s="5" t="s">
        <v>66</v>
      </c>
      <c r="AP70" s="5" t="s">
        <v>66</v>
      </c>
      <c r="AQ70" s="5" t="s">
        <v>66</v>
      </c>
      <c r="AR70" s="5" t="s">
        <v>66</v>
      </c>
      <c r="AS70" s="5" t="s">
        <v>66</v>
      </c>
      <c r="AT70" s="5" t="s">
        <v>66</v>
      </c>
      <c r="AU70" s="5" t="s">
        <v>66</v>
      </c>
      <c r="AV70" s="5" t="s">
        <v>66</v>
      </c>
      <c r="AW70" s="5" t="s">
        <v>66</v>
      </c>
      <c r="AX70" s="5" t="s">
        <v>901</v>
      </c>
      <c r="AY70" s="5" t="s">
        <v>1359</v>
      </c>
      <c r="AZ70" s="5" t="s">
        <v>145</v>
      </c>
      <c r="BA70" s="19">
        <v>100</v>
      </c>
      <c r="BB70" s="17" t="s">
        <v>1359</v>
      </c>
      <c r="BC70" s="5" t="s">
        <v>901</v>
      </c>
      <c r="BD70" s="5" t="s">
        <v>1360</v>
      </c>
    </row>
    <row r="71" spans="1:56" ht="36" hidden="1" x14ac:dyDescent="0.25">
      <c r="A71" s="78" t="s">
        <v>1352</v>
      </c>
      <c r="B71" s="5" t="s">
        <v>1353</v>
      </c>
      <c r="C71" s="5" t="s">
        <v>3293</v>
      </c>
      <c r="D71" s="5" t="s">
        <v>56</v>
      </c>
      <c r="E71" s="99" t="str">
        <f>VLOOKUP(D71,'Dropdown List'!$F$26:$G$40,2,0)</f>
        <v>India</v>
      </c>
      <c r="F71" s="8" t="s">
        <v>1354</v>
      </c>
      <c r="G71" s="96">
        <v>6</v>
      </c>
      <c r="H71" s="5" t="s">
        <v>57</v>
      </c>
      <c r="I71" s="8" t="s">
        <v>58</v>
      </c>
      <c r="J71" s="8" t="s">
        <v>881</v>
      </c>
      <c r="K71" s="8" t="s">
        <v>1055</v>
      </c>
      <c r="L71" s="8" t="s">
        <v>1361</v>
      </c>
      <c r="M71" s="8" t="s">
        <v>1362</v>
      </c>
      <c r="N71" s="5" t="s">
        <v>1034</v>
      </c>
      <c r="O71" s="5" t="s">
        <v>61</v>
      </c>
      <c r="P71" s="5" t="s">
        <v>1358</v>
      </c>
      <c r="Q71" s="9" t="s">
        <v>418</v>
      </c>
      <c r="R71" s="5" t="s">
        <v>76</v>
      </c>
      <c r="S71" s="5" t="s">
        <v>334</v>
      </c>
      <c r="T71" s="96">
        <v>1</v>
      </c>
      <c r="U71" s="96">
        <v>2</v>
      </c>
      <c r="V71" s="96">
        <v>2</v>
      </c>
      <c r="W71" s="5" t="s">
        <v>78</v>
      </c>
      <c r="X71" s="10" t="s">
        <v>79</v>
      </c>
      <c r="Y71" s="11">
        <v>1.0867599598259121</v>
      </c>
      <c r="Z71" s="12">
        <v>0.26</v>
      </c>
      <c r="AA71" s="12">
        <v>0</v>
      </c>
      <c r="AB71" s="12">
        <v>8.3333333333333329E-2</v>
      </c>
      <c r="AC71" s="13">
        <v>1</v>
      </c>
      <c r="AD71" s="14">
        <f t="shared" si="4"/>
        <v>1.3433333333333333</v>
      </c>
      <c r="AE71" s="15">
        <f t="shared" si="5"/>
        <v>0.74441687344913154</v>
      </c>
      <c r="AF71" s="16">
        <v>527</v>
      </c>
      <c r="AG71" s="16" t="s">
        <v>66</v>
      </c>
      <c r="AH71" s="17" t="s">
        <v>66</v>
      </c>
      <c r="AI71" s="18">
        <v>5.2</v>
      </c>
      <c r="AJ71" s="19">
        <v>0.98</v>
      </c>
      <c r="AK71" s="20">
        <v>0.97</v>
      </c>
      <c r="AL71" s="17" t="s">
        <v>261</v>
      </c>
      <c r="AM71" s="5" t="s">
        <v>66</v>
      </c>
      <c r="AN71" s="5" t="s">
        <v>66</v>
      </c>
      <c r="AO71" s="5" t="s">
        <v>66</v>
      </c>
      <c r="AP71" s="5" t="s">
        <v>66</v>
      </c>
      <c r="AQ71" s="5" t="s">
        <v>66</v>
      </c>
      <c r="AR71" s="5" t="s">
        <v>66</v>
      </c>
      <c r="AS71" s="5" t="s">
        <v>66</v>
      </c>
      <c r="AT71" s="5" t="s">
        <v>66</v>
      </c>
      <c r="AU71" s="5" t="s">
        <v>66</v>
      </c>
      <c r="AV71" s="5" t="s">
        <v>66</v>
      </c>
      <c r="AW71" s="5" t="s">
        <v>66</v>
      </c>
      <c r="AX71" s="5" t="s">
        <v>901</v>
      </c>
      <c r="AY71" s="5" t="s">
        <v>1363</v>
      </c>
      <c r="AZ71" s="5" t="s">
        <v>145</v>
      </c>
      <c r="BA71" s="19">
        <v>100</v>
      </c>
      <c r="BB71" s="17" t="s">
        <v>1363</v>
      </c>
      <c r="BC71" s="5" t="s">
        <v>901</v>
      </c>
      <c r="BD71" s="5" t="s">
        <v>1364</v>
      </c>
    </row>
    <row r="72" spans="1:56" ht="36" hidden="1" x14ac:dyDescent="0.25">
      <c r="A72" s="78" t="s">
        <v>1352</v>
      </c>
      <c r="B72" s="5" t="s">
        <v>1353</v>
      </c>
      <c r="C72" s="5" t="s">
        <v>3293</v>
      </c>
      <c r="D72" s="5" t="s">
        <v>56</v>
      </c>
      <c r="E72" s="99" t="str">
        <f>VLOOKUP(D72,'Dropdown List'!$F$26:$G$40,2,0)</f>
        <v>India</v>
      </c>
      <c r="F72" s="8" t="s">
        <v>1354</v>
      </c>
      <c r="G72" s="96">
        <v>6</v>
      </c>
      <c r="H72" s="5" t="s">
        <v>57</v>
      </c>
      <c r="I72" s="8" t="s">
        <v>58</v>
      </c>
      <c r="J72" s="8" t="s">
        <v>163</v>
      </c>
      <c r="K72" s="8" t="s">
        <v>307</v>
      </c>
      <c r="L72" s="8" t="s">
        <v>1365</v>
      </c>
      <c r="M72" s="8" t="s">
        <v>1366</v>
      </c>
      <c r="N72" s="5" t="s">
        <v>1034</v>
      </c>
      <c r="O72" s="5" t="s">
        <v>61</v>
      </c>
      <c r="P72" s="5" t="s">
        <v>1358</v>
      </c>
      <c r="Q72" s="9" t="s">
        <v>418</v>
      </c>
      <c r="R72" s="5" t="s">
        <v>76</v>
      </c>
      <c r="S72" s="5" t="s">
        <v>90</v>
      </c>
      <c r="T72" s="96">
        <v>1</v>
      </c>
      <c r="U72" s="96">
        <v>2</v>
      </c>
      <c r="V72" s="96">
        <v>3</v>
      </c>
      <c r="W72" s="5" t="s">
        <v>78</v>
      </c>
      <c r="X72" s="10" t="s">
        <v>79</v>
      </c>
      <c r="Y72" s="11">
        <v>3.4890596026490064</v>
      </c>
      <c r="Z72" s="12">
        <v>1.1499999999999999</v>
      </c>
      <c r="AA72" s="12">
        <v>0</v>
      </c>
      <c r="AB72" s="12">
        <v>8.3333333333333329E-2</v>
      </c>
      <c r="AC72" s="13">
        <v>1</v>
      </c>
      <c r="AD72" s="14">
        <f t="shared" si="4"/>
        <v>2.2333333333333334</v>
      </c>
      <c r="AE72" s="15">
        <f t="shared" si="5"/>
        <v>0.44776119402985076</v>
      </c>
      <c r="AF72" s="16">
        <v>276</v>
      </c>
      <c r="AG72" s="16" t="s">
        <v>66</v>
      </c>
      <c r="AH72" s="17" t="s">
        <v>66</v>
      </c>
      <c r="AI72" s="18">
        <v>20</v>
      </c>
      <c r="AJ72" s="19">
        <v>1</v>
      </c>
      <c r="AK72" s="20">
        <v>0.97</v>
      </c>
      <c r="AL72" s="17" t="s">
        <v>261</v>
      </c>
      <c r="AM72" s="5" t="s">
        <v>66</v>
      </c>
      <c r="AN72" s="5" t="s">
        <v>66</v>
      </c>
      <c r="AO72" s="5" t="s">
        <v>66</v>
      </c>
      <c r="AP72" s="5" t="s">
        <v>66</v>
      </c>
      <c r="AQ72" s="5" t="s">
        <v>66</v>
      </c>
      <c r="AR72" s="5" t="s">
        <v>66</v>
      </c>
      <c r="AS72" s="5" t="s">
        <v>66</v>
      </c>
      <c r="AT72" s="5" t="s">
        <v>66</v>
      </c>
      <c r="AU72" s="5" t="s">
        <v>66</v>
      </c>
      <c r="AV72" s="5" t="s">
        <v>66</v>
      </c>
      <c r="AW72" s="5" t="s">
        <v>66</v>
      </c>
      <c r="AX72" s="5" t="s">
        <v>901</v>
      </c>
      <c r="AY72" s="5" t="s">
        <v>1359</v>
      </c>
      <c r="AZ72" s="5" t="s">
        <v>145</v>
      </c>
      <c r="BA72" s="19">
        <v>100</v>
      </c>
      <c r="BB72" s="17" t="s">
        <v>1359</v>
      </c>
      <c r="BC72" s="5" t="s">
        <v>901</v>
      </c>
      <c r="BD72" s="5" t="s">
        <v>1359</v>
      </c>
    </row>
    <row r="73" spans="1:56" ht="48" hidden="1" x14ac:dyDescent="0.25">
      <c r="A73" s="78" t="s">
        <v>1352</v>
      </c>
      <c r="B73" s="5" t="s">
        <v>1353</v>
      </c>
      <c r="C73" s="5" t="s">
        <v>3293</v>
      </c>
      <c r="D73" s="5" t="s">
        <v>56</v>
      </c>
      <c r="E73" s="99" t="str">
        <f>VLOOKUP(D73,'Dropdown List'!$F$26:$G$40,2,0)</f>
        <v>India</v>
      </c>
      <c r="F73" s="8" t="s">
        <v>1354</v>
      </c>
      <c r="G73" s="96">
        <v>6</v>
      </c>
      <c r="H73" s="5" t="s">
        <v>57</v>
      </c>
      <c r="I73" s="8" t="s">
        <v>58</v>
      </c>
      <c r="J73" s="8" t="s">
        <v>146</v>
      </c>
      <c r="K73" s="8" t="s">
        <v>1367</v>
      </c>
      <c r="L73" s="8" t="s">
        <v>1368</v>
      </c>
      <c r="M73" s="8" t="s">
        <v>1369</v>
      </c>
      <c r="N73" s="5" t="s">
        <v>1034</v>
      </c>
      <c r="O73" s="5" t="s">
        <v>61</v>
      </c>
      <c r="P73" s="5" t="s">
        <v>1370</v>
      </c>
      <c r="Q73" s="9" t="s">
        <v>418</v>
      </c>
      <c r="R73" s="5" t="s">
        <v>76</v>
      </c>
      <c r="S73" s="5" t="s">
        <v>90</v>
      </c>
      <c r="T73" s="96">
        <v>1</v>
      </c>
      <c r="U73" s="96">
        <v>2</v>
      </c>
      <c r="V73" s="96">
        <v>3</v>
      </c>
      <c r="W73" s="5" t="s">
        <v>78</v>
      </c>
      <c r="X73" s="10" t="s">
        <v>79</v>
      </c>
      <c r="Y73" s="11">
        <v>0.99774389604841573</v>
      </c>
      <c r="Z73" s="12">
        <v>0.2</v>
      </c>
      <c r="AA73" s="12">
        <v>0</v>
      </c>
      <c r="AB73" s="12">
        <v>8.3333333333333329E-2</v>
      </c>
      <c r="AC73" s="13">
        <v>0.5</v>
      </c>
      <c r="AD73" s="14">
        <f t="shared" si="4"/>
        <v>0.78333333333333333</v>
      </c>
      <c r="AE73" s="15">
        <f t="shared" si="5"/>
        <v>0.63829787234042556</v>
      </c>
      <c r="AF73" s="16">
        <v>617.00000000000011</v>
      </c>
      <c r="AG73" s="16" t="s">
        <v>66</v>
      </c>
      <c r="AH73" s="17" t="s">
        <v>66</v>
      </c>
      <c r="AI73" s="18">
        <v>5.67</v>
      </c>
      <c r="AJ73" s="19">
        <v>0.98</v>
      </c>
      <c r="AK73" s="20">
        <v>0.97</v>
      </c>
      <c r="AL73" s="17" t="s">
        <v>261</v>
      </c>
      <c r="AM73" s="5" t="s">
        <v>66</v>
      </c>
      <c r="AN73" s="5" t="s">
        <v>66</v>
      </c>
      <c r="AO73" s="5" t="s">
        <v>66</v>
      </c>
      <c r="AP73" s="5" t="s">
        <v>66</v>
      </c>
      <c r="AQ73" s="5" t="s">
        <v>66</v>
      </c>
      <c r="AR73" s="5" t="s">
        <v>66</v>
      </c>
      <c r="AS73" s="5" t="s">
        <v>66</v>
      </c>
      <c r="AT73" s="5" t="s">
        <v>66</v>
      </c>
      <c r="AU73" s="5" t="s">
        <v>66</v>
      </c>
      <c r="AV73" s="5" t="s">
        <v>66</v>
      </c>
      <c r="AW73" s="5" t="s">
        <v>66</v>
      </c>
      <c r="AX73" s="5" t="s">
        <v>901</v>
      </c>
      <c r="AY73" s="5" t="s">
        <v>1359</v>
      </c>
      <c r="AZ73" s="5" t="s">
        <v>145</v>
      </c>
      <c r="BA73" s="19">
        <v>100</v>
      </c>
      <c r="BB73" s="17" t="s">
        <v>1359</v>
      </c>
      <c r="BC73" s="5" t="s">
        <v>901</v>
      </c>
      <c r="BD73" s="5" t="s">
        <v>1359</v>
      </c>
    </row>
    <row r="74" spans="1:56" ht="24" hidden="1" x14ac:dyDescent="0.25">
      <c r="A74" s="78" t="s">
        <v>1352</v>
      </c>
      <c r="B74" s="5" t="s">
        <v>1353</v>
      </c>
      <c r="C74" s="5" t="s">
        <v>3293</v>
      </c>
      <c r="D74" s="5" t="s">
        <v>56</v>
      </c>
      <c r="E74" s="99" t="str">
        <f>VLOOKUP(D74,'Dropdown List'!$F$26:$G$40,2,0)</f>
        <v>India</v>
      </c>
      <c r="F74" s="8" t="s">
        <v>1354</v>
      </c>
      <c r="G74" s="96">
        <v>6</v>
      </c>
      <c r="H74" s="5" t="s">
        <v>57</v>
      </c>
      <c r="I74" s="8" t="s">
        <v>58</v>
      </c>
      <c r="J74" s="8" t="s">
        <v>163</v>
      </c>
      <c r="K74" s="8" t="s">
        <v>254</v>
      </c>
      <c r="L74" s="8" t="s">
        <v>1371</v>
      </c>
      <c r="M74" s="100" t="s">
        <v>1372</v>
      </c>
      <c r="N74" s="5" t="s">
        <v>1034</v>
      </c>
      <c r="O74" s="5" t="s">
        <v>61</v>
      </c>
      <c r="P74" s="5" t="s">
        <v>1370</v>
      </c>
      <c r="Q74" s="9" t="s">
        <v>418</v>
      </c>
      <c r="R74" s="5" t="s">
        <v>76</v>
      </c>
      <c r="S74" s="5" t="s">
        <v>64</v>
      </c>
      <c r="T74" s="96">
        <v>1</v>
      </c>
      <c r="U74" s="96">
        <v>2</v>
      </c>
      <c r="V74" s="96">
        <v>3</v>
      </c>
      <c r="W74" s="5" t="s">
        <v>78</v>
      </c>
      <c r="X74" s="10" t="s">
        <v>79</v>
      </c>
      <c r="Y74" s="11">
        <v>2.2709173675218102</v>
      </c>
      <c r="Z74" s="12">
        <v>0.24</v>
      </c>
      <c r="AA74" s="12">
        <v>0</v>
      </c>
      <c r="AB74" s="12">
        <v>8.3333333333333329E-2</v>
      </c>
      <c r="AC74" s="13">
        <v>0.5</v>
      </c>
      <c r="AD74" s="14">
        <f t="shared" si="4"/>
        <v>0.82333333333333325</v>
      </c>
      <c r="AE74" s="15">
        <f t="shared" si="5"/>
        <v>0.60728744939271262</v>
      </c>
      <c r="AF74" s="16">
        <v>40</v>
      </c>
      <c r="AG74" s="16" t="s">
        <v>66</v>
      </c>
      <c r="AH74" s="17" t="s">
        <v>66</v>
      </c>
      <c r="AI74" s="18">
        <v>20.6809150326797</v>
      </c>
      <c r="AJ74" s="19">
        <v>0.97</v>
      </c>
      <c r="AK74" s="20">
        <v>0.97</v>
      </c>
      <c r="AL74" s="17" t="s">
        <v>261</v>
      </c>
      <c r="AM74" s="5" t="s">
        <v>66</v>
      </c>
      <c r="AN74" s="5" t="s">
        <v>66</v>
      </c>
      <c r="AO74" s="5" t="s">
        <v>66</v>
      </c>
      <c r="AP74" s="5" t="s">
        <v>66</v>
      </c>
      <c r="AQ74" s="5" t="s">
        <v>66</v>
      </c>
      <c r="AR74" s="5" t="s">
        <v>66</v>
      </c>
      <c r="AS74" s="5" t="s">
        <v>66</v>
      </c>
      <c r="AT74" s="5" t="s">
        <v>66</v>
      </c>
      <c r="AU74" s="5" t="s">
        <v>66</v>
      </c>
      <c r="AV74" s="5" t="s">
        <v>66</v>
      </c>
      <c r="AW74" s="5" t="s">
        <v>66</v>
      </c>
      <c r="AX74" s="5" t="s">
        <v>901</v>
      </c>
      <c r="AY74" s="5" t="s">
        <v>1359</v>
      </c>
      <c r="AZ74" s="5" t="s">
        <v>145</v>
      </c>
      <c r="BA74" s="19">
        <v>100</v>
      </c>
      <c r="BB74" s="17" t="s">
        <v>1359</v>
      </c>
      <c r="BC74" s="5" t="s">
        <v>901</v>
      </c>
      <c r="BD74" s="5" t="s">
        <v>1359</v>
      </c>
    </row>
    <row r="75" spans="1:56" ht="24" hidden="1" x14ac:dyDescent="0.25">
      <c r="A75" s="78" t="s">
        <v>1352</v>
      </c>
      <c r="B75" s="5" t="s">
        <v>1353</v>
      </c>
      <c r="C75" s="5" t="s">
        <v>3293</v>
      </c>
      <c r="D75" s="5" t="s">
        <v>56</v>
      </c>
      <c r="E75" s="99" t="str">
        <f>VLOOKUP(D75,'Dropdown List'!$F$26:$G$40,2,0)</f>
        <v>India</v>
      </c>
      <c r="F75" s="8" t="s">
        <v>1354</v>
      </c>
      <c r="G75" s="96">
        <v>6</v>
      </c>
      <c r="H75" s="5" t="s">
        <v>57</v>
      </c>
      <c r="I75" s="8" t="s">
        <v>58</v>
      </c>
      <c r="J75" s="8" t="s">
        <v>163</v>
      </c>
      <c r="K75" s="8" t="s">
        <v>254</v>
      </c>
      <c r="L75" s="8" t="s">
        <v>1373</v>
      </c>
      <c r="M75" s="100" t="s">
        <v>1372</v>
      </c>
      <c r="N75" s="5" t="s">
        <v>1034</v>
      </c>
      <c r="O75" s="5" t="s">
        <v>61</v>
      </c>
      <c r="P75" s="5" t="s">
        <v>1370</v>
      </c>
      <c r="Q75" s="9" t="s">
        <v>418</v>
      </c>
      <c r="R75" s="5" t="s">
        <v>76</v>
      </c>
      <c r="S75" s="5" t="s">
        <v>64</v>
      </c>
      <c r="T75" s="96">
        <v>1</v>
      </c>
      <c r="U75" s="96">
        <v>2</v>
      </c>
      <c r="V75" s="96">
        <v>3</v>
      </c>
      <c r="W75" s="5" t="s">
        <v>78</v>
      </c>
      <c r="X75" s="10" t="s">
        <v>79</v>
      </c>
      <c r="Y75" s="11">
        <v>2.2709173675218102</v>
      </c>
      <c r="Z75" s="12">
        <v>7.0000000000000007E-2</v>
      </c>
      <c r="AA75" s="12">
        <v>0</v>
      </c>
      <c r="AB75" s="12">
        <v>8.3333333333333329E-2</v>
      </c>
      <c r="AC75" s="13">
        <v>0.5</v>
      </c>
      <c r="AD75" s="14">
        <f t="shared" si="4"/>
        <v>0.65333333333333332</v>
      </c>
      <c r="AE75" s="15">
        <f t="shared" si="5"/>
        <v>0.76530612244897955</v>
      </c>
      <c r="AF75" s="16">
        <v>38</v>
      </c>
      <c r="AG75" s="16" t="s">
        <v>66</v>
      </c>
      <c r="AH75" s="17" t="s">
        <v>66</v>
      </c>
      <c r="AI75" s="18">
        <v>20.6809150326797</v>
      </c>
      <c r="AJ75" s="19">
        <v>0.97</v>
      </c>
      <c r="AK75" s="20">
        <v>0.97</v>
      </c>
      <c r="AL75" s="17" t="s">
        <v>261</v>
      </c>
      <c r="AM75" s="5" t="s">
        <v>66</v>
      </c>
      <c r="AN75" s="5" t="s">
        <v>66</v>
      </c>
      <c r="AO75" s="5" t="s">
        <v>66</v>
      </c>
      <c r="AP75" s="5" t="s">
        <v>66</v>
      </c>
      <c r="AQ75" s="5" t="s">
        <v>66</v>
      </c>
      <c r="AR75" s="5" t="s">
        <v>66</v>
      </c>
      <c r="AS75" s="5" t="s">
        <v>66</v>
      </c>
      <c r="AT75" s="5" t="s">
        <v>66</v>
      </c>
      <c r="AU75" s="5" t="s">
        <v>66</v>
      </c>
      <c r="AV75" s="5" t="s">
        <v>66</v>
      </c>
      <c r="AW75" s="5" t="s">
        <v>66</v>
      </c>
      <c r="AX75" s="5" t="s">
        <v>901</v>
      </c>
      <c r="AY75" s="5" t="s">
        <v>1374</v>
      </c>
      <c r="AZ75" s="5" t="s">
        <v>145</v>
      </c>
      <c r="BA75" s="19">
        <v>100</v>
      </c>
      <c r="BB75" s="17" t="s">
        <v>1374</v>
      </c>
      <c r="BC75" s="5" t="s">
        <v>901</v>
      </c>
      <c r="BD75" s="5" t="s">
        <v>1375</v>
      </c>
    </row>
    <row r="76" spans="1:56" hidden="1" x14ac:dyDescent="0.25">
      <c r="A76" s="78" t="s">
        <v>1352</v>
      </c>
      <c r="B76" s="5" t="s">
        <v>1353</v>
      </c>
      <c r="C76" s="5" t="s">
        <v>3293</v>
      </c>
      <c r="D76" s="5" t="s">
        <v>56</v>
      </c>
      <c r="E76" s="99" t="str">
        <f>VLOOKUP(D76,'Dropdown List'!$F$26:$G$40,2,0)</f>
        <v>India</v>
      </c>
      <c r="F76" s="8" t="s">
        <v>1354</v>
      </c>
      <c r="G76" s="96">
        <v>6</v>
      </c>
      <c r="H76" s="5" t="s">
        <v>57</v>
      </c>
      <c r="I76" s="8" t="s">
        <v>58</v>
      </c>
      <c r="J76" s="8" t="s">
        <v>146</v>
      </c>
      <c r="K76" s="8" t="s">
        <v>267</v>
      </c>
      <c r="L76" s="8" t="s">
        <v>1376</v>
      </c>
      <c r="M76" s="8" t="s">
        <v>1377</v>
      </c>
      <c r="N76" s="5" t="s">
        <v>319</v>
      </c>
      <c r="O76" s="5" t="s">
        <v>61</v>
      </c>
      <c r="P76" s="5" t="s">
        <v>900</v>
      </c>
      <c r="Q76" s="9" t="s">
        <v>418</v>
      </c>
      <c r="R76" s="5" t="s">
        <v>76</v>
      </c>
      <c r="S76" s="5" t="s">
        <v>334</v>
      </c>
      <c r="T76" s="96">
        <v>1</v>
      </c>
      <c r="U76" s="96">
        <v>2</v>
      </c>
      <c r="V76" s="96">
        <v>2</v>
      </c>
      <c r="W76" s="5" t="s">
        <v>78</v>
      </c>
      <c r="X76" s="10" t="s">
        <v>79</v>
      </c>
      <c r="Y76" s="11">
        <v>0.43308703080413502</v>
      </c>
      <c r="Z76" s="12">
        <v>0</v>
      </c>
      <c r="AA76" s="12">
        <v>0</v>
      </c>
      <c r="AB76" s="12">
        <v>8.3333333333333329E-2</v>
      </c>
      <c r="AC76" s="13">
        <v>0.1</v>
      </c>
      <c r="AD76" s="14">
        <f t="shared" si="4"/>
        <v>0.18333333333333335</v>
      </c>
      <c r="AE76" s="15">
        <f t="shared" si="5"/>
        <v>0.54545454545454541</v>
      </c>
      <c r="AF76" s="16">
        <v>4</v>
      </c>
      <c r="AG76" s="16" t="s">
        <v>66</v>
      </c>
      <c r="AH76" s="17" t="s">
        <v>66</v>
      </c>
      <c r="AI76" s="18">
        <v>3.9440607632456501</v>
      </c>
      <c r="AJ76" s="19">
        <v>0.97</v>
      </c>
      <c r="AK76" s="20">
        <v>0.97</v>
      </c>
      <c r="AL76" s="17" t="s">
        <v>261</v>
      </c>
      <c r="AM76" s="5" t="s">
        <v>66</v>
      </c>
      <c r="AN76" s="5" t="s">
        <v>66</v>
      </c>
      <c r="AO76" s="5" t="s">
        <v>66</v>
      </c>
      <c r="AP76" s="5" t="s">
        <v>66</v>
      </c>
      <c r="AQ76" s="5" t="s">
        <v>66</v>
      </c>
      <c r="AR76" s="5" t="s">
        <v>66</v>
      </c>
      <c r="AS76" s="5" t="s">
        <v>66</v>
      </c>
      <c r="AT76" s="5" t="s">
        <v>66</v>
      </c>
      <c r="AU76" s="5" t="s">
        <v>66</v>
      </c>
      <c r="AV76" s="5" t="s">
        <v>66</v>
      </c>
      <c r="AW76" s="5" t="s">
        <v>66</v>
      </c>
      <c r="AX76" s="5" t="s">
        <v>901</v>
      </c>
      <c r="AY76" s="5" t="s">
        <v>1363</v>
      </c>
      <c r="AZ76" s="5" t="s">
        <v>145</v>
      </c>
      <c r="BA76" s="19">
        <v>100</v>
      </c>
      <c r="BB76" s="17" t="s">
        <v>1363</v>
      </c>
      <c r="BC76" s="5" t="s">
        <v>901</v>
      </c>
      <c r="BD76" s="5" t="s">
        <v>1378</v>
      </c>
    </row>
    <row r="77" spans="1:56" ht="24" hidden="1" x14ac:dyDescent="0.25">
      <c r="A77" s="78" t="s">
        <v>1352</v>
      </c>
      <c r="B77" s="5" t="s">
        <v>1353</v>
      </c>
      <c r="C77" s="5" t="s">
        <v>3293</v>
      </c>
      <c r="D77" s="5" t="s">
        <v>56</v>
      </c>
      <c r="E77" s="99" t="str">
        <f>VLOOKUP(D77,'Dropdown List'!$F$26:$G$40,2,0)</f>
        <v>India</v>
      </c>
      <c r="F77" s="8" t="s">
        <v>1354</v>
      </c>
      <c r="G77" s="96">
        <v>6</v>
      </c>
      <c r="H77" s="5" t="s">
        <v>57</v>
      </c>
      <c r="I77" s="8" t="s">
        <v>58</v>
      </c>
      <c r="J77" s="8" t="s">
        <v>59</v>
      </c>
      <c r="K77" s="8" t="s">
        <v>920</v>
      </c>
      <c r="L77" s="8" t="s">
        <v>1379</v>
      </c>
      <c r="M77" s="8" t="s">
        <v>922</v>
      </c>
      <c r="N77" s="5" t="s">
        <v>319</v>
      </c>
      <c r="O77" s="5" t="s">
        <v>61</v>
      </c>
      <c r="P77" s="5" t="s">
        <v>900</v>
      </c>
      <c r="Q77" s="9" t="s">
        <v>418</v>
      </c>
      <c r="R77" s="5" t="s">
        <v>76</v>
      </c>
      <c r="S77" s="5" t="s">
        <v>90</v>
      </c>
      <c r="T77" s="96">
        <v>1</v>
      </c>
      <c r="U77" s="96">
        <v>2</v>
      </c>
      <c r="V77" s="96">
        <v>3</v>
      </c>
      <c r="W77" s="5" t="s">
        <v>78</v>
      </c>
      <c r="X77" s="10" t="s">
        <v>79</v>
      </c>
      <c r="Y77" s="11">
        <v>0.43308703080413502</v>
      </c>
      <c r="Z77" s="12">
        <v>0.13</v>
      </c>
      <c r="AA77" s="12">
        <v>0</v>
      </c>
      <c r="AB77" s="12">
        <v>8.3333333333333329E-2</v>
      </c>
      <c r="AC77" s="13">
        <v>0.9</v>
      </c>
      <c r="AD77" s="14">
        <f t="shared" si="4"/>
        <v>1.1133333333333333</v>
      </c>
      <c r="AE77" s="15">
        <f t="shared" si="5"/>
        <v>0.80838323353293418</v>
      </c>
      <c r="AF77" s="16">
        <v>422</v>
      </c>
      <c r="AG77" s="16" t="s">
        <v>66</v>
      </c>
      <c r="AH77" s="17" t="s">
        <v>66</v>
      </c>
      <c r="AI77" s="18">
        <v>3.9440607632456501</v>
      </c>
      <c r="AJ77" s="19">
        <v>0.97</v>
      </c>
      <c r="AK77" s="20">
        <v>0.97</v>
      </c>
      <c r="AL77" s="17" t="s">
        <v>261</v>
      </c>
      <c r="AM77" s="5" t="s">
        <v>66</v>
      </c>
      <c r="AN77" s="5" t="s">
        <v>66</v>
      </c>
      <c r="AO77" s="5" t="s">
        <v>66</v>
      </c>
      <c r="AP77" s="5" t="s">
        <v>66</v>
      </c>
      <c r="AQ77" s="5" t="s">
        <v>66</v>
      </c>
      <c r="AR77" s="5" t="s">
        <v>66</v>
      </c>
      <c r="AS77" s="5" t="s">
        <v>66</v>
      </c>
      <c r="AT77" s="5" t="s">
        <v>66</v>
      </c>
      <c r="AU77" s="5" t="s">
        <v>66</v>
      </c>
      <c r="AV77" s="5" t="s">
        <v>66</v>
      </c>
      <c r="AW77" s="5" t="s">
        <v>66</v>
      </c>
      <c r="AX77" s="5" t="s">
        <v>901</v>
      </c>
      <c r="AY77" s="5" t="s">
        <v>1359</v>
      </c>
      <c r="AZ77" s="5" t="s">
        <v>145</v>
      </c>
      <c r="BA77" s="19">
        <v>100</v>
      </c>
      <c r="BB77" s="17" t="s">
        <v>1359</v>
      </c>
      <c r="BC77" s="5" t="s">
        <v>901</v>
      </c>
      <c r="BD77" s="5" t="s">
        <v>1359</v>
      </c>
    </row>
    <row r="78" spans="1:56" ht="24" hidden="1" x14ac:dyDescent="0.25">
      <c r="A78" s="78" t="s">
        <v>1352</v>
      </c>
      <c r="B78" s="5" t="s">
        <v>1353</v>
      </c>
      <c r="C78" s="5" t="s">
        <v>3293</v>
      </c>
      <c r="D78" s="5" t="s">
        <v>56</v>
      </c>
      <c r="E78" s="99" t="str">
        <f>VLOOKUP(D78,'Dropdown List'!$F$26:$G$40,2,0)</f>
        <v>India</v>
      </c>
      <c r="F78" s="8" t="s">
        <v>1354</v>
      </c>
      <c r="G78" s="96">
        <v>6</v>
      </c>
      <c r="H78" s="5" t="s">
        <v>57</v>
      </c>
      <c r="I78" s="8" t="s">
        <v>58</v>
      </c>
      <c r="J78" s="8" t="s">
        <v>59</v>
      </c>
      <c r="K78" s="8" t="s">
        <v>86</v>
      </c>
      <c r="L78" s="8" t="s">
        <v>1380</v>
      </c>
      <c r="M78" s="8" t="s">
        <v>1381</v>
      </c>
      <c r="N78" s="5" t="s">
        <v>319</v>
      </c>
      <c r="O78" s="5" t="s">
        <v>61</v>
      </c>
      <c r="P78" s="5" t="s">
        <v>900</v>
      </c>
      <c r="Q78" s="9" t="s">
        <v>418</v>
      </c>
      <c r="R78" s="5" t="s">
        <v>76</v>
      </c>
      <c r="S78" s="5" t="s">
        <v>90</v>
      </c>
      <c r="T78" s="96">
        <v>1</v>
      </c>
      <c r="U78" s="96">
        <v>1</v>
      </c>
      <c r="V78" s="96">
        <v>2</v>
      </c>
      <c r="W78" s="5" t="s">
        <v>78</v>
      </c>
      <c r="X78" s="10" t="s">
        <v>79</v>
      </c>
      <c r="Y78" s="11">
        <v>0.91206818181818183</v>
      </c>
      <c r="Z78" s="12">
        <v>0.05</v>
      </c>
      <c r="AA78" s="12">
        <v>0</v>
      </c>
      <c r="AB78" s="12">
        <v>8.3333333333333329E-2</v>
      </c>
      <c r="AC78" s="13">
        <v>0.5</v>
      </c>
      <c r="AD78" s="14">
        <f t="shared" si="4"/>
        <v>0.6333333333333333</v>
      </c>
      <c r="AE78" s="15">
        <f t="shared" si="5"/>
        <v>0.78947368421052633</v>
      </c>
      <c r="AF78" s="16">
        <v>42.000000000000007</v>
      </c>
      <c r="AG78" s="16" t="s">
        <v>66</v>
      </c>
      <c r="AH78" s="17" t="s">
        <v>66</v>
      </c>
      <c r="AI78" s="18">
        <v>4</v>
      </c>
      <c r="AJ78" s="19">
        <v>1</v>
      </c>
      <c r="AK78" s="20" t="s">
        <v>66</v>
      </c>
      <c r="AL78" s="17" t="s">
        <v>261</v>
      </c>
      <c r="AM78" s="5" t="s">
        <v>66</v>
      </c>
      <c r="AN78" s="5" t="s">
        <v>66</v>
      </c>
      <c r="AO78" s="5" t="s">
        <v>66</v>
      </c>
      <c r="AP78" s="5" t="s">
        <v>66</v>
      </c>
      <c r="AQ78" s="5" t="s">
        <v>66</v>
      </c>
      <c r="AR78" s="5" t="s">
        <v>66</v>
      </c>
      <c r="AS78" s="5" t="s">
        <v>66</v>
      </c>
      <c r="AT78" s="5" t="s">
        <v>66</v>
      </c>
      <c r="AU78" s="5" t="s">
        <v>66</v>
      </c>
      <c r="AV78" s="5" t="s">
        <v>66</v>
      </c>
      <c r="AW78" s="5" t="s">
        <v>66</v>
      </c>
      <c r="AX78" s="5" t="s">
        <v>901</v>
      </c>
      <c r="AY78" s="5" t="s">
        <v>1382</v>
      </c>
      <c r="AZ78" s="5" t="s">
        <v>145</v>
      </c>
      <c r="BA78" s="19">
        <v>100</v>
      </c>
      <c r="BB78" s="17" t="s">
        <v>1363</v>
      </c>
      <c r="BC78" s="5" t="s">
        <v>901</v>
      </c>
      <c r="BD78" s="5" t="s">
        <v>1383</v>
      </c>
    </row>
    <row r="79" spans="1:56" ht="36" hidden="1" x14ac:dyDescent="0.25">
      <c r="A79" s="78" t="s">
        <v>1352</v>
      </c>
      <c r="B79" s="5" t="s">
        <v>1353</v>
      </c>
      <c r="C79" s="5" t="s">
        <v>3293</v>
      </c>
      <c r="D79" s="5" t="s">
        <v>56</v>
      </c>
      <c r="E79" s="99" t="str">
        <f>VLOOKUP(D79,'Dropdown List'!$F$26:$G$40,2,0)</f>
        <v>India</v>
      </c>
      <c r="F79" s="8" t="s">
        <v>1354</v>
      </c>
      <c r="G79" s="96">
        <v>6</v>
      </c>
      <c r="H79" s="5" t="s">
        <v>57</v>
      </c>
      <c r="I79" s="8" t="s">
        <v>58</v>
      </c>
      <c r="J79" s="8" t="s">
        <v>146</v>
      </c>
      <c r="K79" s="8" t="s">
        <v>1367</v>
      </c>
      <c r="L79" s="8" t="s">
        <v>1384</v>
      </c>
      <c r="M79" s="8" t="s">
        <v>1385</v>
      </c>
      <c r="N79" s="5" t="s">
        <v>1034</v>
      </c>
      <c r="O79" s="5" t="s">
        <v>61</v>
      </c>
      <c r="P79" s="5" t="s">
        <v>1358</v>
      </c>
      <c r="Q79" s="9" t="s">
        <v>418</v>
      </c>
      <c r="R79" s="5" t="s">
        <v>76</v>
      </c>
      <c r="S79" s="5" t="s">
        <v>334</v>
      </c>
      <c r="T79" s="96">
        <v>1</v>
      </c>
      <c r="U79" s="96">
        <v>2</v>
      </c>
      <c r="V79" s="96">
        <v>3</v>
      </c>
      <c r="W79" s="5" t="s">
        <v>78</v>
      </c>
      <c r="X79" s="10" t="s">
        <v>79</v>
      </c>
      <c r="Y79" s="11">
        <v>1.9127252401860217</v>
      </c>
      <c r="Z79" s="12">
        <v>6.51</v>
      </c>
      <c r="AA79" s="12">
        <v>0.6</v>
      </c>
      <c r="AB79" s="12">
        <v>8.3333333333333329E-2</v>
      </c>
      <c r="AC79" s="13">
        <v>7</v>
      </c>
      <c r="AD79" s="14">
        <f t="shared" si="4"/>
        <v>14.193333333333332</v>
      </c>
      <c r="AE79" s="15">
        <f t="shared" si="5"/>
        <v>0.49318929074682955</v>
      </c>
      <c r="AF79" s="16">
        <v>8235.9999999999982</v>
      </c>
      <c r="AG79" s="16" t="s">
        <v>66</v>
      </c>
      <c r="AH79" s="17" t="s">
        <v>66</v>
      </c>
      <c r="AI79" s="18">
        <v>10.426131894901689</v>
      </c>
      <c r="AJ79" s="19">
        <v>1</v>
      </c>
      <c r="AK79" s="20">
        <v>0.97</v>
      </c>
      <c r="AL79" s="17" t="s">
        <v>261</v>
      </c>
      <c r="AM79" s="5" t="s">
        <v>66</v>
      </c>
      <c r="AN79" s="5" t="s">
        <v>66</v>
      </c>
      <c r="AO79" s="5" t="s">
        <v>66</v>
      </c>
      <c r="AP79" s="5" t="s">
        <v>66</v>
      </c>
      <c r="AQ79" s="5" t="s">
        <v>1386</v>
      </c>
      <c r="AR79" s="5" t="s">
        <v>1387</v>
      </c>
      <c r="AS79" s="5" t="s">
        <v>1388</v>
      </c>
      <c r="AT79" s="5" t="s">
        <v>66</v>
      </c>
      <c r="AU79" s="5" t="s">
        <v>66</v>
      </c>
      <c r="AV79" s="5" t="s">
        <v>66</v>
      </c>
      <c r="AW79" s="5" t="s">
        <v>66</v>
      </c>
      <c r="AX79" s="5" t="s">
        <v>901</v>
      </c>
      <c r="AY79" s="5" t="s">
        <v>1359</v>
      </c>
      <c r="AZ79" s="5" t="s">
        <v>145</v>
      </c>
      <c r="BA79" s="19">
        <v>100</v>
      </c>
      <c r="BB79" s="17" t="s">
        <v>1359</v>
      </c>
      <c r="BC79" s="5" t="s">
        <v>901</v>
      </c>
      <c r="BD79" s="5" t="s">
        <v>1359</v>
      </c>
    </row>
    <row r="80" spans="1:56" ht="48" hidden="1" x14ac:dyDescent="0.25">
      <c r="A80" s="78" t="s">
        <v>1352</v>
      </c>
      <c r="B80" s="5" t="s">
        <v>1353</v>
      </c>
      <c r="C80" s="5" t="s">
        <v>3293</v>
      </c>
      <c r="D80" s="5" t="s">
        <v>252</v>
      </c>
      <c r="E80" s="99" t="str">
        <f>VLOOKUP(D80,'Dropdown List'!$F$26:$G$40,2,0)</f>
        <v>India</v>
      </c>
      <c r="F80" s="8" t="s">
        <v>1354</v>
      </c>
      <c r="G80" s="96">
        <v>6</v>
      </c>
      <c r="H80" s="5" t="s">
        <v>57</v>
      </c>
      <c r="I80" s="8" t="s">
        <v>58</v>
      </c>
      <c r="J80" s="8" t="s">
        <v>146</v>
      </c>
      <c r="K80" s="8" t="s">
        <v>147</v>
      </c>
      <c r="L80" s="8" t="s">
        <v>1389</v>
      </c>
      <c r="M80" s="8" t="s">
        <v>1390</v>
      </c>
      <c r="N80" s="5" t="s">
        <v>1034</v>
      </c>
      <c r="O80" s="5" t="s">
        <v>61</v>
      </c>
      <c r="P80" s="5" t="s">
        <v>1391</v>
      </c>
      <c r="Q80" s="9" t="s">
        <v>615</v>
      </c>
      <c r="R80" s="5" t="s">
        <v>76</v>
      </c>
      <c r="S80" s="5" t="s">
        <v>64</v>
      </c>
      <c r="T80" s="96">
        <v>1</v>
      </c>
      <c r="U80" s="96">
        <v>4</v>
      </c>
      <c r="V80" s="96">
        <v>4</v>
      </c>
      <c r="W80" s="5" t="s">
        <v>78</v>
      </c>
      <c r="X80" s="10" t="s">
        <v>79</v>
      </c>
      <c r="Y80" s="11">
        <v>6.8456070171474668</v>
      </c>
      <c r="Z80" s="12">
        <v>1</v>
      </c>
      <c r="AA80" s="12">
        <v>2.9815146094215862E-2</v>
      </c>
      <c r="AB80" s="12">
        <v>2.9815146094215862E-2</v>
      </c>
      <c r="AC80" s="13">
        <v>1.2224209898628504</v>
      </c>
      <c r="AD80" s="14">
        <f t="shared" si="4"/>
        <v>2.2820512820512819</v>
      </c>
      <c r="AE80" s="15">
        <f t="shared" si="5"/>
        <v>0.53566762477136143</v>
      </c>
      <c r="AF80" s="16">
        <v>45</v>
      </c>
      <c r="AG80" s="16" t="s">
        <v>66</v>
      </c>
      <c r="AH80" s="17" t="s">
        <v>66</v>
      </c>
      <c r="AI80" s="18">
        <v>35.03</v>
      </c>
      <c r="AJ80" s="19">
        <v>0.95</v>
      </c>
      <c r="AK80" s="20">
        <v>0.97</v>
      </c>
      <c r="AL80" s="17" t="s">
        <v>261</v>
      </c>
      <c r="AM80" s="5" t="s">
        <v>66</v>
      </c>
      <c r="AN80" s="5" t="s">
        <v>66</v>
      </c>
      <c r="AO80" s="5" t="s">
        <v>66</v>
      </c>
      <c r="AP80" s="5" t="s">
        <v>66</v>
      </c>
      <c r="AQ80" s="5" t="s">
        <v>66</v>
      </c>
      <c r="AR80" s="5" t="s">
        <v>66</v>
      </c>
      <c r="AS80" s="5" t="s">
        <v>66</v>
      </c>
      <c r="AT80" s="5" t="s">
        <v>66</v>
      </c>
      <c r="AU80" s="5" t="s">
        <v>66</v>
      </c>
      <c r="AV80" s="5" t="s">
        <v>66</v>
      </c>
      <c r="AW80" s="5" t="s">
        <v>66</v>
      </c>
      <c r="AX80" s="5" t="s">
        <v>1392</v>
      </c>
      <c r="AY80" s="5" t="s">
        <v>110</v>
      </c>
      <c r="AZ80" s="5" t="s">
        <v>145</v>
      </c>
      <c r="BA80" s="19">
        <v>100</v>
      </c>
      <c r="BB80" s="17" t="s">
        <v>1393</v>
      </c>
      <c r="BC80" s="5" t="s">
        <v>1392</v>
      </c>
      <c r="BD80" s="5" t="s">
        <v>1394</v>
      </c>
    </row>
    <row r="81" spans="1:56" ht="36" hidden="1" x14ac:dyDescent="0.25">
      <c r="A81" s="78" t="s">
        <v>1352</v>
      </c>
      <c r="B81" s="5" t="s">
        <v>1353</v>
      </c>
      <c r="C81" s="5" t="s">
        <v>3293</v>
      </c>
      <c r="D81" s="5" t="s">
        <v>252</v>
      </c>
      <c r="E81" s="99" t="str">
        <f>VLOOKUP(D81,'Dropdown List'!$F$26:$G$40,2,0)</f>
        <v>India</v>
      </c>
      <c r="F81" s="8" t="s">
        <v>1354</v>
      </c>
      <c r="G81" s="96">
        <v>6</v>
      </c>
      <c r="H81" s="5" t="s">
        <v>57</v>
      </c>
      <c r="I81" s="8" t="s">
        <v>58</v>
      </c>
      <c r="J81" s="8" t="s">
        <v>146</v>
      </c>
      <c r="K81" s="8" t="s">
        <v>190</v>
      </c>
      <c r="L81" s="8" t="s">
        <v>1395</v>
      </c>
      <c r="M81" s="8" t="s">
        <v>1396</v>
      </c>
      <c r="N81" s="5" t="s">
        <v>1034</v>
      </c>
      <c r="O81" s="5" t="s">
        <v>61</v>
      </c>
      <c r="P81" s="5" t="s">
        <v>1397</v>
      </c>
      <c r="Q81" s="9" t="s">
        <v>615</v>
      </c>
      <c r="R81" s="5" t="s">
        <v>76</v>
      </c>
      <c r="S81" s="5" t="s">
        <v>90</v>
      </c>
      <c r="T81" s="96">
        <v>1</v>
      </c>
      <c r="U81" s="96">
        <v>2</v>
      </c>
      <c r="V81" s="96">
        <v>2</v>
      </c>
      <c r="W81" s="5" t="s">
        <v>78</v>
      </c>
      <c r="X81" s="10" t="s">
        <v>79</v>
      </c>
      <c r="Y81" s="11">
        <v>1.4447540771029352</v>
      </c>
      <c r="Z81" s="12">
        <v>1</v>
      </c>
      <c r="AA81" s="12">
        <v>2.9815146094215862E-2</v>
      </c>
      <c r="AB81" s="12">
        <v>2.9815146094215862E-2</v>
      </c>
      <c r="AC81" s="13">
        <v>1.2224209898628504</v>
      </c>
      <c r="AD81" s="14">
        <f t="shared" si="4"/>
        <v>2.2820512820512819</v>
      </c>
      <c r="AE81" s="15">
        <f t="shared" si="5"/>
        <v>0.53566762477136143</v>
      </c>
      <c r="AF81" s="16">
        <v>5300</v>
      </c>
      <c r="AG81" s="16" t="s">
        <v>66</v>
      </c>
      <c r="AH81" s="17" t="s">
        <v>66</v>
      </c>
      <c r="AI81" s="18">
        <v>4</v>
      </c>
      <c r="AJ81" s="19">
        <v>1</v>
      </c>
      <c r="AK81" s="20">
        <v>0.97</v>
      </c>
      <c r="AL81" s="17" t="s">
        <v>261</v>
      </c>
      <c r="AM81" s="5" t="s">
        <v>66</v>
      </c>
      <c r="AN81" s="5" t="s">
        <v>66</v>
      </c>
      <c r="AO81" s="5" t="s">
        <v>66</v>
      </c>
      <c r="AP81" s="5" t="s">
        <v>66</v>
      </c>
      <c r="AQ81" s="5" t="s">
        <v>66</v>
      </c>
      <c r="AR81" s="5" t="s">
        <v>66</v>
      </c>
      <c r="AS81" s="5" t="s">
        <v>66</v>
      </c>
      <c r="AT81" s="5" t="s">
        <v>66</v>
      </c>
      <c r="AU81" s="5" t="s">
        <v>66</v>
      </c>
      <c r="AV81" s="5" t="s">
        <v>66</v>
      </c>
      <c r="AW81" s="5" t="s">
        <v>66</v>
      </c>
      <c r="AX81" s="5" t="s">
        <v>1392</v>
      </c>
      <c r="AY81" s="5" t="s">
        <v>110</v>
      </c>
      <c r="AZ81" s="5" t="s">
        <v>145</v>
      </c>
      <c r="BA81" s="19">
        <v>100</v>
      </c>
      <c r="BB81" s="17" t="s">
        <v>94</v>
      </c>
      <c r="BC81" s="5" t="s">
        <v>1392</v>
      </c>
      <c r="BD81" s="5" t="s">
        <v>1394</v>
      </c>
    </row>
    <row r="82" spans="1:56" ht="60" hidden="1" x14ac:dyDescent="0.25">
      <c r="A82" s="78" t="s">
        <v>1352</v>
      </c>
      <c r="B82" s="5" t="s">
        <v>1353</v>
      </c>
      <c r="C82" s="5" t="s">
        <v>3293</v>
      </c>
      <c r="D82" s="5" t="s">
        <v>252</v>
      </c>
      <c r="E82" s="99" t="str">
        <f>VLOOKUP(D82,'Dropdown List'!$F$26:$G$40,2,0)</f>
        <v>India</v>
      </c>
      <c r="F82" s="8" t="s">
        <v>1354</v>
      </c>
      <c r="G82" s="96">
        <v>6</v>
      </c>
      <c r="H82" s="5" t="s">
        <v>57</v>
      </c>
      <c r="I82" s="8" t="s">
        <v>58</v>
      </c>
      <c r="J82" s="8" t="s">
        <v>146</v>
      </c>
      <c r="K82" s="8" t="s">
        <v>147</v>
      </c>
      <c r="L82" s="8" t="s">
        <v>1398</v>
      </c>
      <c r="M82" s="8" t="s">
        <v>1399</v>
      </c>
      <c r="N82" s="5" t="s">
        <v>1034</v>
      </c>
      <c r="O82" s="5" t="s">
        <v>61</v>
      </c>
      <c r="P82" s="5" t="s">
        <v>1400</v>
      </c>
      <c r="Q82" s="9" t="s">
        <v>615</v>
      </c>
      <c r="R82" s="5" t="s">
        <v>76</v>
      </c>
      <c r="S82" s="5" t="s">
        <v>64</v>
      </c>
      <c r="T82" s="96">
        <v>1</v>
      </c>
      <c r="U82" s="96">
        <v>4</v>
      </c>
      <c r="V82" s="96">
        <v>4</v>
      </c>
      <c r="W82" s="5" t="s">
        <v>78</v>
      </c>
      <c r="X82" s="10" t="s">
        <v>79</v>
      </c>
      <c r="Y82" s="11">
        <v>13.748152377553749</v>
      </c>
      <c r="Z82" s="12">
        <v>0</v>
      </c>
      <c r="AA82" s="12">
        <v>2.9815146094215862E-2</v>
      </c>
      <c r="AB82" s="12">
        <v>2.9815146094215862E-2</v>
      </c>
      <c r="AC82" s="13">
        <v>1.2224209898628504</v>
      </c>
      <c r="AD82" s="14">
        <f t="shared" si="4"/>
        <v>1.2820512820512822</v>
      </c>
      <c r="AE82" s="15">
        <f t="shared" si="5"/>
        <v>0.95348837209302328</v>
      </c>
      <c r="AF82" s="16">
        <v>7700</v>
      </c>
      <c r="AG82" s="16" t="s">
        <v>66</v>
      </c>
      <c r="AH82" s="17" t="s">
        <v>66</v>
      </c>
      <c r="AI82" s="18">
        <v>44.33</v>
      </c>
      <c r="AJ82" s="19">
        <v>0.95</v>
      </c>
      <c r="AK82" s="20">
        <v>0.97</v>
      </c>
      <c r="AL82" s="17" t="s">
        <v>261</v>
      </c>
      <c r="AM82" s="5" t="s">
        <v>66</v>
      </c>
      <c r="AN82" s="5" t="s">
        <v>66</v>
      </c>
      <c r="AO82" s="5" t="s">
        <v>66</v>
      </c>
      <c r="AP82" s="5" t="s">
        <v>66</v>
      </c>
      <c r="AQ82" s="5" t="s">
        <v>66</v>
      </c>
      <c r="AR82" s="5" t="s">
        <v>66</v>
      </c>
      <c r="AS82" s="5" t="s">
        <v>66</v>
      </c>
      <c r="AT82" s="5" t="s">
        <v>66</v>
      </c>
      <c r="AU82" s="5" t="s">
        <v>66</v>
      </c>
      <c r="AV82" s="5" t="s">
        <v>66</v>
      </c>
      <c r="AW82" s="5" t="s">
        <v>66</v>
      </c>
      <c r="AX82" s="5" t="s">
        <v>1392</v>
      </c>
      <c r="AY82" s="5" t="s">
        <v>110</v>
      </c>
      <c r="AZ82" s="5" t="s">
        <v>145</v>
      </c>
      <c r="BA82" s="19">
        <v>100</v>
      </c>
      <c r="BB82" s="17" t="s">
        <v>1393</v>
      </c>
      <c r="BC82" s="5" t="s">
        <v>1392</v>
      </c>
      <c r="BD82" s="5" t="s">
        <v>1394</v>
      </c>
    </row>
    <row r="83" spans="1:56" ht="60" hidden="1" x14ac:dyDescent="0.25">
      <c r="A83" s="78" t="s">
        <v>1352</v>
      </c>
      <c r="B83" s="5" t="s">
        <v>1353</v>
      </c>
      <c r="C83" s="5" t="s">
        <v>3293</v>
      </c>
      <c r="D83" s="5" t="s">
        <v>252</v>
      </c>
      <c r="E83" s="99" t="str">
        <f>VLOOKUP(D83,'Dropdown List'!$F$26:$G$40,2,0)</f>
        <v>India</v>
      </c>
      <c r="F83" s="8" t="s">
        <v>1354</v>
      </c>
      <c r="G83" s="96">
        <v>6</v>
      </c>
      <c r="H83" s="5" t="s">
        <v>57</v>
      </c>
      <c r="I83" s="8" t="s">
        <v>58</v>
      </c>
      <c r="J83" s="8" t="s">
        <v>146</v>
      </c>
      <c r="K83" s="8" t="s">
        <v>190</v>
      </c>
      <c r="L83" s="8" t="s">
        <v>1401</v>
      </c>
      <c r="M83" s="8" t="s">
        <v>1402</v>
      </c>
      <c r="N83" s="5" t="s">
        <v>1034</v>
      </c>
      <c r="O83" s="5" t="s">
        <v>61</v>
      </c>
      <c r="P83" s="5" t="s">
        <v>1400</v>
      </c>
      <c r="Q83" s="9" t="s">
        <v>615</v>
      </c>
      <c r="R83" s="5" t="s">
        <v>76</v>
      </c>
      <c r="S83" s="5" t="s">
        <v>90</v>
      </c>
      <c r="T83" s="96">
        <v>1</v>
      </c>
      <c r="U83" s="96">
        <v>1</v>
      </c>
      <c r="V83" s="96">
        <v>2</v>
      </c>
      <c r="W83" s="5" t="s">
        <v>78</v>
      </c>
      <c r="X83" s="10" t="s">
        <v>79</v>
      </c>
      <c r="Y83" s="11">
        <v>4.2259056755260804</v>
      </c>
      <c r="Z83" s="12">
        <v>0.5</v>
      </c>
      <c r="AA83" s="12">
        <v>2.9815146094215862E-2</v>
      </c>
      <c r="AB83" s="12">
        <v>2.9815146094215862E-2</v>
      </c>
      <c r="AC83" s="13">
        <v>1.2224209898628504</v>
      </c>
      <c r="AD83" s="14">
        <f t="shared" si="4"/>
        <v>1.7820512820512822</v>
      </c>
      <c r="AE83" s="15">
        <f t="shared" si="5"/>
        <v>0.68596285762088005</v>
      </c>
      <c r="AF83" s="16">
        <v>970</v>
      </c>
      <c r="AG83" s="16" t="s">
        <v>66</v>
      </c>
      <c r="AH83" s="17" t="s">
        <v>66</v>
      </c>
      <c r="AI83" s="18">
        <v>11.7</v>
      </c>
      <c r="AJ83" s="19">
        <v>1</v>
      </c>
      <c r="AK83" s="20">
        <v>0.97</v>
      </c>
      <c r="AL83" s="17" t="s">
        <v>261</v>
      </c>
      <c r="AM83" s="5" t="s">
        <v>66</v>
      </c>
      <c r="AN83" s="5" t="s">
        <v>66</v>
      </c>
      <c r="AO83" s="5" t="s">
        <v>66</v>
      </c>
      <c r="AP83" s="5" t="s">
        <v>66</v>
      </c>
      <c r="AQ83" s="5" t="s">
        <v>66</v>
      </c>
      <c r="AR83" s="5" t="s">
        <v>66</v>
      </c>
      <c r="AS83" s="5" t="s">
        <v>66</v>
      </c>
      <c r="AT83" s="5" t="s">
        <v>66</v>
      </c>
      <c r="AU83" s="5" t="s">
        <v>66</v>
      </c>
      <c r="AV83" s="5" t="s">
        <v>66</v>
      </c>
      <c r="AW83" s="5" t="s">
        <v>66</v>
      </c>
      <c r="AX83" s="5" t="s">
        <v>901</v>
      </c>
      <c r="AY83" s="5" t="s">
        <v>110</v>
      </c>
      <c r="AZ83" s="5" t="s">
        <v>145</v>
      </c>
      <c r="BA83" s="19">
        <v>100</v>
      </c>
      <c r="BB83" s="17" t="s">
        <v>94</v>
      </c>
      <c r="BC83" s="5" t="s">
        <v>901</v>
      </c>
      <c r="BD83" s="5" t="s">
        <v>1403</v>
      </c>
    </row>
    <row r="84" spans="1:56" ht="24" hidden="1" x14ac:dyDescent="0.25">
      <c r="A84" s="78" t="s">
        <v>1352</v>
      </c>
      <c r="B84" s="5" t="s">
        <v>1353</v>
      </c>
      <c r="C84" s="5" t="s">
        <v>3293</v>
      </c>
      <c r="D84" s="5" t="s">
        <v>252</v>
      </c>
      <c r="E84" s="99" t="str">
        <f>VLOOKUP(D84,'Dropdown List'!$F$26:$G$40,2,0)</f>
        <v>India</v>
      </c>
      <c r="F84" s="8" t="s">
        <v>1354</v>
      </c>
      <c r="G84" s="96">
        <v>6</v>
      </c>
      <c r="H84" s="5" t="s">
        <v>57</v>
      </c>
      <c r="I84" s="8" t="s">
        <v>58</v>
      </c>
      <c r="J84" s="8" t="s">
        <v>881</v>
      </c>
      <c r="K84" s="8" t="s">
        <v>1187</v>
      </c>
      <c r="L84" s="8" t="s">
        <v>1404</v>
      </c>
      <c r="M84" s="8" t="s">
        <v>1405</v>
      </c>
      <c r="N84" s="5" t="s">
        <v>1034</v>
      </c>
      <c r="O84" s="5" t="s">
        <v>61</v>
      </c>
      <c r="P84" s="5" t="s">
        <v>1069</v>
      </c>
      <c r="Q84" s="9" t="s">
        <v>615</v>
      </c>
      <c r="R84" s="5" t="s">
        <v>76</v>
      </c>
      <c r="S84" s="5" t="s">
        <v>64</v>
      </c>
      <c r="T84" s="96">
        <v>1</v>
      </c>
      <c r="U84" s="96">
        <v>4</v>
      </c>
      <c r="V84" s="96">
        <v>4</v>
      </c>
      <c r="W84" s="5" t="s">
        <v>78</v>
      </c>
      <c r="X84" s="10" t="s">
        <v>79</v>
      </c>
      <c r="Y84" s="11">
        <v>3.1836896212121211</v>
      </c>
      <c r="Z84" s="12">
        <v>2</v>
      </c>
      <c r="AA84" s="12">
        <v>2.9815146094215862E-2</v>
      </c>
      <c r="AB84" s="12">
        <v>2.9815146094215862E-2</v>
      </c>
      <c r="AC84" s="13">
        <v>1.2224209898628504</v>
      </c>
      <c r="AD84" s="14">
        <f t="shared" si="4"/>
        <v>3.2820512820512824</v>
      </c>
      <c r="AE84" s="15">
        <f t="shared" si="5"/>
        <v>0.37245639534883718</v>
      </c>
      <c r="AF84" s="16">
        <v>1100</v>
      </c>
      <c r="AG84" s="16" t="s">
        <v>66</v>
      </c>
      <c r="AH84" s="17" t="s">
        <v>66</v>
      </c>
      <c r="AI84" s="18">
        <v>15.22</v>
      </c>
      <c r="AJ84" s="19">
        <v>1</v>
      </c>
      <c r="AK84" s="20">
        <v>0.97</v>
      </c>
      <c r="AL84" s="17" t="s">
        <v>261</v>
      </c>
      <c r="AM84" s="5" t="s">
        <v>66</v>
      </c>
      <c r="AN84" s="5" t="s">
        <v>66</v>
      </c>
      <c r="AO84" s="5" t="s">
        <v>66</v>
      </c>
      <c r="AP84" s="5" t="s">
        <v>66</v>
      </c>
      <c r="AQ84" s="5" t="s">
        <v>66</v>
      </c>
      <c r="AR84" s="5" t="s">
        <v>66</v>
      </c>
      <c r="AS84" s="5" t="s">
        <v>66</v>
      </c>
      <c r="AT84" s="5" t="s">
        <v>66</v>
      </c>
      <c r="AU84" s="5" t="s">
        <v>66</v>
      </c>
      <c r="AV84" s="5" t="s">
        <v>66</v>
      </c>
      <c r="AW84" s="5" t="s">
        <v>66</v>
      </c>
      <c r="AX84" s="5" t="s">
        <v>901</v>
      </c>
      <c r="AY84" s="5" t="s">
        <v>1406</v>
      </c>
      <c r="AZ84" s="5" t="s">
        <v>80</v>
      </c>
      <c r="BA84" s="19">
        <v>100</v>
      </c>
      <c r="BB84" s="17" t="s">
        <v>94</v>
      </c>
      <c r="BC84" s="5" t="s">
        <v>901</v>
      </c>
      <c r="BD84" s="5" t="s">
        <v>1394</v>
      </c>
    </row>
    <row r="85" spans="1:56" ht="36" hidden="1" x14ac:dyDescent="0.25">
      <c r="A85" s="78" t="s">
        <v>1352</v>
      </c>
      <c r="B85" s="5" t="s">
        <v>1353</v>
      </c>
      <c r="C85" s="5" t="s">
        <v>3293</v>
      </c>
      <c r="D85" s="5" t="s">
        <v>56</v>
      </c>
      <c r="E85" s="99" t="str">
        <f>VLOOKUP(D85,'Dropdown List'!$F$26:$G$40,2,0)</f>
        <v>India</v>
      </c>
      <c r="F85" s="8" t="s">
        <v>1354</v>
      </c>
      <c r="G85" s="96">
        <v>6</v>
      </c>
      <c r="H85" s="5" t="s">
        <v>57</v>
      </c>
      <c r="I85" s="8" t="s">
        <v>58</v>
      </c>
      <c r="J85" s="8" t="s">
        <v>396</v>
      </c>
      <c r="K85" s="8" t="s">
        <v>397</v>
      </c>
      <c r="L85" s="8" t="s">
        <v>1407</v>
      </c>
      <c r="M85" s="8" t="s">
        <v>1408</v>
      </c>
      <c r="N85" s="5" t="s">
        <v>1034</v>
      </c>
      <c r="O85" s="5" t="s">
        <v>61</v>
      </c>
      <c r="P85" s="5" t="s">
        <v>1358</v>
      </c>
      <c r="Q85" s="9" t="s">
        <v>418</v>
      </c>
      <c r="R85" s="5" t="s">
        <v>76</v>
      </c>
      <c r="S85" s="5" t="s">
        <v>90</v>
      </c>
      <c r="T85" s="96">
        <v>1</v>
      </c>
      <c r="U85" s="96">
        <v>3</v>
      </c>
      <c r="V85" s="96">
        <v>3</v>
      </c>
      <c r="W85" s="5" t="s">
        <v>78</v>
      </c>
      <c r="X85" s="10" t="s">
        <v>79</v>
      </c>
      <c r="Y85" s="11">
        <v>0.83822905982905949</v>
      </c>
      <c r="Z85" s="12">
        <v>1</v>
      </c>
      <c r="AA85" s="12">
        <v>2.9815146094215862E-2</v>
      </c>
      <c r="AB85" s="12">
        <v>2.9815146094215862E-2</v>
      </c>
      <c r="AC85" s="13">
        <v>1.2224209898628504</v>
      </c>
      <c r="AD85" s="14">
        <f t="shared" si="4"/>
        <v>2.2820512820512819</v>
      </c>
      <c r="AE85" s="15">
        <f t="shared" si="5"/>
        <v>0.53566762477136143</v>
      </c>
      <c r="AF85" s="16">
        <v>800</v>
      </c>
      <c r="AG85" s="16" t="s">
        <v>66</v>
      </c>
      <c r="AH85" s="17" t="s">
        <v>66</v>
      </c>
      <c r="AI85" s="18">
        <v>5.55</v>
      </c>
      <c r="AJ85" s="19">
        <v>0.98</v>
      </c>
      <c r="AK85" s="20">
        <v>0.98</v>
      </c>
      <c r="AL85" s="17" t="s">
        <v>92</v>
      </c>
      <c r="AM85" s="5" t="s">
        <v>66</v>
      </c>
      <c r="AN85" s="5" t="s">
        <v>66</v>
      </c>
      <c r="AO85" s="5" t="s">
        <v>66</v>
      </c>
      <c r="AP85" s="5" t="s">
        <v>66</v>
      </c>
      <c r="AQ85" s="5" t="s">
        <v>66</v>
      </c>
      <c r="AR85" s="5" t="s">
        <v>66</v>
      </c>
      <c r="AS85" s="5" t="s">
        <v>66</v>
      </c>
      <c r="AT85" s="5" t="s">
        <v>66</v>
      </c>
      <c r="AU85" s="5" t="s">
        <v>66</v>
      </c>
      <c r="AV85" s="5" t="s">
        <v>66</v>
      </c>
      <c r="AW85" s="5" t="s">
        <v>66</v>
      </c>
      <c r="AX85" s="5"/>
      <c r="AY85" s="5" t="s">
        <v>94</v>
      </c>
      <c r="AZ85" s="5" t="s">
        <v>80</v>
      </c>
      <c r="BA85" s="19">
        <v>100</v>
      </c>
      <c r="BB85" s="17" t="s">
        <v>69</v>
      </c>
      <c r="BC85" s="5"/>
      <c r="BD85" s="5" t="s">
        <v>1409</v>
      </c>
    </row>
    <row r="86" spans="1:56" ht="36" hidden="1" x14ac:dyDescent="0.25">
      <c r="A86" s="78" t="s">
        <v>1352</v>
      </c>
      <c r="B86" s="5" t="s">
        <v>1353</v>
      </c>
      <c r="C86" s="5" t="s">
        <v>3293</v>
      </c>
      <c r="D86" s="5" t="s">
        <v>56</v>
      </c>
      <c r="E86" s="99" t="str">
        <f>VLOOKUP(D86,'Dropdown List'!$F$26:$G$40,2,0)</f>
        <v>India</v>
      </c>
      <c r="F86" s="8" t="s">
        <v>1354</v>
      </c>
      <c r="G86" s="96">
        <v>6</v>
      </c>
      <c r="H86" s="5" t="s">
        <v>57</v>
      </c>
      <c r="I86" s="8" t="s">
        <v>58</v>
      </c>
      <c r="J86" s="8" t="s">
        <v>396</v>
      </c>
      <c r="K86" s="8" t="s">
        <v>397</v>
      </c>
      <c r="L86" s="8" t="s">
        <v>1410</v>
      </c>
      <c r="M86" s="8" t="s">
        <v>1411</v>
      </c>
      <c r="N86" s="5" t="s">
        <v>1034</v>
      </c>
      <c r="O86" s="5" t="s">
        <v>61</v>
      </c>
      <c r="P86" s="5" t="s">
        <v>1358</v>
      </c>
      <c r="Q86" s="9" t="s">
        <v>418</v>
      </c>
      <c r="R86" s="5" t="s">
        <v>76</v>
      </c>
      <c r="S86" s="5" t="s">
        <v>334</v>
      </c>
      <c r="T86" s="96">
        <v>1</v>
      </c>
      <c r="U86" s="96">
        <v>4</v>
      </c>
      <c r="V86" s="96">
        <v>4</v>
      </c>
      <c r="W86" s="5" t="s">
        <v>78</v>
      </c>
      <c r="X86" s="10" t="s">
        <v>79</v>
      </c>
      <c r="Y86" s="11">
        <v>1.0332730108114101</v>
      </c>
      <c r="Z86" s="12">
        <v>7</v>
      </c>
      <c r="AA86" s="12">
        <v>2.9815146094215862E-2</v>
      </c>
      <c r="AB86" s="12">
        <v>2.9815146094215862E-2</v>
      </c>
      <c r="AC86" s="13">
        <v>1.2224209898628504</v>
      </c>
      <c r="AD86" s="14">
        <f t="shared" si="4"/>
        <v>8.2820512820512828</v>
      </c>
      <c r="AE86" s="15">
        <f t="shared" si="5"/>
        <v>0.14759881920944631</v>
      </c>
      <c r="AF86" s="16">
        <v>9000</v>
      </c>
      <c r="AG86" s="16" t="s">
        <v>66</v>
      </c>
      <c r="AH86" s="17" t="s">
        <v>66</v>
      </c>
      <c r="AI86" s="18">
        <v>5.0207629291128004</v>
      </c>
      <c r="AJ86" s="19">
        <v>0.98</v>
      </c>
      <c r="AK86" s="20">
        <v>0.98</v>
      </c>
      <c r="AL86" s="17" t="s">
        <v>92</v>
      </c>
      <c r="AM86" s="5" t="s">
        <v>66</v>
      </c>
      <c r="AN86" s="5" t="s">
        <v>66</v>
      </c>
      <c r="AO86" s="5" t="s">
        <v>66</v>
      </c>
      <c r="AP86" s="5" t="s">
        <v>66</v>
      </c>
      <c r="AQ86" s="5" t="s">
        <v>66</v>
      </c>
      <c r="AR86" s="5" t="s">
        <v>66</v>
      </c>
      <c r="AS86" s="5" t="s">
        <v>66</v>
      </c>
      <c r="AT86" s="5" t="s">
        <v>66</v>
      </c>
      <c r="AU86" s="5" t="s">
        <v>66</v>
      </c>
      <c r="AV86" s="5" t="s">
        <v>66</v>
      </c>
      <c r="AW86" s="5" t="s">
        <v>66</v>
      </c>
      <c r="AX86" s="5"/>
      <c r="AY86" s="5" t="s">
        <v>69</v>
      </c>
      <c r="AZ86" s="5" t="s">
        <v>80</v>
      </c>
      <c r="BA86" s="19">
        <v>100</v>
      </c>
      <c r="BB86" s="17" t="s">
        <v>69</v>
      </c>
      <c r="BC86" s="5"/>
      <c r="BD86" s="5" t="s">
        <v>1412</v>
      </c>
    </row>
    <row r="87" spans="1:56" ht="36" hidden="1" x14ac:dyDescent="0.25">
      <c r="A87" s="78" t="s">
        <v>1352</v>
      </c>
      <c r="B87" s="5" t="s">
        <v>1353</v>
      </c>
      <c r="C87" s="5" t="s">
        <v>3293</v>
      </c>
      <c r="D87" s="5" t="s">
        <v>56</v>
      </c>
      <c r="E87" s="99" t="str">
        <f>VLOOKUP(D87,'Dropdown List'!$F$26:$G$40,2,0)</f>
        <v>India</v>
      </c>
      <c r="F87" s="8" t="s">
        <v>1354</v>
      </c>
      <c r="G87" s="96">
        <v>6</v>
      </c>
      <c r="H87" s="5" t="s">
        <v>57</v>
      </c>
      <c r="I87" s="8" t="s">
        <v>58</v>
      </c>
      <c r="J87" s="8" t="s">
        <v>146</v>
      </c>
      <c r="K87" s="8" t="s">
        <v>147</v>
      </c>
      <c r="L87" s="8" t="s">
        <v>1413</v>
      </c>
      <c r="M87" s="8" t="s">
        <v>1414</v>
      </c>
      <c r="N87" s="5" t="s">
        <v>1034</v>
      </c>
      <c r="O87" s="5" t="s">
        <v>61</v>
      </c>
      <c r="P87" s="5" t="s">
        <v>1358</v>
      </c>
      <c r="Q87" s="9" t="s">
        <v>418</v>
      </c>
      <c r="R87" s="5" t="s">
        <v>76</v>
      </c>
      <c r="S87" s="5" t="s">
        <v>90</v>
      </c>
      <c r="T87" s="96">
        <v>1</v>
      </c>
      <c r="U87" s="96">
        <v>3</v>
      </c>
      <c r="V87" s="96">
        <v>3</v>
      </c>
      <c r="W87" s="5" t="s">
        <v>78</v>
      </c>
      <c r="X87" s="10" t="s">
        <v>79</v>
      </c>
      <c r="Y87" s="11">
        <v>0.35</v>
      </c>
      <c r="Z87" s="12">
        <v>4</v>
      </c>
      <c r="AA87" s="12">
        <v>2.9815146094215862E-2</v>
      </c>
      <c r="AB87" s="12">
        <v>2.9815146094215862E-2</v>
      </c>
      <c r="AC87" s="13">
        <v>1.2224209898628504</v>
      </c>
      <c r="AD87" s="14">
        <f t="shared" si="4"/>
        <v>5.2820512820512828</v>
      </c>
      <c r="AE87" s="15">
        <f t="shared" si="5"/>
        <v>0.23142921652743281</v>
      </c>
      <c r="AF87" s="16">
        <v>900</v>
      </c>
      <c r="AG87" s="16" t="s">
        <v>66</v>
      </c>
      <c r="AH87" s="17" t="s">
        <v>66</v>
      </c>
      <c r="AI87" s="18">
        <v>1.6</v>
      </c>
      <c r="AJ87" s="19">
        <v>0.98</v>
      </c>
      <c r="AK87" s="20">
        <v>0.98</v>
      </c>
      <c r="AL87" s="17" t="s">
        <v>92</v>
      </c>
      <c r="AM87" s="5" t="s">
        <v>66</v>
      </c>
      <c r="AN87" s="5" t="s">
        <v>66</v>
      </c>
      <c r="AO87" s="5" t="s">
        <v>66</v>
      </c>
      <c r="AP87" s="5" t="s">
        <v>66</v>
      </c>
      <c r="AQ87" s="5" t="s">
        <v>66</v>
      </c>
      <c r="AR87" s="5" t="s">
        <v>66</v>
      </c>
      <c r="AS87" s="5" t="s">
        <v>66</v>
      </c>
      <c r="AT87" s="5" t="s">
        <v>66</v>
      </c>
      <c r="AU87" s="5" t="s">
        <v>66</v>
      </c>
      <c r="AV87" s="5" t="s">
        <v>66</v>
      </c>
      <c r="AW87" s="5" t="s">
        <v>66</v>
      </c>
      <c r="AX87" s="5"/>
      <c r="AY87" s="5" t="s">
        <v>1359</v>
      </c>
      <c r="AZ87" s="5" t="s">
        <v>80</v>
      </c>
      <c r="BA87" s="19">
        <v>100</v>
      </c>
      <c r="BB87" s="17" t="s">
        <v>1359</v>
      </c>
      <c r="BC87" s="5"/>
      <c r="BD87" s="5" t="s">
        <v>1415</v>
      </c>
    </row>
    <row r="88" spans="1:56" ht="48" hidden="1" x14ac:dyDescent="0.25">
      <c r="A88" s="78" t="s">
        <v>1352</v>
      </c>
      <c r="B88" s="5" t="s">
        <v>1353</v>
      </c>
      <c r="C88" s="5" t="s">
        <v>3293</v>
      </c>
      <c r="D88" s="5" t="s">
        <v>56</v>
      </c>
      <c r="E88" s="99" t="str">
        <f>VLOOKUP(D88,'Dropdown List'!$F$26:$G$40,2,0)</f>
        <v>India</v>
      </c>
      <c r="F88" s="8" t="s">
        <v>1354</v>
      </c>
      <c r="G88" s="96">
        <v>6</v>
      </c>
      <c r="H88" s="5" t="s">
        <v>57</v>
      </c>
      <c r="I88" s="8" t="s">
        <v>58</v>
      </c>
      <c r="J88" s="8" t="s">
        <v>396</v>
      </c>
      <c r="K88" s="8" t="s">
        <v>397</v>
      </c>
      <c r="L88" s="8" t="s">
        <v>1416</v>
      </c>
      <c r="M88" s="8" t="s">
        <v>1417</v>
      </c>
      <c r="N88" s="5" t="s">
        <v>1034</v>
      </c>
      <c r="O88" s="5" t="s">
        <v>61</v>
      </c>
      <c r="P88" s="5" t="s">
        <v>1358</v>
      </c>
      <c r="Q88" s="9" t="s">
        <v>418</v>
      </c>
      <c r="R88" s="5" t="s">
        <v>76</v>
      </c>
      <c r="S88" s="5" t="s">
        <v>90</v>
      </c>
      <c r="T88" s="96">
        <v>1</v>
      </c>
      <c r="U88" s="96">
        <v>4</v>
      </c>
      <c r="V88" s="96">
        <v>4</v>
      </c>
      <c r="W88" s="5" t="s">
        <v>78</v>
      </c>
      <c r="X88" s="10" t="s">
        <v>79</v>
      </c>
      <c r="Y88" s="11">
        <v>1.4266062991272288</v>
      </c>
      <c r="Z88" s="12">
        <v>2</v>
      </c>
      <c r="AA88" s="12">
        <v>2.9815146094215862E-2</v>
      </c>
      <c r="AB88" s="12">
        <v>2.9815146094215862E-2</v>
      </c>
      <c r="AC88" s="13">
        <v>1.2224209898628504</v>
      </c>
      <c r="AD88" s="14">
        <f t="shared" si="4"/>
        <v>3.2820512820512824</v>
      </c>
      <c r="AE88" s="15">
        <f t="shared" si="5"/>
        <v>0.37245639534883718</v>
      </c>
      <c r="AF88" s="16">
        <v>500</v>
      </c>
      <c r="AG88" s="16" t="s">
        <v>66</v>
      </c>
      <c r="AH88" s="17" t="s">
        <v>66</v>
      </c>
      <c r="AI88" s="18">
        <v>6.07</v>
      </c>
      <c r="AJ88" s="19">
        <v>0.98</v>
      </c>
      <c r="AK88" s="20">
        <v>0.98</v>
      </c>
      <c r="AL88" s="17" t="s">
        <v>92</v>
      </c>
      <c r="AM88" s="5" t="s">
        <v>66</v>
      </c>
      <c r="AN88" s="5" t="s">
        <v>66</v>
      </c>
      <c r="AO88" s="5" t="s">
        <v>66</v>
      </c>
      <c r="AP88" s="5" t="s">
        <v>66</v>
      </c>
      <c r="AQ88" s="5" t="s">
        <v>66</v>
      </c>
      <c r="AR88" s="5" t="s">
        <v>66</v>
      </c>
      <c r="AS88" s="5" t="s">
        <v>66</v>
      </c>
      <c r="AT88" s="5" t="s">
        <v>66</v>
      </c>
      <c r="AU88" s="5" t="s">
        <v>66</v>
      </c>
      <c r="AV88" s="5" t="s">
        <v>66</v>
      </c>
      <c r="AW88" s="5" t="s">
        <v>66</v>
      </c>
      <c r="AX88" s="5"/>
      <c r="AY88" s="5" t="s">
        <v>110</v>
      </c>
      <c r="AZ88" s="5" t="s">
        <v>80</v>
      </c>
      <c r="BA88" s="19">
        <v>100</v>
      </c>
      <c r="BB88" s="17" t="s">
        <v>1418</v>
      </c>
      <c r="BC88" s="5"/>
      <c r="BD88" s="5" t="s">
        <v>1419</v>
      </c>
    </row>
    <row r="89" spans="1:56" ht="36" hidden="1" x14ac:dyDescent="0.25">
      <c r="A89" s="78" t="s">
        <v>1352</v>
      </c>
      <c r="B89" s="5" t="s">
        <v>1353</v>
      </c>
      <c r="C89" s="5" t="s">
        <v>3293</v>
      </c>
      <c r="D89" s="5" t="s">
        <v>56</v>
      </c>
      <c r="E89" s="99" t="str">
        <f>VLOOKUP(D89,'Dropdown List'!$F$26:$G$40,2,0)</f>
        <v>India</v>
      </c>
      <c r="F89" s="8" t="s">
        <v>1354</v>
      </c>
      <c r="G89" s="96">
        <v>6</v>
      </c>
      <c r="H89" s="5" t="s">
        <v>57</v>
      </c>
      <c r="I89" s="8" t="s">
        <v>58</v>
      </c>
      <c r="J89" s="8" t="s">
        <v>396</v>
      </c>
      <c r="K89" s="8" t="s">
        <v>397</v>
      </c>
      <c r="L89" s="8" t="s">
        <v>1420</v>
      </c>
      <c r="M89" s="8" t="s">
        <v>1421</v>
      </c>
      <c r="N89" s="5" t="s">
        <v>1034</v>
      </c>
      <c r="O89" s="5" t="s">
        <v>61</v>
      </c>
      <c r="P89" s="5" t="s">
        <v>1358</v>
      </c>
      <c r="Q89" s="9" t="s">
        <v>418</v>
      </c>
      <c r="R89" s="5" t="s">
        <v>76</v>
      </c>
      <c r="S89" s="5" t="s">
        <v>90</v>
      </c>
      <c r="T89" s="96">
        <v>1</v>
      </c>
      <c r="U89" s="96">
        <v>4</v>
      </c>
      <c r="V89" s="96">
        <v>4</v>
      </c>
      <c r="W89" s="5" t="s">
        <v>78</v>
      </c>
      <c r="X89" s="10" t="s">
        <v>79</v>
      </c>
      <c r="Y89" s="11">
        <v>1.9436601649132781</v>
      </c>
      <c r="Z89" s="12">
        <v>5</v>
      </c>
      <c r="AA89" s="12">
        <v>2.9815146094215862E-2</v>
      </c>
      <c r="AB89" s="12">
        <v>2.9815146094215862E-2</v>
      </c>
      <c r="AC89" s="13">
        <v>1.2224209898628504</v>
      </c>
      <c r="AD89" s="14">
        <f t="shared" si="4"/>
        <v>6.2820512820512828</v>
      </c>
      <c r="AE89" s="15">
        <f t="shared" si="5"/>
        <v>0.19458946369245372</v>
      </c>
      <c r="AF89" s="16">
        <v>4000</v>
      </c>
      <c r="AG89" s="16" t="s">
        <v>66</v>
      </c>
      <c r="AH89" s="17" t="s">
        <v>66</v>
      </c>
      <c r="AI89" s="18">
        <v>12.4</v>
      </c>
      <c r="AJ89" s="19">
        <v>0.98</v>
      </c>
      <c r="AK89" s="20">
        <v>0.98</v>
      </c>
      <c r="AL89" s="17" t="s">
        <v>92</v>
      </c>
      <c r="AM89" s="5" t="s">
        <v>66</v>
      </c>
      <c r="AN89" s="5" t="s">
        <v>66</v>
      </c>
      <c r="AO89" s="5" t="s">
        <v>66</v>
      </c>
      <c r="AP89" s="5" t="s">
        <v>66</v>
      </c>
      <c r="AQ89" s="5" t="s">
        <v>66</v>
      </c>
      <c r="AR89" s="5" t="s">
        <v>66</v>
      </c>
      <c r="AS89" s="5" t="s">
        <v>66</v>
      </c>
      <c r="AT89" s="5" t="s">
        <v>66</v>
      </c>
      <c r="AU89" s="5" t="s">
        <v>66</v>
      </c>
      <c r="AV89" s="5" t="s">
        <v>66</v>
      </c>
      <c r="AW89" s="5" t="s">
        <v>66</v>
      </c>
      <c r="AX89" s="5"/>
      <c r="AY89" s="5" t="s">
        <v>1359</v>
      </c>
      <c r="AZ89" s="5" t="s">
        <v>80</v>
      </c>
      <c r="BA89" s="19">
        <v>100</v>
      </c>
      <c r="BB89" s="17" t="s">
        <v>1359</v>
      </c>
      <c r="BC89" s="5"/>
      <c r="BD89" s="5" t="s">
        <v>1422</v>
      </c>
    </row>
    <row r="90" spans="1:56" ht="36" hidden="1" x14ac:dyDescent="0.25">
      <c r="A90" s="78" t="s">
        <v>1352</v>
      </c>
      <c r="B90" s="5" t="s">
        <v>1353</v>
      </c>
      <c r="C90" s="5" t="s">
        <v>3293</v>
      </c>
      <c r="D90" s="5" t="s">
        <v>56</v>
      </c>
      <c r="E90" s="99" t="str">
        <f>VLOOKUP(D90,'Dropdown List'!$F$26:$G$40,2,0)</f>
        <v>India</v>
      </c>
      <c r="F90" s="8" t="s">
        <v>1354</v>
      </c>
      <c r="G90" s="96">
        <v>6</v>
      </c>
      <c r="H90" s="5" t="s">
        <v>57</v>
      </c>
      <c r="I90" s="8" t="s">
        <v>58</v>
      </c>
      <c r="J90" s="8" t="s">
        <v>396</v>
      </c>
      <c r="K90" s="8" t="s">
        <v>397</v>
      </c>
      <c r="L90" s="8" t="s">
        <v>1423</v>
      </c>
      <c r="M90" s="8" t="s">
        <v>1424</v>
      </c>
      <c r="N90" s="5" t="s">
        <v>1034</v>
      </c>
      <c r="O90" s="5" t="s">
        <v>61</v>
      </c>
      <c r="P90" s="5" t="s">
        <v>1358</v>
      </c>
      <c r="Q90" s="9" t="s">
        <v>418</v>
      </c>
      <c r="R90" s="5" t="s">
        <v>76</v>
      </c>
      <c r="S90" s="5" t="s">
        <v>120</v>
      </c>
      <c r="T90" s="96" t="s">
        <v>66</v>
      </c>
      <c r="U90" s="96" t="s">
        <v>66</v>
      </c>
      <c r="V90" s="96" t="s">
        <v>66</v>
      </c>
      <c r="W90" s="5" t="s">
        <v>78</v>
      </c>
      <c r="X90" s="10" t="s">
        <v>79</v>
      </c>
      <c r="Y90" s="11">
        <v>1.1076664432029792</v>
      </c>
      <c r="Z90" s="12">
        <v>1</v>
      </c>
      <c r="AA90" s="12">
        <v>2.9815146094215862E-2</v>
      </c>
      <c r="AB90" s="12">
        <v>2.9815146094215862E-2</v>
      </c>
      <c r="AC90" s="13">
        <v>1.2224209898628504</v>
      </c>
      <c r="AD90" s="14">
        <f t="shared" si="4"/>
        <v>2.2820512820512819</v>
      </c>
      <c r="AE90" s="15">
        <f t="shared" si="5"/>
        <v>0.53566762477136143</v>
      </c>
      <c r="AF90" s="16">
        <v>21</v>
      </c>
      <c r="AG90" s="16" t="s">
        <v>66</v>
      </c>
      <c r="AH90" s="17" t="s">
        <v>66</v>
      </c>
      <c r="AI90" s="18">
        <v>4.09</v>
      </c>
      <c r="AJ90" s="19">
        <v>0.98</v>
      </c>
      <c r="AK90" s="20">
        <v>0.98</v>
      </c>
      <c r="AL90" s="17" t="s">
        <v>92</v>
      </c>
      <c r="AM90" s="5" t="s">
        <v>66</v>
      </c>
      <c r="AN90" s="5" t="s">
        <v>66</v>
      </c>
      <c r="AO90" s="5" t="s">
        <v>66</v>
      </c>
      <c r="AP90" s="5" t="s">
        <v>66</v>
      </c>
      <c r="AQ90" s="5" t="s">
        <v>66</v>
      </c>
      <c r="AR90" s="5" t="s">
        <v>66</v>
      </c>
      <c r="AS90" s="5" t="s">
        <v>66</v>
      </c>
      <c r="AT90" s="5" t="s">
        <v>66</v>
      </c>
      <c r="AU90" s="5" t="s">
        <v>66</v>
      </c>
      <c r="AV90" s="5" t="s">
        <v>66</v>
      </c>
      <c r="AW90" s="5" t="s">
        <v>66</v>
      </c>
      <c r="AX90" s="5"/>
      <c r="AY90" s="5" t="s">
        <v>110</v>
      </c>
      <c r="AZ90" s="5" t="s">
        <v>80</v>
      </c>
      <c r="BA90" s="19">
        <v>100</v>
      </c>
      <c r="BB90" s="17" t="s">
        <v>110</v>
      </c>
      <c r="BC90" s="5"/>
      <c r="BD90" s="5" t="s">
        <v>1409</v>
      </c>
    </row>
    <row r="91" spans="1:56" ht="36" hidden="1" x14ac:dyDescent="0.25">
      <c r="A91" s="78" t="s">
        <v>1352</v>
      </c>
      <c r="B91" s="5" t="s">
        <v>1353</v>
      </c>
      <c r="C91" s="5" t="s">
        <v>3293</v>
      </c>
      <c r="D91" s="5" t="s">
        <v>56</v>
      </c>
      <c r="E91" s="99" t="str">
        <f>VLOOKUP(D91,'Dropdown List'!$F$26:$G$40,2,0)</f>
        <v>India</v>
      </c>
      <c r="F91" s="8" t="s">
        <v>1354</v>
      </c>
      <c r="G91" s="96">
        <v>6</v>
      </c>
      <c r="H91" s="5" t="s">
        <v>57</v>
      </c>
      <c r="I91" s="8" t="s">
        <v>58</v>
      </c>
      <c r="J91" s="8" t="s">
        <v>59</v>
      </c>
      <c r="K91" s="8" t="s">
        <v>920</v>
      </c>
      <c r="L91" s="8" t="s">
        <v>1425</v>
      </c>
      <c r="M91" s="8" t="s">
        <v>1426</v>
      </c>
      <c r="N91" s="5" t="s">
        <v>1034</v>
      </c>
      <c r="O91" s="5" t="s">
        <v>61</v>
      </c>
      <c r="P91" s="5" t="s">
        <v>1358</v>
      </c>
      <c r="Q91" s="9" t="s">
        <v>418</v>
      </c>
      <c r="R91" s="5" t="s">
        <v>76</v>
      </c>
      <c r="S91" s="5" t="s">
        <v>90</v>
      </c>
      <c r="T91" s="96">
        <v>1</v>
      </c>
      <c r="U91" s="96">
        <v>2</v>
      </c>
      <c r="V91" s="96">
        <v>3</v>
      </c>
      <c r="W91" s="5" t="s">
        <v>78</v>
      </c>
      <c r="X91" s="10" t="s">
        <v>79</v>
      </c>
      <c r="Y91" s="11">
        <v>0.20710195674562304</v>
      </c>
      <c r="Z91" s="12">
        <v>2</v>
      </c>
      <c r="AA91" s="12">
        <v>2.9815146094215862E-2</v>
      </c>
      <c r="AB91" s="12">
        <v>2.9815146094215862E-2</v>
      </c>
      <c r="AC91" s="13">
        <v>1.2224209898628504</v>
      </c>
      <c r="AD91" s="14">
        <f t="shared" si="4"/>
        <v>3.2820512820512824</v>
      </c>
      <c r="AE91" s="15">
        <f t="shared" si="5"/>
        <v>0.37245639534883718</v>
      </c>
      <c r="AF91" s="16">
        <v>1250</v>
      </c>
      <c r="AG91" s="16" t="s">
        <v>66</v>
      </c>
      <c r="AH91" s="17" t="s">
        <v>66</v>
      </c>
      <c r="AI91" s="18">
        <v>1.08</v>
      </c>
      <c r="AJ91" s="19">
        <v>0.97</v>
      </c>
      <c r="AK91" s="20">
        <v>0.97</v>
      </c>
      <c r="AL91" s="17" t="s">
        <v>92</v>
      </c>
      <c r="AM91" s="5" t="s">
        <v>66</v>
      </c>
      <c r="AN91" s="5" t="s">
        <v>66</v>
      </c>
      <c r="AO91" s="5" t="s">
        <v>66</v>
      </c>
      <c r="AP91" s="5" t="s">
        <v>66</v>
      </c>
      <c r="AQ91" s="5" t="s">
        <v>66</v>
      </c>
      <c r="AR91" s="5" t="s">
        <v>66</v>
      </c>
      <c r="AS91" s="5" t="s">
        <v>66</v>
      </c>
      <c r="AT91" s="5" t="s">
        <v>66</v>
      </c>
      <c r="AU91" s="5" t="s">
        <v>66</v>
      </c>
      <c r="AV91" s="5" t="s">
        <v>66</v>
      </c>
      <c r="AW91" s="5" t="s">
        <v>66</v>
      </c>
      <c r="AX91" s="5"/>
      <c r="AY91" s="5" t="s">
        <v>1359</v>
      </c>
      <c r="AZ91" s="5" t="s">
        <v>80</v>
      </c>
      <c r="BA91" s="19">
        <v>100</v>
      </c>
      <c r="BB91" s="17" t="s">
        <v>1359</v>
      </c>
      <c r="BC91" s="5"/>
      <c r="BD91" s="5" t="s">
        <v>1409</v>
      </c>
    </row>
    <row r="92" spans="1:56" ht="36" hidden="1" x14ac:dyDescent="0.25">
      <c r="A92" s="78" t="s">
        <v>1352</v>
      </c>
      <c r="B92" s="5" t="s">
        <v>1353</v>
      </c>
      <c r="C92" s="5" t="s">
        <v>3293</v>
      </c>
      <c r="D92" s="5" t="s">
        <v>56</v>
      </c>
      <c r="E92" s="99" t="str">
        <f>VLOOKUP(D92,'Dropdown List'!$F$26:$G$40,2,0)</f>
        <v>India</v>
      </c>
      <c r="F92" s="8" t="s">
        <v>1354</v>
      </c>
      <c r="G92" s="96">
        <v>6</v>
      </c>
      <c r="H92" s="5" t="s">
        <v>57</v>
      </c>
      <c r="I92" s="8" t="s">
        <v>58</v>
      </c>
      <c r="J92" s="8" t="s">
        <v>396</v>
      </c>
      <c r="K92" s="8" t="s">
        <v>1054</v>
      </c>
      <c r="L92" s="8" t="s">
        <v>1427</v>
      </c>
      <c r="M92" s="8" t="s">
        <v>1428</v>
      </c>
      <c r="N92" s="5" t="s">
        <v>1034</v>
      </c>
      <c r="O92" s="5" t="s">
        <v>61</v>
      </c>
      <c r="P92" s="5" t="s">
        <v>1358</v>
      </c>
      <c r="Q92" s="9" t="s">
        <v>418</v>
      </c>
      <c r="R92" s="5" t="s">
        <v>76</v>
      </c>
      <c r="S92" s="5" t="s">
        <v>64</v>
      </c>
      <c r="T92" s="96">
        <v>1</v>
      </c>
      <c r="U92" s="96">
        <v>4</v>
      </c>
      <c r="V92" s="96">
        <v>4</v>
      </c>
      <c r="W92" s="5" t="s">
        <v>78</v>
      </c>
      <c r="X92" s="10" t="s">
        <v>79</v>
      </c>
      <c r="Y92" s="11">
        <v>6.488632362043794</v>
      </c>
      <c r="Z92" s="12">
        <v>1</v>
      </c>
      <c r="AA92" s="12">
        <v>2.9815146094215862E-2</v>
      </c>
      <c r="AB92" s="12">
        <v>2.9815146094215862E-2</v>
      </c>
      <c r="AC92" s="13">
        <v>1.2224209898628504</v>
      </c>
      <c r="AD92" s="14">
        <f t="shared" si="4"/>
        <v>2.2820512820512819</v>
      </c>
      <c r="AE92" s="15">
        <f t="shared" si="5"/>
        <v>0.53566762477136143</v>
      </c>
      <c r="AF92" s="16">
        <v>430</v>
      </c>
      <c r="AG92" s="16" t="s">
        <v>66</v>
      </c>
      <c r="AH92" s="17" t="s">
        <v>66</v>
      </c>
      <c r="AI92" s="18">
        <v>30.02</v>
      </c>
      <c r="AJ92" s="19">
        <v>0.97</v>
      </c>
      <c r="AK92" s="20">
        <v>0.97</v>
      </c>
      <c r="AL92" s="17" t="s">
        <v>92</v>
      </c>
      <c r="AM92" s="5" t="s">
        <v>66</v>
      </c>
      <c r="AN92" s="5" t="s">
        <v>66</v>
      </c>
      <c r="AO92" s="5" t="s">
        <v>66</v>
      </c>
      <c r="AP92" s="5" t="s">
        <v>66</v>
      </c>
      <c r="AQ92" s="5" t="s">
        <v>66</v>
      </c>
      <c r="AR92" s="5" t="s">
        <v>66</v>
      </c>
      <c r="AS92" s="5" t="s">
        <v>66</v>
      </c>
      <c r="AT92" s="5" t="s">
        <v>66</v>
      </c>
      <c r="AU92" s="5" t="s">
        <v>66</v>
      </c>
      <c r="AV92" s="5" t="s">
        <v>66</v>
      </c>
      <c r="AW92" s="5" t="s">
        <v>66</v>
      </c>
      <c r="AX92" s="5"/>
      <c r="AY92" s="5" t="s">
        <v>1359</v>
      </c>
      <c r="AZ92" s="5" t="s">
        <v>80</v>
      </c>
      <c r="BA92" s="19">
        <v>100</v>
      </c>
      <c r="BB92" s="17" t="s">
        <v>1359</v>
      </c>
      <c r="BC92" s="5"/>
      <c r="BD92" s="5" t="s">
        <v>1409</v>
      </c>
    </row>
    <row r="93" spans="1:56" ht="36" hidden="1" x14ac:dyDescent="0.25">
      <c r="A93" s="78" t="s">
        <v>1352</v>
      </c>
      <c r="B93" s="5" t="s">
        <v>1353</v>
      </c>
      <c r="C93" s="5" t="s">
        <v>3293</v>
      </c>
      <c r="D93" s="5" t="s">
        <v>56</v>
      </c>
      <c r="E93" s="99" t="str">
        <f>VLOOKUP(D93,'Dropdown List'!$F$26:$G$40,2,0)</f>
        <v>India</v>
      </c>
      <c r="F93" s="8" t="s">
        <v>1354</v>
      </c>
      <c r="G93" s="96">
        <v>6</v>
      </c>
      <c r="H93" s="5" t="s">
        <v>57</v>
      </c>
      <c r="I93" s="8" t="s">
        <v>58</v>
      </c>
      <c r="J93" s="8" t="s">
        <v>163</v>
      </c>
      <c r="K93" s="8" t="s">
        <v>254</v>
      </c>
      <c r="L93" s="8" t="s">
        <v>1429</v>
      </c>
      <c r="M93" s="100" t="s">
        <v>1430</v>
      </c>
      <c r="N93" s="5" t="s">
        <v>1034</v>
      </c>
      <c r="O93" s="5" t="s">
        <v>61</v>
      </c>
      <c r="P93" s="5" t="s">
        <v>1358</v>
      </c>
      <c r="Q93" s="9" t="s">
        <v>418</v>
      </c>
      <c r="R93" s="5" t="s">
        <v>76</v>
      </c>
      <c r="S93" s="5" t="s">
        <v>90</v>
      </c>
      <c r="T93" s="96">
        <v>1</v>
      </c>
      <c r="U93" s="96">
        <v>2</v>
      </c>
      <c r="V93" s="96">
        <v>3</v>
      </c>
      <c r="W93" s="5" t="s">
        <v>78</v>
      </c>
      <c r="X93" s="10" t="s">
        <v>79</v>
      </c>
      <c r="Y93" s="11">
        <v>2.54</v>
      </c>
      <c r="Z93" s="12">
        <v>3</v>
      </c>
      <c r="AA93" s="12">
        <v>2.9815146094215862E-2</v>
      </c>
      <c r="AB93" s="12">
        <v>2.9815146094215862E-2</v>
      </c>
      <c r="AC93" s="13">
        <v>1.2224209898628504</v>
      </c>
      <c r="AD93" s="14">
        <f t="shared" si="4"/>
        <v>4.2820512820512828</v>
      </c>
      <c r="AE93" s="15">
        <f t="shared" si="5"/>
        <v>0.28547556050689316</v>
      </c>
      <c r="AF93" s="16">
        <v>2500</v>
      </c>
      <c r="AG93" s="16" t="s">
        <v>66</v>
      </c>
      <c r="AH93" s="17" t="s">
        <v>66</v>
      </c>
      <c r="AI93" s="18">
        <v>11.25</v>
      </c>
      <c r="AJ93" s="19">
        <v>0.97</v>
      </c>
      <c r="AK93" s="20">
        <v>0.97</v>
      </c>
      <c r="AL93" s="17" t="s">
        <v>92</v>
      </c>
      <c r="AM93" s="5" t="s">
        <v>66</v>
      </c>
      <c r="AN93" s="5" t="s">
        <v>66</v>
      </c>
      <c r="AO93" s="5" t="s">
        <v>66</v>
      </c>
      <c r="AP93" s="5" t="s">
        <v>66</v>
      </c>
      <c r="AQ93" s="5" t="s">
        <v>66</v>
      </c>
      <c r="AR93" s="5" t="s">
        <v>66</v>
      </c>
      <c r="AS93" s="5" t="s">
        <v>66</v>
      </c>
      <c r="AT93" s="5" t="s">
        <v>66</v>
      </c>
      <c r="AU93" s="5" t="s">
        <v>66</v>
      </c>
      <c r="AV93" s="5" t="s">
        <v>66</v>
      </c>
      <c r="AW93" s="5" t="s">
        <v>66</v>
      </c>
      <c r="AX93" s="5"/>
      <c r="AY93" s="5" t="s">
        <v>1359</v>
      </c>
      <c r="AZ93" s="5" t="s">
        <v>70</v>
      </c>
      <c r="BA93" s="19">
        <v>100</v>
      </c>
      <c r="BB93" s="17" t="s">
        <v>1359</v>
      </c>
      <c r="BC93" s="5"/>
      <c r="BD93" s="5" t="s">
        <v>1419</v>
      </c>
    </row>
    <row r="94" spans="1:56" ht="36" hidden="1" x14ac:dyDescent="0.25">
      <c r="A94" s="78" t="s">
        <v>1352</v>
      </c>
      <c r="B94" s="5" t="s">
        <v>1353</v>
      </c>
      <c r="C94" s="5" t="s">
        <v>3293</v>
      </c>
      <c r="D94" s="5" t="s">
        <v>56</v>
      </c>
      <c r="E94" s="99" t="str">
        <f>VLOOKUP(D94,'Dropdown List'!$F$26:$G$40,2,0)</f>
        <v>India</v>
      </c>
      <c r="F94" s="8" t="s">
        <v>1354</v>
      </c>
      <c r="G94" s="96">
        <v>6</v>
      </c>
      <c r="H94" s="5" t="s">
        <v>57</v>
      </c>
      <c r="I94" s="8" t="s">
        <v>58</v>
      </c>
      <c r="J94" s="8" t="s">
        <v>59</v>
      </c>
      <c r="K94" s="8" t="s">
        <v>86</v>
      </c>
      <c r="L94" s="8" t="s">
        <v>1431</v>
      </c>
      <c r="M94" s="8" t="s">
        <v>1432</v>
      </c>
      <c r="N94" s="5" t="s">
        <v>1034</v>
      </c>
      <c r="O94" s="5" t="s">
        <v>61</v>
      </c>
      <c r="P94" s="5" t="s">
        <v>1358</v>
      </c>
      <c r="Q94" s="9" t="s">
        <v>418</v>
      </c>
      <c r="R94" s="5" t="s">
        <v>76</v>
      </c>
      <c r="S94" s="5" t="s">
        <v>90</v>
      </c>
      <c r="T94" s="96">
        <v>1</v>
      </c>
      <c r="U94" s="96">
        <v>4</v>
      </c>
      <c r="V94" s="96">
        <v>4</v>
      </c>
      <c r="W94" s="5" t="s">
        <v>78</v>
      </c>
      <c r="X94" s="10" t="s">
        <v>79</v>
      </c>
      <c r="Y94" s="11">
        <v>15.834927008447201</v>
      </c>
      <c r="Z94" s="12">
        <v>2</v>
      </c>
      <c r="AA94" s="12">
        <v>2.9815146094215862E-2</v>
      </c>
      <c r="AB94" s="12">
        <v>2.9815146094215862E-2</v>
      </c>
      <c r="AC94" s="13">
        <v>1.2224209898628504</v>
      </c>
      <c r="AD94" s="14">
        <f t="shared" si="4"/>
        <v>3.2820512820512824</v>
      </c>
      <c r="AE94" s="15">
        <f t="shared" si="5"/>
        <v>0.37245639534883718</v>
      </c>
      <c r="AF94" s="16">
        <v>250</v>
      </c>
      <c r="AG94" s="16" t="s">
        <v>66</v>
      </c>
      <c r="AH94" s="17" t="s">
        <v>66</v>
      </c>
      <c r="AI94" s="18">
        <v>72.27</v>
      </c>
      <c r="AJ94" s="19">
        <v>0.97</v>
      </c>
      <c r="AK94" s="20">
        <v>0.97</v>
      </c>
      <c r="AL94" s="17" t="s">
        <v>92</v>
      </c>
      <c r="AM94" s="5" t="s">
        <v>66</v>
      </c>
      <c r="AN94" s="5" t="s">
        <v>66</v>
      </c>
      <c r="AO94" s="5" t="s">
        <v>66</v>
      </c>
      <c r="AP94" s="5" t="s">
        <v>66</v>
      </c>
      <c r="AQ94" s="5" t="s">
        <v>66</v>
      </c>
      <c r="AR94" s="5" t="s">
        <v>66</v>
      </c>
      <c r="AS94" s="5" t="s">
        <v>66</v>
      </c>
      <c r="AT94" s="5" t="s">
        <v>66</v>
      </c>
      <c r="AU94" s="5" t="s">
        <v>66</v>
      </c>
      <c r="AV94" s="5" t="s">
        <v>66</v>
      </c>
      <c r="AW94" s="5" t="s">
        <v>66</v>
      </c>
      <c r="AX94" s="5"/>
      <c r="AY94" s="5" t="s">
        <v>1359</v>
      </c>
      <c r="AZ94" s="5" t="s">
        <v>80</v>
      </c>
      <c r="BA94" s="19">
        <v>100</v>
      </c>
      <c r="BB94" s="17" t="s">
        <v>1359</v>
      </c>
      <c r="BC94" s="5"/>
      <c r="BD94" s="5" t="s">
        <v>1409</v>
      </c>
    </row>
    <row r="95" spans="1:56" ht="36" hidden="1" x14ac:dyDescent="0.25">
      <c r="A95" s="78" t="s">
        <v>1352</v>
      </c>
      <c r="B95" s="5" t="s">
        <v>1353</v>
      </c>
      <c r="C95" s="5" t="s">
        <v>3293</v>
      </c>
      <c r="D95" s="5" t="s">
        <v>56</v>
      </c>
      <c r="E95" s="99" t="str">
        <f>VLOOKUP(D95,'Dropdown List'!$F$26:$G$40,2,0)</f>
        <v>India</v>
      </c>
      <c r="F95" s="8" t="s">
        <v>1354</v>
      </c>
      <c r="G95" s="96">
        <v>6</v>
      </c>
      <c r="H95" s="5" t="s">
        <v>57</v>
      </c>
      <c r="I95" s="8" t="s">
        <v>58</v>
      </c>
      <c r="J95" s="8" t="s">
        <v>396</v>
      </c>
      <c r="K95" s="8" t="s">
        <v>1433</v>
      </c>
      <c r="L95" s="8" t="s">
        <v>1433</v>
      </c>
      <c r="M95" s="8" t="s">
        <v>1434</v>
      </c>
      <c r="N95" s="5" t="s">
        <v>1034</v>
      </c>
      <c r="O95" s="5" t="s">
        <v>61</v>
      </c>
      <c r="P95" s="5" t="s">
        <v>1358</v>
      </c>
      <c r="Q95" s="9" t="s">
        <v>418</v>
      </c>
      <c r="R95" s="5" t="s">
        <v>76</v>
      </c>
      <c r="S95" s="5" t="s">
        <v>334</v>
      </c>
      <c r="T95" s="96">
        <v>1</v>
      </c>
      <c r="U95" s="96">
        <v>3</v>
      </c>
      <c r="V95" s="96">
        <v>3</v>
      </c>
      <c r="W95" s="5" t="s">
        <v>78</v>
      </c>
      <c r="X95" s="10" t="s">
        <v>79</v>
      </c>
      <c r="Y95" s="11">
        <v>0.65228616666395833</v>
      </c>
      <c r="Z95" s="12">
        <v>1</v>
      </c>
      <c r="AA95" s="12">
        <v>2.9815146094215862E-2</v>
      </c>
      <c r="AB95" s="12">
        <v>2.9815146094215862E-2</v>
      </c>
      <c r="AC95" s="13">
        <v>1.2224209898628504</v>
      </c>
      <c r="AD95" s="14">
        <f t="shared" si="4"/>
        <v>2.2820512820512819</v>
      </c>
      <c r="AE95" s="15">
        <f t="shared" si="5"/>
        <v>0.53566762477136143</v>
      </c>
      <c r="AF95" s="16">
        <v>724</v>
      </c>
      <c r="AG95" s="16" t="s">
        <v>66</v>
      </c>
      <c r="AH95" s="17" t="s">
        <v>1435</v>
      </c>
      <c r="AI95" s="18">
        <v>3.47</v>
      </c>
      <c r="AJ95" s="19">
        <v>0.98</v>
      </c>
      <c r="AK95" s="20">
        <v>0.98</v>
      </c>
      <c r="AL95" s="17" t="s">
        <v>261</v>
      </c>
      <c r="AM95" s="5" t="s">
        <v>66</v>
      </c>
      <c r="AN95" s="5" t="s">
        <v>66</v>
      </c>
      <c r="AO95" s="5" t="s">
        <v>66</v>
      </c>
      <c r="AP95" s="5" t="s">
        <v>66</v>
      </c>
      <c r="AQ95" s="5" t="s">
        <v>66</v>
      </c>
      <c r="AR95" s="5" t="s">
        <v>66</v>
      </c>
      <c r="AS95" s="5" t="s">
        <v>66</v>
      </c>
      <c r="AT95" s="5" t="s">
        <v>66</v>
      </c>
      <c r="AU95" s="5" t="s">
        <v>66</v>
      </c>
      <c r="AV95" s="5" t="s">
        <v>66</v>
      </c>
      <c r="AW95" s="5" t="s">
        <v>66</v>
      </c>
      <c r="AX95" s="5" t="s">
        <v>901</v>
      </c>
      <c r="AY95" s="5" t="s">
        <v>94</v>
      </c>
      <c r="AZ95" s="5" t="s">
        <v>145</v>
      </c>
      <c r="BA95" s="19">
        <v>100</v>
      </c>
      <c r="BB95" s="17" t="s">
        <v>69</v>
      </c>
      <c r="BC95" s="5" t="s">
        <v>901</v>
      </c>
      <c r="BD95" s="5" t="s">
        <v>1436</v>
      </c>
    </row>
    <row r="96" spans="1:56" ht="36" hidden="1" x14ac:dyDescent="0.25">
      <c r="A96" s="78" t="s">
        <v>1352</v>
      </c>
      <c r="B96" s="5" t="s">
        <v>1353</v>
      </c>
      <c r="C96" s="5" t="s">
        <v>3293</v>
      </c>
      <c r="D96" s="5" t="s">
        <v>56</v>
      </c>
      <c r="E96" s="99" t="str">
        <f>VLOOKUP(D96,'Dropdown List'!$F$26:$G$40,2,0)</f>
        <v>India</v>
      </c>
      <c r="F96" s="8" t="s">
        <v>1354</v>
      </c>
      <c r="G96" s="96">
        <v>6</v>
      </c>
      <c r="H96" s="5" t="s">
        <v>57</v>
      </c>
      <c r="I96" s="8" t="s">
        <v>58</v>
      </c>
      <c r="J96" s="8" t="s">
        <v>396</v>
      </c>
      <c r="K96" s="8" t="s">
        <v>1437</v>
      </c>
      <c r="L96" s="8" t="s">
        <v>1437</v>
      </c>
      <c r="M96" s="8" t="s">
        <v>1438</v>
      </c>
      <c r="N96" s="5" t="s">
        <v>1034</v>
      </c>
      <c r="O96" s="5" t="s">
        <v>61</v>
      </c>
      <c r="P96" s="5" t="s">
        <v>1358</v>
      </c>
      <c r="Q96" s="9" t="s">
        <v>418</v>
      </c>
      <c r="R96" s="5" t="s">
        <v>76</v>
      </c>
      <c r="S96" s="5" t="s">
        <v>90</v>
      </c>
      <c r="T96" s="96">
        <v>1</v>
      </c>
      <c r="U96" s="96">
        <v>3</v>
      </c>
      <c r="V96" s="96">
        <v>3</v>
      </c>
      <c r="W96" s="5" t="s">
        <v>78</v>
      </c>
      <c r="X96" s="10" t="s">
        <v>79</v>
      </c>
      <c r="Y96" s="11">
        <v>0.30012783471074367</v>
      </c>
      <c r="Z96" s="12">
        <v>1</v>
      </c>
      <c r="AA96" s="12">
        <v>2.9815146094215862E-2</v>
      </c>
      <c r="AB96" s="12">
        <v>2.9815146094215862E-2</v>
      </c>
      <c r="AC96" s="13">
        <v>1.2224209898628504</v>
      </c>
      <c r="AD96" s="14">
        <f t="shared" si="4"/>
        <v>2.2820512820512819</v>
      </c>
      <c r="AE96" s="15">
        <f t="shared" si="5"/>
        <v>0.53566762477136143</v>
      </c>
      <c r="AF96" s="16">
        <v>421</v>
      </c>
      <c r="AG96" s="16" t="s">
        <v>66</v>
      </c>
      <c r="AH96" s="17" t="s">
        <v>1435</v>
      </c>
      <c r="AI96" s="18">
        <v>1.41</v>
      </c>
      <c r="AJ96" s="19">
        <v>0.98</v>
      </c>
      <c r="AK96" s="20">
        <v>0.98</v>
      </c>
      <c r="AL96" s="17" t="s">
        <v>261</v>
      </c>
      <c r="AM96" s="5" t="s">
        <v>66</v>
      </c>
      <c r="AN96" s="5" t="s">
        <v>66</v>
      </c>
      <c r="AO96" s="5" t="s">
        <v>66</v>
      </c>
      <c r="AP96" s="5" t="s">
        <v>66</v>
      </c>
      <c r="AQ96" s="5" t="s">
        <v>66</v>
      </c>
      <c r="AR96" s="5" t="s">
        <v>66</v>
      </c>
      <c r="AS96" s="5" t="s">
        <v>66</v>
      </c>
      <c r="AT96" s="5" t="s">
        <v>66</v>
      </c>
      <c r="AU96" s="5" t="s">
        <v>66</v>
      </c>
      <c r="AV96" s="5" t="s">
        <v>66</v>
      </c>
      <c r="AW96" s="5" t="s">
        <v>66</v>
      </c>
      <c r="AX96" s="5" t="s">
        <v>901</v>
      </c>
      <c r="AY96" s="5" t="s">
        <v>94</v>
      </c>
      <c r="AZ96" s="5" t="s">
        <v>145</v>
      </c>
      <c r="BA96" s="19">
        <v>100</v>
      </c>
      <c r="BB96" s="17" t="s">
        <v>69</v>
      </c>
      <c r="BC96" s="5" t="s">
        <v>901</v>
      </c>
      <c r="BD96" s="5" t="s">
        <v>1439</v>
      </c>
    </row>
    <row r="97" spans="1:56" ht="36" hidden="1" x14ac:dyDescent="0.25">
      <c r="A97" s="78" t="s">
        <v>1352</v>
      </c>
      <c r="B97" s="5" t="s">
        <v>1353</v>
      </c>
      <c r="C97" s="5" t="s">
        <v>3293</v>
      </c>
      <c r="D97" s="5" t="s">
        <v>56</v>
      </c>
      <c r="E97" s="99" t="str">
        <f>VLOOKUP(D97,'Dropdown List'!$F$26:$G$40,2,0)</f>
        <v>India</v>
      </c>
      <c r="F97" s="8" t="s">
        <v>1354</v>
      </c>
      <c r="G97" s="96">
        <v>6</v>
      </c>
      <c r="H97" s="5" t="s">
        <v>57</v>
      </c>
      <c r="I97" s="8" t="s">
        <v>58</v>
      </c>
      <c r="J97" s="8" t="s">
        <v>396</v>
      </c>
      <c r="K97" s="8" t="s">
        <v>397</v>
      </c>
      <c r="L97" s="8" t="s">
        <v>1440</v>
      </c>
      <c r="M97" s="8" t="s">
        <v>1441</v>
      </c>
      <c r="N97" s="5" t="s">
        <v>1034</v>
      </c>
      <c r="O97" s="5" t="s">
        <v>61</v>
      </c>
      <c r="P97" s="5" t="s">
        <v>1358</v>
      </c>
      <c r="Q97" s="9" t="s">
        <v>418</v>
      </c>
      <c r="R97" s="5" t="s">
        <v>76</v>
      </c>
      <c r="S97" s="5" t="s">
        <v>90</v>
      </c>
      <c r="T97" s="96">
        <v>1</v>
      </c>
      <c r="U97" s="96">
        <v>3</v>
      </c>
      <c r="V97" s="96">
        <v>3</v>
      </c>
      <c r="W97" s="5" t="s">
        <v>78</v>
      </c>
      <c r="X97" s="10" t="s">
        <v>79</v>
      </c>
      <c r="Y97" s="11">
        <v>0.58512648617238017</v>
      </c>
      <c r="Z97" s="12">
        <v>2</v>
      </c>
      <c r="AA97" s="12">
        <v>2.9815146094215862E-2</v>
      </c>
      <c r="AB97" s="12">
        <v>2.9815146094215862E-2</v>
      </c>
      <c r="AC97" s="13">
        <v>1.2224209898628504</v>
      </c>
      <c r="AD97" s="14">
        <f t="shared" si="4"/>
        <v>3.2820512820512824</v>
      </c>
      <c r="AE97" s="15">
        <f t="shared" si="5"/>
        <v>0.37245639534883718</v>
      </c>
      <c r="AF97" s="16">
        <v>6883</v>
      </c>
      <c r="AG97" s="16" t="s">
        <v>66</v>
      </c>
      <c r="AH97" s="17" t="s">
        <v>1435</v>
      </c>
      <c r="AI97" s="18">
        <v>2.59</v>
      </c>
      <c r="AJ97" s="19">
        <v>0.98</v>
      </c>
      <c r="AK97" s="20">
        <v>0.98</v>
      </c>
      <c r="AL97" s="17" t="s">
        <v>261</v>
      </c>
      <c r="AM97" s="5" t="s">
        <v>66</v>
      </c>
      <c r="AN97" s="5" t="s">
        <v>66</v>
      </c>
      <c r="AO97" s="5" t="s">
        <v>66</v>
      </c>
      <c r="AP97" s="5" t="s">
        <v>66</v>
      </c>
      <c r="AQ97" s="5" t="s">
        <v>66</v>
      </c>
      <c r="AR97" s="5" t="s">
        <v>66</v>
      </c>
      <c r="AS97" s="5" t="s">
        <v>66</v>
      </c>
      <c r="AT97" s="5" t="s">
        <v>66</v>
      </c>
      <c r="AU97" s="5" t="s">
        <v>66</v>
      </c>
      <c r="AV97" s="5" t="s">
        <v>66</v>
      </c>
      <c r="AW97" s="5" t="s">
        <v>66</v>
      </c>
      <c r="AX97" s="5" t="s">
        <v>901</v>
      </c>
      <c r="AY97" s="5" t="s">
        <v>94</v>
      </c>
      <c r="AZ97" s="5" t="s">
        <v>145</v>
      </c>
      <c r="BA97" s="19">
        <v>100</v>
      </c>
      <c r="BB97" s="17" t="s">
        <v>69</v>
      </c>
      <c r="BC97" s="5" t="s">
        <v>901</v>
      </c>
      <c r="BD97" s="5" t="s">
        <v>1442</v>
      </c>
    </row>
    <row r="98" spans="1:56" ht="36" hidden="1" x14ac:dyDescent="0.25">
      <c r="A98" s="78" t="s">
        <v>1352</v>
      </c>
      <c r="B98" s="5" t="s">
        <v>1353</v>
      </c>
      <c r="C98" s="5" t="s">
        <v>3293</v>
      </c>
      <c r="D98" s="5" t="s">
        <v>56</v>
      </c>
      <c r="E98" s="99" t="str">
        <f>VLOOKUP(D98,'Dropdown List'!$F$26:$G$40,2,0)</f>
        <v>India</v>
      </c>
      <c r="F98" s="8" t="s">
        <v>1354</v>
      </c>
      <c r="G98" s="96">
        <v>6</v>
      </c>
      <c r="H98" s="5" t="s">
        <v>57</v>
      </c>
      <c r="I98" s="8" t="s">
        <v>58</v>
      </c>
      <c r="J98" s="8" t="s">
        <v>396</v>
      </c>
      <c r="K98" s="8" t="s">
        <v>397</v>
      </c>
      <c r="L98" s="8" t="s">
        <v>1443</v>
      </c>
      <c r="M98" s="8" t="s">
        <v>1444</v>
      </c>
      <c r="N98" s="5" t="s">
        <v>1034</v>
      </c>
      <c r="O98" s="5" t="s">
        <v>61</v>
      </c>
      <c r="P98" s="5" t="s">
        <v>1358</v>
      </c>
      <c r="Q98" s="9" t="s">
        <v>418</v>
      </c>
      <c r="R98" s="5" t="s">
        <v>76</v>
      </c>
      <c r="S98" s="5" t="s">
        <v>90</v>
      </c>
      <c r="T98" s="96">
        <v>1</v>
      </c>
      <c r="U98" s="96">
        <v>3</v>
      </c>
      <c r="V98" s="96">
        <v>3</v>
      </c>
      <c r="W98" s="5" t="s">
        <v>78</v>
      </c>
      <c r="X98" s="10" t="s">
        <v>79</v>
      </c>
      <c r="Y98" s="11">
        <v>1.3047727934174855</v>
      </c>
      <c r="Z98" s="12">
        <v>7.5</v>
      </c>
      <c r="AA98" s="12">
        <v>2.9815146094215862E-2</v>
      </c>
      <c r="AB98" s="12">
        <v>2.9815146094215862E-2</v>
      </c>
      <c r="AC98" s="13">
        <v>1.2224209898628504</v>
      </c>
      <c r="AD98" s="14">
        <f t="shared" si="4"/>
        <v>8.7820512820512828</v>
      </c>
      <c r="AE98" s="15">
        <f t="shared" si="5"/>
        <v>0.13919538278730267</v>
      </c>
      <c r="AF98" s="16">
        <v>11295</v>
      </c>
      <c r="AG98" s="16" t="s">
        <v>66</v>
      </c>
      <c r="AH98" s="17" t="s">
        <v>1435</v>
      </c>
      <c r="AI98" s="18">
        <v>6.9499387811524942</v>
      </c>
      <c r="AJ98" s="19">
        <v>0.98</v>
      </c>
      <c r="AK98" s="20">
        <v>0.98</v>
      </c>
      <c r="AL98" s="17" t="s">
        <v>261</v>
      </c>
      <c r="AM98" s="5" t="s">
        <v>66</v>
      </c>
      <c r="AN98" s="5" t="s">
        <v>66</v>
      </c>
      <c r="AO98" s="5" t="s">
        <v>66</v>
      </c>
      <c r="AP98" s="5" t="s">
        <v>66</v>
      </c>
      <c r="AQ98" s="5" t="s">
        <v>66</v>
      </c>
      <c r="AR98" s="5" t="s">
        <v>66</v>
      </c>
      <c r="AS98" s="5" t="s">
        <v>66</v>
      </c>
      <c r="AT98" s="5" t="s">
        <v>66</v>
      </c>
      <c r="AU98" s="5" t="s">
        <v>66</v>
      </c>
      <c r="AV98" s="5" t="s">
        <v>66</v>
      </c>
      <c r="AW98" s="5" t="s">
        <v>66</v>
      </c>
      <c r="AX98" s="5" t="s">
        <v>901</v>
      </c>
      <c r="AY98" s="5" t="s">
        <v>69</v>
      </c>
      <c r="AZ98" s="5" t="s">
        <v>145</v>
      </c>
      <c r="BA98" s="19">
        <v>100</v>
      </c>
      <c r="BB98" s="17" t="s">
        <v>69</v>
      </c>
      <c r="BC98" s="5" t="s">
        <v>901</v>
      </c>
      <c r="BD98" s="5" t="s">
        <v>1445</v>
      </c>
    </row>
    <row r="99" spans="1:56" ht="36" hidden="1" x14ac:dyDescent="0.25">
      <c r="A99" s="78" t="s">
        <v>1352</v>
      </c>
      <c r="B99" s="5" t="s">
        <v>1353</v>
      </c>
      <c r="C99" s="5" t="s">
        <v>3293</v>
      </c>
      <c r="D99" s="5" t="s">
        <v>56</v>
      </c>
      <c r="E99" s="99" t="str">
        <f>VLOOKUP(D99,'Dropdown List'!$F$26:$G$40,2,0)</f>
        <v>India</v>
      </c>
      <c r="F99" s="8" t="s">
        <v>1354</v>
      </c>
      <c r="G99" s="96">
        <v>6</v>
      </c>
      <c r="H99" s="5" t="s">
        <v>57</v>
      </c>
      <c r="I99" s="8" t="s">
        <v>58</v>
      </c>
      <c r="J99" s="8" t="s">
        <v>396</v>
      </c>
      <c r="K99" s="8" t="s">
        <v>397</v>
      </c>
      <c r="L99" s="8" t="s">
        <v>1446</v>
      </c>
      <c r="M99" s="8" t="s">
        <v>1447</v>
      </c>
      <c r="N99" s="5" t="s">
        <v>1034</v>
      </c>
      <c r="O99" s="5" t="s">
        <v>61</v>
      </c>
      <c r="P99" s="5" t="s">
        <v>1358</v>
      </c>
      <c r="Q99" s="9" t="s">
        <v>418</v>
      </c>
      <c r="R99" s="5" t="s">
        <v>76</v>
      </c>
      <c r="S99" s="5" t="s">
        <v>120</v>
      </c>
      <c r="T99" s="96">
        <v>1</v>
      </c>
      <c r="U99" s="96">
        <v>3</v>
      </c>
      <c r="V99" s="96">
        <v>3</v>
      </c>
      <c r="W99" s="5" t="s">
        <v>78</v>
      </c>
      <c r="X99" s="10" t="s">
        <v>79</v>
      </c>
      <c r="Y99" s="11">
        <v>1.65</v>
      </c>
      <c r="Z99" s="12">
        <v>1.5</v>
      </c>
      <c r="AA99" s="12">
        <v>2.9815146094215862E-2</v>
      </c>
      <c r="AB99" s="12">
        <v>2.9815146094215862E-2</v>
      </c>
      <c r="AC99" s="13">
        <v>1.2224209898628504</v>
      </c>
      <c r="AD99" s="14">
        <f t="shared" si="4"/>
        <v>2.7820512820512819</v>
      </c>
      <c r="AE99" s="15">
        <f t="shared" si="5"/>
        <v>0.43939556317650846</v>
      </c>
      <c r="AF99" s="16">
        <v>577</v>
      </c>
      <c r="AG99" s="16" t="s">
        <v>66</v>
      </c>
      <c r="AH99" s="17" t="s">
        <v>1435</v>
      </c>
      <c r="AI99" s="18">
        <v>8</v>
      </c>
      <c r="AJ99" s="19">
        <v>0.98</v>
      </c>
      <c r="AK99" s="20">
        <v>0.98</v>
      </c>
      <c r="AL99" s="17" t="s">
        <v>261</v>
      </c>
      <c r="AM99" s="5" t="s">
        <v>66</v>
      </c>
      <c r="AN99" s="5" t="s">
        <v>66</v>
      </c>
      <c r="AO99" s="5" t="s">
        <v>66</v>
      </c>
      <c r="AP99" s="5" t="s">
        <v>66</v>
      </c>
      <c r="AQ99" s="5" t="s">
        <v>66</v>
      </c>
      <c r="AR99" s="5" t="s">
        <v>66</v>
      </c>
      <c r="AS99" s="5" t="s">
        <v>66</v>
      </c>
      <c r="AT99" s="5" t="s">
        <v>66</v>
      </c>
      <c r="AU99" s="5" t="s">
        <v>66</v>
      </c>
      <c r="AV99" s="5" t="s">
        <v>66</v>
      </c>
      <c r="AW99" s="5" t="s">
        <v>66</v>
      </c>
      <c r="AX99" s="5" t="s">
        <v>901</v>
      </c>
      <c r="AY99" s="5" t="s">
        <v>69</v>
      </c>
      <c r="AZ99" s="5" t="s">
        <v>145</v>
      </c>
      <c r="BA99" s="19">
        <v>100</v>
      </c>
      <c r="BB99" s="17" t="s">
        <v>69</v>
      </c>
      <c r="BC99" s="5" t="s">
        <v>901</v>
      </c>
      <c r="BD99" s="5" t="s">
        <v>1448</v>
      </c>
    </row>
    <row r="100" spans="1:56" ht="36" hidden="1" x14ac:dyDescent="0.25">
      <c r="A100" s="78" t="s">
        <v>1352</v>
      </c>
      <c r="B100" s="5" t="s">
        <v>1353</v>
      </c>
      <c r="C100" s="5" t="s">
        <v>3293</v>
      </c>
      <c r="D100" s="5" t="s">
        <v>56</v>
      </c>
      <c r="E100" s="99" t="str">
        <f>VLOOKUP(D100,'Dropdown List'!$F$26:$G$40,2,0)</f>
        <v>India</v>
      </c>
      <c r="F100" s="8" t="s">
        <v>1354</v>
      </c>
      <c r="G100" s="96">
        <v>6</v>
      </c>
      <c r="H100" s="5" t="s">
        <v>57</v>
      </c>
      <c r="I100" s="8" t="s">
        <v>58</v>
      </c>
      <c r="J100" s="8" t="s">
        <v>59</v>
      </c>
      <c r="K100" s="8" t="s">
        <v>86</v>
      </c>
      <c r="L100" s="8" t="s">
        <v>1449</v>
      </c>
      <c r="M100" s="8" t="s">
        <v>1450</v>
      </c>
      <c r="N100" s="5" t="s">
        <v>1034</v>
      </c>
      <c r="O100" s="5" t="s">
        <v>61</v>
      </c>
      <c r="P100" s="5" t="s">
        <v>1358</v>
      </c>
      <c r="Q100" s="9" t="s">
        <v>418</v>
      </c>
      <c r="R100" s="5" t="s">
        <v>76</v>
      </c>
      <c r="S100" s="5" t="s">
        <v>90</v>
      </c>
      <c r="T100" s="96">
        <v>1</v>
      </c>
      <c r="U100" s="96">
        <v>3</v>
      </c>
      <c r="V100" s="96">
        <v>3</v>
      </c>
      <c r="W100" s="5" t="s">
        <v>78</v>
      </c>
      <c r="X100" s="10" t="s">
        <v>79</v>
      </c>
      <c r="Y100" s="11">
        <v>1.4393692162417371</v>
      </c>
      <c r="Z100" s="12">
        <v>0.25</v>
      </c>
      <c r="AA100" s="12">
        <v>2.9815146094215862E-2</v>
      </c>
      <c r="AB100" s="12">
        <v>2.9815146094215862E-2</v>
      </c>
      <c r="AC100" s="13">
        <v>1.2224209898628504</v>
      </c>
      <c r="AD100" s="14">
        <f t="shared" si="4"/>
        <v>1.5320512820512822</v>
      </c>
      <c r="AE100" s="15">
        <f t="shared" si="5"/>
        <v>0.79789821932470562</v>
      </c>
      <c r="AF100" s="16">
        <v>138</v>
      </c>
      <c r="AG100" s="16" t="s">
        <v>66</v>
      </c>
      <c r="AH100" s="17" t="s">
        <v>1435</v>
      </c>
      <c r="AI100" s="18">
        <v>5.5</v>
      </c>
      <c r="AJ100" s="19">
        <v>0.98</v>
      </c>
      <c r="AK100" s="20">
        <v>0.98</v>
      </c>
      <c r="AL100" s="17" t="s">
        <v>261</v>
      </c>
      <c r="AM100" s="5" t="s">
        <v>66</v>
      </c>
      <c r="AN100" s="5" t="s">
        <v>66</v>
      </c>
      <c r="AO100" s="5" t="s">
        <v>66</v>
      </c>
      <c r="AP100" s="5" t="s">
        <v>66</v>
      </c>
      <c r="AQ100" s="5" t="s">
        <v>66</v>
      </c>
      <c r="AR100" s="5" t="s">
        <v>66</v>
      </c>
      <c r="AS100" s="5" t="s">
        <v>66</v>
      </c>
      <c r="AT100" s="5" t="s">
        <v>66</v>
      </c>
      <c r="AU100" s="5" t="s">
        <v>66</v>
      </c>
      <c r="AV100" s="5" t="s">
        <v>66</v>
      </c>
      <c r="AW100" s="5" t="s">
        <v>66</v>
      </c>
      <c r="AX100" s="5" t="s">
        <v>901</v>
      </c>
      <c r="AY100" s="5" t="s">
        <v>69</v>
      </c>
      <c r="AZ100" s="5" t="s">
        <v>145</v>
      </c>
      <c r="BA100" s="19">
        <v>100</v>
      </c>
      <c r="BB100" s="17" t="s">
        <v>69</v>
      </c>
      <c r="BC100" s="5" t="s">
        <v>901</v>
      </c>
      <c r="BD100" s="5" t="s">
        <v>1439</v>
      </c>
    </row>
    <row r="101" spans="1:56" ht="36" hidden="1" x14ac:dyDescent="0.25">
      <c r="A101" s="78" t="s">
        <v>1352</v>
      </c>
      <c r="B101" s="5" t="s">
        <v>1353</v>
      </c>
      <c r="C101" s="5" t="s">
        <v>3293</v>
      </c>
      <c r="D101" s="5" t="s">
        <v>56</v>
      </c>
      <c r="E101" s="99" t="str">
        <f>VLOOKUP(D101,'Dropdown List'!$F$26:$G$40,2,0)</f>
        <v>India</v>
      </c>
      <c r="F101" s="8" t="s">
        <v>1354</v>
      </c>
      <c r="G101" s="96">
        <v>6</v>
      </c>
      <c r="H101" s="5" t="s">
        <v>57</v>
      </c>
      <c r="I101" s="8" t="s">
        <v>58</v>
      </c>
      <c r="J101" s="8" t="s">
        <v>59</v>
      </c>
      <c r="K101" s="8" t="s">
        <v>86</v>
      </c>
      <c r="L101" s="8" t="s">
        <v>1451</v>
      </c>
      <c r="M101" s="8" t="s">
        <v>1452</v>
      </c>
      <c r="N101" s="5" t="s">
        <v>1034</v>
      </c>
      <c r="O101" s="5" t="s">
        <v>61</v>
      </c>
      <c r="P101" s="5" t="s">
        <v>1358</v>
      </c>
      <c r="Q101" s="9" t="s">
        <v>418</v>
      </c>
      <c r="R101" s="5" t="s">
        <v>76</v>
      </c>
      <c r="S101" s="5" t="s">
        <v>90</v>
      </c>
      <c r="T101" s="96">
        <v>1</v>
      </c>
      <c r="U101" s="96">
        <v>3</v>
      </c>
      <c r="V101" s="96">
        <v>3</v>
      </c>
      <c r="W101" s="5" t="s">
        <v>78</v>
      </c>
      <c r="X101" s="10" t="s">
        <v>79</v>
      </c>
      <c r="Y101" s="11">
        <v>1.3043522102528782</v>
      </c>
      <c r="Z101" s="12">
        <v>0.25</v>
      </c>
      <c r="AA101" s="12">
        <v>2.9815146094215862E-2</v>
      </c>
      <c r="AB101" s="12">
        <v>2.9815146094215862E-2</v>
      </c>
      <c r="AC101" s="13">
        <v>1.2224209898628504</v>
      </c>
      <c r="AD101" s="14">
        <f t="shared" si="4"/>
        <v>1.5320512820512822</v>
      </c>
      <c r="AE101" s="15">
        <f t="shared" si="5"/>
        <v>0.79789821932470562</v>
      </c>
      <c r="AF101" s="16">
        <v>79</v>
      </c>
      <c r="AG101" s="16" t="s">
        <v>66</v>
      </c>
      <c r="AH101" s="17" t="s">
        <v>1435</v>
      </c>
      <c r="AI101" s="18">
        <v>7.03</v>
      </c>
      <c r="AJ101" s="19">
        <v>0.98</v>
      </c>
      <c r="AK101" s="20">
        <v>0.98</v>
      </c>
      <c r="AL101" s="17" t="s">
        <v>261</v>
      </c>
      <c r="AM101" s="5" t="s">
        <v>66</v>
      </c>
      <c r="AN101" s="5" t="s">
        <v>66</v>
      </c>
      <c r="AO101" s="5" t="s">
        <v>66</v>
      </c>
      <c r="AP101" s="5" t="s">
        <v>66</v>
      </c>
      <c r="AQ101" s="5" t="s">
        <v>66</v>
      </c>
      <c r="AR101" s="5" t="s">
        <v>66</v>
      </c>
      <c r="AS101" s="5" t="s">
        <v>66</v>
      </c>
      <c r="AT101" s="5" t="s">
        <v>66</v>
      </c>
      <c r="AU101" s="5" t="s">
        <v>66</v>
      </c>
      <c r="AV101" s="5" t="s">
        <v>66</v>
      </c>
      <c r="AW101" s="5" t="s">
        <v>66</v>
      </c>
      <c r="AX101" s="5" t="s">
        <v>901</v>
      </c>
      <c r="AY101" s="5" t="s">
        <v>69</v>
      </c>
      <c r="AZ101" s="5" t="s">
        <v>145</v>
      </c>
      <c r="BA101" s="19">
        <v>100</v>
      </c>
      <c r="BB101" s="17" t="s">
        <v>69</v>
      </c>
      <c r="BC101" s="5" t="s">
        <v>901</v>
      </c>
      <c r="BD101" s="5" t="s">
        <v>1439</v>
      </c>
    </row>
    <row r="102" spans="1:56" ht="36" hidden="1" x14ac:dyDescent="0.25">
      <c r="A102" s="78" t="s">
        <v>1352</v>
      </c>
      <c r="B102" s="5" t="s">
        <v>1353</v>
      </c>
      <c r="C102" s="5" t="s">
        <v>3293</v>
      </c>
      <c r="D102" s="5" t="s">
        <v>56</v>
      </c>
      <c r="E102" s="99" t="str">
        <f>VLOOKUP(D102,'Dropdown List'!$F$26:$G$40,2,0)</f>
        <v>India</v>
      </c>
      <c r="F102" s="8" t="s">
        <v>1354</v>
      </c>
      <c r="G102" s="96">
        <v>6</v>
      </c>
      <c r="H102" s="5" t="s">
        <v>57</v>
      </c>
      <c r="I102" s="8" t="s">
        <v>58</v>
      </c>
      <c r="J102" s="8" t="s">
        <v>396</v>
      </c>
      <c r="K102" s="8" t="s">
        <v>1453</v>
      </c>
      <c r="L102" s="8" t="s">
        <v>1454</v>
      </c>
      <c r="M102" s="8" t="s">
        <v>1455</v>
      </c>
      <c r="N102" s="5" t="s">
        <v>1034</v>
      </c>
      <c r="O102" s="5" t="s">
        <v>61</v>
      </c>
      <c r="P102" s="5" t="s">
        <v>1358</v>
      </c>
      <c r="Q102" s="9" t="s">
        <v>418</v>
      </c>
      <c r="R102" s="5" t="s">
        <v>76</v>
      </c>
      <c r="S102" s="5" t="s">
        <v>334</v>
      </c>
      <c r="T102" s="96">
        <v>1</v>
      </c>
      <c r="U102" s="96">
        <v>3</v>
      </c>
      <c r="V102" s="96">
        <v>3</v>
      </c>
      <c r="W102" s="5" t="s">
        <v>78</v>
      </c>
      <c r="X102" s="10" t="s">
        <v>79</v>
      </c>
      <c r="Y102" s="11">
        <v>1.3425167416291901</v>
      </c>
      <c r="Z102" s="12">
        <v>0.25</v>
      </c>
      <c r="AA102" s="12">
        <v>2.9815146094215862E-2</v>
      </c>
      <c r="AB102" s="12">
        <v>2.9815146094215862E-2</v>
      </c>
      <c r="AC102" s="13">
        <v>1.2224209898628504</v>
      </c>
      <c r="AD102" s="14">
        <f t="shared" si="4"/>
        <v>1.5320512820512822</v>
      </c>
      <c r="AE102" s="15">
        <f t="shared" si="5"/>
        <v>0.79789821932470562</v>
      </c>
      <c r="AF102" s="16">
        <v>44</v>
      </c>
      <c r="AG102" s="16" t="s">
        <v>66</v>
      </c>
      <c r="AH102" s="17" t="s">
        <v>1435</v>
      </c>
      <c r="AI102" s="18">
        <v>5.5</v>
      </c>
      <c r="AJ102" s="19">
        <v>0.98</v>
      </c>
      <c r="AK102" s="20">
        <v>0.98</v>
      </c>
      <c r="AL102" s="17" t="s">
        <v>261</v>
      </c>
      <c r="AM102" s="5" t="s">
        <v>66</v>
      </c>
      <c r="AN102" s="5" t="s">
        <v>66</v>
      </c>
      <c r="AO102" s="5" t="s">
        <v>66</v>
      </c>
      <c r="AP102" s="5" t="s">
        <v>66</v>
      </c>
      <c r="AQ102" s="5" t="s">
        <v>66</v>
      </c>
      <c r="AR102" s="5" t="s">
        <v>66</v>
      </c>
      <c r="AS102" s="5" t="s">
        <v>66</v>
      </c>
      <c r="AT102" s="5" t="s">
        <v>66</v>
      </c>
      <c r="AU102" s="5" t="s">
        <v>66</v>
      </c>
      <c r="AV102" s="5" t="s">
        <v>66</v>
      </c>
      <c r="AW102" s="5" t="s">
        <v>66</v>
      </c>
      <c r="AX102" s="5" t="s">
        <v>901</v>
      </c>
      <c r="AY102" s="5" t="s">
        <v>69</v>
      </c>
      <c r="AZ102" s="5" t="s">
        <v>145</v>
      </c>
      <c r="BA102" s="19">
        <v>100</v>
      </c>
      <c r="BB102" s="17" t="s">
        <v>69</v>
      </c>
      <c r="BC102" s="5" t="s">
        <v>901</v>
      </c>
      <c r="BD102" s="5" t="s">
        <v>1439</v>
      </c>
    </row>
    <row r="103" spans="1:56" ht="36" hidden="1" x14ac:dyDescent="0.25">
      <c r="A103" s="78" t="s">
        <v>1352</v>
      </c>
      <c r="B103" s="5" t="s">
        <v>1353</v>
      </c>
      <c r="C103" s="5" t="s">
        <v>3293</v>
      </c>
      <c r="D103" s="5" t="s">
        <v>56</v>
      </c>
      <c r="E103" s="99" t="str">
        <f>VLOOKUP(D103,'Dropdown List'!$F$26:$G$40,2,0)</f>
        <v>India</v>
      </c>
      <c r="F103" s="8" t="s">
        <v>1354</v>
      </c>
      <c r="G103" s="96">
        <v>6</v>
      </c>
      <c r="H103" s="5" t="s">
        <v>57</v>
      </c>
      <c r="I103" s="8" t="s">
        <v>58</v>
      </c>
      <c r="J103" s="8" t="s">
        <v>396</v>
      </c>
      <c r="K103" s="8" t="s">
        <v>1453</v>
      </c>
      <c r="L103" s="8" t="s">
        <v>1456</v>
      </c>
      <c r="M103" s="8" t="s">
        <v>1457</v>
      </c>
      <c r="N103" s="5" t="s">
        <v>1034</v>
      </c>
      <c r="O103" s="5" t="s">
        <v>61</v>
      </c>
      <c r="P103" s="5" t="s">
        <v>1358</v>
      </c>
      <c r="Q103" s="9" t="s">
        <v>418</v>
      </c>
      <c r="R103" s="5" t="s">
        <v>76</v>
      </c>
      <c r="S103" s="5" t="s">
        <v>64</v>
      </c>
      <c r="T103" s="96">
        <v>1</v>
      </c>
      <c r="U103" s="96">
        <v>3</v>
      </c>
      <c r="V103" s="96">
        <v>3</v>
      </c>
      <c r="W103" s="5" t="s">
        <v>78</v>
      </c>
      <c r="X103" s="10" t="s">
        <v>79</v>
      </c>
      <c r="Y103" s="11">
        <v>0.16550357919702599</v>
      </c>
      <c r="Z103" s="12">
        <v>1</v>
      </c>
      <c r="AA103" s="12">
        <v>2.9815146094215862E-2</v>
      </c>
      <c r="AB103" s="12">
        <v>2.9815146094215862E-2</v>
      </c>
      <c r="AC103" s="13">
        <v>1.2224209898628504</v>
      </c>
      <c r="AD103" s="14">
        <f t="shared" si="4"/>
        <v>2.2820512820512819</v>
      </c>
      <c r="AE103" s="15">
        <f t="shared" si="5"/>
        <v>0.53566762477136143</v>
      </c>
      <c r="AF103" s="16">
        <v>1200</v>
      </c>
      <c r="AG103" s="16" t="s">
        <v>66</v>
      </c>
      <c r="AH103" s="17" t="s">
        <v>1435</v>
      </c>
      <c r="AI103" s="18">
        <v>3.0141717706971298</v>
      </c>
      <c r="AJ103" s="19">
        <v>0.98</v>
      </c>
      <c r="AK103" s="20">
        <v>0.98</v>
      </c>
      <c r="AL103" s="17" t="s">
        <v>261</v>
      </c>
      <c r="AM103" s="5" t="s">
        <v>66</v>
      </c>
      <c r="AN103" s="5" t="s">
        <v>66</v>
      </c>
      <c r="AO103" s="5" t="s">
        <v>66</v>
      </c>
      <c r="AP103" s="5" t="s">
        <v>66</v>
      </c>
      <c r="AQ103" s="5" t="s">
        <v>66</v>
      </c>
      <c r="AR103" s="5" t="s">
        <v>66</v>
      </c>
      <c r="AS103" s="5" t="s">
        <v>66</v>
      </c>
      <c r="AT103" s="5" t="s">
        <v>66</v>
      </c>
      <c r="AU103" s="5" t="s">
        <v>66</v>
      </c>
      <c r="AV103" s="5" t="s">
        <v>66</v>
      </c>
      <c r="AW103" s="5" t="s">
        <v>66</v>
      </c>
      <c r="AX103" s="5" t="s">
        <v>901</v>
      </c>
      <c r="AY103" s="5" t="s">
        <v>69</v>
      </c>
      <c r="AZ103" s="5" t="s">
        <v>145</v>
      </c>
      <c r="BA103" s="19">
        <v>100</v>
      </c>
      <c r="BB103" s="17" t="s">
        <v>69</v>
      </c>
      <c r="BC103" s="5" t="s">
        <v>901</v>
      </c>
      <c r="BD103" s="5" t="s">
        <v>1439</v>
      </c>
    </row>
    <row r="104" spans="1:56" ht="36" hidden="1" x14ac:dyDescent="0.25">
      <c r="A104" s="78" t="s">
        <v>1352</v>
      </c>
      <c r="B104" s="5" t="s">
        <v>1353</v>
      </c>
      <c r="C104" s="5" t="s">
        <v>3293</v>
      </c>
      <c r="D104" s="5" t="s">
        <v>56</v>
      </c>
      <c r="E104" s="99" t="str">
        <f>VLOOKUP(D104,'Dropdown List'!$F$26:$G$40,2,0)</f>
        <v>India</v>
      </c>
      <c r="F104" s="8" t="s">
        <v>1354</v>
      </c>
      <c r="G104" s="96">
        <v>6</v>
      </c>
      <c r="H104" s="5" t="s">
        <v>57</v>
      </c>
      <c r="I104" s="8" t="s">
        <v>58</v>
      </c>
      <c r="J104" s="8" t="s">
        <v>396</v>
      </c>
      <c r="K104" s="8" t="s">
        <v>1453</v>
      </c>
      <c r="L104" s="8" t="s">
        <v>1458</v>
      </c>
      <c r="M104" s="8" t="s">
        <v>1459</v>
      </c>
      <c r="N104" s="5" t="s">
        <v>1034</v>
      </c>
      <c r="O104" s="5" t="s">
        <v>61</v>
      </c>
      <c r="P104" s="5" t="s">
        <v>1358</v>
      </c>
      <c r="Q104" s="9" t="s">
        <v>418</v>
      </c>
      <c r="R104" s="5" t="s">
        <v>76</v>
      </c>
      <c r="S104" s="5" t="s">
        <v>90</v>
      </c>
      <c r="T104" s="96">
        <v>1</v>
      </c>
      <c r="U104" s="96">
        <v>3</v>
      </c>
      <c r="V104" s="96">
        <v>3</v>
      </c>
      <c r="W104" s="5" t="s">
        <v>78</v>
      </c>
      <c r="X104" s="10" t="s">
        <v>79</v>
      </c>
      <c r="Y104" s="11">
        <v>3.024318431372548</v>
      </c>
      <c r="Z104" s="12">
        <v>0.25</v>
      </c>
      <c r="AA104" s="12">
        <v>2.9815146094215862E-2</v>
      </c>
      <c r="AB104" s="12">
        <v>2.9815146094215862E-2</v>
      </c>
      <c r="AC104" s="13">
        <v>1.2224209898628504</v>
      </c>
      <c r="AD104" s="14">
        <f t="shared" si="4"/>
        <v>1.5320512820512822</v>
      </c>
      <c r="AE104" s="15">
        <f t="shared" si="5"/>
        <v>0.79789821932470562</v>
      </c>
      <c r="AF104" s="16">
        <v>18</v>
      </c>
      <c r="AG104" s="16" t="s">
        <v>66</v>
      </c>
      <c r="AH104" s="17" t="s">
        <v>1435</v>
      </c>
      <c r="AI104" s="18">
        <v>16.059999999999999</v>
      </c>
      <c r="AJ104" s="19">
        <v>0.98</v>
      </c>
      <c r="AK104" s="20">
        <v>0.98</v>
      </c>
      <c r="AL104" s="17" t="s">
        <v>261</v>
      </c>
      <c r="AM104" s="5" t="s">
        <v>66</v>
      </c>
      <c r="AN104" s="5" t="s">
        <v>66</v>
      </c>
      <c r="AO104" s="5" t="s">
        <v>66</v>
      </c>
      <c r="AP104" s="5" t="s">
        <v>66</v>
      </c>
      <c r="AQ104" s="5" t="s">
        <v>66</v>
      </c>
      <c r="AR104" s="5" t="s">
        <v>66</v>
      </c>
      <c r="AS104" s="5" t="s">
        <v>66</v>
      </c>
      <c r="AT104" s="5" t="s">
        <v>66</v>
      </c>
      <c r="AU104" s="5" t="s">
        <v>66</v>
      </c>
      <c r="AV104" s="5" t="s">
        <v>66</v>
      </c>
      <c r="AW104" s="5" t="s">
        <v>66</v>
      </c>
      <c r="AX104" s="5" t="s">
        <v>901</v>
      </c>
      <c r="AY104" s="5" t="s">
        <v>69</v>
      </c>
      <c r="AZ104" s="5" t="s">
        <v>145</v>
      </c>
      <c r="BA104" s="19">
        <v>100</v>
      </c>
      <c r="BB104" s="17" t="s">
        <v>69</v>
      </c>
      <c r="BC104" s="5" t="s">
        <v>901</v>
      </c>
      <c r="BD104" s="5" t="s">
        <v>1439</v>
      </c>
    </row>
    <row r="105" spans="1:56" ht="60" hidden="1" x14ac:dyDescent="0.25">
      <c r="A105" s="78" t="s">
        <v>1352</v>
      </c>
      <c r="B105" s="5" t="s">
        <v>1353</v>
      </c>
      <c r="C105" s="5" t="s">
        <v>3293</v>
      </c>
      <c r="D105" s="5" t="s">
        <v>56</v>
      </c>
      <c r="E105" s="99" t="str">
        <f>VLOOKUP(D105,'Dropdown List'!$F$26:$G$40,2,0)</f>
        <v>India</v>
      </c>
      <c r="F105" s="8" t="s">
        <v>1354</v>
      </c>
      <c r="G105" s="96">
        <v>6</v>
      </c>
      <c r="H105" s="5" t="s">
        <v>57</v>
      </c>
      <c r="I105" s="8" t="s">
        <v>58</v>
      </c>
      <c r="J105" s="8" t="s">
        <v>881</v>
      </c>
      <c r="K105" s="8" t="s">
        <v>1187</v>
      </c>
      <c r="L105" s="8" t="s">
        <v>1053</v>
      </c>
      <c r="M105" s="8" t="s">
        <v>1460</v>
      </c>
      <c r="N105" s="5" t="s">
        <v>1034</v>
      </c>
      <c r="O105" s="5" t="s">
        <v>61</v>
      </c>
      <c r="P105" s="5" t="s">
        <v>1358</v>
      </c>
      <c r="Q105" s="9" t="s">
        <v>418</v>
      </c>
      <c r="R105" s="5" t="s">
        <v>76</v>
      </c>
      <c r="S105" s="5" t="s">
        <v>64</v>
      </c>
      <c r="T105" s="96">
        <v>1</v>
      </c>
      <c r="U105" s="96">
        <v>2</v>
      </c>
      <c r="V105" s="96">
        <v>3</v>
      </c>
      <c r="W105" s="5" t="s">
        <v>78</v>
      </c>
      <c r="X105" s="10" t="s">
        <v>79</v>
      </c>
      <c r="Y105" s="11">
        <v>11.850603985045082</v>
      </c>
      <c r="Z105" s="12">
        <v>4.8600000000000003</v>
      </c>
      <c r="AA105" s="12">
        <v>0</v>
      </c>
      <c r="AB105" s="12">
        <v>8.3333333333333329E-2</v>
      </c>
      <c r="AC105" s="13">
        <v>5</v>
      </c>
      <c r="AD105" s="14">
        <f t="shared" si="4"/>
        <v>9.9433333333333334</v>
      </c>
      <c r="AE105" s="15">
        <f t="shared" si="5"/>
        <v>0.50284948038887023</v>
      </c>
      <c r="AF105" s="16">
        <v>764</v>
      </c>
      <c r="AG105" s="16" t="s">
        <v>66</v>
      </c>
      <c r="AH105" s="17" t="s">
        <v>66</v>
      </c>
      <c r="AI105" s="18">
        <v>61.9</v>
      </c>
      <c r="AJ105" s="19">
        <v>0.98</v>
      </c>
      <c r="AK105" s="20">
        <v>0.97</v>
      </c>
      <c r="AL105" s="17" t="s">
        <v>261</v>
      </c>
      <c r="AM105" s="5" t="s">
        <v>66</v>
      </c>
      <c r="AN105" s="5" t="s">
        <v>66</v>
      </c>
      <c r="AO105" s="5" t="s">
        <v>66</v>
      </c>
      <c r="AP105" s="5" t="s">
        <v>66</v>
      </c>
      <c r="AQ105" s="5" t="s">
        <v>66</v>
      </c>
      <c r="AR105" s="5" t="s">
        <v>66</v>
      </c>
      <c r="AS105" s="5" t="s">
        <v>66</v>
      </c>
      <c r="AT105" s="5" t="s">
        <v>66</v>
      </c>
      <c r="AU105" s="5" t="s">
        <v>66</v>
      </c>
      <c r="AV105" s="5" t="s">
        <v>66</v>
      </c>
      <c r="AW105" s="5" t="s">
        <v>66</v>
      </c>
      <c r="AX105" s="5" t="s">
        <v>901</v>
      </c>
      <c r="AY105" s="5" t="s">
        <v>1359</v>
      </c>
      <c r="AZ105" s="5" t="s">
        <v>145</v>
      </c>
      <c r="BA105" s="19">
        <v>100</v>
      </c>
      <c r="BB105" s="17" t="s">
        <v>1359</v>
      </c>
      <c r="BC105" s="5" t="s">
        <v>901</v>
      </c>
      <c r="BD105" s="5" t="s">
        <v>1461</v>
      </c>
    </row>
    <row r="106" spans="1:56" ht="36" hidden="1" x14ac:dyDescent="0.25">
      <c r="A106" s="78" t="s">
        <v>1352</v>
      </c>
      <c r="B106" s="5" t="s">
        <v>1353</v>
      </c>
      <c r="C106" s="5" t="s">
        <v>3293</v>
      </c>
      <c r="D106" s="5" t="s">
        <v>56</v>
      </c>
      <c r="E106" s="99" t="str">
        <f>VLOOKUP(D106,'Dropdown List'!$F$26:$G$40,2,0)</f>
        <v>India</v>
      </c>
      <c r="F106" s="8" t="s">
        <v>1354</v>
      </c>
      <c r="G106" s="96">
        <v>6</v>
      </c>
      <c r="H106" s="5" t="s">
        <v>57</v>
      </c>
      <c r="I106" s="8" t="s">
        <v>58</v>
      </c>
      <c r="J106" s="8" t="s">
        <v>146</v>
      </c>
      <c r="K106" s="8" t="s">
        <v>147</v>
      </c>
      <c r="L106" s="8" t="s">
        <v>1462</v>
      </c>
      <c r="M106" s="8" t="s">
        <v>1463</v>
      </c>
      <c r="N106" s="5" t="s">
        <v>1034</v>
      </c>
      <c r="O106" s="5" t="s">
        <v>61</v>
      </c>
      <c r="P106" s="5" t="s">
        <v>1358</v>
      </c>
      <c r="Q106" s="9" t="s">
        <v>418</v>
      </c>
      <c r="R106" s="5" t="s">
        <v>76</v>
      </c>
      <c r="S106" s="5" t="s">
        <v>334</v>
      </c>
      <c r="T106" s="96">
        <v>1</v>
      </c>
      <c r="U106" s="96">
        <v>1</v>
      </c>
      <c r="V106" s="96">
        <v>1</v>
      </c>
      <c r="W106" s="5" t="s">
        <v>78</v>
      </c>
      <c r="X106" s="10" t="s">
        <v>79</v>
      </c>
      <c r="Y106" s="11">
        <v>0.75850995112883368</v>
      </c>
      <c r="Z106" s="12">
        <v>1.97</v>
      </c>
      <c r="AA106" s="12">
        <v>0</v>
      </c>
      <c r="AB106" s="12">
        <v>8.3333333333333329E-2</v>
      </c>
      <c r="AC106" s="13">
        <v>2</v>
      </c>
      <c r="AD106" s="14">
        <f t="shared" si="4"/>
        <v>4.0533333333333328</v>
      </c>
      <c r="AE106" s="15">
        <f t="shared" si="5"/>
        <v>0.49342105263157904</v>
      </c>
      <c r="AF106" s="16">
        <v>4251</v>
      </c>
      <c r="AG106" s="16" t="s">
        <v>66</v>
      </c>
      <c r="AH106" s="17" t="s">
        <v>66</v>
      </c>
      <c r="AI106" s="18">
        <v>3</v>
      </c>
      <c r="AJ106" s="19">
        <v>0.98</v>
      </c>
      <c r="AK106" s="20">
        <v>0.97</v>
      </c>
      <c r="AL106" s="17" t="s">
        <v>261</v>
      </c>
      <c r="AM106" s="5" t="s">
        <v>66</v>
      </c>
      <c r="AN106" s="5" t="s">
        <v>66</v>
      </c>
      <c r="AO106" s="5" t="s">
        <v>66</v>
      </c>
      <c r="AP106" s="5" t="s">
        <v>66</v>
      </c>
      <c r="AQ106" s="5" t="s">
        <v>66</v>
      </c>
      <c r="AR106" s="5" t="s">
        <v>66</v>
      </c>
      <c r="AS106" s="5" t="s">
        <v>66</v>
      </c>
      <c r="AT106" s="5" t="s">
        <v>66</v>
      </c>
      <c r="AU106" s="5" t="s">
        <v>66</v>
      </c>
      <c r="AV106" s="5" t="s">
        <v>66</v>
      </c>
      <c r="AW106" s="5" t="s">
        <v>66</v>
      </c>
      <c r="AX106" s="5" t="s">
        <v>901</v>
      </c>
      <c r="AY106" s="5" t="s">
        <v>1359</v>
      </c>
      <c r="AZ106" s="5" t="s">
        <v>145</v>
      </c>
      <c r="BA106" s="19">
        <v>100</v>
      </c>
      <c r="BB106" s="17" t="s">
        <v>1359</v>
      </c>
      <c r="BC106" s="5" t="s">
        <v>901</v>
      </c>
      <c r="BD106" s="5" t="s">
        <v>1359</v>
      </c>
    </row>
    <row r="107" spans="1:56" ht="24" hidden="1" x14ac:dyDescent="0.25">
      <c r="A107" s="78" t="s">
        <v>1352</v>
      </c>
      <c r="B107" s="5" t="s">
        <v>1353</v>
      </c>
      <c r="C107" s="5" t="s">
        <v>3293</v>
      </c>
      <c r="D107" s="5" t="s">
        <v>56</v>
      </c>
      <c r="E107" s="99" t="str">
        <f>VLOOKUP(D107,'Dropdown List'!$F$26:$G$40,2,0)</f>
        <v>India</v>
      </c>
      <c r="F107" s="8" t="s">
        <v>1354</v>
      </c>
      <c r="G107" s="96">
        <v>6</v>
      </c>
      <c r="H107" s="5" t="s">
        <v>57</v>
      </c>
      <c r="I107" s="8" t="s">
        <v>58</v>
      </c>
      <c r="J107" s="8" t="s">
        <v>146</v>
      </c>
      <c r="K107" s="8" t="s">
        <v>267</v>
      </c>
      <c r="L107" s="8" t="s">
        <v>1464</v>
      </c>
      <c r="M107" s="8" t="s">
        <v>1465</v>
      </c>
      <c r="N107" s="5" t="s">
        <v>1034</v>
      </c>
      <c r="O107" s="5" t="s">
        <v>61</v>
      </c>
      <c r="P107" s="5" t="s">
        <v>1466</v>
      </c>
      <c r="Q107" s="9" t="s">
        <v>418</v>
      </c>
      <c r="R107" s="5" t="s">
        <v>76</v>
      </c>
      <c r="S107" s="5" t="s">
        <v>90</v>
      </c>
      <c r="T107" s="96">
        <v>1</v>
      </c>
      <c r="U107" s="96">
        <v>2</v>
      </c>
      <c r="V107" s="96">
        <v>3</v>
      </c>
      <c r="W107" s="5" t="s">
        <v>78</v>
      </c>
      <c r="X107" s="10" t="s">
        <v>79</v>
      </c>
      <c r="Y107" s="11">
        <v>1.3922597147073288</v>
      </c>
      <c r="Z107" s="12">
        <v>5</v>
      </c>
      <c r="AA107" s="12">
        <v>0</v>
      </c>
      <c r="AB107" s="12">
        <v>8.3333333333333329E-2</v>
      </c>
      <c r="AC107" s="13">
        <v>5</v>
      </c>
      <c r="AD107" s="14">
        <f t="shared" si="4"/>
        <v>10.083333333333332</v>
      </c>
      <c r="AE107" s="15">
        <f t="shared" si="5"/>
        <v>0.49586776859504139</v>
      </c>
      <c r="AF107" s="16">
        <v>6796</v>
      </c>
      <c r="AG107" s="16" t="s">
        <v>66</v>
      </c>
      <c r="AH107" s="17" t="s">
        <v>66</v>
      </c>
      <c r="AI107" s="18">
        <v>7</v>
      </c>
      <c r="AJ107" s="19">
        <v>0.97</v>
      </c>
      <c r="AK107" s="20">
        <v>0.97</v>
      </c>
      <c r="AL107" s="17" t="s">
        <v>261</v>
      </c>
      <c r="AM107" s="5" t="s">
        <v>66</v>
      </c>
      <c r="AN107" s="5" t="s">
        <v>66</v>
      </c>
      <c r="AO107" s="5" t="s">
        <v>66</v>
      </c>
      <c r="AP107" s="5" t="s">
        <v>66</v>
      </c>
      <c r="AQ107" s="5" t="s">
        <v>66</v>
      </c>
      <c r="AR107" s="5" t="s">
        <v>66</v>
      </c>
      <c r="AS107" s="5" t="s">
        <v>66</v>
      </c>
      <c r="AT107" s="5" t="s">
        <v>66</v>
      </c>
      <c r="AU107" s="5" t="s">
        <v>66</v>
      </c>
      <c r="AV107" s="5" t="s">
        <v>66</v>
      </c>
      <c r="AW107" s="5" t="s">
        <v>66</v>
      </c>
      <c r="AX107" s="5" t="s">
        <v>901</v>
      </c>
      <c r="AY107" s="5" t="s">
        <v>1359</v>
      </c>
      <c r="AZ107" s="5" t="s">
        <v>145</v>
      </c>
      <c r="BA107" s="19">
        <v>100</v>
      </c>
      <c r="BB107" s="17" t="s">
        <v>1359</v>
      </c>
      <c r="BC107" s="5" t="s">
        <v>901</v>
      </c>
      <c r="BD107" s="5" t="s">
        <v>1467</v>
      </c>
    </row>
    <row r="108" spans="1:56" ht="24" hidden="1" x14ac:dyDescent="0.25">
      <c r="A108" s="78" t="s">
        <v>1352</v>
      </c>
      <c r="B108" s="5" t="s">
        <v>1353</v>
      </c>
      <c r="C108" s="5" t="s">
        <v>3293</v>
      </c>
      <c r="D108" s="5" t="s">
        <v>56</v>
      </c>
      <c r="E108" s="99" t="str">
        <f>VLOOKUP(D108,'Dropdown List'!$F$26:$G$40,2,0)</f>
        <v>India</v>
      </c>
      <c r="F108" s="8" t="s">
        <v>1354</v>
      </c>
      <c r="G108" s="96">
        <v>6</v>
      </c>
      <c r="H108" s="5" t="s">
        <v>57</v>
      </c>
      <c r="I108" s="8" t="s">
        <v>58</v>
      </c>
      <c r="J108" s="8" t="s">
        <v>396</v>
      </c>
      <c r="K108" s="8" t="s">
        <v>1468</v>
      </c>
      <c r="L108" s="8" t="s">
        <v>1469</v>
      </c>
      <c r="M108" s="8" t="s">
        <v>1470</v>
      </c>
      <c r="N108" s="5" t="s">
        <v>1034</v>
      </c>
      <c r="O108" s="5" t="s">
        <v>61</v>
      </c>
      <c r="P108" s="5" t="s">
        <v>281</v>
      </c>
      <c r="Q108" s="9" t="s">
        <v>418</v>
      </c>
      <c r="R108" s="5" t="s">
        <v>76</v>
      </c>
      <c r="S108" s="5" t="s">
        <v>90</v>
      </c>
      <c r="T108" s="96">
        <v>1</v>
      </c>
      <c r="U108" s="96">
        <v>3</v>
      </c>
      <c r="V108" s="96">
        <v>3</v>
      </c>
      <c r="W108" s="5" t="s">
        <v>78</v>
      </c>
      <c r="X108" s="10" t="s">
        <v>79</v>
      </c>
      <c r="Y108" s="11">
        <v>1.0866731707317074</v>
      </c>
      <c r="Z108" s="12">
        <v>5</v>
      </c>
      <c r="AA108" s="12">
        <v>0.3</v>
      </c>
      <c r="AB108" s="12">
        <v>0.11</v>
      </c>
      <c r="AC108" s="13">
        <v>5</v>
      </c>
      <c r="AD108" s="14">
        <f t="shared" si="4"/>
        <v>10.41</v>
      </c>
      <c r="AE108" s="15">
        <f t="shared" si="5"/>
        <v>0.48030739673390971</v>
      </c>
      <c r="AF108" s="16">
        <v>10000</v>
      </c>
      <c r="AG108" s="16" t="s">
        <v>66</v>
      </c>
      <c r="AH108" s="17" t="s">
        <v>66</v>
      </c>
      <c r="AI108" s="18">
        <v>5</v>
      </c>
      <c r="AJ108" s="19">
        <v>0.97</v>
      </c>
      <c r="AK108" s="20">
        <v>0.97</v>
      </c>
      <c r="AL108" s="17" t="s">
        <v>261</v>
      </c>
      <c r="AM108" s="5" t="s">
        <v>66</v>
      </c>
      <c r="AN108" s="5" t="s">
        <v>66</v>
      </c>
      <c r="AO108" s="5" t="s">
        <v>66</v>
      </c>
      <c r="AP108" s="5" t="s">
        <v>66</v>
      </c>
      <c r="AQ108" s="5" t="s">
        <v>66</v>
      </c>
      <c r="AR108" s="5" t="s">
        <v>66</v>
      </c>
      <c r="AS108" s="5" t="s">
        <v>66</v>
      </c>
      <c r="AT108" s="5" t="s">
        <v>66</v>
      </c>
      <c r="AU108" s="5" t="s">
        <v>66</v>
      </c>
      <c r="AV108" s="5" t="s">
        <v>66</v>
      </c>
      <c r="AW108" s="5" t="s">
        <v>66</v>
      </c>
      <c r="AX108" s="5"/>
      <c r="AY108" s="5" t="s">
        <v>110</v>
      </c>
      <c r="AZ108" s="5" t="s">
        <v>80</v>
      </c>
      <c r="BA108" s="19">
        <v>100</v>
      </c>
      <c r="BB108" s="17" t="s">
        <v>1471</v>
      </c>
      <c r="BC108" s="5"/>
      <c r="BD108" s="5" t="s">
        <v>1471</v>
      </c>
    </row>
    <row r="109" spans="1:56" ht="60" hidden="1" x14ac:dyDescent="0.25">
      <c r="A109" s="78" t="s">
        <v>1352</v>
      </c>
      <c r="B109" s="5" t="s">
        <v>1353</v>
      </c>
      <c r="C109" s="5" t="s">
        <v>3293</v>
      </c>
      <c r="D109" s="5" t="s">
        <v>56</v>
      </c>
      <c r="E109" s="99" t="str">
        <f>VLOOKUP(D109,'Dropdown List'!$F$26:$G$40,2,0)</f>
        <v>India</v>
      </c>
      <c r="F109" s="8" t="s">
        <v>1354</v>
      </c>
      <c r="G109" s="96">
        <v>6</v>
      </c>
      <c r="H109" s="5" t="s">
        <v>57</v>
      </c>
      <c r="I109" s="8" t="s">
        <v>58</v>
      </c>
      <c r="J109" s="8" t="s">
        <v>396</v>
      </c>
      <c r="K109" s="8" t="s">
        <v>1472</v>
      </c>
      <c r="L109" s="8" t="s">
        <v>1473</v>
      </c>
      <c r="M109" s="8" t="s">
        <v>1474</v>
      </c>
      <c r="N109" s="5" t="s">
        <v>1034</v>
      </c>
      <c r="O109" s="5" t="s">
        <v>61</v>
      </c>
      <c r="P109" s="5" t="s">
        <v>1475</v>
      </c>
      <c r="Q109" s="9" t="s">
        <v>418</v>
      </c>
      <c r="R109" s="5" t="s">
        <v>76</v>
      </c>
      <c r="S109" s="5" t="s">
        <v>334</v>
      </c>
      <c r="T109" s="96">
        <v>1</v>
      </c>
      <c r="U109" s="96">
        <v>3</v>
      </c>
      <c r="V109" s="96">
        <v>3</v>
      </c>
      <c r="W109" s="5" t="s">
        <v>78</v>
      </c>
      <c r="X109" s="10" t="s">
        <v>79</v>
      </c>
      <c r="Y109" s="11">
        <v>3.47</v>
      </c>
      <c r="Z109" s="12">
        <v>1</v>
      </c>
      <c r="AA109" s="12">
        <v>0.3</v>
      </c>
      <c r="AB109" s="12">
        <v>0.11</v>
      </c>
      <c r="AC109" s="13">
        <v>1</v>
      </c>
      <c r="AD109" s="14">
        <f t="shared" si="4"/>
        <v>2.41</v>
      </c>
      <c r="AE109" s="15">
        <f t="shared" si="5"/>
        <v>0.41493775933609955</v>
      </c>
      <c r="AF109" s="16">
        <v>70</v>
      </c>
      <c r="AG109" s="16" t="s">
        <v>66</v>
      </c>
      <c r="AH109" s="17" t="s">
        <v>66</v>
      </c>
      <c r="AI109" s="18">
        <v>15</v>
      </c>
      <c r="AJ109" s="19">
        <v>0.97</v>
      </c>
      <c r="AK109" s="20">
        <v>0.97</v>
      </c>
      <c r="AL109" s="17" t="s">
        <v>261</v>
      </c>
      <c r="AM109" s="5" t="s">
        <v>66</v>
      </c>
      <c r="AN109" s="5" t="s">
        <v>66</v>
      </c>
      <c r="AO109" s="5" t="s">
        <v>66</v>
      </c>
      <c r="AP109" s="5" t="s">
        <v>66</v>
      </c>
      <c r="AQ109" s="5" t="s">
        <v>66</v>
      </c>
      <c r="AR109" s="5" t="s">
        <v>66</v>
      </c>
      <c r="AS109" s="5" t="s">
        <v>66</v>
      </c>
      <c r="AT109" s="5" t="s">
        <v>66</v>
      </c>
      <c r="AU109" s="5" t="s">
        <v>66</v>
      </c>
      <c r="AV109" s="5" t="s">
        <v>66</v>
      </c>
      <c r="AW109" s="5" t="s">
        <v>66</v>
      </c>
      <c r="AX109" s="5"/>
      <c r="AY109" s="5" t="s">
        <v>1359</v>
      </c>
      <c r="AZ109" s="5" t="s">
        <v>80</v>
      </c>
      <c r="BA109" s="19">
        <v>100</v>
      </c>
      <c r="BB109" s="17" t="s">
        <v>1359</v>
      </c>
      <c r="BC109" s="5"/>
      <c r="BD109" s="5" t="s">
        <v>1476</v>
      </c>
    </row>
    <row r="110" spans="1:56" ht="24" hidden="1" x14ac:dyDescent="0.25">
      <c r="A110" s="78" t="s">
        <v>1352</v>
      </c>
      <c r="B110" s="5" t="s">
        <v>1353</v>
      </c>
      <c r="C110" s="5" t="s">
        <v>3293</v>
      </c>
      <c r="D110" s="5" t="s">
        <v>56</v>
      </c>
      <c r="E110" s="99" t="str">
        <f>VLOOKUP(D110,'Dropdown List'!$F$26:$G$40,2,0)</f>
        <v>India</v>
      </c>
      <c r="F110" s="8" t="s">
        <v>1354</v>
      </c>
      <c r="G110" s="96">
        <v>6</v>
      </c>
      <c r="H110" s="5" t="s">
        <v>57</v>
      </c>
      <c r="I110" s="8" t="s">
        <v>58</v>
      </c>
      <c r="J110" s="8" t="s">
        <v>396</v>
      </c>
      <c r="K110" s="8" t="s">
        <v>1468</v>
      </c>
      <c r="L110" s="8" t="s">
        <v>1477</v>
      </c>
      <c r="M110" s="8" t="s">
        <v>1478</v>
      </c>
      <c r="N110" s="5" t="s">
        <v>1034</v>
      </c>
      <c r="O110" s="5" t="s">
        <v>61</v>
      </c>
      <c r="P110" s="5" t="s">
        <v>281</v>
      </c>
      <c r="Q110" s="9" t="s">
        <v>418</v>
      </c>
      <c r="R110" s="5" t="s">
        <v>76</v>
      </c>
      <c r="S110" s="5" t="s">
        <v>90</v>
      </c>
      <c r="T110" s="96">
        <v>1</v>
      </c>
      <c r="U110" s="96">
        <v>3</v>
      </c>
      <c r="V110" s="96">
        <v>3</v>
      </c>
      <c r="W110" s="5" t="s">
        <v>78</v>
      </c>
      <c r="X110" s="10" t="s">
        <v>79</v>
      </c>
      <c r="Y110" s="11">
        <v>1.47</v>
      </c>
      <c r="Z110" s="12">
        <v>2</v>
      </c>
      <c r="AA110" s="12">
        <v>0.3</v>
      </c>
      <c r="AB110" s="12">
        <v>0.11</v>
      </c>
      <c r="AC110" s="13">
        <v>2</v>
      </c>
      <c r="AD110" s="14">
        <f t="shared" si="4"/>
        <v>4.41</v>
      </c>
      <c r="AE110" s="15">
        <f t="shared" si="5"/>
        <v>0.45351473922902491</v>
      </c>
      <c r="AF110" s="16">
        <v>1000</v>
      </c>
      <c r="AG110" s="16" t="s">
        <v>66</v>
      </c>
      <c r="AH110" s="17" t="s">
        <v>66</v>
      </c>
      <c r="AI110" s="18">
        <v>7.12</v>
      </c>
      <c r="AJ110" s="19">
        <v>0.97</v>
      </c>
      <c r="AK110" s="20">
        <v>0.97</v>
      </c>
      <c r="AL110" s="17" t="s">
        <v>261</v>
      </c>
      <c r="AM110" s="5" t="s">
        <v>66</v>
      </c>
      <c r="AN110" s="5" t="s">
        <v>66</v>
      </c>
      <c r="AO110" s="5" t="s">
        <v>66</v>
      </c>
      <c r="AP110" s="5" t="s">
        <v>66</v>
      </c>
      <c r="AQ110" s="5" t="s">
        <v>66</v>
      </c>
      <c r="AR110" s="5" t="s">
        <v>66</v>
      </c>
      <c r="AS110" s="5" t="s">
        <v>66</v>
      </c>
      <c r="AT110" s="5" t="s">
        <v>66</v>
      </c>
      <c r="AU110" s="5" t="s">
        <v>66</v>
      </c>
      <c r="AV110" s="5" t="s">
        <v>66</v>
      </c>
      <c r="AW110" s="5" t="s">
        <v>66</v>
      </c>
      <c r="AX110" s="5"/>
      <c r="AY110" s="5" t="s">
        <v>110</v>
      </c>
      <c r="AZ110" s="5" t="s">
        <v>80</v>
      </c>
      <c r="BA110" s="19">
        <v>100</v>
      </c>
      <c r="BB110" s="17" t="s">
        <v>1471</v>
      </c>
      <c r="BC110" s="5"/>
      <c r="BD110" s="5" t="s">
        <v>1476</v>
      </c>
    </row>
    <row r="111" spans="1:56" ht="60" hidden="1" x14ac:dyDescent="0.25">
      <c r="A111" s="78" t="s">
        <v>1352</v>
      </c>
      <c r="B111" s="5" t="s">
        <v>1353</v>
      </c>
      <c r="C111" s="5" t="s">
        <v>3293</v>
      </c>
      <c r="D111" s="5" t="s">
        <v>56</v>
      </c>
      <c r="E111" s="99" t="str">
        <f>VLOOKUP(D111,'Dropdown List'!$F$26:$G$40,2,0)</f>
        <v>India</v>
      </c>
      <c r="F111" s="8" t="s">
        <v>1354</v>
      </c>
      <c r="G111" s="96">
        <v>6</v>
      </c>
      <c r="H111" s="5" t="s">
        <v>57</v>
      </c>
      <c r="I111" s="8" t="s">
        <v>58</v>
      </c>
      <c r="J111" s="8" t="s">
        <v>396</v>
      </c>
      <c r="K111" s="8" t="s">
        <v>1479</v>
      </c>
      <c r="L111" s="8" t="s">
        <v>1479</v>
      </c>
      <c r="M111" s="8" t="s">
        <v>1480</v>
      </c>
      <c r="N111" s="5" t="s">
        <v>1034</v>
      </c>
      <c r="O111" s="5" t="s">
        <v>61</v>
      </c>
      <c r="P111" s="5" t="s">
        <v>1475</v>
      </c>
      <c r="Q111" s="9" t="s">
        <v>418</v>
      </c>
      <c r="R111" s="5" t="s">
        <v>76</v>
      </c>
      <c r="S111" s="5" t="s">
        <v>64</v>
      </c>
      <c r="T111" s="96">
        <v>1</v>
      </c>
      <c r="U111" s="96">
        <v>3</v>
      </c>
      <c r="V111" s="96">
        <v>3</v>
      </c>
      <c r="W111" s="5" t="s">
        <v>78</v>
      </c>
      <c r="X111" s="10" t="s">
        <v>79</v>
      </c>
      <c r="Y111" s="11">
        <v>7.2011102006897403</v>
      </c>
      <c r="Z111" s="12">
        <v>4</v>
      </c>
      <c r="AA111" s="12">
        <v>0.3</v>
      </c>
      <c r="AB111" s="12">
        <v>0.11</v>
      </c>
      <c r="AC111" s="13">
        <v>4</v>
      </c>
      <c r="AD111" s="14">
        <f t="shared" si="4"/>
        <v>8.41</v>
      </c>
      <c r="AE111" s="15">
        <f t="shared" si="5"/>
        <v>0.47562425683709869</v>
      </c>
      <c r="AF111" s="16">
        <v>1600</v>
      </c>
      <c r="AG111" s="16" t="s">
        <v>66</v>
      </c>
      <c r="AH111" s="17" t="s">
        <v>66</v>
      </c>
      <c r="AI111" s="18">
        <v>30</v>
      </c>
      <c r="AJ111" s="19">
        <v>0.97</v>
      </c>
      <c r="AK111" s="20">
        <v>0.97</v>
      </c>
      <c r="AL111" s="17" t="s">
        <v>92</v>
      </c>
      <c r="AM111" s="5" t="s">
        <v>66</v>
      </c>
      <c r="AN111" s="5" t="s">
        <v>66</v>
      </c>
      <c r="AO111" s="5" t="s">
        <v>66</v>
      </c>
      <c r="AP111" s="5" t="s">
        <v>66</v>
      </c>
      <c r="AQ111" s="5" t="s">
        <v>66</v>
      </c>
      <c r="AR111" s="5" t="s">
        <v>66</v>
      </c>
      <c r="AS111" s="5" t="s">
        <v>66</v>
      </c>
      <c r="AT111" s="5" t="s">
        <v>66</v>
      </c>
      <c r="AU111" s="5" t="s">
        <v>66</v>
      </c>
      <c r="AV111" s="5" t="s">
        <v>66</v>
      </c>
      <c r="AW111" s="5" t="s">
        <v>66</v>
      </c>
      <c r="AX111" s="5"/>
      <c r="AY111" s="5" t="s">
        <v>1359</v>
      </c>
      <c r="AZ111" s="5" t="s">
        <v>80</v>
      </c>
      <c r="BA111" s="19">
        <v>100</v>
      </c>
      <c r="BB111" s="17" t="s">
        <v>1359</v>
      </c>
      <c r="BC111" s="5"/>
      <c r="BD111" s="5" t="s">
        <v>1419</v>
      </c>
    </row>
    <row r="112" spans="1:56" ht="60" hidden="1" x14ac:dyDescent="0.25">
      <c r="A112" s="78" t="s">
        <v>1352</v>
      </c>
      <c r="B112" s="5" t="s">
        <v>1353</v>
      </c>
      <c r="C112" s="5" t="s">
        <v>3293</v>
      </c>
      <c r="D112" s="5" t="s">
        <v>56</v>
      </c>
      <c r="E112" s="99" t="str">
        <f>VLOOKUP(D112,'Dropdown List'!$F$26:$G$40,2,0)</f>
        <v>India</v>
      </c>
      <c r="F112" s="8" t="s">
        <v>1354</v>
      </c>
      <c r="G112" s="96">
        <v>6</v>
      </c>
      <c r="H112" s="5" t="s">
        <v>57</v>
      </c>
      <c r="I112" s="8" t="s">
        <v>58</v>
      </c>
      <c r="J112" s="8" t="s">
        <v>396</v>
      </c>
      <c r="K112" s="8" t="s">
        <v>1479</v>
      </c>
      <c r="L112" s="8" t="s">
        <v>1481</v>
      </c>
      <c r="M112" s="8" t="s">
        <v>1482</v>
      </c>
      <c r="N112" s="5" t="s">
        <v>1034</v>
      </c>
      <c r="O112" s="5" t="s">
        <v>61</v>
      </c>
      <c r="P112" s="5" t="s">
        <v>1475</v>
      </c>
      <c r="Q112" s="9" t="s">
        <v>418</v>
      </c>
      <c r="R112" s="5" t="s">
        <v>76</v>
      </c>
      <c r="S112" s="5" t="s">
        <v>64</v>
      </c>
      <c r="T112" s="96">
        <v>1</v>
      </c>
      <c r="U112" s="96">
        <v>3</v>
      </c>
      <c r="V112" s="96">
        <v>3</v>
      </c>
      <c r="W112" s="5" t="s">
        <v>78</v>
      </c>
      <c r="X112" s="10" t="s">
        <v>79</v>
      </c>
      <c r="Y112" s="11">
        <v>6.02</v>
      </c>
      <c r="Z112" s="12">
        <v>1</v>
      </c>
      <c r="AA112" s="12">
        <v>0.3</v>
      </c>
      <c r="AB112" s="12">
        <v>0.11</v>
      </c>
      <c r="AC112" s="13">
        <v>1</v>
      </c>
      <c r="AD112" s="14">
        <f t="shared" si="4"/>
        <v>2.41</v>
      </c>
      <c r="AE112" s="15">
        <f t="shared" si="5"/>
        <v>0.41493775933609955</v>
      </c>
      <c r="AF112" s="16">
        <v>70</v>
      </c>
      <c r="AG112" s="16" t="s">
        <v>66</v>
      </c>
      <c r="AH112" s="17" t="s">
        <v>66</v>
      </c>
      <c r="AI112" s="18">
        <v>24</v>
      </c>
      <c r="AJ112" s="19">
        <v>0.97</v>
      </c>
      <c r="AK112" s="20">
        <v>0.97</v>
      </c>
      <c r="AL112" s="17" t="s">
        <v>261</v>
      </c>
      <c r="AM112" s="5" t="s">
        <v>66</v>
      </c>
      <c r="AN112" s="5" t="s">
        <v>66</v>
      </c>
      <c r="AO112" s="5" t="s">
        <v>66</v>
      </c>
      <c r="AP112" s="5" t="s">
        <v>66</v>
      </c>
      <c r="AQ112" s="5" t="s">
        <v>66</v>
      </c>
      <c r="AR112" s="5" t="s">
        <v>66</v>
      </c>
      <c r="AS112" s="5" t="s">
        <v>66</v>
      </c>
      <c r="AT112" s="5" t="s">
        <v>66</v>
      </c>
      <c r="AU112" s="5" t="s">
        <v>66</v>
      </c>
      <c r="AV112" s="5" t="s">
        <v>66</v>
      </c>
      <c r="AW112" s="5" t="s">
        <v>66</v>
      </c>
      <c r="AX112" s="5"/>
      <c r="AY112" s="5" t="s">
        <v>1483</v>
      </c>
      <c r="AZ112" s="5" t="s">
        <v>80</v>
      </c>
      <c r="BA112" s="19">
        <v>100</v>
      </c>
      <c r="BB112" s="17" t="s">
        <v>1483</v>
      </c>
      <c r="BC112" s="5"/>
      <c r="BD112" s="5" t="s">
        <v>1484</v>
      </c>
    </row>
    <row r="113" spans="1:56" ht="60" hidden="1" x14ac:dyDescent="0.25">
      <c r="A113" s="78" t="s">
        <v>1352</v>
      </c>
      <c r="B113" s="5" t="s">
        <v>1353</v>
      </c>
      <c r="C113" s="5" t="s">
        <v>3293</v>
      </c>
      <c r="D113" s="5" t="s">
        <v>56</v>
      </c>
      <c r="E113" s="99" t="str">
        <f>VLOOKUP(D113,'Dropdown List'!$F$26:$G$40,2,0)</f>
        <v>India</v>
      </c>
      <c r="F113" s="8" t="s">
        <v>1354</v>
      </c>
      <c r="G113" s="96">
        <v>6</v>
      </c>
      <c r="H113" s="5" t="s">
        <v>57</v>
      </c>
      <c r="I113" s="8" t="s">
        <v>58</v>
      </c>
      <c r="J113" s="8" t="s">
        <v>396</v>
      </c>
      <c r="K113" s="8" t="s">
        <v>1355</v>
      </c>
      <c r="L113" s="8" t="s">
        <v>1485</v>
      </c>
      <c r="M113" s="8" t="s">
        <v>1486</v>
      </c>
      <c r="N113" s="5" t="s">
        <v>1034</v>
      </c>
      <c r="O113" s="5" t="s">
        <v>61</v>
      </c>
      <c r="P113" s="5" t="s">
        <v>1475</v>
      </c>
      <c r="Q113" s="9" t="s">
        <v>418</v>
      </c>
      <c r="R113" s="5" t="s">
        <v>76</v>
      </c>
      <c r="S113" s="5" t="s">
        <v>334</v>
      </c>
      <c r="T113" s="96">
        <v>1</v>
      </c>
      <c r="U113" s="96">
        <v>3</v>
      </c>
      <c r="V113" s="96">
        <v>3</v>
      </c>
      <c r="W113" s="5" t="s">
        <v>78</v>
      </c>
      <c r="X113" s="10" t="s">
        <v>79</v>
      </c>
      <c r="Y113" s="11">
        <v>0.9</v>
      </c>
      <c r="Z113" s="12">
        <v>1</v>
      </c>
      <c r="AA113" s="12">
        <v>0.3</v>
      </c>
      <c r="AB113" s="12">
        <v>0.11</v>
      </c>
      <c r="AC113" s="13">
        <v>1</v>
      </c>
      <c r="AD113" s="14">
        <f t="shared" si="4"/>
        <v>2.41</v>
      </c>
      <c r="AE113" s="15">
        <f t="shared" si="5"/>
        <v>0.41493775933609955</v>
      </c>
      <c r="AF113" s="16">
        <v>60</v>
      </c>
      <c r="AG113" s="16" t="s">
        <v>66</v>
      </c>
      <c r="AH113" s="17" t="s">
        <v>66</v>
      </c>
      <c r="AI113" s="18">
        <v>2.04</v>
      </c>
      <c r="AJ113" s="19">
        <v>0.97</v>
      </c>
      <c r="AK113" s="20">
        <v>0.97</v>
      </c>
      <c r="AL113" s="17" t="s">
        <v>261</v>
      </c>
      <c r="AM113" s="5" t="s">
        <v>66</v>
      </c>
      <c r="AN113" s="5" t="s">
        <v>66</v>
      </c>
      <c r="AO113" s="5" t="s">
        <v>66</v>
      </c>
      <c r="AP113" s="5" t="s">
        <v>66</v>
      </c>
      <c r="AQ113" s="5" t="s">
        <v>66</v>
      </c>
      <c r="AR113" s="5" t="s">
        <v>66</v>
      </c>
      <c r="AS113" s="5" t="s">
        <v>66</v>
      </c>
      <c r="AT113" s="5" t="s">
        <v>66</v>
      </c>
      <c r="AU113" s="5" t="s">
        <v>66</v>
      </c>
      <c r="AV113" s="5" t="s">
        <v>66</v>
      </c>
      <c r="AW113" s="5" t="s">
        <v>66</v>
      </c>
      <c r="AX113" s="5"/>
      <c r="AY113" s="5" t="s">
        <v>1359</v>
      </c>
      <c r="AZ113" s="5" t="s">
        <v>80</v>
      </c>
      <c r="BA113" s="19">
        <v>100</v>
      </c>
      <c r="BB113" s="17" t="s">
        <v>1359</v>
      </c>
      <c r="BC113" s="5"/>
      <c r="BD113" s="5" t="s">
        <v>1487</v>
      </c>
    </row>
    <row r="114" spans="1:56" ht="36" hidden="1" x14ac:dyDescent="0.25">
      <c r="A114" s="78" t="s">
        <v>1352</v>
      </c>
      <c r="B114" s="5" t="s">
        <v>1353</v>
      </c>
      <c r="C114" s="5" t="s">
        <v>3293</v>
      </c>
      <c r="D114" s="5" t="s">
        <v>56</v>
      </c>
      <c r="E114" s="99" t="str">
        <f>VLOOKUP(D114,'Dropdown List'!$F$26:$G$40,2,0)</f>
        <v>India</v>
      </c>
      <c r="F114" s="8" t="s">
        <v>1354</v>
      </c>
      <c r="G114" s="96">
        <v>0.2</v>
      </c>
      <c r="H114" s="5" t="s">
        <v>57</v>
      </c>
      <c r="I114" s="8" t="s">
        <v>58</v>
      </c>
      <c r="J114" s="8" t="s">
        <v>396</v>
      </c>
      <c r="K114" s="8" t="s">
        <v>397</v>
      </c>
      <c r="L114" s="8" t="s">
        <v>1488</v>
      </c>
      <c r="M114" s="8" t="s">
        <v>1489</v>
      </c>
      <c r="N114" s="5" t="s">
        <v>1034</v>
      </c>
      <c r="O114" s="5" t="s">
        <v>1069</v>
      </c>
      <c r="P114" s="5" t="s">
        <v>1069</v>
      </c>
      <c r="Q114" s="9" t="s">
        <v>418</v>
      </c>
      <c r="R114" s="5" t="s">
        <v>76</v>
      </c>
      <c r="S114" s="5" t="s">
        <v>64</v>
      </c>
      <c r="T114" s="96">
        <v>0.15</v>
      </c>
      <c r="U114" s="96">
        <v>1</v>
      </c>
      <c r="V114" s="96">
        <v>4</v>
      </c>
      <c r="W114" s="5" t="s">
        <v>78</v>
      </c>
      <c r="X114" s="10" t="s">
        <v>79</v>
      </c>
      <c r="Y114" s="11">
        <v>1.9436601649132781</v>
      </c>
      <c r="Z114" s="12">
        <v>1</v>
      </c>
      <c r="AA114" s="12">
        <v>0</v>
      </c>
      <c r="AB114" s="12">
        <v>0</v>
      </c>
      <c r="AC114" s="13">
        <v>0</v>
      </c>
      <c r="AD114" s="14">
        <f t="shared" si="4"/>
        <v>1</v>
      </c>
      <c r="AE114" s="15">
        <f t="shared" si="5"/>
        <v>0</v>
      </c>
      <c r="AF114" s="16"/>
      <c r="AG114" s="16" t="s">
        <v>66</v>
      </c>
      <c r="AH114" s="17" t="s">
        <v>66</v>
      </c>
      <c r="AI114" s="18">
        <v>8</v>
      </c>
      <c r="AJ114" s="19">
        <v>0.97</v>
      </c>
      <c r="AK114" s="20">
        <v>0.98</v>
      </c>
      <c r="AL114" s="17" t="s">
        <v>261</v>
      </c>
      <c r="AM114" s="5" t="s">
        <v>66</v>
      </c>
      <c r="AN114" s="5" t="s">
        <v>66</v>
      </c>
      <c r="AO114" s="5" t="s">
        <v>66</v>
      </c>
      <c r="AP114" s="5" t="s">
        <v>66</v>
      </c>
      <c r="AQ114" s="5" t="s">
        <v>66</v>
      </c>
      <c r="AR114" s="5" t="s">
        <v>66</v>
      </c>
      <c r="AS114" s="5" t="s">
        <v>66</v>
      </c>
      <c r="AT114" s="5" t="s">
        <v>66</v>
      </c>
      <c r="AU114" s="5" t="s">
        <v>66</v>
      </c>
      <c r="AV114" s="5" t="s">
        <v>66</v>
      </c>
      <c r="AW114" s="5" t="s">
        <v>66</v>
      </c>
      <c r="AX114" s="5" t="s">
        <v>1490</v>
      </c>
      <c r="AY114" s="5" t="s">
        <v>1491</v>
      </c>
      <c r="AZ114" s="5" t="s">
        <v>145</v>
      </c>
      <c r="BA114" s="19">
        <v>100</v>
      </c>
      <c r="BB114" s="17" t="s">
        <v>1492</v>
      </c>
      <c r="BC114" s="5" t="s">
        <v>1493</v>
      </c>
      <c r="BD114" s="5" t="s">
        <v>1494</v>
      </c>
    </row>
    <row r="115" spans="1:56" ht="24" hidden="1" x14ac:dyDescent="0.25">
      <c r="A115" s="78" t="s">
        <v>1352</v>
      </c>
      <c r="B115" s="5" t="s">
        <v>1353</v>
      </c>
      <c r="C115" s="5" t="s">
        <v>3293</v>
      </c>
      <c r="D115" s="5" t="s">
        <v>56</v>
      </c>
      <c r="E115" s="99" t="str">
        <f>VLOOKUP(D115,'Dropdown List'!$F$26:$G$40,2,0)</f>
        <v>India</v>
      </c>
      <c r="F115" s="8" t="s">
        <v>1354</v>
      </c>
      <c r="G115" s="96">
        <v>0.2</v>
      </c>
      <c r="H115" s="5" t="s">
        <v>57</v>
      </c>
      <c r="I115" s="8" t="s">
        <v>58</v>
      </c>
      <c r="J115" s="8" t="s">
        <v>396</v>
      </c>
      <c r="K115" s="8" t="s">
        <v>397</v>
      </c>
      <c r="L115" s="8" t="s">
        <v>1495</v>
      </c>
      <c r="M115" s="8" t="s">
        <v>1496</v>
      </c>
      <c r="N115" s="5" t="s">
        <v>1034</v>
      </c>
      <c r="O115" s="5" t="s">
        <v>1069</v>
      </c>
      <c r="P115" s="5" t="s">
        <v>1069</v>
      </c>
      <c r="Q115" s="9" t="s">
        <v>418</v>
      </c>
      <c r="R115" s="5" t="s">
        <v>76</v>
      </c>
      <c r="S115" s="5" t="s">
        <v>64</v>
      </c>
      <c r="T115" s="96">
        <v>0.15</v>
      </c>
      <c r="U115" s="96">
        <v>1</v>
      </c>
      <c r="V115" s="96">
        <v>4</v>
      </c>
      <c r="W115" s="5" t="s">
        <v>78</v>
      </c>
      <c r="X115" s="10" t="s">
        <v>79</v>
      </c>
      <c r="Y115" s="11">
        <v>1.9436601649132781</v>
      </c>
      <c r="Z115" s="12">
        <v>4</v>
      </c>
      <c r="AA115" s="12">
        <v>0</v>
      </c>
      <c r="AB115" s="12">
        <v>0</v>
      </c>
      <c r="AC115" s="13">
        <v>0</v>
      </c>
      <c r="AD115" s="14">
        <f t="shared" si="4"/>
        <v>4</v>
      </c>
      <c r="AE115" s="15">
        <f t="shared" si="5"/>
        <v>0</v>
      </c>
      <c r="AF115" s="16"/>
      <c r="AG115" s="16" t="s">
        <v>66</v>
      </c>
      <c r="AH115" s="17" t="s">
        <v>66</v>
      </c>
      <c r="AI115" s="18">
        <v>8</v>
      </c>
      <c r="AJ115" s="19">
        <v>0.97</v>
      </c>
      <c r="AK115" s="20">
        <v>0.98</v>
      </c>
      <c r="AL115" s="17" t="s">
        <v>261</v>
      </c>
      <c r="AM115" s="5" t="s">
        <v>66</v>
      </c>
      <c r="AN115" s="5" t="s">
        <v>66</v>
      </c>
      <c r="AO115" s="5" t="s">
        <v>66</v>
      </c>
      <c r="AP115" s="5" t="s">
        <v>66</v>
      </c>
      <c r="AQ115" s="5" t="s">
        <v>66</v>
      </c>
      <c r="AR115" s="5" t="s">
        <v>66</v>
      </c>
      <c r="AS115" s="5" t="s">
        <v>66</v>
      </c>
      <c r="AT115" s="5" t="s">
        <v>66</v>
      </c>
      <c r="AU115" s="5" t="s">
        <v>66</v>
      </c>
      <c r="AV115" s="5" t="s">
        <v>66</v>
      </c>
      <c r="AW115" s="5" t="s">
        <v>66</v>
      </c>
      <c r="AX115" s="5" t="s">
        <v>1490</v>
      </c>
      <c r="AY115" s="5" t="s">
        <v>1497</v>
      </c>
      <c r="AZ115" s="5" t="s">
        <v>145</v>
      </c>
      <c r="BA115" s="19">
        <v>100</v>
      </c>
      <c r="BB115" s="17" t="s">
        <v>1492</v>
      </c>
      <c r="BC115" s="5" t="s">
        <v>1493</v>
      </c>
      <c r="BD115" s="5" t="s">
        <v>1494</v>
      </c>
    </row>
    <row r="116" spans="1:56" ht="48" hidden="1" x14ac:dyDescent="0.25">
      <c r="A116" s="78" t="s">
        <v>1352</v>
      </c>
      <c r="B116" s="5" t="s">
        <v>1353</v>
      </c>
      <c r="C116" s="5" t="s">
        <v>3293</v>
      </c>
      <c r="D116" s="5" t="s">
        <v>56</v>
      </c>
      <c r="E116" s="99" t="str">
        <f>VLOOKUP(D116,'Dropdown List'!$F$26:$G$40,2,0)</f>
        <v>India</v>
      </c>
      <c r="F116" s="8" t="s">
        <v>1354</v>
      </c>
      <c r="G116" s="96">
        <v>6</v>
      </c>
      <c r="H116" s="5" t="s">
        <v>57</v>
      </c>
      <c r="I116" s="8" t="s">
        <v>58</v>
      </c>
      <c r="J116" s="8" t="s">
        <v>146</v>
      </c>
      <c r="K116" s="8" t="s">
        <v>147</v>
      </c>
      <c r="L116" s="8" t="s">
        <v>1498</v>
      </c>
      <c r="M116" s="8" t="s">
        <v>1499</v>
      </c>
      <c r="N116" s="5" t="s">
        <v>1034</v>
      </c>
      <c r="O116" s="5" t="s">
        <v>1069</v>
      </c>
      <c r="P116" s="5" t="s">
        <v>1069</v>
      </c>
      <c r="Q116" s="9" t="s">
        <v>418</v>
      </c>
      <c r="R116" s="5" t="s">
        <v>76</v>
      </c>
      <c r="S116" s="5" t="s">
        <v>64</v>
      </c>
      <c r="T116" s="96">
        <v>1</v>
      </c>
      <c r="U116" s="96">
        <v>2</v>
      </c>
      <c r="V116" s="96">
        <v>3</v>
      </c>
      <c r="W116" s="5" t="s">
        <v>78</v>
      </c>
      <c r="X116" s="10" t="s">
        <v>79</v>
      </c>
      <c r="Y116" s="11">
        <v>10.701599999999999</v>
      </c>
      <c r="Z116" s="12">
        <v>7</v>
      </c>
      <c r="AA116" s="12">
        <v>0</v>
      </c>
      <c r="AB116" s="12">
        <v>8.3333333333333329E-2</v>
      </c>
      <c r="AC116" s="13">
        <v>0</v>
      </c>
      <c r="AD116" s="14">
        <f t="shared" si="4"/>
        <v>7.083333333333333</v>
      </c>
      <c r="AE116" s="15">
        <f t="shared" si="5"/>
        <v>0</v>
      </c>
      <c r="AF116" s="16">
        <v>8</v>
      </c>
      <c r="AG116" s="16" t="s">
        <v>66</v>
      </c>
      <c r="AH116" s="17" t="s">
        <v>66</v>
      </c>
      <c r="AI116" s="18">
        <v>49</v>
      </c>
      <c r="AJ116" s="19">
        <v>0.97</v>
      </c>
      <c r="AK116" s="20">
        <v>0.97</v>
      </c>
      <c r="AL116" s="17" t="s">
        <v>261</v>
      </c>
      <c r="AM116" s="5" t="s">
        <v>66</v>
      </c>
      <c r="AN116" s="5" t="s">
        <v>66</v>
      </c>
      <c r="AO116" s="5" t="s">
        <v>66</v>
      </c>
      <c r="AP116" s="5" t="s">
        <v>66</v>
      </c>
      <c r="AQ116" s="5" t="s">
        <v>66</v>
      </c>
      <c r="AR116" s="5" t="s">
        <v>66</v>
      </c>
      <c r="AS116" s="5" t="s">
        <v>66</v>
      </c>
      <c r="AT116" s="5" t="s">
        <v>66</v>
      </c>
      <c r="AU116" s="5" t="s">
        <v>66</v>
      </c>
      <c r="AV116" s="5" t="s">
        <v>66</v>
      </c>
      <c r="AW116" s="5" t="s">
        <v>66</v>
      </c>
      <c r="AX116" s="5" t="s">
        <v>1392</v>
      </c>
      <c r="AY116" s="5" t="s">
        <v>110</v>
      </c>
      <c r="AZ116" s="5" t="s">
        <v>145</v>
      </c>
      <c r="BA116" s="19">
        <v>100</v>
      </c>
      <c r="BB116" s="17" t="s">
        <v>1393</v>
      </c>
      <c r="BC116" s="5" t="s">
        <v>1392</v>
      </c>
      <c r="BD116" s="5" t="s">
        <v>1394</v>
      </c>
    </row>
    <row r="117" spans="1:56" ht="48" hidden="1" x14ac:dyDescent="0.25">
      <c r="A117" s="78" t="s">
        <v>1352</v>
      </c>
      <c r="B117" s="5" t="s">
        <v>1353</v>
      </c>
      <c r="C117" s="5" t="s">
        <v>3293</v>
      </c>
      <c r="D117" s="5" t="s">
        <v>56</v>
      </c>
      <c r="E117" s="99" t="str">
        <f>VLOOKUP(D117,'Dropdown List'!$F$26:$G$40,2,0)</f>
        <v>India</v>
      </c>
      <c r="F117" s="8" t="s">
        <v>1354</v>
      </c>
      <c r="G117" s="96">
        <v>2</v>
      </c>
      <c r="H117" s="5" t="s">
        <v>57</v>
      </c>
      <c r="I117" s="8" t="s">
        <v>58</v>
      </c>
      <c r="J117" s="8" t="s">
        <v>146</v>
      </c>
      <c r="K117" s="8" t="s">
        <v>147</v>
      </c>
      <c r="L117" s="8" t="s">
        <v>1500</v>
      </c>
      <c r="M117" s="8" t="s">
        <v>1501</v>
      </c>
      <c r="N117" s="5" t="s">
        <v>1034</v>
      </c>
      <c r="O117" s="5" t="s">
        <v>61</v>
      </c>
      <c r="P117" s="5" t="s">
        <v>1502</v>
      </c>
      <c r="Q117" s="9" t="s">
        <v>75</v>
      </c>
      <c r="R117" s="5" t="s">
        <v>76</v>
      </c>
      <c r="S117" s="5" t="s">
        <v>64</v>
      </c>
      <c r="T117" s="96">
        <v>1</v>
      </c>
      <c r="U117" s="96">
        <v>2</v>
      </c>
      <c r="V117" s="96">
        <v>3</v>
      </c>
      <c r="W117" s="5" t="s">
        <v>78</v>
      </c>
      <c r="X117" s="10" t="s">
        <v>79</v>
      </c>
      <c r="Y117" s="11">
        <v>2.75</v>
      </c>
      <c r="Z117" s="12">
        <v>1</v>
      </c>
      <c r="AA117" s="12">
        <v>0</v>
      </c>
      <c r="AB117" s="12">
        <v>8.3333333333333329E-2</v>
      </c>
      <c r="AC117" s="13">
        <v>0</v>
      </c>
      <c r="AD117" s="14">
        <f t="shared" si="4"/>
        <v>1.0833333333333333</v>
      </c>
      <c r="AE117" s="15">
        <f t="shared" si="5"/>
        <v>0</v>
      </c>
      <c r="AF117" s="16">
        <v>185</v>
      </c>
      <c r="AG117" s="16" t="s">
        <v>66</v>
      </c>
      <c r="AH117" s="17" t="s">
        <v>66</v>
      </c>
      <c r="AI117" s="18">
        <v>9.58</v>
      </c>
      <c r="AJ117" s="19">
        <v>0.97</v>
      </c>
      <c r="AK117" s="20">
        <v>0.97</v>
      </c>
      <c r="AL117" s="17" t="s">
        <v>261</v>
      </c>
      <c r="AM117" s="5" t="s">
        <v>66</v>
      </c>
      <c r="AN117" s="5" t="s">
        <v>66</v>
      </c>
      <c r="AO117" s="5" t="s">
        <v>66</v>
      </c>
      <c r="AP117" s="5" t="s">
        <v>66</v>
      </c>
      <c r="AQ117" s="5" t="s">
        <v>66</v>
      </c>
      <c r="AR117" s="5" t="s">
        <v>66</v>
      </c>
      <c r="AS117" s="5" t="s">
        <v>66</v>
      </c>
      <c r="AT117" s="5" t="s">
        <v>66</v>
      </c>
      <c r="AU117" s="5" t="s">
        <v>66</v>
      </c>
      <c r="AV117" s="5" t="s">
        <v>66</v>
      </c>
      <c r="AW117" s="5" t="s">
        <v>66</v>
      </c>
      <c r="AX117" s="5" t="s">
        <v>1392</v>
      </c>
      <c r="AY117" s="5" t="s">
        <v>110</v>
      </c>
      <c r="AZ117" s="5" t="s">
        <v>145</v>
      </c>
      <c r="BA117" s="19">
        <v>100</v>
      </c>
      <c r="BB117" s="17" t="s">
        <v>1393</v>
      </c>
      <c r="BC117" s="5" t="s">
        <v>1392</v>
      </c>
      <c r="BD117" s="5" t="s">
        <v>1394</v>
      </c>
    </row>
    <row r="118" spans="1:56" ht="48" hidden="1" x14ac:dyDescent="0.25">
      <c r="A118" s="78" t="s">
        <v>1352</v>
      </c>
      <c r="B118" s="5" t="s">
        <v>1353</v>
      </c>
      <c r="C118" s="5" t="s">
        <v>3293</v>
      </c>
      <c r="D118" s="5" t="s">
        <v>56</v>
      </c>
      <c r="E118" s="99" t="str">
        <f>VLOOKUP(D118,'Dropdown List'!$F$26:$G$40,2,0)</f>
        <v>India</v>
      </c>
      <c r="F118" s="8" t="s">
        <v>1354</v>
      </c>
      <c r="G118" s="96">
        <v>1</v>
      </c>
      <c r="H118" s="5" t="s">
        <v>57</v>
      </c>
      <c r="I118" s="8" t="s">
        <v>58</v>
      </c>
      <c r="J118" s="8" t="s">
        <v>146</v>
      </c>
      <c r="K118" s="8" t="s">
        <v>147</v>
      </c>
      <c r="L118" s="8" t="s">
        <v>1503</v>
      </c>
      <c r="M118" s="8" t="s">
        <v>1504</v>
      </c>
      <c r="N118" s="5" t="s">
        <v>1034</v>
      </c>
      <c r="O118" s="5" t="s">
        <v>61</v>
      </c>
      <c r="P118" s="5" t="s">
        <v>1502</v>
      </c>
      <c r="Q118" s="9" t="s">
        <v>438</v>
      </c>
      <c r="R118" s="5" t="s">
        <v>76</v>
      </c>
      <c r="S118" s="5" t="s">
        <v>64</v>
      </c>
      <c r="T118" s="96"/>
      <c r="U118" s="96">
        <v>1</v>
      </c>
      <c r="V118" s="96">
        <v>1</v>
      </c>
      <c r="W118" s="5" t="s">
        <v>78</v>
      </c>
      <c r="X118" s="10" t="s">
        <v>79</v>
      </c>
      <c r="Y118" s="11">
        <v>3.44</v>
      </c>
      <c r="Z118" s="12">
        <v>3.9760638297872339E-2</v>
      </c>
      <c r="AA118" s="12">
        <v>0</v>
      </c>
      <c r="AB118" s="12">
        <v>0</v>
      </c>
      <c r="AC118" s="13">
        <v>0</v>
      </c>
      <c r="AD118" s="14">
        <f t="shared" si="4"/>
        <v>3.9760638297872339E-2</v>
      </c>
      <c r="AE118" s="15">
        <f t="shared" si="5"/>
        <v>0</v>
      </c>
      <c r="AF118" s="16">
        <v>25</v>
      </c>
      <c r="AG118" s="16" t="s">
        <v>66</v>
      </c>
      <c r="AH118" s="17" t="s">
        <v>66</v>
      </c>
      <c r="AI118" s="18">
        <v>14.95</v>
      </c>
      <c r="AJ118" s="19">
        <v>1</v>
      </c>
      <c r="AK118" s="20">
        <v>0.97</v>
      </c>
      <c r="AL118" s="17" t="s">
        <v>261</v>
      </c>
      <c r="AM118" s="5" t="s">
        <v>66</v>
      </c>
      <c r="AN118" s="5" t="s">
        <v>66</v>
      </c>
      <c r="AO118" s="5" t="s">
        <v>66</v>
      </c>
      <c r="AP118" s="5" t="s">
        <v>66</v>
      </c>
      <c r="AQ118" s="5" t="s">
        <v>66</v>
      </c>
      <c r="AR118" s="5" t="s">
        <v>66</v>
      </c>
      <c r="AS118" s="5" t="s">
        <v>66</v>
      </c>
      <c r="AT118" s="5" t="s">
        <v>66</v>
      </c>
      <c r="AU118" s="5" t="s">
        <v>66</v>
      </c>
      <c r="AV118" s="5" t="s">
        <v>66</v>
      </c>
      <c r="AW118" s="5" t="s">
        <v>66</v>
      </c>
      <c r="AX118" s="5" t="s">
        <v>1505</v>
      </c>
      <c r="AY118" s="5" t="s">
        <v>110</v>
      </c>
      <c r="AZ118" s="5" t="s">
        <v>145</v>
      </c>
      <c r="BA118" s="19">
        <v>100</v>
      </c>
      <c r="BB118" s="17" t="s">
        <v>1359</v>
      </c>
      <c r="BC118" s="5" t="s">
        <v>1392</v>
      </c>
      <c r="BD118" s="5" t="s">
        <v>1394</v>
      </c>
    </row>
    <row r="119" spans="1:56" ht="24" hidden="1" x14ac:dyDescent="0.25">
      <c r="A119" s="78" t="s">
        <v>1352</v>
      </c>
      <c r="B119" s="5" t="s">
        <v>1353</v>
      </c>
      <c r="C119" s="5" t="s">
        <v>3293</v>
      </c>
      <c r="D119" s="5" t="s">
        <v>56</v>
      </c>
      <c r="E119" s="99" t="str">
        <f>VLOOKUP(D119,'Dropdown List'!$F$26:$G$40,2,0)</f>
        <v>India</v>
      </c>
      <c r="F119" s="8" t="s">
        <v>1354</v>
      </c>
      <c r="G119" s="96">
        <v>1.5</v>
      </c>
      <c r="H119" s="5" t="s">
        <v>57</v>
      </c>
      <c r="I119" s="8" t="s">
        <v>58</v>
      </c>
      <c r="J119" s="8" t="s">
        <v>396</v>
      </c>
      <c r="K119" s="8" t="s">
        <v>1506</v>
      </c>
      <c r="L119" s="8" t="s">
        <v>1507</v>
      </c>
      <c r="M119" s="8" t="s">
        <v>1508</v>
      </c>
      <c r="N119" s="5" t="s">
        <v>1034</v>
      </c>
      <c r="O119" s="5" t="s">
        <v>61</v>
      </c>
      <c r="P119" s="5" t="s">
        <v>281</v>
      </c>
      <c r="Q119" s="9" t="s">
        <v>75</v>
      </c>
      <c r="R119" s="5" t="s">
        <v>76</v>
      </c>
      <c r="S119" s="5" t="s">
        <v>64</v>
      </c>
      <c r="T119" s="96">
        <v>0</v>
      </c>
      <c r="U119" s="96">
        <v>1</v>
      </c>
      <c r="V119" s="96">
        <v>4</v>
      </c>
      <c r="W119" s="5" t="s">
        <v>78</v>
      </c>
      <c r="X119" s="10" t="s">
        <v>79</v>
      </c>
      <c r="Y119" s="11">
        <v>1.75</v>
      </c>
      <c r="Z119" s="12">
        <v>0.02</v>
      </c>
      <c r="AA119" s="12">
        <v>0</v>
      </c>
      <c r="AB119" s="12">
        <v>0</v>
      </c>
      <c r="AC119" s="13">
        <v>0</v>
      </c>
      <c r="AD119" s="14">
        <f t="shared" si="4"/>
        <v>0.02</v>
      </c>
      <c r="AE119" s="15">
        <f t="shared" si="5"/>
        <v>0</v>
      </c>
      <c r="AF119" s="16">
        <v>30</v>
      </c>
      <c r="AG119" s="16" t="s">
        <v>281</v>
      </c>
      <c r="AH119" s="17" t="s">
        <v>66</v>
      </c>
      <c r="AI119" s="18">
        <v>7</v>
      </c>
      <c r="AJ119" s="19">
        <v>0.97</v>
      </c>
      <c r="AK119" s="20">
        <v>0.97</v>
      </c>
      <c r="AL119" s="17" t="s">
        <v>261</v>
      </c>
      <c r="AM119" s="5" t="s">
        <v>66</v>
      </c>
      <c r="AN119" s="5" t="s">
        <v>66</v>
      </c>
      <c r="AO119" s="5" t="s">
        <v>66</v>
      </c>
      <c r="AP119" s="5" t="s">
        <v>66</v>
      </c>
      <c r="AQ119" s="5" t="s">
        <v>66</v>
      </c>
      <c r="AR119" s="5" t="s">
        <v>66</v>
      </c>
      <c r="AS119" s="5" t="s">
        <v>66</v>
      </c>
      <c r="AT119" s="5" t="s">
        <v>66</v>
      </c>
      <c r="AU119" s="5" t="s">
        <v>66</v>
      </c>
      <c r="AV119" s="5" t="s">
        <v>66</v>
      </c>
      <c r="AW119" s="5" t="s">
        <v>66</v>
      </c>
      <c r="AX119" s="5" t="s">
        <v>66</v>
      </c>
      <c r="AY119" s="5" t="s">
        <v>1509</v>
      </c>
      <c r="AZ119" s="5" t="s">
        <v>145</v>
      </c>
      <c r="BA119" s="19">
        <v>100</v>
      </c>
      <c r="BB119" s="17" t="s">
        <v>1509</v>
      </c>
      <c r="BC119" s="5" t="s">
        <v>901</v>
      </c>
      <c r="BD119" s="5" t="s">
        <v>1509</v>
      </c>
    </row>
    <row r="120" spans="1:56" ht="36" hidden="1" x14ac:dyDescent="0.25">
      <c r="A120" s="78" t="s">
        <v>1352</v>
      </c>
      <c r="B120" s="5" t="s">
        <v>1353</v>
      </c>
      <c r="C120" s="5" t="s">
        <v>3293</v>
      </c>
      <c r="D120" s="5" t="s">
        <v>56</v>
      </c>
      <c r="E120" s="99" t="str">
        <f>VLOOKUP(D120,'Dropdown List'!$F$26:$G$40,2,0)</f>
        <v>India</v>
      </c>
      <c r="F120" s="8" t="s">
        <v>1354</v>
      </c>
      <c r="G120" s="96">
        <v>3</v>
      </c>
      <c r="H120" s="5" t="s">
        <v>57</v>
      </c>
      <c r="I120" s="8" t="s">
        <v>58</v>
      </c>
      <c r="J120" s="8" t="s">
        <v>881</v>
      </c>
      <c r="K120" s="8" t="s">
        <v>917</v>
      </c>
      <c r="L120" s="8" t="s">
        <v>1510</v>
      </c>
      <c r="M120" s="8" t="s">
        <v>1511</v>
      </c>
      <c r="N120" s="5" t="s">
        <v>268</v>
      </c>
      <c r="O120" s="5" t="s">
        <v>61</v>
      </c>
      <c r="P120" s="5" t="s">
        <v>1512</v>
      </c>
      <c r="Q120" s="9" t="s">
        <v>75</v>
      </c>
      <c r="R120" s="5" t="s">
        <v>76</v>
      </c>
      <c r="S120" s="5" t="s">
        <v>64</v>
      </c>
      <c r="T120" s="96">
        <v>1</v>
      </c>
      <c r="U120" s="96">
        <v>5</v>
      </c>
      <c r="V120" s="96">
        <v>5</v>
      </c>
      <c r="W120" s="5" t="s">
        <v>78</v>
      </c>
      <c r="X120" s="10" t="s">
        <v>79</v>
      </c>
      <c r="Y120" s="11">
        <v>7.529268292682926</v>
      </c>
      <c r="Z120" s="12">
        <v>5</v>
      </c>
      <c r="AA120" s="12">
        <v>0</v>
      </c>
      <c r="AB120" s="12">
        <v>0</v>
      </c>
      <c r="AC120" s="13">
        <v>1</v>
      </c>
      <c r="AD120" s="14">
        <f t="shared" si="4"/>
        <v>6</v>
      </c>
      <c r="AE120" s="15">
        <f t="shared" si="5"/>
        <v>0.16666666666666666</v>
      </c>
      <c r="AF120" s="16">
        <v>85</v>
      </c>
      <c r="AG120" s="16">
        <v>85</v>
      </c>
      <c r="AH120" s="17" t="s">
        <v>1308</v>
      </c>
      <c r="AI120" s="18">
        <v>30</v>
      </c>
      <c r="AJ120" s="19">
        <v>1</v>
      </c>
      <c r="AK120" s="20">
        <v>0.97</v>
      </c>
      <c r="AL120" s="17" t="s">
        <v>261</v>
      </c>
      <c r="AM120" s="5" t="s">
        <v>261</v>
      </c>
      <c r="AN120" s="5" t="s">
        <v>66</v>
      </c>
      <c r="AO120" s="5" t="s">
        <v>66</v>
      </c>
      <c r="AP120" s="5" t="s">
        <v>66</v>
      </c>
      <c r="AQ120" s="5" t="s">
        <v>66</v>
      </c>
      <c r="AR120" s="5" t="s">
        <v>66</v>
      </c>
      <c r="AS120" s="5" t="s">
        <v>66</v>
      </c>
      <c r="AT120" s="5" t="s">
        <v>66</v>
      </c>
      <c r="AU120" s="5" t="s">
        <v>66</v>
      </c>
      <c r="AV120" s="5" t="s">
        <v>66</v>
      </c>
      <c r="AW120" s="5" t="s">
        <v>66</v>
      </c>
      <c r="AX120" s="5" t="s">
        <v>66</v>
      </c>
      <c r="AY120" s="5" t="s">
        <v>1513</v>
      </c>
      <c r="AZ120" s="5" t="s">
        <v>145</v>
      </c>
      <c r="BA120" s="19" t="s">
        <v>145</v>
      </c>
      <c r="BB120" s="17">
        <v>0.5</v>
      </c>
      <c r="BC120" s="5" t="s">
        <v>94</v>
      </c>
      <c r="BD120" s="5" t="s">
        <v>1514</v>
      </c>
    </row>
    <row r="121" spans="1:56" ht="24" hidden="1" x14ac:dyDescent="0.25">
      <c r="A121" s="78" t="s">
        <v>1352</v>
      </c>
      <c r="B121" s="5" t="s">
        <v>1353</v>
      </c>
      <c r="C121" s="5" t="s">
        <v>3293</v>
      </c>
      <c r="D121" s="5" t="s">
        <v>56</v>
      </c>
      <c r="E121" s="99" t="str">
        <f>VLOOKUP(D121,'Dropdown List'!$F$26:$G$40,2,0)</f>
        <v>India</v>
      </c>
      <c r="F121" s="8" t="s">
        <v>1354</v>
      </c>
      <c r="G121" s="96">
        <v>0.1</v>
      </c>
      <c r="H121" s="5" t="s">
        <v>57</v>
      </c>
      <c r="I121" s="8" t="s">
        <v>58</v>
      </c>
      <c r="J121" s="8" t="s">
        <v>396</v>
      </c>
      <c r="K121" s="8" t="s">
        <v>1453</v>
      </c>
      <c r="L121" s="8" t="s">
        <v>1515</v>
      </c>
      <c r="M121" s="8" t="s">
        <v>1516</v>
      </c>
      <c r="N121" s="5" t="s">
        <v>1034</v>
      </c>
      <c r="O121" s="5" t="s">
        <v>61</v>
      </c>
      <c r="P121" s="5" t="s">
        <v>281</v>
      </c>
      <c r="Q121" s="9" t="s">
        <v>75</v>
      </c>
      <c r="R121" s="5" t="s">
        <v>76</v>
      </c>
      <c r="S121" s="5" t="s">
        <v>64</v>
      </c>
      <c r="T121" s="96">
        <v>0</v>
      </c>
      <c r="U121" s="96">
        <v>1</v>
      </c>
      <c r="V121" s="96">
        <v>4</v>
      </c>
      <c r="W121" s="5" t="s">
        <v>78</v>
      </c>
      <c r="X121" s="10" t="s">
        <v>79</v>
      </c>
      <c r="Y121" s="11">
        <v>1.66</v>
      </c>
      <c r="Z121" s="12">
        <v>0.33</v>
      </c>
      <c r="AA121" s="12">
        <v>0</v>
      </c>
      <c r="AB121" s="12">
        <v>0</v>
      </c>
      <c r="AC121" s="13">
        <v>0</v>
      </c>
      <c r="AD121" s="14">
        <f t="shared" si="4"/>
        <v>0.33</v>
      </c>
      <c r="AE121" s="15">
        <f t="shared" si="5"/>
        <v>0</v>
      </c>
      <c r="AF121" s="16">
        <v>425</v>
      </c>
      <c r="AG121" s="16" t="s">
        <v>281</v>
      </c>
      <c r="AH121" s="17" t="s">
        <v>66</v>
      </c>
      <c r="AI121" s="18">
        <v>7.23</v>
      </c>
      <c r="AJ121" s="19">
        <v>0.97</v>
      </c>
      <c r="AK121" s="20">
        <v>0.97</v>
      </c>
      <c r="AL121" s="17" t="s">
        <v>261</v>
      </c>
      <c r="AM121" s="5" t="s">
        <v>66</v>
      </c>
      <c r="AN121" s="5" t="s">
        <v>66</v>
      </c>
      <c r="AO121" s="5" t="s">
        <v>66</v>
      </c>
      <c r="AP121" s="5" t="s">
        <v>66</v>
      </c>
      <c r="AQ121" s="5" t="s">
        <v>66</v>
      </c>
      <c r="AR121" s="5" t="s">
        <v>66</v>
      </c>
      <c r="AS121" s="5" t="s">
        <v>66</v>
      </c>
      <c r="AT121" s="5" t="s">
        <v>66</v>
      </c>
      <c r="AU121" s="5" t="s">
        <v>66</v>
      </c>
      <c r="AV121" s="5" t="s">
        <v>66</v>
      </c>
      <c r="AW121" s="5" t="s">
        <v>66</v>
      </c>
      <c r="AX121" s="5" t="s">
        <v>66</v>
      </c>
      <c r="AY121" s="5" t="s">
        <v>1363</v>
      </c>
      <c r="AZ121" s="5" t="s">
        <v>145</v>
      </c>
      <c r="BA121" s="19">
        <v>100</v>
      </c>
      <c r="BB121" s="17" t="s">
        <v>1471</v>
      </c>
      <c r="BC121" s="5" t="s">
        <v>1517</v>
      </c>
      <c r="BD121" s="5" t="s">
        <v>1471</v>
      </c>
    </row>
    <row r="122" spans="1:56" ht="60" hidden="1" x14ac:dyDescent="0.25">
      <c r="A122" s="78" t="s">
        <v>1352</v>
      </c>
      <c r="B122" s="5" t="s">
        <v>1353</v>
      </c>
      <c r="C122" s="5" t="s">
        <v>3293</v>
      </c>
      <c r="D122" s="5" t="s">
        <v>56</v>
      </c>
      <c r="E122" s="99" t="str">
        <f>VLOOKUP(D122,'Dropdown List'!$F$26:$G$40,2,0)</f>
        <v>India</v>
      </c>
      <c r="F122" s="8" t="s">
        <v>1354</v>
      </c>
      <c r="G122" s="96">
        <v>0.5</v>
      </c>
      <c r="H122" s="5" t="s">
        <v>57</v>
      </c>
      <c r="I122" s="8" t="s">
        <v>58</v>
      </c>
      <c r="J122" s="8" t="s">
        <v>396</v>
      </c>
      <c r="K122" s="8" t="s">
        <v>1453</v>
      </c>
      <c r="L122" s="8" t="s">
        <v>1518</v>
      </c>
      <c r="M122" s="8" t="s">
        <v>1519</v>
      </c>
      <c r="N122" s="5" t="s">
        <v>1034</v>
      </c>
      <c r="O122" s="5" t="s">
        <v>61</v>
      </c>
      <c r="P122" s="5" t="s">
        <v>1475</v>
      </c>
      <c r="Q122" s="9" t="s">
        <v>75</v>
      </c>
      <c r="R122" s="5" t="s">
        <v>76</v>
      </c>
      <c r="S122" s="5" t="s">
        <v>64</v>
      </c>
      <c r="T122" s="96">
        <v>0</v>
      </c>
      <c r="U122" s="96">
        <v>1</v>
      </c>
      <c r="V122" s="96">
        <v>4</v>
      </c>
      <c r="W122" s="5" t="s">
        <v>78</v>
      </c>
      <c r="X122" s="10" t="s">
        <v>79</v>
      </c>
      <c r="Y122" s="11">
        <v>2.82</v>
      </c>
      <c r="Z122" s="12">
        <v>0.11</v>
      </c>
      <c r="AA122" s="12">
        <v>0</v>
      </c>
      <c r="AB122" s="12">
        <v>0</v>
      </c>
      <c r="AC122" s="13">
        <v>0</v>
      </c>
      <c r="AD122" s="14">
        <f t="shared" si="4"/>
        <v>0.11</v>
      </c>
      <c r="AE122" s="15">
        <f t="shared" si="5"/>
        <v>0</v>
      </c>
      <c r="AF122" s="16">
        <v>180</v>
      </c>
      <c r="AG122" s="16" t="s">
        <v>281</v>
      </c>
      <c r="AH122" s="17" t="s">
        <v>66</v>
      </c>
      <c r="AI122" s="18">
        <v>6</v>
      </c>
      <c r="AJ122" s="19">
        <v>0.97</v>
      </c>
      <c r="AK122" s="20">
        <v>0.97</v>
      </c>
      <c r="AL122" s="17" t="s">
        <v>261</v>
      </c>
      <c r="AM122" s="5" t="s">
        <v>66</v>
      </c>
      <c r="AN122" s="5" t="s">
        <v>66</v>
      </c>
      <c r="AO122" s="5" t="s">
        <v>66</v>
      </c>
      <c r="AP122" s="5" t="s">
        <v>66</v>
      </c>
      <c r="AQ122" s="5" t="s">
        <v>66</v>
      </c>
      <c r="AR122" s="5" t="s">
        <v>66</v>
      </c>
      <c r="AS122" s="5" t="s">
        <v>66</v>
      </c>
      <c r="AT122" s="5" t="s">
        <v>66</v>
      </c>
      <c r="AU122" s="5" t="s">
        <v>66</v>
      </c>
      <c r="AV122" s="5" t="s">
        <v>66</v>
      </c>
      <c r="AW122" s="5" t="s">
        <v>66</v>
      </c>
      <c r="AX122" s="5" t="s">
        <v>66</v>
      </c>
      <c r="AY122" s="5" t="s">
        <v>1359</v>
      </c>
      <c r="AZ122" s="5" t="s">
        <v>145</v>
      </c>
      <c r="BA122" s="19">
        <v>100</v>
      </c>
      <c r="BB122" s="17" t="s">
        <v>1359</v>
      </c>
      <c r="BC122" s="5" t="s">
        <v>901</v>
      </c>
      <c r="BD122" s="5" t="s">
        <v>1359</v>
      </c>
    </row>
    <row r="123" spans="1:56" ht="72" hidden="1" x14ac:dyDescent="0.25">
      <c r="A123" s="78" t="s">
        <v>1352</v>
      </c>
      <c r="B123" s="5" t="s">
        <v>1353</v>
      </c>
      <c r="C123" s="5" t="s">
        <v>3293</v>
      </c>
      <c r="D123" s="5" t="s">
        <v>56</v>
      </c>
      <c r="E123" s="99" t="str">
        <f>VLOOKUP(D123,'Dropdown List'!$F$26:$G$40,2,0)</f>
        <v>India</v>
      </c>
      <c r="F123" s="8" t="s">
        <v>1354</v>
      </c>
      <c r="G123" s="96">
        <v>1.9</v>
      </c>
      <c r="H123" s="5" t="s">
        <v>57</v>
      </c>
      <c r="I123" s="8" t="s">
        <v>58</v>
      </c>
      <c r="J123" s="8" t="s">
        <v>59</v>
      </c>
      <c r="K123" s="8" t="s">
        <v>86</v>
      </c>
      <c r="L123" s="8" t="s">
        <v>1520</v>
      </c>
      <c r="M123" s="8" t="s">
        <v>1521</v>
      </c>
      <c r="N123" s="5" t="s">
        <v>1034</v>
      </c>
      <c r="O123" s="5" t="s">
        <v>89</v>
      </c>
      <c r="P123" s="5" t="s">
        <v>89</v>
      </c>
      <c r="Q123" s="9" t="s">
        <v>418</v>
      </c>
      <c r="R123" s="5" t="s">
        <v>76</v>
      </c>
      <c r="S123" s="5" t="s">
        <v>64</v>
      </c>
      <c r="T123" s="96">
        <v>0.3</v>
      </c>
      <c r="U123" s="96">
        <v>2</v>
      </c>
      <c r="V123" s="96">
        <v>2</v>
      </c>
      <c r="W123" s="5" t="s">
        <v>78</v>
      </c>
      <c r="X123" s="10" t="s">
        <v>79</v>
      </c>
      <c r="Y123" s="11">
        <v>7</v>
      </c>
      <c r="Z123" s="12">
        <v>0.5</v>
      </c>
      <c r="AA123" s="12">
        <v>0</v>
      </c>
      <c r="AB123" s="12">
        <v>0</v>
      </c>
      <c r="AC123" s="13">
        <v>0</v>
      </c>
      <c r="AD123" s="14">
        <f t="shared" si="4"/>
        <v>0.5</v>
      </c>
      <c r="AE123" s="15">
        <f t="shared" si="5"/>
        <v>0</v>
      </c>
      <c r="AF123" s="16">
        <v>257</v>
      </c>
      <c r="AG123" s="16" t="s">
        <v>281</v>
      </c>
      <c r="AH123" s="17" t="s">
        <v>66</v>
      </c>
      <c r="AI123" s="18">
        <v>31.04</v>
      </c>
      <c r="AJ123" s="19">
        <v>1</v>
      </c>
      <c r="AK123" s="20">
        <v>0.97</v>
      </c>
      <c r="AL123" s="17" t="s">
        <v>261</v>
      </c>
      <c r="AM123" s="5" t="s">
        <v>66</v>
      </c>
      <c r="AN123" s="5" t="s">
        <v>66</v>
      </c>
      <c r="AO123" s="5" t="s">
        <v>66</v>
      </c>
      <c r="AP123" s="5" t="s">
        <v>66</v>
      </c>
      <c r="AQ123" s="5" t="s">
        <v>66</v>
      </c>
      <c r="AR123" s="5" t="s">
        <v>66</v>
      </c>
      <c r="AS123" s="5" t="s">
        <v>66</v>
      </c>
      <c r="AT123" s="5" t="s">
        <v>66</v>
      </c>
      <c r="AU123" s="5" t="s">
        <v>66</v>
      </c>
      <c r="AV123" s="5" t="s">
        <v>66</v>
      </c>
      <c r="AW123" s="5" t="s">
        <v>66</v>
      </c>
      <c r="AX123" s="5" t="s">
        <v>66</v>
      </c>
      <c r="AY123" s="5" t="s">
        <v>1363</v>
      </c>
      <c r="AZ123" s="5" t="s">
        <v>145</v>
      </c>
      <c r="BA123" s="19" t="s">
        <v>145</v>
      </c>
      <c r="BB123" s="17" t="s">
        <v>1359</v>
      </c>
      <c r="BC123" s="5" t="s">
        <v>901</v>
      </c>
      <c r="BD123" s="5" t="s">
        <v>1522</v>
      </c>
    </row>
    <row r="124" spans="1:56" ht="24" hidden="1" x14ac:dyDescent="0.25">
      <c r="A124" s="78" t="s">
        <v>1352</v>
      </c>
      <c r="B124" s="5" t="s">
        <v>1353</v>
      </c>
      <c r="C124" s="5" t="s">
        <v>3293</v>
      </c>
      <c r="D124" s="5" t="s">
        <v>56</v>
      </c>
      <c r="E124" s="99" t="str">
        <f>VLOOKUP(D124,'Dropdown List'!$F$26:$G$40,2,0)</f>
        <v>India</v>
      </c>
      <c r="F124" s="8" t="s">
        <v>1354</v>
      </c>
      <c r="G124" s="96">
        <v>1.3</v>
      </c>
      <c r="H124" s="5" t="s">
        <v>57</v>
      </c>
      <c r="I124" s="8" t="s">
        <v>58</v>
      </c>
      <c r="J124" s="8" t="s">
        <v>59</v>
      </c>
      <c r="K124" s="8" t="s">
        <v>86</v>
      </c>
      <c r="L124" s="8" t="s">
        <v>1523</v>
      </c>
      <c r="M124" s="8" t="s">
        <v>1524</v>
      </c>
      <c r="N124" s="5" t="s">
        <v>1034</v>
      </c>
      <c r="O124" s="5" t="s">
        <v>1525</v>
      </c>
      <c r="P124" s="5" t="s">
        <v>1525</v>
      </c>
      <c r="Q124" s="9" t="s">
        <v>418</v>
      </c>
      <c r="R124" s="5" t="s">
        <v>76</v>
      </c>
      <c r="S124" s="5" t="s">
        <v>64</v>
      </c>
      <c r="T124" s="96">
        <v>0.15</v>
      </c>
      <c r="U124" s="96">
        <v>0.15</v>
      </c>
      <c r="V124" s="96">
        <v>0.5</v>
      </c>
      <c r="W124" s="5" t="s">
        <v>78</v>
      </c>
      <c r="X124" s="10" t="s">
        <v>79</v>
      </c>
      <c r="Y124" s="11">
        <v>20.3</v>
      </c>
      <c r="Z124" s="12">
        <v>0.5</v>
      </c>
      <c r="AA124" s="12">
        <v>0</v>
      </c>
      <c r="AB124" s="12">
        <v>0</v>
      </c>
      <c r="AC124" s="13">
        <v>0</v>
      </c>
      <c r="AD124" s="14">
        <f t="shared" si="4"/>
        <v>0.5</v>
      </c>
      <c r="AE124" s="15">
        <f t="shared" si="5"/>
        <v>0</v>
      </c>
      <c r="AF124" s="16">
        <v>21</v>
      </c>
      <c r="AG124" s="16" t="s">
        <v>281</v>
      </c>
      <c r="AH124" s="17" t="s">
        <v>66</v>
      </c>
      <c r="AI124" s="18">
        <v>90</v>
      </c>
      <c r="AJ124" s="19">
        <v>1</v>
      </c>
      <c r="AK124" s="20">
        <v>0.97</v>
      </c>
      <c r="AL124" s="17" t="s">
        <v>261</v>
      </c>
      <c r="AM124" s="5" t="s">
        <v>66</v>
      </c>
      <c r="AN124" s="5" t="s">
        <v>66</v>
      </c>
      <c r="AO124" s="5" t="s">
        <v>66</v>
      </c>
      <c r="AP124" s="5" t="s">
        <v>66</v>
      </c>
      <c r="AQ124" s="5" t="s">
        <v>66</v>
      </c>
      <c r="AR124" s="5" t="s">
        <v>66</v>
      </c>
      <c r="AS124" s="5" t="s">
        <v>66</v>
      </c>
      <c r="AT124" s="5" t="s">
        <v>66</v>
      </c>
      <c r="AU124" s="5" t="s">
        <v>66</v>
      </c>
      <c r="AV124" s="5" t="s">
        <v>66</v>
      </c>
      <c r="AW124" s="5" t="s">
        <v>66</v>
      </c>
      <c r="AX124" s="5" t="s">
        <v>66</v>
      </c>
      <c r="AY124" s="5" t="s">
        <v>1359</v>
      </c>
      <c r="AZ124" s="5" t="s">
        <v>145</v>
      </c>
      <c r="BA124" s="19">
        <v>100</v>
      </c>
      <c r="BB124" s="17" t="s">
        <v>1359</v>
      </c>
      <c r="BC124" s="5" t="s">
        <v>1526</v>
      </c>
      <c r="BD124" s="5" t="s">
        <v>1359</v>
      </c>
    </row>
    <row r="125" spans="1:56" ht="24" hidden="1" x14ac:dyDescent="0.25">
      <c r="A125" s="78" t="s">
        <v>1352</v>
      </c>
      <c r="B125" s="5" t="s">
        <v>1353</v>
      </c>
      <c r="C125" s="5" t="s">
        <v>3293</v>
      </c>
      <c r="D125" s="5" t="s">
        <v>56</v>
      </c>
      <c r="E125" s="99" t="str">
        <f>VLOOKUP(D125,'Dropdown List'!$F$26:$G$40,2,0)</f>
        <v>India</v>
      </c>
      <c r="F125" s="8" t="s">
        <v>1354</v>
      </c>
      <c r="G125" s="96">
        <v>1.6</v>
      </c>
      <c r="H125" s="5" t="s">
        <v>57</v>
      </c>
      <c r="I125" s="8" t="s">
        <v>58</v>
      </c>
      <c r="J125" s="8" t="s">
        <v>59</v>
      </c>
      <c r="K125" s="8" t="s">
        <v>86</v>
      </c>
      <c r="L125" s="8" t="s">
        <v>1527</v>
      </c>
      <c r="M125" s="8" t="s">
        <v>1528</v>
      </c>
      <c r="N125" s="5" t="s">
        <v>1034</v>
      </c>
      <c r="O125" s="5" t="s">
        <v>1525</v>
      </c>
      <c r="P125" s="5" t="s">
        <v>1525</v>
      </c>
      <c r="Q125" s="9" t="s">
        <v>418</v>
      </c>
      <c r="R125" s="5" t="s">
        <v>76</v>
      </c>
      <c r="S125" s="5" t="s">
        <v>64</v>
      </c>
      <c r="T125" s="96">
        <v>0.15</v>
      </c>
      <c r="U125" s="96">
        <v>0.15</v>
      </c>
      <c r="V125" s="96">
        <v>1</v>
      </c>
      <c r="W125" s="5" t="s">
        <v>78</v>
      </c>
      <c r="X125" s="10" t="s">
        <v>79</v>
      </c>
      <c r="Y125" s="11">
        <v>1.1299999999999999</v>
      </c>
      <c r="Z125" s="12">
        <v>0.5</v>
      </c>
      <c r="AA125" s="12">
        <v>0</v>
      </c>
      <c r="AB125" s="12">
        <v>0</v>
      </c>
      <c r="AC125" s="13">
        <v>0</v>
      </c>
      <c r="AD125" s="14">
        <f t="shared" si="4"/>
        <v>0.5</v>
      </c>
      <c r="AE125" s="15">
        <f t="shared" si="5"/>
        <v>0</v>
      </c>
      <c r="AF125" s="16">
        <v>61</v>
      </c>
      <c r="AG125" s="16" t="s">
        <v>281</v>
      </c>
      <c r="AH125" s="17" t="s">
        <v>66</v>
      </c>
      <c r="AI125" s="18">
        <v>5</v>
      </c>
      <c r="AJ125" s="19">
        <v>1</v>
      </c>
      <c r="AK125" s="20">
        <v>0.97</v>
      </c>
      <c r="AL125" s="17" t="s">
        <v>261</v>
      </c>
      <c r="AM125" s="5" t="s">
        <v>66</v>
      </c>
      <c r="AN125" s="5" t="s">
        <v>66</v>
      </c>
      <c r="AO125" s="5" t="s">
        <v>66</v>
      </c>
      <c r="AP125" s="5" t="s">
        <v>66</v>
      </c>
      <c r="AQ125" s="5" t="s">
        <v>66</v>
      </c>
      <c r="AR125" s="5" t="s">
        <v>66</v>
      </c>
      <c r="AS125" s="5" t="s">
        <v>66</v>
      </c>
      <c r="AT125" s="5" t="s">
        <v>66</v>
      </c>
      <c r="AU125" s="5" t="s">
        <v>66</v>
      </c>
      <c r="AV125" s="5" t="s">
        <v>66</v>
      </c>
      <c r="AW125" s="5" t="s">
        <v>66</v>
      </c>
      <c r="AX125" s="5" t="s">
        <v>66</v>
      </c>
      <c r="AY125" s="5" t="s">
        <v>1363</v>
      </c>
      <c r="AZ125" s="5" t="s">
        <v>145</v>
      </c>
      <c r="BA125" s="19">
        <v>100</v>
      </c>
      <c r="BB125" s="17" t="s">
        <v>1359</v>
      </c>
      <c r="BC125" s="5" t="s">
        <v>1529</v>
      </c>
      <c r="BD125" s="5" t="s">
        <v>1359</v>
      </c>
    </row>
    <row r="126" spans="1:56" ht="132" hidden="1" x14ac:dyDescent="0.25">
      <c r="A126" s="78" t="s">
        <v>1352</v>
      </c>
      <c r="B126" s="5" t="s">
        <v>1353</v>
      </c>
      <c r="C126" s="5" t="s">
        <v>3293</v>
      </c>
      <c r="D126" s="5" t="s">
        <v>56</v>
      </c>
      <c r="E126" s="99" t="str">
        <f>VLOOKUP(D126,'Dropdown List'!$F$26:$G$40,2,0)</f>
        <v>India</v>
      </c>
      <c r="F126" s="8" t="s">
        <v>1354</v>
      </c>
      <c r="G126" s="96">
        <v>8</v>
      </c>
      <c r="H126" s="5" t="s">
        <v>57</v>
      </c>
      <c r="I126" s="8" t="s">
        <v>71</v>
      </c>
      <c r="J126" s="8" t="s">
        <v>102</v>
      </c>
      <c r="K126" s="8" t="s">
        <v>516</v>
      </c>
      <c r="L126" s="8" t="s">
        <v>1530</v>
      </c>
      <c r="M126" s="8" t="s">
        <v>1531</v>
      </c>
      <c r="N126" s="5" t="s">
        <v>1034</v>
      </c>
      <c r="O126" s="5" t="s">
        <v>61</v>
      </c>
      <c r="P126" s="5" t="s">
        <v>1532</v>
      </c>
      <c r="Q126" s="9" t="s">
        <v>75</v>
      </c>
      <c r="R126" s="5" t="s">
        <v>76</v>
      </c>
      <c r="S126" s="5" t="s">
        <v>64</v>
      </c>
      <c r="T126" s="96">
        <v>2</v>
      </c>
      <c r="U126" s="96" t="s">
        <v>77</v>
      </c>
      <c r="V126" s="96" t="s">
        <v>273</v>
      </c>
      <c r="W126" s="5" t="s">
        <v>78</v>
      </c>
      <c r="X126" s="10" t="s">
        <v>79</v>
      </c>
      <c r="Y126" s="11">
        <v>22014.800000000003</v>
      </c>
      <c r="Z126" s="12">
        <v>4</v>
      </c>
      <c r="AA126" s="12">
        <v>0.1</v>
      </c>
      <c r="AB126" s="12">
        <v>0.2</v>
      </c>
      <c r="AC126" s="13">
        <v>1</v>
      </c>
      <c r="AD126" s="14">
        <f t="shared" si="4"/>
        <v>5.3</v>
      </c>
      <c r="AE126" s="15">
        <f t="shared" si="5"/>
        <v>0.18867924528301888</v>
      </c>
      <c r="AF126" s="16">
        <v>578</v>
      </c>
      <c r="AG126" s="16" t="s">
        <v>66</v>
      </c>
      <c r="AH126" s="17" t="s">
        <v>1533</v>
      </c>
      <c r="AI126" s="18">
        <v>41</v>
      </c>
      <c r="AJ126" s="19" t="s">
        <v>1534</v>
      </c>
      <c r="AK126" s="20">
        <v>0.98</v>
      </c>
      <c r="AL126" s="17" t="s">
        <v>261</v>
      </c>
      <c r="AM126" s="5" t="s">
        <v>66</v>
      </c>
      <c r="AN126" s="5" t="s">
        <v>66</v>
      </c>
      <c r="AO126" s="5" t="s">
        <v>66</v>
      </c>
      <c r="AP126" s="5" t="s">
        <v>66</v>
      </c>
      <c r="AQ126" s="5" t="s">
        <v>135</v>
      </c>
      <c r="AR126" s="5" t="s">
        <v>1535</v>
      </c>
      <c r="AS126" s="5" t="s">
        <v>1536</v>
      </c>
      <c r="AT126" s="5" t="s">
        <v>66</v>
      </c>
      <c r="AU126" s="5" t="s">
        <v>66</v>
      </c>
      <c r="AV126" s="5" t="s">
        <v>66</v>
      </c>
      <c r="AW126" s="5" t="s">
        <v>66</v>
      </c>
      <c r="AX126" s="5" t="s">
        <v>1537</v>
      </c>
      <c r="AY126" s="5" t="s">
        <v>69</v>
      </c>
      <c r="AZ126" s="5" t="s">
        <v>80</v>
      </c>
      <c r="BA126" s="19" t="s">
        <v>1538</v>
      </c>
      <c r="BB126" s="17" t="s">
        <v>353</v>
      </c>
      <c r="BC126" s="5" t="s">
        <v>1539</v>
      </c>
      <c r="BD126" s="5" t="s">
        <v>1540</v>
      </c>
    </row>
    <row r="127" spans="1:56" ht="72" hidden="1" x14ac:dyDescent="0.25">
      <c r="A127" s="78" t="s">
        <v>1352</v>
      </c>
      <c r="B127" s="5" t="s">
        <v>1353</v>
      </c>
      <c r="C127" s="5" t="s">
        <v>3293</v>
      </c>
      <c r="D127" s="5" t="s">
        <v>56</v>
      </c>
      <c r="E127" s="99" t="str">
        <f>VLOOKUP(D127,'Dropdown List'!$F$26:$G$40,2,0)</f>
        <v>India</v>
      </c>
      <c r="F127" s="8" t="s">
        <v>1354</v>
      </c>
      <c r="G127" s="96">
        <v>8</v>
      </c>
      <c r="H127" s="5" t="s">
        <v>57</v>
      </c>
      <c r="I127" s="8" t="s">
        <v>71</v>
      </c>
      <c r="J127" s="8" t="s">
        <v>102</v>
      </c>
      <c r="K127" s="8" t="s">
        <v>611</v>
      </c>
      <c r="L127" s="8" t="s">
        <v>1541</v>
      </c>
      <c r="M127" s="8" t="s">
        <v>1542</v>
      </c>
      <c r="N127" s="5" t="s">
        <v>1034</v>
      </c>
      <c r="O127" s="5" t="s">
        <v>61</v>
      </c>
      <c r="P127" s="5" t="s">
        <v>1532</v>
      </c>
      <c r="Q127" s="9" t="s">
        <v>75</v>
      </c>
      <c r="R127" s="5" t="s">
        <v>76</v>
      </c>
      <c r="S127" s="5" t="s">
        <v>64</v>
      </c>
      <c r="T127" s="96">
        <v>2</v>
      </c>
      <c r="U127" s="96" t="s">
        <v>77</v>
      </c>
      <c r="V127" s="96" t="s">
        <v>273</v>
      </c>
      <c r="W127" s="5" t="s">
        <v>78</v>
      </c>
      <c r="X127" s="10" t="s">
        <v>79</v>
      </c>
      <c r="Y127" s="11">
        <v>22014.800000000003</v>
      </c>
      <c r="Z127" s="12">
        <v>6.42</v>
      </c>
      <c r="AA127" s="12">
        <v>0.4</v>
      </c>
      <c r="AB127" s="12">
        <v>0.3</v>
      </c>
      <c r="AC127" s="13">
        <v>1.22</v>
      </c>
      <c r="AD127" s="14">
        <f t="shared" si="4"/>
        <v>8.34</v>
      </c>
      <c r="AE127" s="15">
        <f t="shared" si="5"/>
        <v>0.14628297362110312</v>
      </c>
      <c r="AF127" s="16">
        <v>2100</v>
      </c>
      <c r="AG127" s="16" t="s">
        <v>66</v>
      </c>
      <c r="AH127" s="17" t="s">
        <v>1543</v>
      </c>
      <c r="AI127" s="18">
        <v>30</v>
      </c>
      <c r="AJ127" s="19" t="s">
        <v>1544</v>
      </c>
      <c r="AK127" s="20">
        <v>0.99</v>
      </c>
      <c r="AL127" s="17" t="s">
        <v>261</v>
      </c>
      <c r="AM127" s="5" t="s">
        <v>66</v>
      </c>
      <c r="AN127" s="5" t="s">
        <v>66</v>
      </c>
      <c r="AO127" s="5" t="s">
        <v>66</v>
      </c>
      <c r="AP127" s="5" t="s">
        <v>66</v>
      </c>
      <c r="AQ127" s="5" t="s">
        <v>135</v>
      </c>
      <c r="AR127" s="5" t="s">
        <v>1545</v>
      </c>
      <c r="AS127" s="5" t="s">
        <v>1546</v>
      </c>
      <c r="AT127" s="5" t="s">
        <v>828</v>
      </c>
      <c r="AU127" s="5" t="s">
        <v>392</v>
      </c>
      <c r="AV127" s="5" t="s">
        <v>392</v>
      </c>
      <c r="AW127" s="5" t="s">
        <v>66</v>
      </c>
      <c r="AX127" s="5" t="s">
        <v>1537</v>
      </c>
      <c r="AY127" s="5" t="s">
        <v>69</v>
      </c>
      <c r="AZ127" s="5" t="s">
        <v>80</v>
      </c>
      <c r="BA127" s="19" t="s">
        <v>1538</v>
      </c>
      <c r="BB127" s="17" t="s">
        <v>353</v>
      </c>
      <c r="BC127" s="5" t="s">
        <v>1539</v>
      </c>
      <c r="BD127" s="5" t="s">
        <v>1540</v>
      </c>
    </row>
    <row r="128" spans="1:56" ht="36" hidden="1" x14ac:dyDescent="0.25">
      <c r="A128" s="78" t="s">
        <v>1352</v>
      </c>
      <c r="B128" s="5" t="s">
        <v>1353</v>
      </c>
      <c r="C128" s="5" t="s">
        <v>3293</v>
      </c>
      <c r="D128" s="5" t="s">
        <v>56</v>
      </c>
      <c r="E128" s="99" t="str">
        <f>VLOOKUP(D128,'Dropdown List'!$F$26:$G$40,2,0)</f>
        <v>India</v>
      </c>
      <c r="F128" s="8" t="s">
        <v>1354</v>
      </c>
      <c r="G128" s="96">
        <v>8</v>
      </c>
      <c r="H128" s="5" t="s">
        <v>57</v>
      </c>
      <c r="I128" s="8" t="s">
        <v>71</v>
      </c>
      <c r="J128" s="8" t="s">
        <v>1547</v>
      </c>
      <c r="K128" s="8" t="s">
        <v>1548</v>
      </c>
      <c r="L128" s="8" t="s">
        <v>1548</v>
      </c>
      <c r="M128" s="8" t="s">
        <v>1549</v>
      </c>
      <c r="N128" s="5" t="s">
        <v>1034</v>
      </c>
      <c r="O128" s="5" t="s">
        <v>61</v>
      </c>
      <c r="P128" s="5" t="s">
        <v>1550</v>
      </c>
      <c r="Q128" s="9" t="s">
        <v>75</v>
      </c>
      <c r="R128" s="5" t="s">
        <v>76</v>
      </c>
      <c r="S128" s="5" t="s">
        <v>64</v>
      </c>
      <c r="T128" s="96">
        <v>1</v>
      </c>
      <c r="U128" s="96" t="s">
        <v>77</v>
      </c>
      <c r="V128" s="96" t="s">
        <v>77</v>
      </c>
      <c r="W128" s="5" t="s">
        <v>78</v>
      </c>
      <c r="X128" s="10" t="s">
        <v>79</v>
      </c>
      <c r="Y128" s="11">
        <v>23594</v>
      </c>
      <c r="Z128" s="12">
        <v>1</v>
      </c>
      <c r="AA128" s="12">
        <v>0</v>
      </c>
      <c r="AB128" s="12">
        <v>0.1</v>
      </c>
      <c r="AC128" s="13">
        <v>1</v>
      </c>
      <c r="AD128" s="14">
        <f t="shared" si="4"/>
        <v>2.1</v>
      </c>
      <c r="AE128" s="15">
        <f t="shared" si="5"/>
        <v>0.47619047619047616</v>
      </c>
      <c r="AF128" s="16">
        <v>1796</v>
      </c>
      <c r="AG128" s="16" t="s">
        <v>66</v>
      </c>
      <c r="AH128" s="17" t="s">
        <v>1543</v>
      </c>
      <c r="AI128" s="18">
        <v>2</v>
      </c>
      <c r="AJ128" s="19" t="s">
        <v>1551</v>
      </c>
      <c r="AK128" s="20">
        <v>0.98</v>
      </c>
      <c r="AL128" s="17" t="s">
        <v>261</v>
      </c>
      <c r="AM128" s="5" t="s">
        <v>66</v>
      </c>
      <c r="AN128" s="5" t="s">
        <v>66</v>
      </c>
      <c r="AO128" s="5" t="s">
        <v>66</v>
      </c>
      <c r="AP128" s="5" t="s">
        <v>66</v>
      </c>
      <c r="AQ128" s="5" t="s">
        <v>66</v>
      </c>
      <c r="AR128" s="5" t="s">
        <v>66</v>
      </c>
      <c r="AS128" s="5" t="s">
        <v>66</v>
      </c>
      <c r="AT128" s="5" t="s">
        <v>66</v>
      </c>
      <c r="AU128" s="5" t="s">
        <v>66</v>
      </c>
      <c r="AV128" s="5" t="s">
        <v>66</v>
      </c>
      <c r="AW128" s="5" t="s">
        <v>66</v>
      </c>
      <c r="AX128" s="5" t="s">
        <v>1552</v>
      </c>
      <c r="AY128" s="5" t="s">
        <v>69</v>
      </c>
      <c r="AZ128" s="5" t="s">
        <v>145</v>
      </c>
      <c r="BA128" s="19" t="s">
        <v>1553</v>
      </c>
      <c r="BB128" s="17" t="s">
        <v>65</v>
      </c>
      <c r="BC128" s="5" t="s">
        <v>1554</v>
      </c>
      <c r="BD128" s="5" t="s">
        <v>1555</v>
      </c>
    </row>
    <row r="129" spans="1:56" ht="84" hidden="1" x14ac:dyDescent="0.25">
      <c r="A129" s="78" t="s">
        <v>1352</v>
      </c>
      <c r="B129" s="5" t="s">
        <v>1353</v>
      </c>
      <c r="C129" s="5" t="s">
        <v>3293</v>
      </c>
      <c r="D129" s="5" t="s">
        <v>56</v>
      </c>
      <c r="E129" s="99" t="str">
        <f>VLOOKUP(D129,'Dropdown List'!$F$26:$G$40,2,0)</f>
        <v>India</v>
      </c>
      <c r="F129" s="8" t="s">
        <v>1354</v>
      </c>
      <c r="G129" s="96">
        <v>8</v>
      </c>
      <c r="H129" s="5" t="s">
        <v>57</v>
      </c>
      <c r="I129" s="8" t="s">
        <v>71</v>
      </c>
      <c r="J129" s="8" t="s">
        <v>1547</v>
      </c>
      <c r="K129" s="8" t="s">
        <v>1556</v>
      </c>
      <c r="L129" s="8" t="s">
        <v>1557</v>
      </c>
      <c r="M129" s="8" t="s">
        <v>1558</v>
      </c>
      <c r="N129" s="5" t="s">
        <v>1034</v>
      </c>
      <c r="O129" s="5" t="s">
        <v>61</v>
      </c>
      <c r="P129" s="5" t="s">
        <v>1550</v>
      </c>
      <c r="Q129" s="9" t="s">
        <v>75</v>
      </c>
      <c r="R129" s="5" t="s">
        <v>76</v>
      </c>
      <c r="S129" s="5" t="s">
        <v>64</v>
      </c>
      <c r="T129" s="96">
        <v>1</v>
      </c>
      <c r="U129" s="96" t="s">
        <v>77</v>
      </c>
      <c r="V129" s="96" t="s">
        <v>77</v>
      </c>
      <c r="W129" s="5" t="s">
        <v>78</v>
      </c>
      <c r="X129" s="10" t="s">
        <v>79</v>
      </c>
      <c r="Y129" s="11">
        <v>22014.800000000003</v>
      </c>
      <c r="Z129" s="12">
        <v>1.5</v>
      </c>
      <c r="AA129" s="12">
        <v>0</v>
      </c>
      <c r="AB129" s="12">
        <v>0.1</v>
      </c>
      <c r="AC129" s="13">
        <v>1.33</v>
      </c>
      <c r="AD129" s="14">
        <f t="shared" si="4"/>
        <v>2.93</v>
      </c>
      <c r="AE129" s="15">
        <f t="shared" si="5"/>
        <v>0.4539249146757679</v>
      </c>
      <c r="AF129" s="16">
        <v>16181</v>
      </c>
      <c r="AG129" s="16" t="s">
        <v>66</v>
      </c>
      <c r="AH129" s="17" t="s">
        <v>1559</v>
      </c>
      <c r="AI129" s="18">
        <v>0.84</v>
      </c>
      <c r="AJ129" s="19" t="s">
        <v>1551</v>
      </c>
      <c r="AK129" s="20">
        <v>0.98</v>
      </c>
      <c r="AL129" s="17" t="s">
        <v>261</v>
      </c>
      <c r="AM129" s="5" t="s">
        <v>66</v>
      </c>
      <c r="AN129" s="5" t="s">
        <v>66</v>
      </c>
      <c r="AO129" s="5" t="s">
        <v>66</v>
      </c>
      <c r="AP129" s="5" t="s">
        <v>66</v>
      </c>
      <c r="AQ129" s="5" t="s">
        <v>66</v>
      </c>
      <c r="AR129" s="5" t="s">
        <v>66</v>
      </c>
      <c r="AS129" s="5" t="s">
        <v>66</v>
      </c>
      <c r="AT129" s="5" t="s">
        <v>66</v>
      </c>
      <c r="AU129" s="5" t="s">
        <v>66</v>
      </c>
      <c r="AV129" s="5" t="s">
        <v>66</v>
      </c>
      <c r="AW129" s="5" t="s">
        <v>66</v>
      </c>
      <c r="AX129" s="5" t="s">
        <v>1560</v>
      </c>
      <c r="AY129" s="5" t="s">
        <v>69</v>
      </c>
      <c r="AZ129" s="5" t="s">
        <v>145</v>
      </c>
      <c r="BA129" s="19" t="s">
        <v>1561</v>
      </c>
      <c r="BB129" s="17" t="s">
        <v>65</v>
      </c>
      <c r="BC129" s="5" t="s">
        <v>1562</v>
      </c>
      <c r="BD129" s="5" t="s">
        <v>1563</v>
      </c>
    </row>
    <row r="130" spans="1:56" ht="48" hidden="1" x14ac:dyDescent="0.25">
      <c r="A130" s="78" t="s">
        <v>1352</v>
      </c>
      <c r="B130" s="5" t="s">
        <v>1353</v>
      </c>
      <c r="C130" s="5" t="s">
        <v>3293</v>
      </c>
      <c r="D130" s="5" t="s">
        <v>56</v>
      </c>
      <c r="E130" s="99" t="str">
        <f>VLOOKUP(D130,'Dropdown List'!$F$26:$G$40,2,0)</f>
        <v>India</v>
      </c>
      <c r="F130" s="8" t="s">
        <v>1354</v>
      </c>
      <c r="G130" s="96">
        <v>8</v>
      </c>
      <c r="H130" s="5" t="s">
        <v>57</v>
      </c>
      <c r="I130" s="8" t="s">
        <v>71</v>
      </c>
      <c r="J130" s="8" t="s">
        <v>1547</v>
      </c>
      <c r="K130" s="8" t="s">
        <v>1564</v>
      </c>
      <c r="L130" s="8" t="s">
        <v>1565</v>
      </c>
      <c r="M130" s="8" t="s">
        <v>1566</v>
      </c>
      <c r="N130" s="5" t="s">
        <v>1034</v>
      </c>
      <c r="O130" s="5" t="s">
        <v>61</v>
      </c>
      <c r="P130" s="5" t="s">
        <v>1550</v>
      </c>
      <c r="Q130" s="9" t="s">
        <v>75</v>
      </c>
      <c r="R130" s="5" t="s">
        <v>76</v>
      </c>
      <c r="S130" s="5" t="s">
        <v>64</v>
      </c>
      <c r="T130" s="96">
        <v>2</v>
      </c>
      <c r="U130" s="96" t="s">
        <v>271</v>
      </c>
      <c r="V130" s="96" t="s">
        <v>77</v>
      </c>
      <c r="W130" s="5" t="s">
        <v>78</v>
      </c>
      <c r="X130" s="10" t="s">
        <v>79</v>
      </c>
      <c r="Y130" s="11">
        <v>23594</v>
      </c>
      <c r="Z130" s="12">
        <v>1</v>
      </c>
      <c r="AA130" s="12">
        <v>0</v>
      </c>
      <c r="AB130" s="12">
        <v>0.1</v>
      </c>
      <c r="AC130" s="13">
        <v>1</v>
      </c>
      <c r="AD130" s="14">
        <f t="shared" si="4"/>
        <v>2.1</v>
      </c>
      <c r="AE130" s="15">
        <f t="shared" si="5"/>
        <v>0.47619047619047616</v>
      </c>
      <c r="AF130" s="16">
        <v>441</v>
      </c>
      <c r="AG130" s="16" t="s">
        <v>66</v>
      </c>
      <c r="AH130" s="17" t="s">
        <v>1567</v>
      </c>
      <c r="AI130" s="18">
        <v>8.58</v>
      </c>
      <c r="AJ130" s="19" t="s">
        <v>1551</v>
      </c>
      <c r="AK130" s="20">
        <v>0.98</v>
      </c>
      <c r="AL130" s="17" t="s">
        <v>261</v>
      </c>
      <c r="AM130" s="5" t="s">
        <v>66</v>
      </c>
      <c r="AN130" s="5" t="s">
        <v>66</v>
      </c>
      <c r="AO130" s="5" t="s">
        <v>66</v>
      </c>
      <c r="AP130" s="5" t="s">
        <v>66</v>
      </c>
      <c r="AQ130" s="5" t="s">
        <v>66</v>
      </c>
      <c r="AR130" s="5" t="s">
        <v>66</v>
      </c>
      <c r="AS130" s="5" t="s">
        <v>66</v>
      </c>
      <c r="AT130" s="5" t="s">
        <v>66</v>
      </c>
      <c r="AU130" s="5" t="s">
        <v>66</v>
      </c>
      <c r="AV130" s="5" t="s">
        <v>66</v>
      </c>
      <c r="AW130" s="5" t="s">
        <v>66</v>
      </c>
      <c r="AX130" s="5" t="s">
        <v>1552</v>
      </c>
      <c r="AY130" s="5" t="s">
        <v>69</v>
      </c>
      <c r="AZ130" s="5" t="s">
        <v>145</v>
      </c>
      <c r="BA130" s="19" t="s">
        <v>1553</v>
      </c>
      <c r="BB130" s="17" t="s">
        <v>65</v>
      </c>
      <c r="BC130" s="5" t="s">
        <v>1568</v>
      </c>
      <c r="BD130" s="5" t="s">
        <v>1555</v>
      </c>
    </row>
    <row r="131" spans="1:56" ht="48" hidden="1" x14ac:dyDescent="0.25">
      <c r="A131" s="78" t="s">
        <v>1352</v>
      </c>
      <c r="B131" s="5" t="s">
        <v>1353</v>
      </c>
      <c r="C131" s="5" t="s">
        <v>3293</v>
      </c>
      <c r="D131" s="5" t="s">
        <v>56</v>
      </c>
      <c r="E131" s="99" t="str">
        <f>VLOOKUP(D131,'Dropdown List'!$F$26:$G$40,2,0)</f>
        <v>India</v>
      </c>
      <c r="F131" s="8" t="s">
        <v>1354</v>
      </c>
      <c r="G131" s="96">
        <v>8</v>
      </c>
      <c r="H131" s="5" t="s">
        <v>57</v>
      </c>
      <c r="I131" s="8" t="s">
        <v>71</v>
      </c>
      <c r="J131" s="8" t="s">
        <v>1547</v>
      </c>
      <c r="K131" s="8" t="s">
        <v>1569</v>
      </c>
      <c r="L131" s="8" t="s">
        <v>1569</v>
      </c>
      <c r="M131" s="8" t="s">
        <v>1570</v>
      </c>
      <c r="N131" s="5" t="s">
        <v>1034</v>
      </c>
      <c r="O131" s="5" t="s">
        <v>61</v>
      </c>
      <c r="P131" s="5" t="s">
        <v>1550</v>
      </c>
      <c r="Q131" s="9" t="s">
        <v>75</v>
      </c>
      <c r="R131" s="5" t="s">
        <v>76</v>
      </c>
      <c r="S131" s="5" t="s">
        <v>64</v>
      </c>
      <c r="T131" s="96">
        <v>1</v>
      </c>
      <c r="U131" s="96" t="s">
        <v>77</v>
      </c>
      <c r="V131" s="96" t="s">
        <v>77</v>
      </c>
      <c r="W131" s="5" t="s">
        <v>78</v>
      </c>
      <c r="X131" s="10" t="s">
        <v>79</v>
      </c>
      <c r="Y131" s="11">
        <v>23594</v>
      </c>
      <c r="Z131" s="12">
        <v>1</v>
      </c>
      <c r="AA131" s="12">
        <v>0</v>
      </c>
      <c r="AB131" s="12">
        <v>0.1</v>
      </c>
      <c r="AC131" s="13">
        <v>1</v>
      </c>
      <c r="AD131" s="14">
        <f t="shared" si="4"/>
        <v>2.1</v>
      </c>
      <c r="AE131" s="15">
        <f t="shared" si="5"/>
        <v>0.47619047619047616</v>
      </c>
      <c r="AF131" s="16">
        <v>1066</v>
      </c>
      <c r="AG131" s="16" t="s">
        <v>66</v>
      </c>
      <c r="AH131" s="17" t="s">
        <v>1571</v>
      </c>
      <c r="AI131" s="18">
        <v>7.25</v>
      </c>
      <c r="AJ131" s="19" t="s">
        <v>1551</v>
      </c>
      <c r="AK131" s="20">
        <v>0.98</v>
      </c>
      <c r="AL131" s="17" t="s">
        <v>261</v>
      </c>
      <c r="AM131" s="5" t="s">
        <v>66</v>
      </c>
      <c r="AN131" s="5" t="s">
        <v>66</v>
      </c>
      <c r="AO131" s="5" t="s">
        <v>66</v>
      </c>
      <c r="AP131" s="5" t="s">
        <v>66</v>
      </c>
      <c r="AQ131" s="5" t="s">
        <v>66</v>
      </c>
      <c r="AR131" s="5" t="s">
        <v>66</v>
      </c>
      <c r="AS131" s="5" t="s">
        <v>66</v>
      </c>
      <c r="AT131" s="5" t="s">
        <v>66</v>
      </c>
      <c r="AU131" s="5" t="s">
        <v>66</v>
      </c>
      <c r="AV131" s="5" t="s">
        <v>66</v>
      </c>
      <c r="AW131" s="5" t="s">
        <v>66</v>
      </c>
      <c r="AX131" s="5" t="s">
        <v>1552</v>
      </c>
      <c r="AY131" s="5" t="s">
        <v>69</v>
      </c>
      <c r="AZ131" s="5" t="s">
        <v>145</v>
      </c>
      <c r="BA131" s="19" t="s">
        <v>1553</v>
      </c>
      <c r="BB131" s="17" t="s">
        <v>65</v>
      </c>
      <c r="BC131" s="5" t="s">
        <v>1568</v>
      </c>
      <c r="BD131" s="5" t="s">
        <v>1555</v>
      </c>
    </row>
    <row r="132" spans="1:56" ht="48" hidden="1" x14ac:dyDescent="0.25">
      <c r="A132" s="78" t="s">
        <v>1352</v>
      </c>
      <c r="B132" s="5" t="s">
        <v>1353</v>
      </c>
      <c r="C132" s="5" t="s">
        <v>3293</v>
      </c>
      <c r="D132" s="5" t="s">
        <v>56</v>
      </c>
      <c r="E132" s="99" t="str">
        <f>VLOOKUP(D132,'Dropdown List'!$F$26:$G$40,2,0)</f>
        <v>India</v>
      </c>
      <c r="F132" s="8" t="s">
        <v>1354</v>
      </c>
      <c r="G132" s="96">
        <v>8</v>
      </c>
      <c r="H132" s="5" t="s">
        <v>57</v>
      </c>
      <c r="I132" s="8" t="s">
        <v>71</v>
      </c>
      <c r="J132" s="8" t="s">
        <v>1547</v>
      </c>
      <c r="K132" s="8" t="s">
        <v>1572</v>
      </c>
      <c r="L132" s="8" t="s">
        <v>1573</v>
      </c>
      <c r="M132" s="8" t="s">
        <v>1574</v>
      </c>
      <c r="N132" s="5" t="s">
        <v>1034</v>
      </c>
      <c r="O132" s="5" t="s">
        <v>61</v>
      </c>
      <c r="P132" s="5" t="s">
        <v>1550</v>
      </c>
      <c r="Q132" s="9" t="s">
        <v>75</v>
      </c>
      <c r="R132" s="5" t="s">
        <v>76</v>
      </c>
      <c r="S132" s="5" t="s">
        <v>64</v>
      </c>
      <c r="T132" s="96">
        <v>1</v>
      </c>
      <c r="U132" s="96" t="s">
        <v>77</v>
      </c>
      <c r="V132" s="96" t="s">
        <v>77</v>
      </c>
      <c r="W132" s="5" t="s">
        <v>78</v>
      </c>
      <c r="X132" s="10" t="s">
        <v>79</v>
      </c>
      <c r="Y132" s="11">
        <v>23594</v>
      </c>
      <c r="Z132" s="12">
        <v>0.5</v>
      </c>
      <c r="AA132" s="12">
        <v>0</v>
      </c>
      <c r="AB132" s="12">
        <v>0.1</v>
      </c>
      <c r="AC132" s="13">
        <v>2</v>
      </c>
      <c r="AD132" s="14">
        <f t="shared" si="4"/>
        <v>2.6</v>
      </c>
      <c r="AE132" s="15">
        <f t="shared" si="5"/>
        <v>0.76923076923076916</v>
      </c>
      <c r="AF132" s="16">
        <v>1065</v>
      </c>
      <c r="AG132" s="16" t="s">
        <v>66</v>
      </c>
      <c r="AH132" s="17" t="s">
        <v>1571</v>
      </c>
      <c r="AI132" s="18">
        <v>7.25</v>
      </c>
      <c r="AJ132" s="19" t="s">
        <v>1551</v>
      </c>
      <c r="AK132" s="20">
        <v>0.98</v>
      </c>
      <c r="AL132" s="17" t="s">
        <v>261</v>
      </c>
      <c r="AM132" s="5" t="s">
        <v>66</v>
      </c>
      <c r="AN132" s="5" t="s">
        <v>66</v>
      </c>
      <c r="AO132" s="5" t="s">
        <v>66</v>
      </c>
      <c r="AP132" s="5" t="s">
        <v>66</v>
      </c>
      <c r="AQ132" s="5" t="s">
        <v>66</v>
      </c>
      <c r="AR132" s="5" t="s">
        <v>66</v>
      </c>
      <c r="AS132" s="5" t="s">
        <v>66</v>
      </c>
      <c r="AT132" s="5" t="s">
        <v>66</v>
      </c>
      <c r="AU132" s="5" t="s">
        <v>66</v>
      </c>
      <c r="AV132" s="5" t="s">
        <v>66</v>
      </c>
      <c r="AW132" s="5" t="s">
        <v>66</v>
      </c>
      <c r="AX132" s="5" t="s">
        <v>1552</v>
      </c>
      <c r="AY132" s="5" t="s">
        <v>69</v>
      </c>
      <c r="AZ132" s="5" t="s">
        <v>145</v>
      </c>
      <c r="BA132" s="19" t="s">
        <v>1553</v>
      </c>
      <c r="BB132" s="17" t="s">
        <v>65</v>
      </c>
      <c r="BC132" s="5" t="s">
        <v>1568</v>
      </c>
      <c r="BD132" s="5" t="s">
        <v>1555</v>
      </c>
    </row>
    <row r="133" spans="1:56" ht="48" hidden="1" x14ac:dyDescent="0.25">
      <c r="A133" s="78" t="s">
        <v>1352</v>
      </c>
      <c r="B133" s="5" t="s">
        <v>1353</v>
      </c>
      <c r="C133" s="5" t="s">
        <v>3293</v>
      </c>
      <c r="D133" s="5" t="s">
        <v>56</v>
      </c>
      <c r="E133" s="99" t="str">
        <f>VLOOKUP(D133,'Dropdown List'!$F$26:$G$40,2,0)</f>
        <v>India</v>
      </c>
      <c r="F133" s="8" t="s">
        <v>1354</v>
      </c>
      <c r="G133" s="96">
        <v>8</v>
      </c>
      <c r="H133" s="5" t="s">
        <v>57</v>
      </c>
      <c r="I133" s="8" t="s">
        <v>71</v>
      </c>
      <c r="J133" s="8" t="s">
        <v>1547</v>
      </c>
      <c r="K133" s="8" t="s">
        <v>1575</v>
      </c>
      <c r="L133" s="8" t="s">
        <v>1575</v>
      </c>
      <c r="M133" s="8" t="s">
        <v>1576</v>
      </c>
      <c r="N133" s="5" t="s">
        <v>1034</v>
      </c>
      <c r="O133" s="5" t="s">
        <v>1069</v>
      </c>
      <c r="P133" s="5" t="s">
        <v>1069</v>
      </c>
      <c r="Q133" s="9" t="s">
        <v>75</v>
      </c>
      <c r="R133" s="5" t="s">
        <v>76</v>
      </c>
      <c r="S133" s="5" t="s">
        <v>64</v>
      </c>
      <c r="T133" s="96">
        <v>1</v>
      </c>
      <c r="U133" s="96" t="s">
        <v>271</v>
      </c>
      <c r="V133" s="96" t="s">
        <v>77</v>
      </c>
      <c r="W133" s="5" t="s">
        <v>78</v>
      </c>
      <c r="X133" s="10" t="s">
        <v>79</v>
      </c>
      <c r="Y133" s="11">
        <v>23594</v>
      </c>
      <c r="Z133" s="12">
        <v>4</v>
      </c>
      <c r="AA133" s="12">
        <v>0</v>
      </c>
      <c r="AB133" s="12">
        <v>0.1</v>
      </c>
      <c r="AC133" s="13">
        <v>1</v>
      </c>
      <c r="AD133" s="14">
        <f t="shared" ref="AD133:AD196" si="6">SUM(Z133:AC133)</f>
        <v>5.0999999999999996</v>
      </c>
      <c r="AE133" s="15">
        <f t="shared" ref="AE133:AE196" si="7">AC133/AD133</f>
        <v>0.19607843137254904</v>
      </c>
      <c r="AF133" s="16">
        <v>946</v>
      </c>
      <c r="AG133" s="16" t="s">
        <v>66</v>
      </c>
      <c r="AH133" s="17" t="s">
        <v>1577</v>
      </c>
      <c r="AI133" s="18">
        <v>29.33</v>
      </c>
      <c r="AJ133" s="19" t="s">
        <v>1551</v>
      </c>
      <c r="AK133" s="20">
        <v>0.98</v>
      </c>
      <c r="AL133" s="17" t="s">
        <v>261</v>
      </c>
      <c r="AM133" s="5" t="s">
        <v>66</v>
      </c>
      <c r="AN133" s="5" t="s">
        <v>66</v>
      </c>
      <c r="AO133" s="5" t="s">
        <v>66</v>
      </c>
      <c r="AP133" s="5" t="s">
        <v>66</v>
      </c>
      <c r="AQ133" s="5" t="s">
        <v>66</v>
      </c>
      <c r="AR133" s="5" t="s">
        <v>66</v>
      </c>
      <c r="AS133" s="5" t="s">
        <v>66</v>
      </c>
      <c r="AT133" s="5" t="s">
        <v>66</v>
      </c>
      <c r="AU133" s="5" t="s">
        <v>66</v>
      </c>
      <c r="AV133" s="5" t="s">
        <v>66</v>
      </c>
      <c r="AW133" s="5" t="s">
        <v>66</v>
      </c>
      <c r="AX133" s="5" t="s">
        <v>1552</v>
      </c>
      <c r="AY133" s="5" t="s">
        <v>69</v>
      </c>
      <c r="AZ133" s="5" t="s">
        <v>145</v>
      </c>
      <c r="BA133" s="19" t="s">
        <v>1553</v>
      </c>
      <c r="BB133" s="17" t="s">
        <v>65</v>
      </c>
      <c r="BC133" s="5" t="s">
        <v>1568</v>
      </c>
      <c r="BD133" s="5" t="s">
        <v>1578</v>
      </c>
    </row>
    <row r="134" spans="1:56" ht="84" hidden="1" x14ac:dyDescent="0.25">
      <c r="A134" s="78" t="s">
        <v>1352</v>
      </c>
      <c r="B134" s="5" t="s">
        <v>1353</v>
      </c>
      <c r="C134" s="5" t="s">
        <v>3293</v>
      </c>
      <c r="D134" s="5" t="s">
        <v>56</v>
      </c>
      <c r="E134" s="99" t="str">
        <f>VLOOKUP(D134,'Dropdown List'!$F$26:$G$40,2,0)</f>
        <v>India</v>
      </c>
      <c r="F134" s="8" t="s">
        <v>1354</v>
      </c>
      <c r="G134" s="96">
        <v>8</v>
      </c>
      <c r="H134" s="5" t="s">
        <v>57</v>
      </c>
      <c r="I134" s="8" t="s">
        <v>71</v>
      </c>
      <c r="J134" s="8" t="s">
        <v>167</v>
      </c>
      <c r="K134" s="8" t="s">
        <v>570</v>
      </c>
      <c r="L134" s="8" t="s">
        <v>1579</v>
      </c>
      <c r="M134" s="8" t="s">
        <v>1580</v>
      </c>
      <c r="N134" s="5" t="s">
        <v>1034</v>
      </c>
      <c r="O134" s="5" t="s">
        <v>61</v>
      </c>
      <c r="P134" s="5" t="s">
        <v>238</v>
      </c>
      <c r="Q134" s="9" t="s">
        <v>75</v>
      </c>
      <c r="R134" s="5" t="s">
        <v>76</v>
      </c>
      <c r="S134" s="5" t="s">
        <v>64</v>
      </c>
      <c r="T134" s="96">
        <v>1</v>
      </c>
      <c r="U134" s="96" t="s">
        <v>271</v>
      </c>
      <c r="V134" s="96" t="s">
        <v>77</v>
      </c>
      <c r="W134" s="5" t="s">
        <v>78</v>
      </c>
      <c r="X134" s="10" t="s">
        <v>79</v>
      </c>
      <c r="Y134" s="11">
        <v>22221.600000000002</v>
      </c>
      <c r="Z134" s="12">
        <v>9</v>
      </c>
      <c r="AA134" s="12">
        <v>1</v>
      </c>
      <c r="AB134" s="12">
        <v>0.4</v>
      </c>
      <c r="AC134" s="13">
        <v>1.1100000000000001</v>
      </c>
      <c r="AD134" s="14">
        <f t="shared" si="6"/>
        <v>11.51</v>
      </c>
      <c r="AE134" s="15">
        <f t="shared" si="7"/>
        <v>9.6437880104257176E-2</v>
      </c>
      <c r="AF134" s="16">
        <v>14476</v>
      </c>
      <c r="AG134" s="16" t="s">
        <v>66</v>
      </c>
      <c r="AH134" s="17" t="s">
        <v>1581</v>
      </c>
      <c r="AI134" s="18">
        <v>7.76</v>
      </c>
      <c r="AJ134" s="19" t="s">
        <v>1551</v>
      </c>
      <c r="AK134" s="20">
        <v>0.99</v>
      </c>
      <c r="AL134" s="17" t="s">
        <v>261</v>
      </c>
      <c r="AM134" s="5" t="s">
        <v>66</v>
      </c>
      <c r="AN134" s="5" t="s">
        <v>66</v>
      </c>
      <c r="AO134" s="5" t="s">
        <v>66</v>
      </c>
      <c r="AP134" s="5" t="s">
        <v>66</v>
      </c>
      <c r="AQ134" s="5" t="s">
        <v>66</v>
      </c>
      <c r="AR134" s="5" t="s">
        <v>66</v>
      </c>
      <c r="AS134" s="5" t="s">
        <v>66</v>
      </c>
      <c r="AT134" s="5" t="s">
        <v>66</v>
      </c>
      <c r="AU134" s="5" t="s">
        <v>66</v>
      </c>
      <c r="AV134" s="5" t="s">
        <v>66</v>
      </c>
      <c r="AW134" s="5" t="s">
        <v>66</v>
      </c>
      <c r="AX134" s="5" t="s">
        <v>1582</v>
      </c>
      <c r="AY134" s="5" t="s">
        <v>69</v>
      </c>
      <c r="AZ134" s="5" t="s">
        <v>145</v>
      </c>
      <c r="BA134" s="19" t="s">
        <v>1583</v>
      </c>
      <c r="BB134" s="17" t="s">
        <v>65</v>
      </c>
      <c r="BC134" s="5" t="s">
        <v>1584</v>
      </c>
      <c r="BD134" s="5" t="s">
        <v>1585</v>
      </c>
    </row>
    <row r="135" spans="1:56" ht="24" hidden="1" x14ac:dyDescent="0.25">
      <c r="A135" s="78" t="s">
        <v>1352</v>
      </c>
      <c r="B135" s="5" t="s">
        <v>1353</v>
      </c>
      <c r="C135" s="5" t="s">
        <v>3293</v>
      </c>
      <c r="D135" s="5" t="s">
        <v>56</v>
      </c>
      <c r="E135" s="99" t="str">
        <f>VLOOKUP(D135,'Dropdown List'!$F$26:$G$40,2,0)</f>
        <v>India</v>
      </c>
      <c r="F135" s="8" t="s">
        <v>1354</v>
      </c>
      <c r="G135" s="96">
        <v>8</v>
      </c>
      <c r="H135" s="5" t="s">
        <v>57</v>
      </c>
      <c r="I135" s="8" t="s">
        <v>71</v>
      </c>
      <c r="J135" s="8" t="s">
        <v>292</v>
      </c>
      <c r="K135" s="8" t="s">
        <v>505</v>
      </c>
      <c r="L135" s="8" t="s">
        <v>1586</v>
      </c>
      <c r="M135" s="8" t="s">
        <v>1587</v>
      </c>
      <c r="N135" s="5" t="s">
        <v>1034</v>
      </c>
      <c r="O135" s="5" t="s">
        <v>61</v>
      </c>
      <c r="P135" s="5" t="s">
        <v>238</v>
      </c>
      <c r="Q135" s="9" t="s">
        <v>75</v>
      </c>
      <c r="R135" s="5" t="s">
        <v>76</v>
      </c>
      <c r="S135" s="5" t="s">
        <v>64</v>
      </c>
      <c r="T135" s="96">
        <v>1</v>
      </c>
      <c r="U135" s="96" t="s">
        <v>271</v>
      </c>
      <c r="V135" s="96" t="s">
        <v>271</v>
      </c>
      <c r="W135" s="5" t="s">
        <v>78</v>
      </c>
      <c r="X135" s="10" t="s">
        <v>79</v>
      </c>
      <c r="Y135" s="11">
        <v>22014.800000000003</v>
      </c>
      <c r="Z135" s="12">
        <v>3.5</v>
      </c>
      <c r="AA135" s="12">
        <v>0</v>
      </c>
      <c r="AB135" s="12">
        <v>0.5</v>
      </c>
      <c r="AC135" s="13">
        <v>1.05</v>
      </c>
      <c r="AD135" s="14">
        <f t="shared" si="6"/>
        <v>5.05</v>
      </c>
      <c r="AE135" s="15">
        <f t="shared" si="7"/>
        <v>0.20792079207920794</v>
      </c>
      <c r="AF135" s="16">
        <v>1678</v>
      </c>
      <c r="AG135" s="16" t="s">
        <v>66</v>
      </c>
      <c r="AH135" s="17" t="s">
        <v>1588</v>
      </c>
      <c r="AI135" s="18">
        <v>13</v>
      </c>
      <c r="AJ135" s="19" t="s">
        <v>1589</v>
      </c>
      <c r="AK135" s="20">
        <v>0.98</v>
      </c>
      <c r="AL135" s="17" t="s">
        <v>261</v>
      </c>
      <c r="AM135" s="5" t="s">
        <v>66</v>
      </c>
      <c r="AN135" s="5" t="s">
        <v>66</v>
      </c>
      <c r="AO135" s="5" t="s">
        <v>66</v>
      </c>
      <c r="AP135" s="5" t="s">
        <v>66</v>
      </c>
      <c r="AQ135" s="5" t="s">
        <v>66</v>
      </c>
      <c r="AR135" s="5" t="s">
        <v>66</v>
      </c>
      <c r="AS135" s="5" t="s">
        <v>66</v>
      </c>
      <c r="AT135" s="5" t="s">
        <v>828</v>
      </c>
      <c r="AU135" s="5" t="s">
        <v>392</v>
      </c>
      <c r="AV135" s="5" t="s">
        <v>392</v>
      </c>
      <c r="AW135" s="5" t="s">
        <v>66</v>
      </c>
      <c r="AX135" s="5" t="s">
        <v>1590</v>
      </c>
      <c r="AY135" s="5" t="s">
        <v>69</v>
      </c>
      <c r="AZ135" s="5" t="s">
        <v>80</v>
      </c>
      <c r="BA135" s="19" t="s">
        <v>1591</v>
      </c>
      <c r="BB135" s="17" t="s">
        <v>65</v>
      </c>
      <c r="BC135" s="5" t="s">
        <v>1592</v>
      </c>
      <c r="BD135" s="5" t="s">
        <v>1593</v>
      </c>
    </row>
    <row r="136" spans="1:56" ht="180" hidden="1" x14ac:dyDescent="0.25">
      <c r="A136" s="78" t="s">
        <v>1352</v>
      </c>
      <c r="B136" s="5" t="s">
        <v>1353</v>
      </c>
      <c r="C136" s="5" t="s">
        <v>3293</v>
      </c>
      <c r="D136" s="5" t="s">
        <v>56</v>
      </c>
      <c r="E136" s="99" t="str">
        <f>VLOOKUP(D136,'Dropdown List'!$F$26:$G$40,2,0)</f>
        <v>India</v>
      </c>
      <c r="F136" s="8" t="s">
        <v>1354</v>
      </c>
      <c r="G136" s="96">
        <v>8</v>
      </c>
      <c r="H136" s="5" t="s">
        <v>57</v>
      </c>
      <c r="I136" s="8" t="s">
        <v>71</v>
      </c>
      <c r="J136" s="8" t="s">
        <v>102</v>
      </c>
      <c r="K136" s="8" t="s">
        <v>611</v>
      </c>
      <c r="L136" s="8" t="s">
        <v>1594</v>
      </c>
      <c r="M136" s="8" t="s">
        <v>1595</v>
      </c>
      <c r="N136" s="5" t="s">
        <v>1034</v>
      </c>
      <c r="O136" s="5" t="s">
        <v>61</v>
      </c>
      <c r="P136" s="5" t="s">
        <v>238</v>
      </c>
      <c r="Q136" s="9" t="s">
        <v>438</v>
      </c>
      <c r="R136" s="5" t="s">
        <v>76</v>
      </c>
      <c r="S136" s="5" t="s">
        <v>64</v>
      </c>
      <c r="T136" s="96">
        <v>1</v>
      </c>
      <c r="U136" s="96" t="s">
        <v>271</v>
      </c>
      <c r="V136" s="96" t="s">
        <v>271</v>
      </c>
      <c r="W136" s="5" t="s">
        <v>78</v>
      </c>
      <c r="X136" s="10" t="s">
        <v>79</v>
      </c>
      <c r="Y136" s="11">
        <v>22014.800000000003</v>
      </c>
      <c r="Z136" s="12">
        <v>8</v>
      </c>
      <c r="AA136" s="12">
        <v>0</v>
      </c>
      <c r="AB136" s="12">
        <v>0.25</v>
      </c>
      <c r="AC136" s="13">
        <v>1.27</v>
      </c>
      <c r="AD136" s="14">
        <f t="shared" si="6"/>
        <v>9.52</v>
      </c>
      <c r="AE136" s="15">
        <f t="shared" si="7"/>
        <v>0.13340336134453781</v>
      </c>
      <c r="AF136" s="16">
        <v>3902</v>
      </c>
      <c r="AG136" s="16" t="s">
        <v>66</v>
      </c>
      <c r="AH136" s="17" t="s">
        <v>1543</v>
      </c>
      <c r="AI136" s="18">
        <v>9.1199999999999992</v>
      </c>
      <c r="AJ136" s="19" t="s">
        <v>1596</v>
      </c>
      <c r="AK136" s="20">
        <v>0.99</v>
      </c>
      <c r="AL136" s="17" t="s">
        <v>261</v>
      </c>
      <c r="AM136" s="5" t="s">
        <v>66</v>
      </c>
      <c r="AN136" s="5" t="s">
        <v>66</v>
      </c>
      <c r="AO136" s="5" t="s">
        <v>66</v>
      </c>
      <c r="AP136" s="5" t="s">
        <v>66</v>
      </c>
      <c r="AQ136" s="5" t="s">
        <v>66</v>
      </c>
      <c r="AR136" s="5" t="s">
        <v>66</v>
      </c>
      <c r="AS136" s="5" t="s">
        <v>66</v>
      </c>
      <c r="AT136" s="5" t="s">
        <v>828</v>
      </c>
      <c r="AU136" s="5" t="s">
        <v>392</v>
      </c>
      <c r="AV136" s="5" t="s">
        <v>392</v>
      </c>
      <c r="AW136" s="5" t="s">
        <v>66</v>
      </c>
      <c r="AX136" s="5" t="s">
        <v>1597</v>
      </c>
      <c r="AY136" s="5" t="s">
        <v>69</v>
      </c>
      <c r="AZ136" s="5" t="s">
        <v>80</v>
      </c>
      <c r="BA136" s="19" t="s">
        <v>1591</v>
      </c>
      <c r="BB136" s="17" t="s">
        <v>65</v>
      </c>
      <c r="BC136" s="5" t="s">
        <v>1598</v>
      </c>
      <c r="BD136" s="5" t="s">
        <v>1599</v>
      </c>
    </row>
    <row r="137" spans="1:56" ht="72" hidden="1" x14ac:dyDescent="0.25">
      <c r="A137" s="78" t="s">
        <v>1352</v>
      </c>
      <c r="B137" s="5" t="s">
        <v>1353</v>
      </c>
      <c r="C137" s="5" t="s">
        <v>3293</v>
      </c>
      <c r="D137" s="5" t="s">
        <v>56</v>
      </c>
      <c r="E137" s="99" t="str">
        <f>VLOOKUP(D137,'Dropdown List'!$F$26:$G$40,2,0)</f>
        <v>India</v>
      </c>
      <c r="F137" s="8" t="s">
        <v>1354</v>
      </c>
      <c r="G137" s="96">
        <v>8</v>
      </c>
      <c r="H137" s="5" t="s">
        <v>57</v>
      </c>
      <c r="I137" s="8" t="s">
        <v>71</v>
      </c>
      <c r="J137" s="8" t="s">
        <v>112</v>
      </c>
      <c r="K137" s="8" t="s">
        <v>190</v>
      </c>
      <c r="L137" s="8" t="s">
        <v>1600</v>
      </c>
      <c r="M137" s="8" t="s">
        <v>1601</v>
      </c>
      <c r="N137" s="5" t="s">
        <v>1034</v>
      </c>
      <c r="O137" s="5" t="s">
        <v>61</v>
      </c>
      <c r="P137" s="5" t="s">
        <v>238</v>
      </c>
      <c r="Q137" s="9" t="s">
        <v>75</v>
      </c>
      <c r="R137" s="5" t="s">
        <v>76</v>
      </c>
      <c r="S137" s="5" t="s">
        <v>90</v>
      </c>
      <c r="T137" s="96">
        <v>1</v>
      </c>
      <c r="U137" s="96" t="s">
        <v>77</v>
      </c>
      <c r="V137" s="96" t="s">
        <v>77</v>
      </c>
      <c r="W137" s="5" t="s">
        <v>78</v>
      </c>
      <c r="X137" s="10" t="s">
        <v>79</v>
      </c>
      <c r="Y137" s="11">
        <v>0.84</v>
      </c>
      <c r="Z137" s="12">
        <v>1</v>
      </c>
      <c r="AA137" s="12">
        <v>0</v>
      </c>
      <c r="AB137" s="12">
        <v>0.05</v>
      </c>
      <c r="AC137" s="13">
        <v>1</v>
      </c>
      <c r="AD137" s="14">
        <f t="shared" si="6"/>
        <v>2.0499999999999998</v>
      </c>
      <c r="AE137" s="15">
        <f t="shared" si="7"/>
        <v>0.48780487804878053</v>
      </c>
      <c r="AF137" s="16">
        <v>3328</v>
      </c>
      <c r="AG137" s="16" t="s">
        <v>66</v>
      </c>
      <c r="AH137" s="17" t="s">
        <v>66</v>
      </c>
      <c r="AI137" s="18">
        <v>3</v>
      </c>
      <c r="AJ137" s="19" t="s">
        <v>1602</v>
      </c>
      <c r="AK137" s="20">
        <v>0.99099999999999999</v>
      </c>
      <c r="AL137" s="17" t="s">
        <v>261</v>
      </c>
      <c r="AM137" s="5" t="s">
        <v>66</v>
      </c>
      <c r="AN137" s="5" t="s">
        <v>66</v>
      </c>
      <c r="AO137" s="5" t="s">
        <v>66</v>
      </c>
      <c r="AP137" s="5" t="s">
        <v>66</v>
      </c>
      <c r="AQ137" s="5" t="s">
        <v>66</v>
      </c>
      <c r="AR137" s="5" t="s">
        <v>66</v>
      </c>
      <c r="AS137" s="5" t="s">
        <v>66</v>
      </c>
      <c r="AT137" s="5" t="s">
        <v>66</v>
      </c>
      <c r="AU137" s="5" t="s">
        <v>66</v>
      </c>
      <c r="AV137" s="5" t="s">
        <v>66</v>
      </c>
      <c r="AW137" s="5" t="s">
        <v>66</v>
      </c>
      <c r="AX137" s="5" t="s">
        <v>1603</v>
      </c>
      <c r="AY137" s="5" t="s">
        <v>110</v>
      </c>
      <c r="AZ137" s="5" t="s">
        <v>70</v>
      </c>
      <c r="BA137" s="19" t="s">
        <v>1604</v>
      </c>
      <c r="BB137" s="17" t="s">
        <v>69</v>
      </c>
      <c r="BC137" s="5" t="s">
        <v>1605</v>
      </c>
      <c r="BD137" s="5" t="s">
        <v>1606</v>
      </c>
    </row>
    <row r="138" spans="1:56" ht="72" hidden="1" x14ac:dyDescent="0.25">
      <c r="A138" s="78" t="s">
        <v>1352</v>
      </c>
      <c r="B138" s="5" t="s">
        <v>1353</v>
      </c>
      <c r="C138" s="5" t="s">
        <v>3293</v>
      </c>
      <c r="D138" s="5" t="s">
        <v>56</v>
      </c>
      <c r="E138" s="99" t="str">
        <f>VLOOKUP(D138,'Dropdown List'!$F$26:$G$40,2,0)</f>
        <v>India</v>
      </c>
      <c r="F138" s="8" t="s">
        <v>1354</v>
      </c>
      <c r="G138" s="96">
        <v>8</v>
      </c>
      <c r="H138" s="5" t="s">
        <v>57</v>
      </c>
      <c r="I138" s="8" t="s">
        <v>71</v>
      </c>
      <c r="J138" s="8" t="s">
        <v>112</v>
      </c>
      <c r="K138" s="8" t="s">
        <v>190</v>
      </c>
      <c r="L138" s="8" t="s">
        <v>190</v>
      </c>
      <c r="M138" s="8" t="s">
        <v>1607</v>
      </c>
      <c r="N138" s="5" t="s">
        <v>1034</v>
      </c>
      <c r="O138" s="5" t="s">
        <v>61</v>
      </c>
      <c r="P138" s="5" t="s">
        <v>238</v>
      </c>
      <c r="Q138" s="9" t="s">
        <v>75</v>
      </c>
      <c r="R138" s="5" t="s">
        <v>76</v>
      </c>
      <c r="S138" s="5" t="s">
        <v>90</v>
      </c>
      <c r="T138" s="96">
        <v>1</v>
      </c>
      <c r="U138" s="96" t="s">
        <v>77</v>
      </c>
      <c r="V138" s="96" t="s">
        <v>77</v>
      </c>
      <c r="W138" s="5" t="s">
        <v>78</v>
      </c>
      <c r="X138" s="10" t="s">
        <v>79</v>
      </c>
      <c r="Y138" s="11">
        <v>22014.800000000003</v>
      </c>
      <c r="Z138" s="12">
        <v>3</v>
      </c>
      <c r="AA138" s="12">
        <v>0</v>
      </c>
      <c r="AB138" s="12">
        <v>0.1</v>
      </c>
      <c r="AC138" s="13">
        <v>1</v>
      </c>
      <c r="AD138" s="14">
        <f t="shared" si="6"/>
        <v>4.0999999999999996</v>
      </c>
      <c r="AE138" s="15">
        <f t="shared" si="7"/>
        <v>0.24390243902439027</v>
      </c>
      <c r="AF138" s="16">
        <v>29187</v>
      </c>
      <c r="AG138" s="16" t="s">
        <v>66</v>
      </c>
      <c r="AH138" s="17" t="s">
        <v>66</v>
      </c>
      <c r="AI138" s="18">
        <v>1</v>
      </c>
      <c r="AJ138" s="19" t="s">
        <v>1608</v>
      </c>
      <c r="AK138" s="20">
        <v>0.98099999999999998</v>
      </c>
      <c r="AL138" s="17" t="s">
        <v>261</v>
      </c>
      <c r="AM138" s="5" t="s">
        <v>66</v>
      </c>
      <c r="AN138" s="5" t="s">
        <v>66</v>
      </c>
      <c r="AO138" s="5" t="s">
        <v>66</v>
      </c>
      <c r="AP138" s="5" t="s">
        <v>66</v>
      </c>
      <c r="AQ138" s="5" t="s">
        <v>66</v>
      </c>
      <c r="AR138" s="5" t="s">
        <v>66</v>
      </c>
      <c r="AS138" s="5" t="s">
        <v>66</v>
      </c>
      <c r="AT138" s="5" t="s">
        <v>66</v>
      </c>
      <c r="AU138" s="5" t="s">
        <v>66</v>
      </c>
      <c r="AV138" s="5" t="s">
        <v>66</v>
      </c>
      <c r="AW138" s="5" t="s">
        <v>66</v>
      </c>
      <c r="AX138" s="5" t="s">
        <v>1609</v>
      </c>
      <c r="AY138" s="5" t="s">
        <v>69</v>
      </c>
      <c r="AZ138" s="5" t="s">
        <v>70</v>
      </c>
      <c r="BA138" s="19" t="s">
        <v>1610</v>
      </c>
      <c r="BB138" s="17" t="s">
        <v>69</v>
      </c>
      <c r="BC138" s="5" t="s">
        <v>1611</v>
      </c>
      <c r="BD138" s="5" t="s">
        <v>1612</v>
      </c>
    </row>
    <row r="139" spans="1:56" ht="72" hidden="1" x14ac:dyDescent="0.25">
      <c r="A139" s="78" t="s">
        <v>1352</v>
      </c>
      <c r="B139" s="5" t="s">
        <v>1353</v>
      </c>
      <c r="C139" s="5" t="s">
        <v>3293</v>
      </c>
      <c r="D139" s="5" t="s">
        <v>56</v>
      </c>
      <c r="E139" s="99" t="str">
        <f>VLOOKUP(D139,'Dropdown List'!$F$26:$G$40,2,0)</f>
        <v>India</v>
      </c>
      <c r="F139" s="8" t="s">
        <v>1354</v>
      </c>
      <c r="G139" s="96">
        <v>8</v>
      </c>
      <c r="H139" s="5" t="s">
        <v>57</v>
      </c>
      <c r="I139" s="8" t="s">
        <v>71</v>
      </c>
      <c r="J139" s="8" t="s">
        <v>2702</v>
      </c>
      <c r="K139" s="8" t="s">
        <v>2621</v>
      </c>
      <c r="L139" s="8" t="s">
        <v>1613</v>
      </c>
      <c r="M139" s="8" t="s">
        <v>1614</v>
      </c>
      <c r="N139" s="5" t="s">
        <v>1034</v>
      </c>
      <c r="O139" s="5" t="s">
        <v>269</v>
      </c>
      <c r="P139" s="5" t="s">
        <v>66</v>
      </c>
      <c r="Q139" s="9" t="s">
        <v>75</v>
      </c>
      <c r="R139" s="5" t="s">
        <v>76</v>
      </c>
      <c r="S139" s="5" t="s">
        <v>64</v>
      </c>
      <c r="T139" s="96">
        <v>2</v>
      </c>
      <c r="U139" s="96" t="s">
        <v>271</v>
      </c>
      <c r="V139" s="96" t="s">
        <v>271</v>
      </c>
      <c r="W139" s="5" t="s">
        <v>78</v>
      </c>
      <c r="X139" s="10" t="s">
        <v>79</v>
      </c>
      <c r="Y139" s="11">
        <v>22014.800000000003</v>
      </c>
      <c r="Z139" s="12">
        <v>0.75</v>
      </c>
      <c r="AA139" s="12">
        <v>0</v>
      </c>
      <c r="AB139" s="12">
        <v>0.05</v>
      </c>
      <c r="AC139" s="13">
        <v>1.33</v>
      </c>
      <c r="AD139" s="14">
        <f t="shared" si="6"/>
        <v>2.13</v>
      </c>
      <c r="AE139" s="15">
        <f t="shared" si="7"/>
        <v>0.62441314553990612</v>
      </c>
      <c r="AF139" s="16">
        <v>157</v>
      </c>
      <c r="AG139" s="16" t="s">
        <v>66</v>
      </c>
      <c r="AH139" s="17" t="s">
        <v>66</v>
      </c>
      <c r="AI139" s="18">
        <v>20</v>
      </c>
      <c r="AJ139" s="19" t="s">
        <v>1615</v>
      </c>
      <c r="AK139" s="20">
        <v>0.95499999999999996</v>
      </c>
      <c r="AL139" s="17" t="s">
        <v>261</v>
      </c>
      <c r="AM139" s="5" t="s">
        <v>66</v>
      </c>
      <c r="AN139" s="5" t="s">
        <v>66</v>
      </c>
      <c r="AO139" s="5" t="s">
        <v>66</v>
      </c>
      <c r="AP139" s="5" t="s">
        <v>66</v>
      </c>
      <c r="AQ139" s="5" t="s">
        <v>66</v>
      </c>
      <c r="AR139" s="5" t="s">
        <v>66</v>
      </c>
      <c r="AS139" s="5" t="s">
        <v>66</v>
      </c>
      <c r="AT139" s="5" t="s">
        <v>66</v>
      </c>
      <c r="AU139" s="5" t="s">
        <v>66</v>
      </c>
      <c r="AV139" s="5" t="s">
        <v>66</v>
      </c>
      <c r="AW139" s="5" t="s">
        <v>66</v>
      </c>
      <c r="AX139" s="5" t="s">
        <v>1616</v>
      </c>
      <c r="AY139" s="5" t="s">
        <v>69</v>
      </c>
      <c r="AZ139" s="5" t="s">
        <v>145</v>
      </c>
      <c r="BA139" s="19" t="s">
        <v>1617</v>
      </c>
      <c r="BB139" s="17" t="s">
        <v>65</v>
      </c>
      <c r="BC139" s="5" t="s">
        <v>1616</v>
      </c>
      <c r="BD139" s="5" t="s">
        <v>1618</v>
      </c>
    </row>
    <row r="140" spans="1:56" ht="36" hidden="1" x14ac:dyDescent="0.25">
      <c r="A140" s="78" t="s">
        <v>1352</v>
      </c>
      <c r="B140" s="5" t="s">
        <v>1353</v>
      </c>
      <c r="C140" s="5" t="s">
        <v>3293</v>
      </c>
      <c r="D140" s="5" t="s">
        <v>56</v>
      </c>
      <c r="E140" s="99" t="str">
        <f>VLOOKUP(D140,'Dropdown List'!$F$26:$G$40,2,0)</f>
        <v>India</v>
      </c>
      <c r="F140" s="8" t="s">
        <v>1354</v>
      </c>
      <c r="G140" s="96">
        <v>8</v>
      </c>
      <c r="H140" s="5" t="s">
        <v>57</v>
      </c>
      <c r="I140" s="8" t="s">
        <v>71</v>
      </c>
      <c r="J140" s="8" t="s">
        <v>112</v>
      </c>
      <c r="K140" s="8" t="s">
        <v>113</v>
      </c>
      <c r="L140" s="8" t="s">
        <v>1619</v>
      </c>
      <c r="M140" s="8" t="s">
        <v>1620</v>
      </c>
      <c r="N140" s="5" t="s">
        <v>1034</v>
      </c>
      <c r="O140" s="5" t="s">
        <v>61</v>
      </c>
      <c r="P140" s="5" t="s">
        <v>66</v>
      </c>
      <c r="Q140" s="9" t="s">
        <v>75</v>
      </c>
      <c r="R140" s="5" t="s">
        <v>76</v>
      </c>
      <c r="S140" s="5" t="s">
        <v>64</v>
      </c>
      <c r="T140" s="96">
        <v>2</v>
      </c>
      <c r="U140" s="96" t="s">
        <v>271</v>
      </c>
      <c r="V140" s="96" t="s">
        <v>273</v>
      </c>
      <c r="W140" s="5" t="s">
        <v>78</v>
      </c>
      <c r="X140" s="10" t="s">
        <v>79</v>
      </c>
      <c r="Y140" s="11">
        <v>385560</v>
      </c>
      <c r="Z140" s="12">
        <v>28</v>
      </c>
      <c r="AA140" s="12">
        <v>0</v>
      </c>
      <c r="AB140" s="12">
        <v>0.05</v>
      </c>
      <c r="AC140" s="13">
        <v>1.33</v>
      </c>
      <c r="AD140" s="14">
        <f t="shared" si="6"/>
        <v>29.380000000000003</v>
      </c>
      <c r="AE140" s="15">
        <f t="shared" si="7"/>
        <v>4.526889040163376E-2</v>
      </c>
      <c r="AF140" s="16">
        <v>9000</v>
      </c>
      <c r="AG140" s="16" t="s">
        <v>66</v>
      </c>
      <c r="AH140" s="17" t="s">
        <v>66</v>
      </c>
      <c r="AI140" s="18">
        <v>20</v>
      </c>
      <c r="AJ140" s="19" t="s">
        <v>1621</v>
      </c>
      <c r="AK140" s="20">
        <v>0.98</v>
      </c>
      <c r="AL140" s="17" t="s">
        <v>261</v>
      </c>
      <c r="AM140" s="5" t="s">
        <v>66</v>
      </c>
      <c r="AN140" s="5" t="s">
        <v>66</v>
      </c>
      <c r="AO140" s="5" t="s">
        <v>66</v>
      </c>
      <c r="AP140" s="5" t="s">
        <v>66</v>
      </c>
      <c r="AQ140" s="5" t="s">
        <v>66</v>
      </c>
      <c r="AR140" s="5" t="s">
        <v>66</v>
      </c>
      <c r="AS140" s="5" t="s">
        <v>66</v>
      </c>
      <c r="AT140" s="5" t="s">
        <v>66</v>
      </c>
      <c r="AU140" s="5" t="s">
        <v>66</v>
      </c>
      <c r="AV140" s="5" t="s">
        <v>66</v>
      </c>
      <c r="AW140" s="5" t="s">
        <v>66</v>
      </c>
      <c r="AX140" s="5" t="s">
        <v>1616</v>
      </c>
      <c r="AY140" s="5" t="s">
        <v>69</v>
      </c>
      <c r="AZ140" s="5" t="s">
        <v>80</v>
      </c>
      <c r="BA140" s="19" t="s">
        <v>1622</v>
      </c>
      <c r="BB140" s="17" t="s">
        <v>65</v>
      </c>
      <c r="BC140" s="5" t="s">
        <v>65</v>
      </c>
      <c r="BD140" s="5" t="s">
        <v>1623</v>
      </c>
    </row>
    <row r="141" spans="1:56" ht="36" hidden="1" x14ac:dyDescent="0.25">
      <c r="A141" s="78" t="s">
        <v>1352</v>
      </c>
      <c r="B141" s="5" t="s">
        <v>1353</v>
      </c>
      <c r="C141" s="5" t="s">
        <v>3293</v>
      </c>
      <c r="D141" s="5" t="s">
        <v>56</v>
      </c>
      <c r="E141" s="99" t="str">
        <f>VLOOKUP(D141,'Dropdown List'!$F$26:$G$40,2,0)</f>
        <v>India</v>
      </c>
      <c r="F141" s="8" t="s">
        <v>1354</v>
      </c>
      <c r="G141" s="96">
        <v>8</v>
      </c>
      <c r="H141" s="5" t="s">
        <v>57</v>
      </c>
      <c r="I141" s="8" t="s">
        <v>71</v>
      </c>
      <c r="J141" s="8" t="s">
        <v>292</v>
      </c>
      <c r="K141" s="8" t="s">
        <v>1624</v>
      </c>
      <c r="L141" s="8" t="s">
        <v>1625</v>
      </c>
      <c r="M141" s="8" t="s">
        <v>1626</v>
      </c>
      <c r="N141" s="5" t="s">
        <v>1034</v>
      </c>
      <c r="O141" s="5" t="s">
        <v>269</v>
      </c>
      <c r="P141" s="5" t="s">
        <v>66</v>
      </c>
      <c r="Q141" s="9" t="s">
        <v>75</v>
      </c>
      <c r="R141" s="5" t="s">
        <v>76</v>
      </c>
      <c r="S141" s="5" t="s">
        <v>64</v>
      </c>
      <c r="T141" s="96">
        <v>2</v>
      </c>
      <c r="U141" s="96" t="s">
        <v>271</v>
      </c>
      <c r="V141" s="96" t="s">
        <v>271</v>
      </c>
      <c r="W141" s="5" t="s">
        <v>78</v>
      </c>
      <c r="X141" s="10" t="s">
        <v>79</v>
      </c>
      <c r="Y141" s="11">
        <v>22014.800000000003</v>
      </c>
      <c r="Z141" s="12">
        <v>0.9</v>
      </c>
      <c r="AA141" s="12">
        <v>0</v>
      </c>
      <c r="AB141" s="12">
        <v>0.05</v>
      </c>
      <c r="AC141" s="13">
        <v>1</v>
      </c>
      <c r="AD141" s="14">
        <f t="shared" si="6"/>
        <v>1.9500000000000002</v>
      </c>
      <c r="AE141" s="15">
        <f t="shared" si="7"/>
        <v>0.51282051282051277</v>
      </c>
      <c r="AF141" s="16">
        <v>1281</v>
      </c>
      <c r="AG141" s="16" t="s">
        <v>66</v>
      </c>
      <c r="AH141" s="17" t="s">
        <v>66</v>
      </c>
      <c r="AI141" s="18">
        <v>5</v>
      </c>
      <c r="AJ141" s="19" t="s">
        <v>1615</v>
      </c>
      <c r="AK141" s="20">
        <v>0.98</v>
      </c>
      <c r="AL141" s="17" t="s">
        <v>261</v>
      </c>
      <c r="AM141" s="5" t="s">
        <v>66</v>
      </c>
      <c r="AN141" s="5" t="s">
        <v>66</v>
      </c>
      <c r="AO141" s="5" t="s">
        <v>66</v>
      </c>
      <c r="AP141" s="5" t="s">
        <v>66</v>
      </c>
      <c r="AQ141" s="5" t="s">
        <v>66</v>
      </c>
      <c r="AR141" s="5" t="s">
        <v>66</v>
      </c>
      <c r="AS141" s="5" t="s">
        <v>66</v>
      </c>
      <c r="AT141" s="5" t="s">
        <v>66</v>
      </c>
      <c r="AU141" s="5" t="s">
        <v>66</v>
      </c>
      <c r="AV141" s="5" t="s">
        <v>66</v>
      </c>
      <c r="AW141" s="5" t="s">
        <v>66</v>
      </c>
      <c r="AX141" s="5" t="s">
        <v>1616</v>
      </c>
      <c r="AY141" s="5" t="s">
        <v>69</v>
      </c>
      <c r="AZ141" s="5" t="s">
        <v>80</v>
      </c>
      <c r="BA141" s="19" t="s">
        <v>1622</v>
      </c>
      <c r="BB141" s="17" t="s">
        <v>65</v>
      </c>
      <c r="BC141" s="5" t="s">
        <v>65</v>
      </c>
      <c r="BD141" s="5" t="s">
        <v>1627</v>
      </c>
    </row>
    <row r="142" spans="1:56" ht="24" hidden="1" x14ac:dyDescent="0.25">
      <c r="A142" s="78" t="s">
        <v>1352</v>
      </c>
      <c r="B142" s="5" t="s">
        <v>1353</v>
      </c>
      <c r="C142" s="5" t="s">
        <v>3293</v>
      </c>
      <c r="D142" s="5" t="s">
        <v>56</v>
      </c>
      <c r="E142" s="99" t="str">
        <f>VLOOKUP(D142,'Dropdown List'!$F$26:$G$40,2,0)</f>
        <v>India</v>
      </c>
      <c r="F142" s="8" t="s">
        <v>1354</v>
      </c>
      <c r="G142" s="96">
        <v>8</v>
      </c>
      <c r="H142" s="5" t="s">
        <v>57</v>
      </c>
      <c r="I142" s="8" t="s">
        <v>71</v>
      </c>
      <c r="J142" s="8" t="s">
        <v>112</v>
      </c>
      <c r="K142" s="8" t="s">
        <v>130</v>
      </c>
      <c r="L142" s="8" t="s">
        <v>1628</v>
      </c>
      <c r="M142" s="8" t="s">
        <v>1629</v>
      </c>
      <c r="N142" s="5" t="s">
        <v>1034</v>
      </c>
      <c r="O142" s="5" t="s">
        <v>269</v>
      </c>
      <c r="P142" s="5" t="s">
        <v>66</v>
      </c>
      <c r="Q142" s="9" t="s">
        <v>75</v>
      </c>
      <c r="R142" s="5" t="s">
        <v>76</v>
      </c>
      <c r="S142" s="5" t="s">
        <v>64</v>
      </c>
      <c r="T142" s="96">
        <v>2</v>
      </c>
      <c r="U142" s="96" t="s">
        <v>271</v>
      </c>
      <c r="V142" s="96" t="s">
        <v>271</v>
      </c>
      <c r="W142" s="5" t="s">
        <v>78</v>
      </c>
      <c r="X142" s="10" t="s">
        <v>79</v>
      </c>
      <c r="Y142" s="11">
        <v>126359.99999999999</v>
      </c>
      <c r="Z142" s="12">
        <v>6.79</v>
      </c>
      <c r="AA142" s="12">
        <v>0</v>
      </c>
      <c r="AB142" s="12">
        <v>0.05</v>
      </c>
      <c r="AC142" s="13">
        <v>1</v>
      </c>
      <c r="AD142" s="14">
        <f t="shared" si="6"/>
        <v>7.84</v>
      </c>
      <c r="AE142" s="15">
        <f t="shared" si="7"/>
        <v>0.12755102040816327</v>
      </c>
      <c r="AF142" s="16">
        <v>3000</v>
      </c>
      <c r="AG142" s="16" t="s">
        <v>66</v>
      </c>
      <c r="AH142" s="17" t="s">
        <v>66</v>
      </c>
      <c r="AI142" s="18">
        <v>15</v>
      </c>
      <c r="AJ142" s="19" t="s">
        <v>1630</v>
      </c>
      <c r="AK142" s="20">
        <v>0.98</v>
      </c>
      <c r="AL142" s="17" t="s">
        <v>261</v>
      </c>
      <c r="AM142" s="5" t="s">
        <v>66</v>
      </c>
      <c r="AN142" s="5" t="s">
        <v>66</v>
      </c>
      <c r="AO142" s="5" t="s">
        <v>66</v>
      </c>
      <c r="AP142" s="5" t="s">
        <v>66</v>
      </c>
      <c r="AQ142" s="5" t="s">
        <v>66</v>
      </c>
      <c r="AR142" s="5" t="s">
        <v>66</v>
      </c>
      <c r="AS142" s="5" t="s">
        <v>66</v>
      </c>
      <c r="AT142" s="5" t="s">
        <v>66</v>
      </c>
      <c r="AU142" s="5" t="s">
        <v>66</v>
      </c>
      <c r="AV142" s="5" t="s">
        <v>66</v>
      </c>
      <c r="AW142" s="5" t="s">
        <v>66</v>
      </c>
      <c r="AX142" s="5" t="s">
        <v>1616</v>
      </c>
      <c r="AY142" s="5" t="s">
        <v>69</v>
      </c>
      <c r="AZ142" s="5" t="s">
        <v>80</v>
      </c>
      <c r="BA142" s="19" t="s">
        <v>1622</v>
      </c>
      <c r="BB142" s="17" t="s">
        <v>65</v>
      </c>
      <c r="BC142" s="5" t="s">
        <v>65</v>
      </c>
      <c r="BD142" s="5" t="s">
        <v>1631</v>
      </c>
    </row>
    <row r="143" spans="1:56" ht="60" hidden="1" x14ac:dyDescent="0.25">
      <c r="A143" s="78" t="s">
        <v>1352</v>
      </c>
      <c r="B143" s="5" t="s">
        <v>1353</v>
      </c>
      <c r="C143" s="5" t="s">
        <v>3293</v>
      </c>
      <c r="D143" s="5" t="s">
        <v>56</v>
      </c>
      <c r="E143" s="99" t="str">
        <f>VLOOKUP(D143,'Dropdown List'!$F$26:$G$40,2,0)</f>
        <v>India</v>
      </c>
      <c r="F143" s="8" t="s">
        <v>1354</v>
      </c>
      <c r="G143" s="96">
        <v>8</v>
      </c>
      <c r="H143" s="5" t="s">
        <v>57</v>
      </c>
      <c r="I143" s="8" t="s">
        <v>71</v>
      </c>
      <c r="J143" s="8" t="s">
        <v>292</v>
      </c>
      <c r="K143" s="8" t="s">
        <v>1632</v>
      </c>
      <c r="L143" s="8" t="s">
        <v>1633</v>
      </c>
      <c r="M143" s="8" t="s">
        <v>1634</v>
      </c>
      <c r="N143" s="5" t="s">
        <v>1034</v>
      </c>
      <c r="O143" s="5" t="s">
        <v>269</v>
      </c>
      <c r="P143" s="5" t="s">
        <v>66</v>
      </c>
      <c r="Q143" s="9" t="s">
        <v>75</v>
      </c>
      <c r="R143" s="5" t="s">
        <v>76</v>
      </c>
      <c r="S143" s="5" t="s">
        <v>64</v>
      </c>
      <c r="T143" s="96">
        <v>2</v>
      </c>
      <c r="U143" s="96" t="s">
        <v>271</v>
      </c>
      <c r="V143" s="96" t="s">
        <v>271</v>
      </c>
      <c r="W143" s="5" t="s">
        <v>78</v>
      </c>
      <c r="X143" s="10" t="s">
        <v>79</v>
      </c>
      <c r="Y143" s="11">
        <v>302400</v>
      </c>
      <c r="Z143" s="12">
        <v>4.2</v>
      </c>
      <c r="AA143" s="12">
        <v>0</v>
      </c>
      <c r="AB143" s="12">
        <v>0.05</v>
      </c>
      <c r="AC143" s="13">
        <v>1</v>
      </c>
      <c r="AD143" s="14">
        <f t="shared" si="6"/>
        <v>5.25</v>
      </c>
      <c r="AE143" s="15">
        <f t="shared" si="7"/>
        <v>0.19047619047619047</v>
      </c>
      <c r="AF143" s="16">
        <v>6000</v>
      </c>
      <c r="AG143" s="16" t="s">
        <v>66</v>
      </c>
      <c r="AH143" s="17" t="s">
        <v>66</v>
      </c>
      <c r="AI143" s="18">
        <v>6</v>
      </c>
      <c r="AJ143" s="19" t="s">
        <v>1635</v>
      </c>
      <c r="AK143" s="20">
        <v>0.98</v>
      </c>
      <c r="AL143" s="17" t="s">
        <v>261</v>
      </c>
      <c r="AM143" s="5" t="s">
        <v>66</v>
      </c>
      <c r="AN143" s="5" t="s">
        <v>66</v>
      </c>
      <c r="AO143" s="5" t="s">
        <v>66</v>
      </c>
      <c r="AP143" s="5" t="s">
        <v>66</v>
      </c>
      <c r="AQ143" s="5" t="s">
        <v>66</v>
      </c>
      <c r="AR143" s="5" t="s">
        <v>66</v>
      </c>
      <c r="AS143" s="5" t="s">
        <v>66</v>
      </c>
      <c r="AT143" s="5" t="s">
        <v>66</v>
      </c>
      <c r="AU143" s="5" t="s">
        <v>66</v>
      </c>
      <c r="AV143" s="5" t="s">
        <v>66</v>
      </c>
      <c r="AW143" s="5" t="s">
        <v>66</v>
      </c>
      <c r="AX143" s="5" t="s">
        <v>1616</v>
      </c>
      <c r="AY143" s="5" t="s">
        <v>69</v>
      </c>
      <c r="AZ143" s="5" t="s">
        <v>80</v>
      </c>
      <c r="BA143" s="19" t="s">
        <v>1622</v>
      </c>
      <c r="BB143" s="17" t="s">
        <v>65</v>
      </c>
      <c r="BC143" s="5" t="s">
        <v>65</v>
      </c>
      <c r="BD143" s="5" t="s">
        <v>1636</v>
      </c>
    </row>
    <row r="144" spans="1:56" ht="36" hidden="1" x14ac:dyDescent="0.25">
      <c r="A144" s="78" t="s">
        <v>1352</v>
      </c>
      <c r="B144" s="5" t="s">
        <v>1353</v>
      </c>
      <c r="C144" s="5" t="s">
        <v>3293</v>
      </c>
      <c r="D144" s="5" t="s">
        <v>56</v>
      </c>
      <c r="E144" s="99" t="str">
        <f>VLOOKUP(D144,'Dropdown List'!$F$26:$G$40,2,0)</f>
        <v>India</v>
      </c>
      <c r="F144" s="8" t="s">
        <v>1354</v>
      </c>
      <c r="G144" s="96">
        <v>8</v>
      </c>
      <c r="H144" s="5" t="s">
        <v>57</v>
      </c>
      <c r="I144" s="8" t="s">
        <v>71</v>
      </c>
      <c r="J144" s="8" t="s">
        <v>292</v>
      </c>
      <c r="K144" s="8" t="s">
        <v>1637</v>
      </c>
      <c r="L144" s="8" t="s">
        <v>1638</v>
      </c>
      <c r="M144" s="8" t="s">
        <v>1639</v>
      </c>
      <c r="N144" s="5" t="s">
        <v>1034</v>
      </c>
      <c r="O144" s="5" t="s">
        <v>61</v>
      </c>
      <c r="P144" s="5" t="s">
        <v>1358</v>
      </c>
      <c r="Q144" s="9" t="s">
        <v>75</v>
      </c>
      <c r="R144" s="5" t="s">
        <v>76</v>
      </c>
      <c r="S144" s="5" t="s">
        <v>64</v>
      </c>
      <c r="T144" s="96">
        <v>2</v>
      </c>
      <c r="U144" s="96" t="s">
        <v>273</v>
      </c>
      <c r="V144" s="96" t="s">
        <v>271</v>
      </c>
      <c r="W144" s="5" t="s">
        <v>78</v>
      </c>
      <c r="X144" s="10" t="s">
        <v>79</v>
      </c>
      <c r="Y144" s="11">
        <v>22014.800000000003</v>
      </c>
      <c r="Z144" s="12">
        <v>4.4000000000000004</v>
      </c>
      <c r="AA144" s="12">
        <v>0.2</v>
      </c>
      <c r="AB144" s="12">
        <v>0.2</v>
      </c>
      <c r="AC144" s="13">
        <v>1.25</v>
      </c>
      <c r="AD144" s="14">
        <f t="shared" si="6"/>
        <v>6.0500000000000007</v>
      </c>
      <c r="AE144" s="15">
        <f t="shared" si="7"/>
        <v>0.20661157024793386</v>
      </c>
      <c r="AF144" s="16">
        <v>9071</v>
      </c>
      <c r="AG144" s="16" t="s">
        <v>66</v>
      </c>
      <c r="AH144" s="17" t="s">
        <v>66</v>
      </c>
      <c r="AI144" s="18">
        <v>5.2</v>
      </c>
      <c r="AJ144" s="19" t="s">
        <v>1640</v>
      </c>
      <c r="AK144" s="20">
        <v>0.99</v>
      </c>
      <c r="AL144" s="17" t="s">
        <v>261</v>
      </c>
      <c r="AM144" s="5" t="s">
        <v>66</v>
      </c>
      <c r="AN144" s="5" t="s">
        <v>66</v>
      </c>
      <c r="AO144" s="5" t="s">
        <v>66</v>
      </c>
      <c r="AP144" s="5" t="s">
        <v>66</v>
      </c>
      <c r="AQ144" s="5" t="s">
        <v>66</v>
      </c>
      <c r="AR144" s="5" t="s">
        <v>66</v>
      </c>
      <c r="AS144" s="5" t="s">
        <v>66</v>
      </c>
      <c r="AT144" s="5" t="s">
        <v>66</v>
      </c>
      <c r="AU144" s="5" t="s">
        <v>66</v>
      </c>
      <c r="AV144" s="5" t="s">
        <v>66</v>
      </c>
      <c r="AW144" s="5" t="s">
        <v>66</v>
      </c>
      <c r="AX144" s="5" t="s">
        <v>1641</v>
      </c>
      <c r="AY144" s="5" t="s">
        <v>69</v>
      </c>
      <c r="AZ144" s="5" t="s">
        <v>70</v>
      </c>
      <c r="BA144" s="19" t="s">
        <v>1642</v>
      </c>
      <c r="BB144" s="17" t="s">
        <v>65</v>
      </c>
      <c r="BC144" s="5" t="s">
        <v>1643</v>
      </c>
      <c r="BD144" s="5" t="s">
        <v>1644</v>
      </c>
    </row>
    <row r="145" spans="1:56" ht="60" hidden="1" x14ac:dyDescent="0.25">
      <c r="A145" s="78" t="s">
        <v>1352</v>
      </c>
      <c r="B145" s="5" t="s">
        <v>1353</v>
      </c>
      <c r="C145" s="5" t="s">
        <v>3293</v>
      </c>
      <c r="D145" s="5" t="s">
        <v>56</v>
      </c>
      <c r="E145" s="99" t="str">
        <f>VLOOKUP(D145,'Dropdown List'!$F$26:$G$40,2,0)</f>
        <v>India</v>
      </c>
      <c r="F145" s="8" t="s">
        <v>1354</v>
      </c>
      <c r="G145" s="96">
        <v>8</v>
      </c>
      <c r="H145" s="5" t="s">
        <v>57</v>
      </c>
      <c r="I145" s="8" t="s">
        <v>71</v>
      </c>
      <c r="J145" s="8" t="s">
        <v>112</v>
      </c>
      <c r="K145" s="8" t="s">
        <v>1263</v>
      </c>
      <c r="L145" s="8" t="s">
        <v>1645</v>
      </c>
      <c r="M145" s="8" t="s">
        <v>1646</v>
      </c>
      <c r="N145" s="5" t="s">
        <v>1034</v>
      </c>
      <c r="O145" s="5" t="s">
        <v>89</v>
      </c>
      <c r="P145" s="5" t="s">
        <v>89</v>
      </c>
      <c r="Q145" s="9" t="s">
        <v>75</v>
      </c>
      <c r="R145" s="5" t="s">
        <v>76</v>
      </c>
      <c r="S145" s="5" t="s">
        <v>64</v>
      </c>
      <c r="T145" s="96">
        <v>2</v>
      </c>
      <c r="U145" s="96" t="s">
        <v>273</v>
      </c>
      <c r="V145" s="96" t="s">
        <v>273</v>
      </c>
      <c r="W145" s="5" t="s">
        <v>78</v>
      </c>
      <c r="X145" s="10" t="s">
        <v>79</v>
      </c>
      <c r="Y145" s="11">
        <v>22014.800000000003</v>
      </c>
      <c r="Z145" s="12">
        <v>1.86</v>
      </c>
      <c r="AA145" s="12">
        <v>0.2</v>
      </c>
      <c r="AB145" s="12">
        <v>0.2</v>
      </c>
      <c r="AC145" s="13">
        <v>1.08</v>
      </c>
      <c r="AD145" s="14">
        <f t="shared" si="6"/>
        <v>3.3400000000000003</v>
      </c>
      <c r="AE145" s="15">
        <f t="shared" si="7"/>
        <v>0.32335329341317365</v>
      </c>
      <c r="AF145" s="16">
        <v>2608</v>
      </c>
      <c r="AG145" s="16" t="s">
        <v>66</v>
      </c>
      <c r="AH145" s="17" t="s">
        <v>66</v>
      </c>
      <c r="AI145" s="18">
        <v>8.8000000000000007</v>
      </c>
      <c r="AJ145" s="19" t="s">
        <v>1647</v>
      </c>
      <c r="AK145" s="20">
        <v>0.99</v>
      </c>
      <c r="AL145" s="17" t="s">
        <v>261</v>
      </c>
      <c r="AM145" s="5" t="s">
        <v>66</v>
      </c>
      <c r="AN145" s="5" t="s">
        <v>66</v>
      </c>
      <c r="AO145" s="5" t="s">
        <v>66</v>
      </c>
      <c r="AP145" s="5" t="s">
        <v>66</v>
      </c>
      <c r="AQ145" s="5" t="s">
        <v>135</v>
      </c>
      <c r="AR145" s="5" t="s">
        <v>1648</v>
      </c>
      <c r="AS145" s="5" t="s">
        <v>1649</v>
      </c>
      <c r="AT145" s="5" t="s">
        <v>66</v>
      </c>
      <c r="AU145" s="5" t="s">
        <v>66</v>
      </c>
      <c r="AV145" s="5" t="s">
        <v>66</v>
      </c>
      <c r="AW145" s="5" t="s">
        <v>66</v>
      </c>
      <c r="AX145" s="5" t="s">
        <v>1505</v>
      </c>
      <c r="AY145" s="5" t="s">
        <v>69</v>
      </c>
      <c r="AZ145" s="5" t="s">
        <v>145</v>
      </c>
      <c r="BA145" s="19" t="s">
        <v>1650</v>
      </c>
      <c r="BB145" s="17" t="s">
        <v>65</v>
      </c>
      <c r="BC145" s="5" t="s">
        <v>220</v>
      </c>
      <c r="BD145" s="5" t="s">
        <v>1651</v>
      </c>
    </row>
    <row r="146" spans="1:56" ht="108" hidden="1" x14ac:dyDescent="0.25">
      <c r="A146" s="78" t="s">
        <v>1352</v>
      </c>
      <c r="B146" s="5" t="s">
        <v>1353</v>
      </c>
      <c r="C146" s="5" t="s">
        <v>3293</v>
      </c>
      <c r="D146" s="5" t="s">
        <v>56</v>
      </c>
      <c r="E146" s="99" t="str">
        <f>VLOOKUP(D146,'Dropdown List'!$F$26:$G$40,2,0)</f>
        <v>India</v>
      </c>
      <c r="F146" s="8" t="s">
        <v>1354</v>
      </c>
      <c r="G146" s="96">
        <v>8</v>
      </c>
      <c r="H146" s="5" t="s">
        <v>57</v>
      </c>
      <c r="I146" s="8" t="s">
        <v>71</v>
      </c>
      <c r="J146" s="8" t="s">
        <v>112</v>
      </c>
      <c r="K146" s="8" t="s">
        <v>1263</v>
      </c>
      <c r="L146" s="8" t="s">
        <v>1652</v>
      </c>
      <c r="M146" s="8" t="s">
        <v>1653</v>
      </c>
      <c r="N146" s="5" t="s">
        <v>1034</v>
      </c>
      <c r="O146" s="5" t="s">
        <v>89</v>
      </c>
      <c r="P146" s="5" t="s">
        <v>89</v>
      </c>
      <c r="Q146" s="9" t="s">
        <v>75</v>
      </c>
      <c r="R146" s="5" t="s">
        <v>76</v>
      </c>
      <c r="S146" s="5" t="s">
        <v>64</v>
      </c>
      <c r="T146" s="96">
        <v>2</v>
      </c>
      <c r="U146" s="96" t="s">
        <v>273</v>
      </c>
      <c r="V146" s="96" t="s">
        <v>271</v>
      </c>
      <c r="W146" s="5" t="s">
        <v>78</v>
      </c>
      <c r="X146" s="10" t="s">
        <v>79</v>
      </c>
      <c r="Y146" s="11">
        <v>22014.800000000003</v>
      </c>
      <c r="Z146" s="12">
        <v>2</v>
      </c>
      <c r="AA146" s="12">
        <v>0.2</v>
      </c>
      <c r="AB146" s="12">
        <v>0.2</v>
      </c>
      <c r="AC146" s="13">
        <v>1.5</v>
      </c>
      <c r="AD146" s="14">
        <f t="shared" si="6"/>
        <v>3.9000000000000004</v>
      </c>
      <c r="AE146" s="15">
        <f t="shared" si="7"/>
        <v>0.38461538461538458</v>
      </c>
      <c r="AF146" s="16">
        <v>2428</v>
      </c>
      <c r="AG146" s="16" t="s">
        <v>66</v>
      </c>
      <c r="AH146" s="17" t="s">
        <v>66</v>
      </c>
      <c r="AI146" s="18">
        <v>7.21</v>
      </c>
      <c r="AJ146" s="19" t="s">
        <v>1654</v>
      </c>
      <c r="AK146" s="20">
        <v>0.99</v>
      </c>
      <c r="AL146" s="17" t="s">
        <v>261</v>
      </c>
      <c r="AM146" s="5" t="s">
        <v>66</v>
      </c>
      <c r="AN146" s="5" t="s">
        <v>66</v>
      </c>
      <c r="AO146" s="5" t="s">
        <v>66</v>
      </c>
      <c r="AP146" s="5" t="s">
        <v>66</v>
      </c>
      <c r="AQ146" s="5" t="s">
        <v>828</v>
      </c>
      <c r="AR146" s="5" t="s">
        <v>1655</v>
      </c>
      <c r="AS146" s="5" t="s">
        <v>1656</v>
      </c>
      <c r="AT146" s="5" t="s">
        <v>66</v>
      </c>
      <c r="AU146" s="5" t="s">
        <v>66</v>
      </c>
      <c r="AV146" s="5" t="s">
        <v>66</v>
      </c>
      <c r="AW146" s="5" t="s">
        <v>66</v>
      </c>
      <c r="AX146" s="5" t="s">
        <v>1505</v>
      </c>
      <c r="AY146" s="5" t="s">
        <v>69</v>
      </c>
      <c r="AZ146" s="5" t="s">
        <v>145</v>
      </c>
      <c r="BA146" s="19" t="s">
        <v>1650</v>
      </c>
      <c r="BB146" s="17" t="s">
        <v>65</v>
      </c>
      <c r="BC146" s="5" t="s">
        <v>220</v>
      </c>
      <c r="BD146" s="5" t="s">
        <v>1651</v>
      </c>
    </row>
    <row r="147" spans="1:56" ht="60" hidden="1" x14ac:dyDescent="0.25">
      <c r="A147" s="78" t="s">
        <v>1352</v>
      </c>
      <c r="B147" s="5" t="s">
        <v>1353</v>
      </c>
      <c r="C147" s="5" t="s">
        <v>3293</v>
      </c>
      <c r="D147" s="5" t="s">
        <v>56</v>
      </c>
      <c r="E147" s="99" t="str">
        <f>VLOOKUP(D147,'Dropdown List'!$F$26:$G$40,2,0)</f>
        <v>India</v>
      </c>
      <c r="F147" s="8" t="s">
        <v>1354</v>
      </c>
      <c r="G147" s="96">
        <v>8</v>
      </c>
      <c r="H147" s="5" t="s">
        <v>57</v>
      </c>
      <c r="I147" s="8" t="s">
        <v>71</v>
      </c>
      <c r="J147" s="8" t="s">
        <v>112</v>
      </c>
      <c r="K147" s="8" t="s">
        <v>1211</v>
      </c>
      <c r="L147" s="8" t="s">
        <v>1657</v>
      </c>
      <c r="M147" s="8" t="s">
        <v>1658</v>
      </c>
      <c r="N147" s="5" t="s">
        <v>1034</v>
      </c>
      <c r="O147" s="5" t="s">
        <v>61</v>
      </c>
      <c r="P147" s="5" t="s">
        <v>1358</v>
      </c>
      <c r="Q147" s="9" t="s">
        <v>75</v>
      </c>
      <c r="R147" s="5" t="s">
        <v>76</v>
      </c>
      <c r="S147" s="5" t="s">
        <v>64</v>
      </c>
      <c r="T147" s="96">
        <v>2</v>
      </c>
      <c r="U147" s="96" t="s">
        <v>273</v>
      </c>
      <c r="V147" s="96" t="s">
        <v>271</v>
      </c>
      <c r="W147" s="5" t="s">
        <v>78</v>
      </c>
      <c r="X147" s="10" t="s">
        <v>79</v>
      </c>
      <c r="Y147" s="11">
        <v>22014.800000000003</v>
      </c>
      <c r="Z147" s="12">
        <v>5</v>
      </c>
      <c r="AA147" s="12">
        <v>0.2</v>
      </c>
      <c r="AB147" s="12">
        <v>0.2</v>
      </c>
      <c r="AC147" s="13">
        <v>2</v>
      </c>
      <c r="AD147" s="14">
        <f t="shared" si="6"/>
        <v>7.4</v>
      </c>
      <c r="AE147" s="15">
        <f t="shared" si="7"/>
        <v>0.27027027027027023</v>
      </c>
      <c r="AF147" s="16">
        <v>838</v>
      </c>
      <c r="AG147" s="16" t="s">
        <v>66</v>
      </c>
      <c r="AH147" s="17" t="s">
        <v>1659</v>
      </c>
      <c r="AI147" s="18">
        <v>4.54</v>
      </c>
      <c r="AJ147" s="19" t="s">
        <v>1640</v>
      </c>
      <c r="AK147" s="20">
        <v>0.99</v>
      </c>
      <c r="AL147" s="17" t="s">
        <v>261</v>
      </c>
      <c r="AM147" s="5" t="s">
        <v>66</v>
      </c>
      <c r="AN147" s="5" t="s">
        <v>66</v>
      </c>
      <c r="AO147" s="5" t="s">
        <v>66</v>
      </c>
      <c r="AP147" s="5" t="s">
        <v>66</v>
      </c>
      <c r="AQ147" s="5" t="s">
        <v>66</v>
      </c>
      <c r="AR147" s="5" t="s">
        <v>66</v>
      </c>
      <c r="AS147" s="5" t="s">
        <v>66</v>
      </c>
      <c r="AT147" s="5" t="s">
        <v>66</v>
      </c>
      <c r="AU147" s="5" t="s">
        <v>66</v>
      </c>
      <c r="AV147" s="5" t="s">
        <v>66</v>
      </c>
      <c r="AW147" s="5" t="s">
        <v>66</v>
      </c>
      <c r="AX147" s="5" t="s">
        <v>1660</v>
      </c>
      <c r="AY147" s="5" t="s">
        <v>69</v>
      </c>
      <c r="AZ147" s="5" t="s">
        <v>70</v>
      </c>
      <c r="BA147" s="19" t="s">
        <v>1661</v>
      </c>
      <c r="BB147" s="17" t="s">
        <v>94</v>
      </c>
      <c r="BC147" s="5" t="s">
        <v>1662</v>
      </c>
      <c r="BD147" s="5" t="s">
        <v>1663</v>
      </c>
    </row>
    <row r="148" spans="1:56" ht="48" hidden="1" x14ac:dyDescent="0.25">
      <c r="A148" s="78" t="s">
        <v>1352</v>
      </c>
      <c r="B148" s="5" t="s">
        <v>1353</v>
      </c>
      <c r="C148" s="5" t="s">
        <v>3293</v>
      </c>
      <c r="D148" s="5" t="s">
        <v>56</v>
      </c>
      <c r="E148" s="99" t="str">
        <f>VLOOKUP(D148,'Dropdown List'!$F$26:$G$40,2,0)</f>
        <v>India</v>
      </c>
      <c r="F148" s="8" t="s">
        <v>1354</v>
      </c>
      <c r="G148" s="96">
        <v>8</v>
      </c>
      <c r="H148" s="5" t="s">
        <v>57</v>
      </c>
      <c r="I148" s="8" t="s">
        <v>71</v>
      </c>
      <c r="J148" s="8" t="s">
        <v>292</v>
      </c>
      <c r="K148" s="8" t="s">
        <v>1664</v>
      </c>
      <c r="L148" s="8" t="s">
        <v>1665</v>
      </c>
      <c r="M148" s="8" t="s">
        <v>1666</v>
      </c>
      <c r="N148" s="5" t="s">
        <v>1034</v>
      </c>
      <c r="O148" s="5" t="s">
        <v>1069</v>
      </c>
      <c r="P148" s="5" t="s">
        <v>1069</v>
      </c>
      <c r="Q148" s="9" t="s">
        <v>75</v>
      </c>
      <c r="R148" s="5" t="s">
        <v>76</v>
      </c>
      <c r="S148" s="5" t="s">
        <v>64</v>
      </c>
      <c r="T148" s="96">
        <v>2</v>
      </c>
      <c r="U148" s="96" t="s">
        <v>273</v>
      </c>
      <c r="V148" s="96" t="s">
        <v>271</v>
      </c>
      <c r="W148" s="5" t="s">
        <v>78</v>
      </c>
      <c r="X148" s="10" t="s">
        <v>79</v>
      </c>
      <c r="Y148" s="11">
        <v>22014.800000000003</v>
      </c>
      <c r="Z148" s="12">
        <v>1</v>
      </c>
      <c r="AA148" s="12">
        <v>0.2</v>
      </c>
      <c r="AB148" s="12">
        <v>0.1</v>
      </c>
      <c r="AC148" s="13">
        <v>1</v>
      </c>
      <c r="AD148" s="14">
        <f t="shared" si="6"/>
        <v>2.2999999999999998</v>
      </c>
      <c r="AE148" s="15">
        <f t="shared" si="7"/>
        <v>0.43478260869565222</v>
      </c>
      <c r="AF148" s="16">
        <v>1818</v>
      </c>
      <c r="AG148" s="16" t="s">
        <v>66</v>
      </c>
      <c r="AH148" s="17" t="s">
        <v>1588</v>
      </c>
      <c r="AI148" s="18">
        <v>4.8</v>
      </c>
      <c r="AJ148" s="19" t="s">
        <v>1667</v>
      </c>
      <c r="AK148" s="20">
        <v>0.99</v>
      </c>
      <c r="AL148" s="17" t="s">
        <v>261</v>
      </c>
      <c r="AM148" s="5" t="s">
        <v>66</v>
      </c>
      <c r="AN148" s="5" t="s">
        <v>66</v>
      </c>
      <c r="AO148" s="5" t="s">
        <v>66</v>
      </c>
      <c r="AP148" s="5" t="s">
        <v>66</v>
      </c>
      <c r="AQ148" s="5" t="s">
        <v>66</v>
      </c>
      <c r="AR148" s="5" t="s">
        <v>66</v>
      </c>
      <c r="AS148" s="5" t="s">
        <v>66</v>
      </c>
      <c r="AT148" s="5" t="s">
        <v>66</v>
      </c>
      <c r="AU148" s="5" t="s">
        <v>66</v>
      </c>
      <c r="AV148" s="5" t="s">
        <v>66</v>
      </c>
      <c r="AW148" s="5" t="s">
        <v>66</v>
      </c>
      <c r="AX148" s="5" t="s">
        <v>1668</v>
      </c>
      <c r="AY148" s="5" t="s">
        <v>69</v>
      </c>
      <c r="AZ148" s="5" t="s">
        <v>145</v>
      </c>
      <c r="BA148" s="19" t="s">
        <v>1669</v>
      </c>
      <c r="BB148" s="17" t="s">
        <v>65</v>
      </c>
      <c r="BC148" s="5" t="s">
        <v>1670</v>
      </c>
      <c r="BD148" s="5" t="s">
        <v>1671</v>
      </c>
    </row>
    <row r="149" spans="1:56" ht="60" hidden="1" x14ac:dyDescent="0.25">
      <c r="A149" s="78" t="s">
        <v>1352</v>
      </c>
      <c r="B149" s="5" t="s">
        <v>1353</v>
      </c>
      <c r="C149" s="5" t="s">
        <v>3293</v>
      </c>
      <c r="D149" s="5" t="s">
        <v>56</v>
      </c>
      <c r="E149" s="99" t="str">
        <f>VLOOKUP(D149,'Dropdown List'!$F$26:$G$40,2,0)</f>
        <v>India</v>
      </c>
      <c r="F149" s="8" t="s">
        <v>1354</v>
      </c>
      <c r="G149" s="96">
        <v>8</v>
      </c>
      <c r="H149" s="5" t="s">
        <v>57</v>
      </c>
      <c r="I149" s="8" t="s">
        <v>71</v>
      </c>
      <c r="J149" s="8" t="s">
        <v>112</v>
      </c>
      <c r="K149" s="8" t="s">
        <v>1211</v>
      </c>
      <c r="L149" s="8" t="s">
        <v>1672</v>
      </c>
      <c r="M149" s="8" t="s">
        <v>1658</v>
      </c>
      <c r="N149" s="5" t="s">
        <v>1034</v>
      </c>
      <c r="O149" s="5" t="s">
        <v>61</v>
      </c>
      <c r="P149" s="5" t="s">
        <v>1358</v>
      </c>
      <c r="Q149" s="9" t="s">
        <v>75</v>
      </c>
      <c r="R149" s="5" t="s">
        <v>76</v>
      </c>
      <c r="S149" s="5" t="s">
        <v>64</v>
      </c>
      <c r="T149" s="96">
        <v>2</v>
      </c>
      <c r="U149" s="96" t="s">
        <v>273</v>
      </c>
      <c r="V149" s="96" t="s">
        <v>271</v>
      </c>
      <c r="W149" s="5" t="s">
        <v>78</v>
      </c>
      <c r="X149" s="10" t="s">
        <v>79</v>
      </c>
      <c r="Y149" s="11">
        <v>22014.800000000003</v>
      </c>
      <c r="Z149" s="12">
        <v>2.5</v>
      </c>
      <c r="AA149" s="12">
        <v>0</v>
      </c>
      <c r="AB149" s="12">
        <v>0.1</v>
      </c>
      <c r="AC149" s="13">
        <v>1.2</v>
      </c>
      <c r="AD149" s="14">
        <f t="shared" si="6"/>
        <v>3.8</v>
      </c>
      <c r="AE149" s="15">
        <f t="shared" si="7"/>
        <v>0.31578947368421051</v>
      </c>
      <c r="AF149" s="16">
        <v>3363</v>
      </c>
      <c r="AG149" s="16" t="s">
        <v>66</v>
      </c>
      <c r="AH149" s="17" t="s">
        <v>1588</v>
      </c>
      <c r="AI149" s="18">
        <v>6.05</v>
      </c>
      <c r="AJ149" s="19" t="s">
        <v>1667</v>
      </c>
      <c r="AK149" s="20">
        <v>0.99</v>
      </c>
      <c r="AL149" s="17" t="s">
        <v>261</v>
      </c>
      <c r="AM149" s="5" t="s">
        <v>66</v>
      </c>
      <c r="AN149" s="5" t="s">
        <v>66</v>
      </c>
      <c r="AO149" s="5" t="s">
        <v>66</v>
      </c>
      <c r="AP149" s="5" t="s">
        <v>66</v>
      </c>
      <c r="AQ149" s="5" t="s">
        <v>66</v>
      </c>
      <c r="AR149" s="5" t="s">
        <v>66</v>
      </c>
      <c r="AS149" s="5" t="s">
        <v>66</v>
      </c>
      <c r="AT149" s="5" t="s">
        <v>66</v>
      </c>
      <c r="AU149" s="5" t="s">
        <v>66</v>
      </c>
      <c r="AV149" s="5" t="s">
        <v>66</v>
      </c>
      <c r="AW149" s="5" t="s">
        <v>66</v>
      </c>
      <c r="AX149" s="5" t="s">
        <v>1660</v>
      </c>
      <c r="AY149" s="5" t="s">
        <v>69</v>
      </c>
      <c r="AZ149" s="5" t="s">
        <v>70</v>
      </c>
      <c r="BA149" s="19" t="s">
        <v>1661</v>
      </c>
      <c r="BB149" s="17" t="s">
        <v>94</v>
      </c>
      <c r="BC149" s="5" t="s">
        <v>1662</v>
      </c>
      <c r="BD149" s="5" t="s">
        <v>1663</v>
      </c>
    </row>
    <row r="150" spans="1:56" ht="72" hidden="1" x14ac:dyDescent="0.25">
      <c r="A150" s="78" t="s">
        <v>1352</v>
      </c>
      <c r="B150" s="5" t="s">
        <v>1353</v>
      </c>
      <c r="C150" s="5" t="s">
        <v>3293</v>
      </c>
      <c r="D150" s="5" t="s">
        <v>56</v>
      </c>
      <c r="E150" s="99" t="str">
        <f>VLOOKUP(D150,'Dropdown List'!$F$26:$G$40,2,0)</f>
        <v>India</v>
      </c>
      <c r="F150" s="8" t="s">
        <v>1354</v>
      </c>
      <c r="G150" s="96">
        <v>8</v>
      </c>
      <c r="H150" s="5" t="s">
        <v>57</v>
      </c>
      <c r="I150" s="8" t="s">
        <v>71</v>
      </c>
      <c r="J150" s="8" t="s">
        <v>292</v>
      </c>
      <c r="K150" s="8" t="s">
        <v>293</v>
      </c>
      <c r="L150" s="8" t="s">
        <v>1673</v>
      </c>
      <c r="M150" s="8" t="s">
        <v>1674</v>
      </c>
      <c r="N150" s="5" t="s">
        <v>1034</v>
      </c>
      <c r="O150" s="5" t="s">
        <v>61</v>
      </c>
      <c r="P150" s="5" t="s">
        <v>238</v>
      </c>
      <c r="Q150" s="9" t="s">
        <v>75</v>
      </c>
      <c r="R150" s="5" t="s">
        <v>76</v>
      </c>
      <c r="S150" s="5" t="s">
        <v>64</v>
      </c>
      <c r="T150" s="96">
        <v>2</v>
      </c>
      <c r="U150" s="96" t="s">
        <v>271</v>
      </c>
      <c r="V150" s="96" t="s">
        <v>77</v>
      </c>
      <c r="W150" s="5" t="s">
        <v>78</v>
      </c>
      <c r="X150" s="10" t="s">
        <v>79</v>
      </c>
      <c r="Y150" s="11">
        <v>22014.799999999999</v>
      </c>
      <c r="Z150" s="12">
        <v>20</v>
      </c>
      <c r="AA150" s="12">
        <v>1</v>
      </c>
      <c r="AB150" s="12">
        <v>1</v>
      </c>
      <c r="AC150" s="13">
        <v>1.1000000000000001</v>
      </c>
      <c r="AD150" s="14">
        <f t="shared" si="6"/>
        <v>23.1</v>
      </c>
      <c r="AE150" s="15">
        <f t="shared" si="7"/>
        <v>4.7619047619047623E-2</v>
      </c>
      <c r="AF150" s="16">
        <v>12000</v>
      </c>
      <c r="AG150" s="16" t="s">
        <v>66</v>
      </c>
      <c r="AH150" s="17" t="s">
        <v>66</v>
      </c>
      <c r="AI150" s="18">
        <v>15</v>
      </c>
      <c r="AJ150" s="19" t="s">
        <v>1675</v>
      </c>
      <c r="AK150" s="20">
        <v>0.99</v>
      </c>
      <c r="AL150" s="17" t="s">
        <v>261</v>
      </c>
      <c r="AM150" s="5" t="s">
        <v>66</v>
      </c>
      <c r="AN150" s="5" t="s">
        <v>66</v>
      </c>
      <c r="AO150" s="5" t="s">
        <v>66</v>
      </c>
      <c r="AP150" s="5" t="s">
        <v>66</v>
      </c>
      <c r="AQ150" s="5" t="s">
        <v>66</v>
      </c>
      <c r="AR150" s="5" t="s">
        <v>66</v>
      </c>
      <c r="AS150" s="5" t="s">
        <v>66</v>
      </c>
      <c r="AT150" s="5" t="s">
        <v>66</v>
      </c>
      <c r="AU150" s="5" t="s">
        <v>66</v>
      </c>
      <c r="AV150" s="5" t="s">
        <v>66</v>
      </c>
      <c r="AW150" s="5" t="s">
        <v>66</v>
      </c>
      <c r="AX150" s="5" t="s">
        <v>1676</v>
      </c>
      <c r="AY150" s="5" t="s">
        <v>69</v>
      </c>
      <c r="AZ150" s="5" t="s">
        <v>145</v>
      </c>
      <c r="BA150" s="19" t="s">
        <v>1677</v>
      </c>
      <c r="BB150" s="17" t="s">
        <v>94</v>
      </c>
      <c r="BC150" s="5" t="s">
        <v>195</v>
      </c>
      <c r="BD150" s="5" t="s">
        <v>1678</v>
      </c>
    </row>
    <row r="151" spans="1:56" ht="36" hidden="1" x14ac:dyDescent="0.25">
      <c r="A151" s="78" t="s">
        <v>1352</v>
      </c>
      <c r="B151" s="5" t="s">
        <v>1353</v>
      </c>
      <c r="C151" s="5" t="s">
        <v>3293</v>
      </c>
      <c r="D151" s="5" t="s">
        <v>56</v>
      </c>
      <c r="E151" s="99" t="str">
        <f>VLOOKUP(D151,'Dropdown List'!$F$26:$G$40,2,0)</f>
        <v>India</v>
      </c>
      <c r="F151" s="8" t="s">
        <v>1354</v>
      </c>
      <c r="G151" s="96">
        <v>8</v>
      </c>
      <c r="H151" s="5" t="s">
        <v>57</v>
      </c>
      <c r="I151" s="8" t="s">
        <v>71</v>
      </c>
      <c r="J151" s="8" t="s">
        <v>102</v>
      </c>
      <c r="K151" s="8" t="s">
        <v>369</v>
      </c>
      <c r="L151" s="8" t="s">
        <v>1679</v>
      </c>
      <c r="M151" s="8" t="s">
        <v>1680</v>
      </c>
      <c r="N151" s="5" t="s">
        <v>1034</v>
      </c>
      <c r="O151" s="5" t="s">
        <v>1681</v>
      </c>
      <c r="P151" s="5" t="s">
        <v>238</v>
      </c>
      <c r="Q151" s="9" t="s">
        <v>438</v>
      </c>
      <c r="R151" s="5" t="s">
        <v>76</v>
      </c>
      <c r="S151" s="5" t="s">
        <v>64</v>
      </c>
      <c r="T151" s="96">
        <v>1</v>
      </c>
      <c r="U151" s="96" t="s">
        <v>271</v>
      </c>
      <c r="V151" s="96" t="s">
        <v>271</v>
      </c>
      <c r="W151" s="5" t="s">
        <v>78</v>
      </c>
      <c r="X151" s="10" t="s">
        <v>79</v>
      </c>
      <c r="Y151" s="11">
        <v>2.61</v>
      </c>
      <c r="Z151" s="12">
        <v>4.5</v>
      </c>
      <c r="AA151" s="12">
        <v>0.5</v>
      </c>
      <c r="AB151" s="12">
        <v>0.1</v>
      </c>
      <c r="AC151" s="13">
        <v>1</v>
      </c>
      <c r="AD151" s="14">
        <f t="shared" si="6"/>
        <v>6.1</v>
      </c>
      <c r="AE151" s="15">
        <f t="shared" si="7"/>
        <v>0.16393442622950821</v>
      </c>
      <c r="AF151" s="16">
        <v>3300</v>
      </c>
      <c r="AG151" s="16">
        <v>3300</v>
      </c>
      <c r="AH151" s="17" t="s">
        <v>66</v>
      </c>
      <c r="AI151" s="18">
        <v>12</v>
      </c>
      <c r="AJ151" s="19" t="s">
        <v>1682</v>
      </c>
      <c r="AK151" s="20">
        <v>0.99</v>
      </c>
      <c r="AL151" s="17" t="s">
        <v>261</v>
      </c>
      <c r="AM151" s="5" t="s">
        <v>66</v>
      </c>
      <c r="AN151" s="5" t="s">
        <v>66</v>
      </c>
      <c r="AO151" s="5" t="s">
        <v>66</v>
      </c>
      <c r="AP151" s="5" t="s">
        <v>66</v>
      </c>
      <c r="AQ151" s="5" t="s">
        <v>1683</v>
      </c>
      <c r="AR151" s="5" t="s">
        <v>1684</v>
      </c>
      <c r="AS151" s="5" t="s">
        <v>1134</v>
      </c>
      <c r="AT151" s="5" t="s">
        <v>200</v>
      </c>
      <c r="AU151" s="5" t="s">
        <v>200</v>
      </c>
      <c r="AV151" s="5" t="s">
        <v>200</v>
      </c>
      <c r="AW151" s="5" t="s">
        <v>200</v>
      </c>
      <c r="AX151" s="5" t="s">
        <v>1609</v>
      </c>
      <c r="AY151" s="5" t="s">
        <v>69</v>
      </c>
      <c r="AZ151" s="5" t="s">
        <v>70</v>
      </c>
      <c r="BA151" s="19" t="s">
        <v>1685</v>
      </c>
      <c r="BB151" s="17" t="s">
        <v>69</v>
      </c>
      <c r="BC151" s="5" t="s">
        <v>1686</v>
      </c>
      <c r="BD151" s="5" t="s">
        <v>1687</v>
      </c>
    </row>
    <row r="152" spans="1:56" ht="36" hidden="1" x14ac:dyDescent="0.25">
      <c r="A152" s="78" t="s">
        <v>1352</v>
      </c>
      <c r="B152" s="5" t="s">
        <v>1353</v>
      </c>
      <c r="C152" s="5" t="s">
        <v>3293</v>
      </c>
      <c r="D152" s="5" t="s">
        <v>56</v>
      </c>
      <c r="E152" s="99" t="str">
        <f>VLOOKUP(D152,'Dropdown List'!$F$26:$G$40,2,0)</f>
        <v>India</v>
      </c>
      <c r="F152" s="8" t="s">
        <v>1354</v>
      </c>
      <c r="G152" s="96">
        <v>2</v>
      </c>
      <c r="H152" s="5" t="s">
        <v>57</v>
      </c>
      <c r="I152" s="8" t="s">
        <v>71</v>
      </c>
      <c r="J152" s="8" t="s">
        <v>102</v>
      </c>
      <c r="K152" s="8" t="s">
        <v>369</v>
      </c>
      <c r="L152" s="8" t="s">
        <v>1688</v>
      </c>
      <c r="M152" s="8" t="s">
        <v>1680</v>
      </c>
      <c r="N152" s="5" t="s">
        <v>1034</v>
      </c>
      <c r="O152" s="5" t="s">
        <v>1681</v>
      </c>
      <c r="P152" s="5" t="s">
        <v>238</v>
      </c>
      <c r="Q152" s="9" t="s">
        <v>438</v>
      </c>
      <c r="R152" s="5" t="s">
        <v>76</v>
      </c>
      <c r="S152" s="5" t="s">
        <v>64</v>
      </c>
      <c r="T152" s="96">
        <v>1</v>
      </c>
      <c r="U152" s="96" t="s">
        <v>271</v>
      </c>
      <c r="V152" s="96" t="s">
        <v>271</v>
      </c>
      <c r="W152" s="5" t="s">
        <v>78</v>
      </c>
      <c r="X152" s="10" t="s">
        <v>79</v>
      </c>
      <c r="Y152" s="11">
        <v>3.11</v>
      </c>
      <c r="Z152" s="12">
        <v>2</v>
      </c>
      <c r="AA152" s="12">
        <v>0.5</v>
      </c>
      <c r="AB152" s="12">
        <v>0.1</v>
      </c>
      <c r="AC152" s="13">
        <v>1</v>
      </c>
      <c r="AD152" s="14">
        <f t="shared" si="6"/>
        <v>3.6</v>
      </c>
      <c r="AE152" s="15">
        <f t="shared" si="7"/>
        <v>0.27777777777777779</v>
      </c>
      <c r="AF152" s="16">
        <v>1200</v>
      </c>
      <c r="AG152" s="16">
        <v>1200</v>
      </c>
      <c r="AH152" s="17" t="s">
        <v>66</v>
      </c>
      <c r="AI152" s="18">
        <v>12</v>
      </c>
      <c r="AJ152" s="19" t="s">
        <v>1689</v>
      </c>
      <c r="AK152" s="20">
        <v>0.98</v>
      </c>
      <c r="AL152" s="17" t="s">
        <v>261</v>
      </c>
      <c r="AM152" s="5" t="s">
        <v>66</v>
      </c>
      <c r="AN152" s="5" t="s">
        <v>66</v>
      </c>
      <c r="AO152" s="5" t="s">
        <v>66</v>
      </c>
      <c r="AP152" s="5" t="s">
        <v>66</v>
      </c>
      <c r="AQ152" s="5" t="s">
        <v>200</v>
      </c>
      <c r="AR152" s="5" t="s">
        <v>66</v>
      </c>
      <c r="AS152" s="5" t="s">
        <v>66</v>
      </c>
      <c r="AT152" s="5" t="s">
        <v>200</v>
      </c>
      <c r="AU152" s="5" t="s">
        <v>200</v>
      </c>
      <c r="AV152" s="5" t="s">
        <v>200</v>
      </c>
      <c r="AW152" s="5" t="s">
        <v>200</v>
      </c>
      <c r="AX152" s="5" t="s">
        <v>1609</v>
      </c>
      <c r="AY152" s="5" t="s">
        <v>69</v>
      </c>
      <c r="AZ152" s="5" t="s">
        <v>70</v>
      </c>
      <c r="BA152" s="19" t="s">
        <v>1690</v>
      </c>
      <c r="BB152" s="17" t="s">
        <v>69</v>
      </c>
      <c r="BC152" s="5" t="s">
        <v>1686</v>
      </c>
      <c r="BD152" s="5" t="s">
        <v>1691</v>
      </c>
    </row>
    <row r="153" spans="1:56" ht="60" hidden="1" x14ac:dyDescent="0.25">
      <c r="A153" s="78" t="s">
        <v>1352</v>
      </c>
      <c r="B153" s="5" t="s">
        <v>1353</v>
      </c>
      <c r="C153" s="5" t="s">
        <v>3293</v>
      </c>
      <c r="D153" s="5" t="s">
        <v>56</v>
      </c>
      <c r="E153" s="99" t="str">
        <f>VLOOKUP(D153,'Dropdown List'!$F$26:$G$40,2,0)</f>
        <v>India</v>
      </c>
      <c r="F153" s="8" t="s">
        <v>1354</v>
      </c>
      <c r="G153" s="96">
        <v>2</v>
      </c>
      <c r="H153" s="5" t="s">
        <v>57</v>
      </c>
      <c r="I153" s="8" t="s">
        <v>71</v>
      </c>
      <c r="J153" s="8" t="s">
        <v>112</v>
      </c>
      <c r="K153" s="8" t="s">
        <v>190</v>
      </c>
      <c r="L153" s="8" t="s">
        <v>1692</v>
      </c>
      <c r="M153" s="8" t="s">
        <v>1693</v>
      </c>
      <c r="N153" s="5" t="s">
        <v>1034</v>
      </c>
      <c r="O153" s="5" t="s">
        <v>61</v>
      </c>
      <c r="P153" s="5" t="s">
        <v>1694</v>
      </c>
      <c r="Q153" s="9" t="s">
        <v>75</v>
      </c>
      <c r="R153" s="5" t="s">
        <v>76</v>
      </c>
      <c r="S153" s="5" t="s">
        <v>64</v>
      </c>
      <c r="T153" s="96">
        <v>2</v>
      </c>
      <c r="U153" s="96" t="s">
        <v>77</v>
      </c>
      <c r="V153" s="96" t="s">
        <v>273</v>
      </c>
      <c r="W153" s="5" t="s">
        <v>78</v>
      </c>
      <c r="X153" s="10" t="s">
        <v>79</v>
      </c>
      <c r="Y153" s="11">
        <v>7.7</v>
      </c>
      <c r="Z153" s="12">
        <v>2.5</v>
      </c>
      <c r="AA153" s="12">
        <v>1</v>
      </c>
      <c r="AB153" s="12">
        <v>0.5</v>
      </c>
      <c r="AC153" s="13">
        <v>1</v>
      </c>
      <c r="AD153" s="14">
        <f t="shared" si="6"/>
        <v>5</v>
      </c>
      <c r="AE153" s="15">
        <f t="shared" si="7"/>
        <v>0.2</v>
      </c>
      <c r="AF153" s="16">
        <v>600</v>
      </c>
      <c r="AG153" s="16">
        <v>600</v>
      </c>
      <c r="AH153" s="17" t="s">
        <v>66</v>
      </c>
      <c r="AI153" s="18">
        <v>30</v>
      </c>
      <c r="AJ153" s="19" t="s">
        <v>1695</v>
      </c>
      <c r="AK153" s="20">
        <v>0.99</v>
      </c>
      <c r="AL153" s="17" t="s">
        <v>261</v>
      </c>
      <c r="AM153" s="5" t="s">
        <v>66</v>
      </c>
      <c r="AN153" s="5" t="s">
        <v>66</v>
      </c>
      <c r="AO153" s="5" t="s">
        <v>66</v>
      </c>
      <c r="AP153" s="5" t="s">
        <v>66</v>
      </c>
      <c r="AQ153" s="5" t="s">
        <v>66</v>
      </c>
      <c r="AR153" s="5" t="s">
        <v>66</v>
      </c>
      <c r="AS153" s="5" t="s">
        <v>66</v>
      </c>
      <c r="AT153" s="5" t="s">
        <v>66</v>
      </c>
      <c r="AU153" s="5" t="s">
        <v>66</v>
      </c>
      <c r="AV153" s="5" t="s">
        <v>66</v>
      </c>
      <c r="AW153" s="5" t="s">
        <v>66</v>
      </c>
      <c r="AX153" s="5" t="s">
        <v>1537</v>
      </c>
      <c r="AY153" s="5" t="s">
        <v>69</v>
      </c>
      <c r="AZ153" s="5" t="s">
        <v>70</v>
      </c>
      <c r="BA153" s="19" t="s">
        <v>1696</v>
      </c>
      <c r="BB153" s="17" t="s">
        <v>69</v>
      </c>
      <c r="BC153" s="5" t="s">
        <v>1537</v>
      </c>
      <c r="BD153" s="5" t="s">
        <v>1697</v>
      </c>
    </row>
    <row r="154" spans="1:56" ht="24" hidden="1" x14ac:dyDescent="0.25">
      <c r="A154" s="78" t="s">
        <v>1352</v>
      </c>
      <c r="B154" s="5" t="s">
        <v>1353</v>
      </c>
      <c r="C154" s="5" t="s">
        <v>3293</v>
      </c>
      <c r="D154" s="5" t="s">
        <v>56</v>
      </c>
      <c r="E154" s="99" t="str">
        <f>VLOOKUP(D154,'Dropdown List'!$F$26:$G$40,2,0)</f>
        <v>India</v>
      </c>
      <c r="F154" s="8" t="s">
        <v>1354</v>
      </c>
      <c r="G154" s="96">
        <v>2</v>
      </c>
      <c r="H154" s="5" t="s">
        <v>57</v>
      </c>
      <c r="I154" s="8" t="s">
        <v>71</v>
      </c>
      <c r="J154" s="8" t="s">
        <v>292</v>
      </c>
      <c r="K154" s="8" t="s">
        <v>365</v>
      </c>
      <c r="L154" s="8" t="s">
        <v>1698</v>
      </c>
      <c r="M154" s="8" t="s">
        <v>1699</v>
      </c>
      <c r="N154" s="5" t="s">
        <v>1034</v>
      </c>
      <c r="O154" s="5" t="s">
        <v>61</v>
      </c>
      <c r="P154" s="5" t="s">
        <v>1532</v>
      </c>
      <c r="Q154" s="9" t="s">
        <v>75</v>
      </c>
      <c r="R154" s="5" t="s">
        <v>76</v>
      </c>
      <c r="S154" s="5" t="s">
        <v>64</v>
      </c>
      <c r="T154" s="96">
        <v>2</v>
      </c>
      <c r="U154" s="96" t="s">
        <v>77</v>
      </c>
      <c r="V154" s="96" t="s">
        <v>273</v>
      </c>
      <c r="W154" s="5" t="s">
        <v>78</v>
      </c>
      <c r="X154" s="10" t="s">
        <v>79</v>
      </c>
      <c r="Y154" s="11">
        <v>7.83</v>
      </c>
      <c r="Z154" s="12">
        <v>2</v>
      </c>
      <c r="AA154" s="12">
        <v>1</v>
      </c>
      <c r="AB154" s="12">
        <v>0.5</v>
      </c>
      <c r="AC154" s="13">
        <v>1</v>
      </c>
      <c r="AD154" s="14">
        <f t="shared" si="6"/>
        <v>4.5</v>
      </c>
      <c r="AE154" s="15">
        <f t="shared" si="7"/>
        <v>0.22222222222222221</v>
      </c>
      <c r="AF154" s="16">
        <v>400</v>
      </c>
      <c r="AG154" s="16">
        <v>400</v>
      </c>
      <c r="AH154" s="17" t="s">
        <v>66</v>
      </c>
      <c r="AI154" s="18">
        <v>30</v>
      </c>
      <c r="AJ154" s="19" t="s">
        <v>1700</v>
      </c>
      <c r="AK154" s="20">
        <v>0.98</v>
      </c>
      <c r="AL154" s="17" t="s">
        <v>261</v>
      </c>
      <c r="AM154" s="5" t="s">
        <v>66</v>
      </c>
      <c r="AN154" s="5" t="s">
        <v>66</v>
      </c>
      <c r="AO154" s="5" t="s">
        <v>66</v>
      </c>
      <c r="AP154" s="5" t="s">
        <v>66</v>
      </c>
      <c r="AQ154" s="5" t="s">
        <v>66</v>
      </c>
      <c r="AR154" s="5" t="s">
        <v>66</v>
      </c>
      <c r="AS154" s="5" t="s">
        <v>66</v>
      </c>
      <c r="AT154" s="5" t="s">
        <v>66</v>
      </c>
      <c r="AU154" s="5" t="s">
        <v>66</v>
      </c>
      <c r="AV154" s="5" t="s">
        <v>66</v>
      </c>
      <c r="AW154" s="5" t="s">
        <v>66</v>
      </c>
      <c r="AX154" s="5" t="s">
        <v>66</v>
      </c>
      <c r="AY154" s="5" t="s">
        <v>69</v>
      </c>
      <c r="AZ154" s="5" t="s">
        <v>80</v>
      </c>
      <c r="BA154" s="19" t="s">
        <v>1701</v>
      </c>
      <c r="BB154" s="17" t="s">
        <v>69</v>
      </c>
      <c r="BC154" s="5" t="s">
        <v>1537</v>
      </c>
      <c r="BD154" s="5" t="s">
        <v>1540</v>
      </c>
    </row>
    <row r="155" spans="1:56" ht="36" hidden="1" x14ac:dyDescent="0.25">
      <c r="A155" s="78" t="s">
        <v>1352</v>
      </c>
      <c r="B155" s="5" t="s">
        <v>1353</v>
      </c>
      <c r="C155" s="5" t="s">
        <v>3292</v>
      </c>
      <c r="D155" s="5" t="s">
        <v>56</v>
      </c>
      <c r="E155" s="99" t="str">
        <f>VLOOKUP(D155,'Dropdown List'!$F$26:$G$40,2,0)</f>
        <v>India</v>
      </c>
      <c r="F155" s="8" t="s">
        <v>1354</v>
      </c>
      <c r="G155" s="96">
        <v>2</v>
      </c>
      <c r="H155" s="5" t="s">
        <v>57</v>
      </c>
      <c r="I155" s="8" t="s">
        <v>71</v>
      </c>
      <c r="J155" s="8" t="s">
        <v>112</v>
      </c>
      <c r="K155" s="8" t="s">
        <v>113</v>
      </c>
      <c r="L155" s="8" t="s">
        <v>2918</v>
      </c>
      <c r="M155" s="8" t="s">
        <v>2918</v>
      </c>
      <c r="N155" s="5" t="s">
        <v>1034</v>
      </c>
      <c r="O155" s="5" t="s">
        <v>61</v>
      </c>
      <c r="P155" s="5" t="s">
        <v>2919</v>
      </c>
      <c r="Q155" s="9" t="s">
        <v>75</v>
      </c>
      <c r="R155" s="5" t="s">
        <v>76</v>
      </c>
      <c r="S155" s="5" t="s">
        <v>64</v>
      </c>
      <c r="T155" s="96">
        <v>2</v>
      </c>
      <c r="U155" s="96" t="s">
        <v>77</v>
      </c>
      <c r="V155" s="96" t="s">
        <v>273</v>
      </c>
      <c r="W155" s="5" t="s">
        <v>91</v>
      </c>
      <c r="X155" s="10" t="s">
        <v>79</v>
      </c>
      <c r="Y155" s="11">
        <v>28000</v>
      </c>
      <c r="Z155" s="12">
        <v>22.45</v>
      </c>
      <c r="AA155" s="12">
        <v>2</v>
      </c>
      <c r="AB155" s="12">
        <v>0</v>
      </c>
      <c r="AC155" s="13">
        <v>2.5499999999999998</v>
      </c>
      <c r="AD155" s="14">
        <f t="shared" si="6"/>
        <v>27</v>
      </c>
      <c r="AE155" s="15">
        <f t="shared" si="7"/>
        <v>9.4444444444444442E-2</v>
      </c>
      <c r="AF155" s="16">
        <v>4600</v>
      </c>
      <c r="AG155" s="16">
        <v>4600</v>
      </c>
      <c r="AH155" s="17" t="s">
        <v>66</v>
      </c>
      <c r="AI155" s="18" t="s">
        <v>2920</v>
      </c>
      <c r="AJ155" s="19" t="s">
        <v>184</v>
      </c>
      <c r="AK155" s="20">
        <v>0.97</v>
      </c>
      <c r="AL155" s="17" t="s">
        <v>338</v>
      </c>
      <c r="AM155" s="5" t="s">
        <v>66</v>
      </c>
      <c r="AN155" s="5" t="s">
        <v>66</v>
      </c>
      <c r="AO155" s="5" t="s">
        <v>66</v>
      </c>
      <c r="AP155" s="5" t="s">
        <v>66</v>
      </c>
      <c r="AQ155" s="5" t="s">
        <v>66</v>
      </c>
      <c r="AR155" s="5" t="s">
        <v>66</v>
      </c>
      <c r="AS155" s="5" t="s">
        <v>66</v>
      </c>
      <c r="AT155" s="5" t="s">
        <v>66</v>
      </c>
      <c r="AU155" s="5" t="s">
        <v>66</v>
      </c>
      <c r="AV155" s="5" t="s">
        <v>66</v>
      </c>
      <c r="AW155" s="5" t="s">
        <v>66</v>
      </c>
      <c r="AX155" s="5" t="s">
        <v>1352</v>
      </c>
      <c r="AY155" s="5" t="s">
        <v>1704</v>
      </c>
      <c r="AZ155" s="5" t="s">
        <v>70</v>
      </c>
      <c r="BA155" s="19" t="s">
        <v>66</v>
      </c>
      <c r="BB155" s="17" t="s">
        <v>69</v>
      </c>
      <c r="BC155" s="5" t="s">
        <v>1537</v>
      </c>
      <c r="BD155" s="5" t="s">
        <v>2921</v>
      </c>
    </row>
    <row r="156" spans="1:56" ht="36" hidden="1" x14ac:dyDescent="0.25">
      <c r="A156" s="78" t="s">
        <v>1352</v>
      </c>
      <c r="B156" s="5" t="s">
        <v>1353</v>
      </c>
      <c r="C156" s="5" t="s">
        <v>3292</v>
      </c>
      <c r="D156" s="5" t="s">
        <v>56</v>
      </c>
      <c r="E156" s="99" t="str">
        <f>VLOOKUP(D156,'Dropdown List'!$F$26:$G$40,2,0)</f>
        <v>India</v>
      </c>
      <c r="F156" s="8" t="s">
        <v>1354</v>
      </c>
      <c r="G156" s="96">
        <v>2</v>
      </c>
      <c r="H156" s="5" t="s">
        <v>57</v>
      </c>
      <c r="I156" s="8" t="s">
        <v>58</v>
      </c>
      <c r="J156" s="8" t="s">
        <v>146</v>
      </c>
      <c r="K156" s="8" t="s">
        <v>147</v>
      </c>
      <c r="L156" s="8" t="s">
        <v>222</v>
      </c>
      <c r="M156" s="8" t="s">
        <v>1699</v>
      </c>
      <c r="N156" s="5" t="s">
        <v>1034</v>
      </c>
      <c r="O156" s="5" t="s">
        <v>61</v>
      </c>
      <c r="P156" s="5" t="s">
        <v>2919</v>
      </c>
      <c r="Q156" s="9" t="s">
        <v>75</v>
      </c>
      <c r="R156" s="5" t="s">
        <v>76</v>
      </c>
      <c r="S156" s="5" t="s">
        <v>64</v>
      </c>
      <c r="T156" s="96">
        <v>2</v>
      </c>
      <c r="U156" s="96" t="s">
        <v>77</v>
      </c>
      <c r="V156" s="96" t="s">
        <v>273</v>
      </c>
      <c r="W156" s="5" t="s">
        <v>91</v>
      </c>
      <c r="X156" s="10" t="s">
        <v>79</v>
      </c>
      <c r="Y156" s="11">
        <v>28000</v>
      </c>
      <c r="Z156" s="12">
        <v>2</v>
      </c>
      <c r="AA156" s="12">
        <v>1</v>
      </c>
      <c r="AB156" s="12">
        <v>0</v>
      </c>
      <c r="AC156" s="13">
        <v>1</v>
      </c>
      <c r="AD156" s="14">
        <f t="shared" si="6"/>
        <v>4</v>
      </c>
      <c r="AE156" s="15">
        <f t="shared" si="7"/>
        <v>0.25</v>
      </c>
      <c r="AF156" s="16">
        <v>300</v>
      </c>
      <c r="AG156" s="16">
        <v>300</v>
      </c>
      <c r="AH156" s="17" t="s">
        <v>66</v>
      </c>
      <c r="AI156" s="18" t="s">
        <v>2922</v>
      </c>
      <c r="AJ156" s="19" t="s">
        <v>174</v>
      </c>
      <c r="AK156" s="20">
        <v>0.97</v>
      </c>
      <c r="AL156" s="17" t="s">
        <v>338</v>
      </c>
      <c r="AM156" s="5" t="s">
        <v>66</v>
      </c>
      <c r="AN156" s="5" t="s">
        <v>66</v>
      </c>
      <c r="AO156" s="5" t="s">
        <v>66</v>
      </c>
      <c r="AP156" s="5" t="s">
        <v>66</v>
      </c>
      <c r="AQ156" s="5" t="s">
        <v>66</v>
      </c>
      <c r="AR156" s="5" t="s">
        <v>66</v>
      </c>
      <c r="AS156" s="5" t="s">
        <v>66</v>
      </c>
      <c r="AT156" s="5" t="s">
        <v>66</v>
      </c>
      <c r="AU156" s="5" t="s">
        <v>66</v>
      </c>
      <c r="AV156" s="5" t="s">
        <v>66</v>
      </c>
      <c r="AW156" s="5" t="s">
        <v>66</v>
      </c>
      <c r="AX156" s="5" t="s">
        <v>1352</v>
      </c>
      <c r="AY156" s="5" t="s">
        <v>69</v>
      </c>
      <c r="AZ156" s="5" t="s">
        <v>70</v>
      </c>
      <c r="BA156" s="19" t="s">
        <v>66</v>
      </c>
      <c r="BB156" s="17" t="s">
        <v>69</v>
      </c>
      <c r="BC156" s="5" t="s">
        <v>2923</v>
      </c>
      <c r="BD156" s="5" t="s">
        <v>2921</v>
      </c>
    </row>
    <row r="157" spans="1:56" ht="36" hidden="1" x14ac:dyDescent="0.25">
      <c r="A157" s="78" t="s">
        <v>1352</v>
      </c>
      <c r="B157" s="5" t="s">
        <v>1353</v>
      </c>
      <c r="C157" s="5" t="s">
        <v>3293</v>
      </c>
      <c r="D157" s="5" t="s">
        <v>56</v>
      </c>
      <c r="E157" s="99" t="str">
        <f>VLOOKUP(D157,'Dropdown List'!$F$26:$G$40,2,0)</f>
        <v>India</v>
      </c>
      <c r="F157" s="8" t="s">
        <v>1354</v>
      </c>
      <c r="G157" s="96">
        <v>1</v>
      </c>
      <c r="H157" s="5" t="s">
        <v>57</v>
      </c>
      <c r="I157" s="8" t="s">
        <v>71</v>
      </c>
      <c r="J157" s="8" t="s">
        <v>112</v>
      </c>
      <c r="K157" s="8" t="s">
        <v>113</v>
      </c>
      <c r="L157" s="8" t="s">
        <v>2924</v>
      </c>
      <c r="M157" s="8" t="s">
        <v>2925</v>
      </c>
      <c r="N157" s="5" t="s">
        <v>269</v>
      </c>
      <c r="O157" s="5" t="s">
        <v>61</v>
      </c>
      <c r="P157" s="5" t="s">
        <v>2926</v>
      </c>
      <c r="Q157" s="9" t="s">
        <v>75</v>
      </c>
      <c r="R157" s="5" t="s">
        <v>76</v>
      </c>
      <c r="S157" s="5" t="s">
        <v>64</v>
      </c>
      <c r="T157" s="96">
        <v>2</v>
      </c>
      <c r="U157" s="96" t="s">
        <v>77</v>
      </c>
      <c r="V157" s="96" t="s">
        <v>273</v>
      </c>
      <c r="W157" s="5" t="s">
        <v>91</v>
      </c>
      <c r="X157" s="10" t="s">
        <v>321</v>
      </c>
      <c r="Y157" s="11">
        <v>21526</v>
      </c>
      <c r="Z157" s="12">
        <v>20</v>
      </c>
      <c r="AA157" s="12">
        <v>3</v>
      </c>
      <c r="AB157" s="12">
        <v>2</v>
      </c>
      <c r="AC157" s="13">
        <v>8</v>
      </c>
      <c r="AD157" s="14">
        <f t="shared" si="6"/>
        <v>33</v>
      </c>
      <c r="AE157" s="15">
        <f t="shared" si="7"/>
        <v>0.24242424242424243</v>
      </c>
      <c r="AF157" s="16">
        <v>2800</v>
      </c>
      <c r="AG157" s="16">
        <v>2800</v>
      </c>
      <c r="AH157" s="17" t="s">
        <v>66</v>
      </c>
      <c r="AI157" s="18" t="s">
        <v>2927</v>
      </c>
      <c r="AJ157" s="19" t="s">
        <v>2928</v>
      </c>
      <c r="AK157" s="20">
        <v>0.98</v>
      </c>
      <c r="AL157" s="17" t="s">
        <v>338</v>
      </c>
      <c r="AM157" s="5" t="s">
        <v>66</v>
      </c>
      <c r="AN157" s="5" t="s">
        <v>66</v>
      </c>
      <c r="AO157" s="5" t="s">
        <v>66</v>
      </c>
      <c r="AP157" s="5" t="s">
        <v>66</v>
      </c>
      <c r="AQ157" s="5" t="s">
        <v>66</v>
      </c>
      <c r="AR157" s="5" t="s">
        <v>66</v>
      </c>
      <c r="AS157" s="5" t="s">
        <v>66</v>
      </c>
      <c r="AT157" s="5" t="s">
        <v>66</v>
      </c>
      <c r="AU157" s="5" t="s">
        <v>66</v>
      </c>
      <c r="AV157" s="5" t="s">
        <v>66</v>
      </c>
      <c r="AW157" s="5" t="s">
        <v>66</v>
      </c>
      <c r="AX157" s="5" t="s">
        <v>1352</v>
      </c>
      <c r="AY157" s="5" t="s">
        <v>69</v>
      </c>
      <c r="AZ157" s="5" t="s">
        <v>70</v>
      </c>
      <c r="BA157" s="19" t="s">
        <v>66</v>
      </c>
      <c r="BB157" s="17" t="s">
        <v>69</v>
      </c>
      <c r="BC157" s="5" t="s">
        <v>1537</v>
      </c>
      <c r="BD157" s="5" t="s">
        <v>2929</v>
      </c>
    </row>
    <row r="158" spans="1:56" ht="36" hidden="1" x14ac:dyDescent="0.25">
      <c r="A158" s="78" t="s">
        <v>1352</v>
      </c>
      <c r="B158" s="5" t="s">
        <v>1353</v>
      </c>
      <c r="C158" s="5" t="s">
        <v>3293</v>
      </c>
      <c r="D158" s="5" t="s">
        <v>56</v>
      </c>
      <c r="E158" s="99" t="str">
        <f>VLOOKUP(D158,'Dropdown List'!$F$26:$G$40,2,0)</f>
        <v>India</v>
      </c>
      <c r="F158" s="8" t="s">
        <v>1354</v>
      </c>
      <c r="G158" s="96">
        <v>1</v>
      </c>
      <c r="H158" s="5" t="s">
        <v>57</v>
      </c>
      <c r="I158" s="8" t="s">
        <v>58</v>
      </c>
      <c r="J158" s="8" t="s">
        <v>146</v>
      </c>
      <c r="K158" s="8" t="s">
        <v>147</v>
      </c>
      <c r="L158" s="8" t="s">
        <v>2930</v>
      </c>
      <c r="M158" s="8" t="s">
        <v>2931</v>
      </c>
      <c r="N158" s="5" t="s">
        <v>269</v>
      </c>
      <c r="O158" s="5" t="s">
        <v>61</v>
      </c>
      <c r="P158" s="5" t="s">
        <v>2926</v>
      </c>
      <c r="Q158" s="9" t="s">
        <v>75</v>
      </c>
      <c r="R158" s="5" t="s">
        <v>76</v>
      </c>
      <c r="S158" s="5" t="s">
        <v>64</v>
      </c>
      <c r="T158" s="96">
        <v>2</v>
      </c>
      <c r="U158" s="96" t="s">
        <v>77</v>
      </c>
      <c r="V158" s="96" t="s">
        <v>273</v>
      </c>
      <c r="W158" s="5" t="s">
        <v>91</v>
      </c>
      <c r="X158" s="10" t="s">
        <v>321</v>
      </c>
      <c r="Y158" s="11">
        <v>21526</v>
      </c>
      <c r="Z158" s="12">
        <v>5</v>
      </c>
      <c r="AA158" s="12">
        <v>1</v>
      </c>
      <c r="AB158" s="12">
        <v>1</v>
      </c>
      <c r="AC158" s="13">
        <v>1</v>
      </c>
      <c r="AD158" s="14">
        <f t="shared" si="6"/>
        <v>8</v>
      </c>
      <c r="AE158" s="15">
        <f t="shared" si="7"/>
        <v>0.125</v>
      </c>
      <c r="AF158" s="16">
        <v>300</v>
      </c>
      <c r="AG158" s="16">
        <v>300</v>
      </c>
      <c r="AH158" s="17" t="s">
        <v>66</v>
      </c>
      <c r="AI158" s="18" t="s">
        <v>2920</v>
      </c>
      <c r="AJ158" s="19" t="s">
        <v>184</v>
      </c>
      <c r="AK158" s="20">
        <v>0.98</v>
      </c>
      <c r="AL158" s="17" t="s">
        <v>338</v>
      </c>
      <c r="AM158" s="5" t="s">
        <v>66</v>
      </c>
      <c r="AN158" s="5" t="s">
        <v>66</v>
      </c>
      <c r="AO158" s="5" t="s">
        <v>66</v>
      </c>
      <c r="AP158" s="5" t="s">
        <v>66</v>
      </c>
      <c r="AQ158" s="5" t="s">
        <v>66</v>
      </c>
      <c r="AR158" s="5" t="s">
        <v>66</v>
      </c>
      <c r="AS158" s="5" t="s">
        <v>66</v>
      </c>
      <c r="AT158" s="5" t="s">
        <v>66</v>
      </c>
      <c r="AU158" s="5" t="s">
        <v>66</v>
      </c>
      <c r="AV158" s="5" t="s">
        <v>66</v>
      </c>
      <c r="AW158" s="5" t="s">
        <v>66</v>
      </c>
      <c r="AX158" s="5" t="s">
        <v>1352</v>
      </c>
      <c r="AY158" s="5" t="s">
        <v>69</v>
      </c>
      <c r="AZ158" s="5" t="s">
        <v>70</v>
      </c>
      <c r="BA158" s="19" t="s">
        <v>66</v>
      </c>
      <c r="BB158" s="17" t="s">
        <v>69</v>
      </c>
      <c r="BC158" s="5" t="s">
        <v>2923</v>
      </c>
      <c r="BD158" s="5" t="s">
        <v>2929</v>
      </c>
    </row>
    <row r="159" spans="1:56" ht="48" hidden="1" x14ac:dyDescent="0.25">
      <c r="A159" s="78" t="s">
        <v>1352</v>
      </c>
      <c r="B159" s="5" t="s">
        <v>1353</v>
      </c>
      <c r="C159" s="5" t="s">
        <v>3293</v>
      </c>
      <c r="D159" s="5" t="s">
        <v>448</v>
      </c>
      <c r="E159" s="99" t="str">
        <f>VLOOKUP(D159,'Dropdown List'!$F$26:$G$40,2,0)</f>
        <v>Philippines</v>
      </c>
      <c r="F159" s="8" t="s">
        <v>210</v>
      </c>
      <c r="G159" s="96">
        <v>10</v>
      </c>
      <c r="H159" s="5" t="s">
        <v>57</v>
      </c>
      <c r="I159" s="8" t="s">
        <v>58</v>
      </c>
      <c r="J159" s="8" t="s">
        <v>881</v>
      </c>
      <c r="K159" s="8" t="s">
        <v>1318</v>
      </c>
      <c r="L159" s="8" t="s">
        <v>1318</v>
      </c>
      <c r="M159" s="8" t="s">
        <v>1702</v>
      </c>
      <c r="N159" s="5" t="s">
        <v>1034</v>
      </c>
      <c r="O159" s="5" t="s">
        <v>1069</v>
      </c>
      <c r="P159" s="5" t="s">
        <v>1069</v>
      </c>
      <c r="Q159" s="9" t="s">
        <v>75</v>
      </c>
      <c r="R159" s="5" t="s">
        <v>63</v>
      </c>
      <c r="S159" s="5" t="s">
        <v>334</v>
      </c>
      <c r="T159" s="96">
        <v>2</v>
      </c>
      <c r="U159" s="96">
        <v>3</v>
      </c>
      <c r="V159" s="96">
        <v>3</v>
      </c>
      <c r="W159" s="5" t="s">
        <v>78</v>
      </c>
      <c r="X159" s="10" t="s">
        <v>79</v>
      </c>
      <c r="Y159" s="11">
        <v>27497.519999999997</v>
      </c>
      <c r="Z159" s="12">
        <v>1</v>
      </c>
      <c r="AA159" s="12">
        <v>0</v>
      </c>
      <c r="AB159" s="12">
        <v>0</v>
      </c>
      <c r="AC159" s="13">
        <v>0</v>
      </c>
      <c r="AD159" s="14">
        <f t="shared" si="6"/>
        <v>1</v>
      </c>
      <c r="AE159" s="15">
        <f t="shared" si="7"/>
        <v>0</v>
      </c>
      <c r="AF159" s="16">
        <v>110</v>
      </c>
      <c r="AG159" s="16">
        <v>110</v>
      </c>
      <c r="AH159" s="17" t="s">
        <v>1308</v>
      </c>
      <c r="AI159" s="18">
        <v>35</v>
      </c>
      <c r="AJ159" s="19" t="s">
        <v>1703</v>
      </c>
      <c r="AK159" s="20">
        <v>0.97</v>
      </c>
      <c r="AL159" s="17" t="s">
        <v>261</v>
      </c>
      <c r="AM159" s="5" t="s">
        <v>66</v>
      </c>
      <c r="AN159" s="5" t="s">
        <v>66</v>
      </c>
      <c r="AO159" s="5" t="s">
        <v>66</v>
      </c>
      <c r="AP159" s="5" t="s">
        <v>66</v>
      </c>
      <c r="AQ159" s="5" t="s">
        <v>66</v>
      </c>
      <c r="AR159" s="5" t="s">
        <v>66</v>
      </c>
      <c r="AS159" s="5" t="s">
        <v>66</v>
      </c>
      <c r="AT159" s="5" t="s">
        <v>66</v>
      </c>
      <c r="AU159" s="5" t="s">
        <v>66</v>
      </c>
      <c r="AV159" s="5" t="s">
        <v>66</v>
      </c>
      <c r="AW159" s="5" t="s">
        <v>66</v>
      </c>
      <c r="AX159" s="5" t="s">
        <v>66</v>
      </c>
      <c r="AY159" s="5" t="s">
        <v>1704</v>
      </c>
      <c r="AZ159" s="5" t="s">
        <v>80</v>
      </c>
      <c r="BA159" s="19" t="s">
        <v>145</v>
      </c>
      <c r="BB159" s="17" t="s">
        <v>94</v>
      </c>
      <c r="BC159" s="5" t="s">
        <v>1705</v>
      </c>
      <c r="BD159" s="5" t="s">
        <v>2932</v>
      </c>
    </row>
    <row r="160" spans="1:56" ht="24" hidden="1" x14ac:dyDescent="0.25">
      <c r="A160" s="78" t="s">
        <v>1352</v>
      </c>
      <c r="B160" s="5" t="s">
        <v>1353</v>
      </c>
      <c r="C160" s="5" t="s">
        <v>3293</v>
      </c>
      <c r="D160" s="5" t="s">
        <v>448</v>
      </c>
      <c r="E160" s="99" t="str">
        <f>VLOOKUP(D160,'Dropdown List'!$F$26:$G$40,2,0)</f>
        <v>Philippines</v>
      </c>
      <c r="F160" s="8" t="s">
        <v>210</v>
      </c>
      <c r="G160" s="96">
        <v>10</v>
      </c>
      <c r="H160" s="5" t="s">
        <v>57</v>
      </c>
      <c r="I160" s="8" t="s">
        <v>58</v>
      </c>
      <c r="J160" s="8" t="s">
        <v>881</v>
      </c>
      <c r="K160" s="8" t="s">
        <v>1187</v>
      </c>
      <c r="L160" s="8" t="s">
        <v>1706</v>
      </c>
      <c r="M160" s="8" t="s">
        <v>1707</v>
      </c>
      <c r="N160" s="5" t="s">
        <v>1034</v>
      </c>
      <c r="O160" s="5" t="s">
        <v>1069</v>
      </c>
      <c r="P160" s="5" t="s">
        <v>1069</v>
      </c>
      <c r="Q160" s="9" t="s">
        <v>75</v>
      </c>
      <c r="R160" s="5" t="s">
        <v>76</v>
      </c>
      <c r="S160" s="5" t="s">
        <v>64</v>
      </c>
      <c r="T160" s="96">
        <v>2</v>
      </c>
      <c r="U160" s="96">
        <v>3</v>
      </c>
      <c r="V160" s="96">
        <v>5</v>
      </c>
      <c r="W160" s="5" t="s">
        <v>78</v>
      </c>
      <c r="X160" s="10" t="s">
        <v>79</v>
      </c>
      <c r="Y160" s="11">
        <v>31363.039999999997</v>
      </c>
      <c r="Z160" s="12">
        <v>3</v>
      </c>
      <c r="AA160" s="12">
        <v>1</v>
      </c>
      <c r="AB160" s="12">
        <v>1</v>
      </c>
      <c r="AC160" s="13">
        <v>0</v>
      </c>
      <c r="AD160" s="14">
        <f t="shared" si="6"/>
        <v>5</v>
      </c>
      <c r="AE160" s="15">
        <f t="shared" si="7"/>
        <v>0</v>
      </c>
      <c r="AF160" s="16">
        <v>629</v>
      </c>
      <c r="AG160" s="16">
        <v>629</v>
      </c>
      <c r="AH160" s="17" t="s">
        <v>1308</v>
      </c>
      <c r="AI160" s="18">
        <v>58.25</v>
      </c>
      <c r="AJ160" s="19" t="s">
        <v>1708</v>
      </c>
      <c r="AK160" s="20">
        <v>0.97</v>
      </c>
      <c r="AL160" s="17" t="s">
        <v>261</v>
      </c>
      <c r="AM160" s="5" t="s">
        <v>66</v>
      </c>
      <c r="AN160" s="5" t="s">
        <v>66</v>
      </c>
      <c r="AO160" s="5" t="s">
        <v>66</v>
      </c>
      <c r="AP160" s="5" t="s">
        <v>66</v>
      </c>
      <c r="AQ160" s="5" t="s">
        <v>66</v>
      </c>
      <c r="AR160" s="5" t="s">
        <v>66</v>
      </c>
      <c r="AS160" s="5" t="s">
        <v>66</v>
      </c>
      <c r="AT160" s="5" t="s">
        <v>66</v>
      </c>
      <c r="AU160" s="5" t="s">
        <v>66</v>
      </c>
      <c r="AV160" s="5" t="s">
        <v>66</v>
      </c>
      <c r="AW160" s="5" t="s">
        <v>66</v>
      </c>
      <c r="AX160" s="5" t="s">
        <v>66</v>
      </c>
      <c r="AY160" s="5" t="s">
        <v>1704</v>
      </c>
      <c r="AZ160" s="5" t="s">
        <v>80</v>
      </c>
      <c r="BA160" s="19" t="s">
        <v>145</v>
      </c>
      <c r="BB160" s="17" t="s">
        <v>94</v>
      </c>
      <c r="BC160" s="5" t="s">
        <v>1709</v>
      </c>
      <c r="BD160" s="5" t="s">
        <v>2933</v>
      </c>
    </row>
    <row r="161" spans="1:56" ht="36" hidden="1" x14ac:dyDescent="0.25">
      <c r="A161" s="78" t="s">
        <v>1352</v>
      </c>
      <c r="B161" s="5" t="s">
        <v>1353</v>
      </c>
      <c r="C161" s="5" t="s">
        <v>3293</v>
      </c>
      <c r="D161" s="5" t="s">
        <v>448</v>
      </c>
      <c r="E161" s="99" t="str">
        <f>VLOOKUP(D161,'Dropdown List'!$F$26:$G$40,2,0)</f>
        <v>Philippines</v>
      </c>
      <c r="F161" s="8" t="s">
        <v>210</v>
      </c>
      <c r="G161" s="96">
        <v>10</v>
      </c>
      <c r="H161" s="5" t="s">
        <v>57</v>
      </c>
      <c r="I161" s="8" t="s">
        <v>58</v>
      </c>
      <c r="J161" s="8" t="s">
        <v>881</v>
      </c>
      <c r="K161" s="8" t="s">
        <v>1327</v>
      </c>
      <c r="L161" s="8" t="s">
        <v>1710</v>
      </c>
      <c r="M161" s="8" t="s">
        <v>1711</v>
      </c>
      <c r="N161" s="5" t="s">
        <v>1034</v>
      </c>
      <c r="O161" s="5" t="s">
        <v>1069</v>
      </c>
      <c r="P161" s="5" t="s">
        <v>1069</v>
      </c>
      <c r="Q161" s="9" t="s">
        <v>75</v>
      </c>
      <c r="R161" s="5" t="s">
        <v>76</v>
      </c>
      <c r="S161" s="5" t="s">
        <v>64</v>
      </c>
      <c r="T161" s="96">
        <v>2</v>
      </c>
      <c r="U161" s="96">
        <v>3</v>
      </c>
      <c r="V161" s="96">
        <v>3</v>
      </c>
      <c r="W161" s="5" t="s">
        <v>78</v>
      </c>
      <c r="X161" s="10" t="s">
        <v>79</v>
      </c>
      <c r="Y161" s="11">
        <v>31363.039999999997</v>
      </c>
      <c r="Z161" s="12">
        <v>2</v>
      </c>
      <c r="AA161" s="12">
        <v>1</v>
      </c>
      <c r="AB161" s="12">
        <v>0</v>
      </c>
      <c r="AC161" s="13">
        <v>0</v>
      </c>
      <c r="AD161" s="14">
        <f t="shared" si="6"/>
        <v>3</v>
      </c>
      <c r="AE161" s="15">
        <f t="shared" si="7"/>
        <v>0</v>
      </c>
      <c r="AF161" s="16">
        <v>1214</v>
      </c>
      <c r="AG161" s="16">
        <v>1214</v>
      </c>
      <c r="AH161" s="17" t="s">
        <v>1308</v>
      </c>
      <c r="AI161" s="18">
        <v>20.57</v>
      </c>
      <c r="AJ161" s="19" t="s">
        <v>1712</v>
      </c>
      <c r="AK161" s="20">
        <v>0.97</v>
      </c>
      <c r="AL161" s="17" t="s">
        <v>261</v>
      </c>
      <c r="AM161" s="5" t="s">
        <v>66</v>
      </c>
      <c r="AN161" s="5" t="s">
        <v>66</v>
      </c>
      <c r="AO161" s="5" t="s">
        <v>66</v>
      </c>
      <c r="AP161" s="5" t="s">
        <v>66</v>
      </c>
      <c r="AQ161" s="5" t="s">
        <v>66</v>
      </c>
      <c r="AR161" s="5" t="s">
        <v>66</v>
      </c>
      <c r="AS161" s="5" t="s">
        <v>66</v>
      </c>
      <c r="AT161" s="5" t="s">
        <v>66</v>
      </c>
      <c r="AU161" s="5" t="s">
        <v>66</v>
      </c>
      <c r="AV161" s="5" t="s">
        <v>66</v>
      </c>
      <c r="AW161" s="5" t="s">
        <v>66</v>
      </c>
      <c r="AX161" s="5" t="s">
        <v>66</v>
      </c>
      <c r="AY161" s="5" t="s">
        <v>1713</v>
      </c>
      <c r="AZ161" s="5" t="s">
        <v>145</v>
      </c>
      <c r="BA161" s="19" t="s">
        <v>145</v>
      </c>
      <c r="BB161" s="17" t="s">
        <v>94</v>
      </c>
      <c r="BC161" s="5" t="s">
        <v>1714</v>
      </c>
      <c r="BD161" s="5" t="s">
        <v>2934</v>
      </c>
    </row>
    <row r="162" spans="1:56" ht="60" hidden="1" x14ac:dyDescent="0.25">
      <c r="A162" s="78" t="s">
        <v>1352</v>
      </c>
      <c r="B162" s="5" t="s">
        <v>1353</v>
      </c>
      <c r="C162" s="5" t="s">
        <v>3293</v>
      </c>
      <c r="D162" s="5" t="s">
        <v>448</v>
      </c>
      <c r="E162" s="99" t="str">
        <f>VLOOKUP(D162,'Dropdown List'!$F$26:$G$40,2,0)</f>
        <v>Philippines</v>
      </c>
      <c r="F162" s="8" t="s">
        <v>210</v>
      </c>
      <c r="G162" s="96">
        <v>10</v>
      </c>
      <c r="H162" s="5" t="s">
        <v>57</v>
      </c>
      <c r="I162" s="8" t="s">
        <v>58</v>
      </c>
      <c r="J162" s="8" t="s">
        <v>396</v>
      </c>
      <c r="K162" s="8" t="s">
        <v>1715</v>
      </c>
      <c r="L162" s="8" t="s">
        <v>1716</v>
      </c>
      <c r="M162" s="8" t="s">
        <v>1717</v>
      </c>
      <c r="N162" s="5" t="s">
        <v>1034</v>
      </c>
      <c r="O162" s="5" t="s">
        <v>1069</v>
      </c>
      <c r="P162" s="5" t="s">
        <v>1069</v>
      </c>
      <c r="Q162" s="9" t="s">
        <v>75</v>
      </c>
      <c r="R162" s="5" t="s">
        <v>76</v>
      </c>
      <c r="S162" s="5" t="s">
        <v>64</v>
      </c>
      <c r="T162" s="96">
        <v>2</v>
      </c>
      <c r="U162" s="96">
        <v>2</v>
      </c>
      <c r="V162" s="96">
        <v>2</v>
      </c>
      <c r="W162" s="5" t="s">
        <v>78</v>
      </c>
      <c r="X162" s="10" t="s">
        <v>79</v>
      </c>
      <c r="Y162" s="11">
        <v>27497.519999999997</v>
      </c>
      <c r="Z162" s="12">
        <v>1</v>
      </c>
      <c r="AA162" s="12">
        <v>0</v>
      </c>
      <c r="AB162" s="12">
        <v>0</v>
      </c>
      <c r="AC162" s="13">
        <v>0</v>
      </c>
      <c r="AD162" s="14">
        <f t="shared" si="6"/>
        <v>1</v>
      </c>
      <c r="AE162" s="15">
        <f t="shared" si="7"/>
        <v>0</v>
      </c>
      <c r="AF162" s="16">
        <v>805</v>
      </c>
      <c r="AG162" s="16">
        <v>805</v>
      </c>
      <c r="AH162" s="17" t="s">
        <v>1308</v>
      </c>
      <c r="AI162" s="18">
        <v>5.82</v>
      </c>
      <c r="AJ162" s="19" t="s">
        <v>1718</v>
      </c>
      <c r="AK162" s="20">
        <v>0.97</v>
      </c>
      <c r="AL162" s="17" t="s">
        <v>261</v>
      </c>
      <c r="AM162" s="5" t="s">
        <v>66</v>
      </c>
      <c r="AN162" s="5" t="s">
        <v>66</v>
      </c>
      <c r="AO162" s="5" t="s">
        <v>66</v>
      </c>
      <c r="AP162" s="5" t="s">
        <v>66</v>
      </c>
      <c r="AQ162" s="5" t="s">
        <v>66</v>
      </c>
      <c r="AR162" s="5" t="s">
        <v>66</v>
      </c>
      <c r="AS162" s="5" t="s">
        <v>66</v>
      </c>
      <c r="AT162" s="5" t="s">
        <v>66</v>
      </c>
      <c r="AU162" s="5" t="s">
        <v>66</v>
      </c>
      <c r="AV162" s="5" t="s">
        <v>66</v>
      </c>
      <c r="AW162" s="5" t="s">
        <v>66</v>
      </c>
      <c r="AX162" s="5" t="s">
        <v>66</v>
      </c>
      <c r="AY162" s="5" t="s">
        <v>1713</v>
      </c>
      <c r="AZ162" s="5" t="s">
        <v>145</v>
      </c>
      <c r="BA162" s="19" t="s">
        <v>145</v>
      </c>
      <c r="BB162" s="17" t="s">
        <v>94</v>
      </c>
      <c r="BC162" s="5" t="s">
        <v>1714</v>
      </c>
      <c r="BD162" s="5" t="s">
        <v>1719</v>
      </c>
    </row>
    <row r="163" spans="1:56" ht="60" hidden="1" x14ac:dyDescent="0.25">
      <c r="A163" s="78" t="s">
        <v>1352</v>
      </c>
      <c r="B163" s="5" t="s">
        <v>1353</v>
      </c>
      <c r="C163" s="5" t="s">
        <v>3293</v>
      </c>
      <c r="D163" s="5" t="s">
        <v>448</v>
      </c>
      <c r="E163" s="99" t="str">
        <f>VLOOKUP(D163,'Dropdown List'!$F$26:$G$40,2,0)</f>
        <v>Philippines</v>
      </c>
      <c r="F163" s="8" t="s">
        <v>210</v>
      </c>
      <c r="G163" s="96">
        <v>8</v>
      </c>
      <c r="H163" s="5" t="s">
        <v>57</v>
      </c>
      <c r="I163" s="8" t="s">
        <v>58</v>
      </c>
      <c r="J163" s="8" t="s">
        <v>396</v>
      </c>
      <c r="K163" s="8" t="s">
        <v>1715</v>
      </c>
      <c r="L163" s="8" t="s">
        <v>1720</v>
      </c>
      <c r="M163" s="8" t="s">
        <v>1721</v>
      </c>
      <c r="N163" s="5" t="s">
        <v>1034</v>
      </c>
      <c r="O163" s="5" t="s">
        <v>1069</v>
      </c>
      <c r="P163" s="5" t="s">
        <v>1069</v>
      </c>
      <c r="Q163" s="9" t="s">
        <v>75</v>
      </c>
      <c r="R163" s="5" t="s">
        <v>76</v>
      </c>
      <c r="S163" s="5" t="s">
        <v>64</v>
      </c>
      <c r="T163" s="96">
        <v>2</v>
      </c>
      <c r="U163" s="96">
        <v>4</v>
      </c>
      <c r="V163" s="96">
        <v>4</v>
      </c>
      <c r="W163" s="5" t="s">
        <v>78</v>
      </c>
      <c r="X163" s="10" t="s">
        <v>79</v>
      </c>
      <c r="Y163" s="11">
        <v>29016.720000000001</v>
      </c>
      <c r="Z163" s="12">
        <v>14</v>
      </c>
      <c r="AA163" s="12">
        <v>1</v>
      </c>
      <c r="AB163" s="12">
        <v>1</v>
      </c>
      <c r="AC163" s="13">
        <v>0</v>
      </c>
      <c r="AD163" s="14">
        <f t="shared" si="6"/>
        <v>16</v>
      </c>
      <c r="AE163" s="15">
        <f t="shared" si="7"/>
        <v>0</v>
      </c>
      <c r="AF163" s="16">
        <v>19190</v>
      </c>
      <c r="AG163" s="16">
        <v>19190</v>
      </c>
      <c r="AH163" s="17" t="s">
        <v>1308</v>
      </c>
      <c r="AI163" s="18">
        <v>6.83</v>
      </c>
      <c r="AJ163" s="19" t="s">
        <v>1722</v>
      </c>
      <c r="AK163" s="20">
        <v>0.97</v>
      </c>
      <c r="AL163" s="17" t="s">
        <v>261</v>
      </c>
      <c r="AM163" s="5" t="s">
        <v>66</v>
      </c>
      <c r="AN163" s="5" t="s">
        <v>66</v>
      </c>
      <c r="AO163" s="5" t="s">
        <v>66</v>
      </c>
      <c r="AP163" s="5" t="s">
        <v>66</v>
      </c>
      <c r="AQ163" s="5" t="s">
        <v>66</v>
      </c>
      <c r="AR163" s="5" t="s">
        <v>66</v>
      </c>
      <c r="AS163" s="5" t="s">
        <v>66</v>
      </c>
      <c r="AT163" s="5" t="s">
        <v>66</v>
      </c>
      <c r="AU163" s="5" t="s">
        <v>66</v>
      </c>
      <c r="AV163" s="5" t="s">
        <v>66</v>
      </c>
      <c r="AW163" s="5" t="s">
        <v>66</v>
      </c>
      <c r="AX163" s="5" t="s">
        <v>66</v>
      </c>
      <c r="AY163" s="5" t="s">
        <v>1723</v>
      </c>
      <c r="AZ163" s="5" t="s">
        <v>80</v>
      </c>
      <c r="BA163" s="19" t="s">
        <v>145</v>
      </c>
      <c r="BB163" s="17" t="s">
        <v>94</v>
      </c>
      <c r="BC163" s="5" t="s">
        <v>1709</v>
      </c>
      <c r="BD163" s="5" t="s">
        <v>1719</v>
      </c>
    </row>
    <row r="164" spans="1:56" ht="60" hidden="1" x14ac:dyDescent="0.25">
      <c r="A164" s="78" t="s">
        <v>1352</v>
      </c>
      <c r="B164" s="5" t="s">
        <v>1353</v>
      </c>
      <c r="C164" s="5" t="s">
        <v>3293</v>
      </c>
      <c r="D164" s="5" t="s">
        <v>448</v>
      </c>
      <c r="E164" s="99" t="str">
        <f>VLOOKUP(D164,'Dropdown List'!$F$26:$G$40,2,0)</f>
        <v>Philippines</v>
      </c>
      <c r="F164" s="8" t="s">
        <v>210</v>
      </c>
      <c r="G164" s="96">
        <v>8</v>
      </c>
      <c r="H164" s="5" t="s">
        <v>57</v>
      </c>
      <c r="I164" s="8" t="s">
        <v>58</v>
      </c>
      <c r="J164" s="8" t="s">
        <v>881</v>
      </c>
      <c r="K164" s="8" t="s">
        <v>882</v>
      </c>
      <c r="L164" s="8" t="s">
        <v>1724</v>
      </c>
      <c r="M164" s="8" t="s">
        <v>1725</v>
      </c>
      <c r="N164" s="5" t="s">
        <v>1034</v>
      </c>
      <c r="O164" s="5" t="s">
        <v>1069</v>
      </c>
      <c r="P164" s="5" t="s">
        <v>1069</v>
      </c>
      <c r="Q164" s="9" t="s">
        <v>75</v>
      </c>
      <c r="R164" s="5" t="s">
        <v>63</v>
      </c>
      <c r="S164" s="5" t="s">
        <v>64</v>
      </c>
      <c r="T164" s="96">
        <v>2</v>
      </c>
      <c r="U164" s="96">
        <v>4</v>
      </c>
      <c r="V164" s="96">
        <v>2</v>
      </c>
      <c r="W164" s="5" t="s">
        <v>78</v>
      </c>
      <c r="X164" s="10" t="s">
        <v>79</v>
      </c>
      <c r="Y164" s="11">
        <v>37338.560000000005</v>
      </c>
      <c r="Z164" s="12">
        <v>2</v>
      </c>
      <c r="AA164" s="12">
        <v>0</v>
      </c>
      <c r="AB164" s="12">
        <v>0</v>
      </c>
      <c r="AC164" s="13">
        <v>0</v>
      </c>
      <c r="AD164" s="14">
        <f t="shared" si="6"/>
        <v>2</v>
      </c>
      <c r="AE164" s="15">
        <f t="shared" si="7"/>
        <v>0</v>
      </c>
      <c r="AF164" s="16">
        <v>1203</v>
      </c>
      <c r="AG164" s="16">
        <v>1203</v>
      </c>
      <c r="AH164" s="17" t="s">
        <v>1308</v>
      </c>
      <c r="AI164" s="18" t="s">
        <v>1726</v>
      </c>
      <c r="AJ164" s="19" t="s">
        <v>1727</v>
      </c>
      <c r="AK164" s="20">
        <v>0.97</v>
      </c>
      <c r="AL164" s="17" t="s">
        <v>261</v>
      </c>
      <c r="AM164" s="5" t="s">
        <v>66</v>
      </c>
      <c r="AN164" s="5" t="s">
        <v>66</v>
      </c>
      <c r="AO164" s="5" t="s">
        <v>66</v>
      </c>
      <c r="AP164" s="5" t="s">
        <v>66</v>
      </c>
      <c r="AQ164" s="5" t="s">
        <v>66</v>
      </c>
      <c r="AR164" s="5" t="s">
        <v>66</v>
      </c>
      <c r="AS164" s="5" t="s">
        <v>66</v>
      </c>
      <c r="AT164" s="5" t="s">
        <v>66</v>
      </c>
      <c r="AU164" s="5" t="s">
        <v>66</v>
      </c>
      <c r="AV164" s="5" t="s">
        <v>66</v>
      </c>
      <c r="AW164" s="5" t="s">
        <v>66</v>
      </c>
      <c r="AX164" s="5" t="s">
        <v>66</v>
      </c>
      <c r="AY164" s="5" t="s">
        <v>1723</v>
      </c>
      <c r="AZ164" s="5" t="s">
        <v>80</v>
      </c>
      <c r="BA164" s="19" t="s">
        <v>145</v>
      </c>
      <c r="BB164" s="17" t="s">
        <v>94</v>
      </c>
      <c r="BC164" s="5" t="s">
        <v>1709</v>
      </c>
      <c r="BD164" s="5" t="s">
        <v>1728</v>
      </c>
    </row>
    <row r="165" spans="1:56" ht="24" hidden="1" x14ac:dyDescent="0.25">
      <c r="A165" s="78" t="s">
        <v>1352</v>
      </c>
      <c r="B165" s="5" t="s">
        <v>1353</v>
      </c>
      <c r="C165" s="5" t="s">
        <v>3293</v>
      </c>
      <c r="D165" s="5" t="s">
        <v>448</v>
      </c>
      <c r="E165" s="99" t="str">
        <f>VLOOKUP(D165,'Dropdown List'!$F$26:$G$40,2,0)</f>
        <v>Philippines</v>
      </c>
      <c r="F165" s="8" t="s">
        <v>210</v>
      </c>
      <c r="G165" s="96">
        <v>8</v>
      </c>
      <c r="H165" s="5" t="s">
        <v>57</v>
      </c>
      <c r="I165" s="8" t="s">
        <v>71</v>
      </c>
      <c r="J165" s="8" t="s">
        <v>72</v>
      </c>
      <c r="K165" s="8" t="s">
        <v>1729</v>
      </c>
      <c r="L165" s="8" t="s">
        <v>1730</v>
      </c>
      <c r="M165" s="8" t="s">
        <v>1731</v>
      </c>
      <c r="N165" s="5" t="s">
        <v>1034</v>
      </c>
      <c r="O165" s="5" t="s">
        <v>1069</v>
      </c>
      <c r="P165" s="5" t="s">
        <v>1069</v>
      </c>
      <c r="Q165" s="9" t="s">
        <v>75</v>
      </c>
      <c r="R165" s="5" t="s">
        <v>76</v>
      </c>
      <c r="S165" s="5" t="s">
        <v>120</v>
      </c>
      <c r="T165" s="96">
        <v>2</v>
      </c>
      <c r="U165" s="96">
        <v>3</v>
      </c>
      <c r="V165" s="96">
        <v>3</v>
      </c>
      <c r="W165" s="5" t="s">
        <v>78</v>
      </c>
      <c r="X165" s="10" t="s">
        <v>79</v>
      </c>
      <c r="Y165" s="11">
        <v>27497.519999999997</v>
      </c>
      <c r="Z165" s="12">
        <v>1</v>
      </c>
      <c r="AA165" s="12">
        <v>0</v>
      </c>
      <c r="AB165" s="12">
        <v>0</v>
      </c>
      <c r="AC165" s="13">
        <v>0</v>
      </c>
      <c r="AD165" s="14">
        <f t="shared" si="6"/>
        <v>1</v>
      </c>
      <c r="AE165" s="15">
        <f t="shared" si="7"/>
        <v>0</v>
      </c>
      <c r="AF165" s="16">
        <v>50</v>
      </c>
      <c r="AG165" s="16">
        <v>50</v>
      </c>
      <c r="AH165" s="17" t="s">
        <v>1308</v>
      </c>
      <c r="AI165" s="18" t="s">
        <v>66</v>
      </c>
      <c r="AJ165" s="19" t="s">
        <v>281</v>
      </c>
      <c r="AK165" s="20" t="s">
        <v>281</v>
      </c>
      <c r="AL165" s="17" t="s">
        <v>65</v>
      </c>
      <c r="AM165" s="5" t="s">
        <v>66</v>
      </c>
      <c r="AN165" s="5" t="s">
        <v>66</v>
      </c>
      <c r="AO165" s="5" t="s">
        <v>66</v>
      </c>
      <c r="AP165" s="5" t="s">
        <v>66</v>
      </c>
      <c r="AQ165" s="5" t="s">
        <v>66</v>
      </c>
      <c r="AR165" s="5" t="s">
        <v>66</v>
      </c>
      <c r="AS165" s="5" t="s">
        <v>66</v>
      </c>
      <c r="AT165" s="5" t="s">
        <v>66</v>
      </c>
      <c r="AU165" s="5" t="s">
        <v>66</v>
      </c>
      <c r="AV165" s="5" t="s">
        <v>66</v>
      </c>
      <c r="AW165" s="5" t="s">
        <v>66</v>
      </c>
      <c r="AX165" s="5" t="s">
        <v>66</v>
      </c>
      <c r="AY165" s="5" t="s">
        <v>1732</v>
      </c>
      <c r="AZ165" s="5" t="s">
        <v>145</v>
      </c>
      <c r="BA165" s="19" t="s">
        <v>145</v>
      </c>
      <c r="BB165" s="17" t="s">
        <v>94</v>
      </c>
      <c r="BC165" s="5" t="s">
        <v>1733</v>
      </c>
      <c r="BD165" s="5" t="s">
        <v>1734</v>
      </c>
    </row>
    <row r="166" spans="1:56" ht="24" hidden="1" x14ac:dyDescent="0.25">
      <c r="A166" s="78" t="s">
        <v>1352</v>
      </c>
      <c r="B166" s="5" t="s">
        <v>1353</v>
      </c>
      <c r="C166" s="5" t="s">
        <v>3293</v>
      </c>
      <c r="D166" s="5" t="s">
        <v>448</v>
      </c>
      <c r="E166" s="99" t="str">
        <f>VLOOKUP(D166,'Dropdown List'!$F$26:$G$40,2,0)</f>
        <v>Philippines</v>
      </c>
      <c r="F166" s="8" t="s">
        <v>210</v>
      </c>
      <c r="G166" s="96">
        <v>7</v>
      </c>
      <c r="H166" s="5" t="s">
        <v>57</v>
      </c>
      <c r="I166" s="8" t="s">
        <v>71</v>
      </c>
      <c r="J166" s="8" t="s">
        <v>112</v>
      </c>
      <c r="K166" s="8" t="s">
        <v>1735</v>
      </c>
      <c r="L166" s="8" t="s">
        <v>1736</v>
      </c>
      <c r="M166" s="8" t="s">
        <v>1737</v>
      </c>
      <c r="N166" s="5" t="s">
        <v>1034</v>
      </c>
      <c r="O166" s="5" t="s">
        <v>61</v>
      </c>
      <c r="P166" s="5" t="s">
        <v>1532</v>
      </c>
      <c r="Q166" s="9" t="s">
        <v>75</v>
      </c>
      <c r="R166" s="5" t="s">
        <v>132</v>
      </c>
      <c r="S166" s="5" t="s">
        <v>334</v>
      </c>
      <c r="T166" s="96">
        <v>2</v>
      </c>
      <c r="U166" s="96">
        <v>5</v>
      </c>
      <c r="V166" s="96">
        <v>6</v>
      </c>
      <c r="W166" s="5" t="s">
        <v>78</v>
      </c>
      <c r="X166" s="10" t="s">
        <v>79</v>
      </c>
      <c r="Y166" s="11">
        <v>27497.519999999997</v>
      </c>
      <c r="Z166" s="12">
        <v>4</v>
      </c>
      <c r="AA166" s="12">
        <v>1</v>
      </c>
      <c r="AB166" s="12">
        <v>0</v>
      </c>
      <c r="AC166" s="13">
        <v>1</v>
      </c>
      <c r="AD166" s="14">
        <f t="shared" si="6"/>
        <v>6</v>
      </c>
      <c r="AE166" s="15">
        <f t="shared" si="7"/>
        <v>0.16666666666666666</v>
      </c>
      <c r="AF166" s="16">
        <v>9069</v>
      </c>
      <c r="AG166" s="16">
        <v>9069</v>
      </c>
      <c r="AH166" s="17" t="s">
        <v>1308</v>
      </c>
      <c r="AI166" s="18" t="s">
        <v>1738</v>
      </c>
      <c r="AJ166" s="19" t="s">
        <v>1739</v>
      </c>
      <c r="AK166" s="20">
        <v>0.97</v>
      </c>
      <c r="AL166" s="17" t="s">
        <v>261</v>
      </c>
      <c r="AM166" s="5" t="s">
        <v>66</v>
      </c>
      <c r="AN166" s="5" t="s">
        <v>66</v>
      </c>
      <c r="AO166" s="5" t="s">
        <v>66</v>
      </c>
      <c r="AP166" s="5" t="s">
        <v>66</v>
      </c>
      <c r="AQ166" s="5" t="s">
        <v>66</v>
      </c>
      <c r="AR166" s="5" t="s">
        <v>66</v>
      </c>
      <c r="AS166" s="5" t="s">
        <v>66</v>
      </c>
      <c r="AT166" s="5" t="s">
        <v>66</v>
      </c>
      <c r="AU166" s="5" t="s">
        <v>66</v>
      </c>
      <c r="AV166" s="5" t="s">
        <v>66</v>
      </c>
      <c r="AW166" s="5" t="s">
        <v>66</v>
      </c>
      <c r="AX166" s="5" t="s">
        <v>66</v>
      </c>
      <c r="AY166" s="5" t="s">
        <v>1740</v>
      </c>
      <c r="AZ166" s="5" t="s">
        <v>145</v>
      </c>
      <c r="BA166" s="19" t="s">
        <v>145</v>
      </c>
      <c r="BB166" s="17" t="s">
        <v>94</v>
      </c>
      <c r="BC166" s="5" t="s">
        <v>1740</v>
      </c>
      <c r="BD166" s="5" t="s">
        <v>1741</v>
      </c>
    </row>
    <row r="167" spans="1:56" ht="48" hidden="1" x14ac:dyDescent="0.25">
      <c r="A167" s="78" t="s">
        <v>1352</v>
      </c>
      <c r="B167" s="5" t="s">
        <v>1353</v>
      </c>
      <c r="C167" s="5" t="s">
        <v>3293</v>
      </c>
      <c r="D167" s="5" t="s">
        <v>448</v>
      </c>
      <c r="E167" s="99" t="str">
        <f>VLOOKUP(D167,'Dropdown List'!$F$26:$G$40,2,0)</f>
        <v>Philippines</v>
      </c>
      <c r="F167" s="8" t="s">
        <v>210</v>
      </c>
      <c r="G167" s="96">
        <v>6</v>
      </c>
      <c r="H167" s="5" t="s">
        <v>57</v>
      </c>
      <c r="I167" s="8" t="s">
        <v>58</v>
      </c>
      <c r="J167" s="8" t="s">
        <v>396</v>
      </c>
      <c r="K167" s="8" t="s">
        <v>397</v>
      </c>
      <c r="L167" s="8" t="s">
        <v>1742</v>
      </c>
      <c r="M167" s="8" t="s">
        <v>1743</v>
      </c>
      <c r="N167" s="5" t="s">
        <v>1034</v>
      </c>
      <c r="O167" s="5" t="s">
        <v>61</v>
      </c>
      <c r="P167" s="5" t="s">
        <v>1532</v>
      </c>
      <c r="Q167" s="9" t="s">
        <v>75</v>
      </c>
      <c r="R167" s="5" t="s">
        <v>76</v>
      </c>
      <c r="S167" s="5" t="s">
        <v>64</v>
      </c>
      <c r="T167" s="96">
        <v>2</v>
      </c>
      <c r="U167" s="96">
        <v>2</v>
      </c>
      <c r="V167" s="96">
        <v>2</v>
      </c>
      <c r="W167" s="5" t="s">
        <v>78</v>
      </c>
      <c r="X167" s="10" t="s">
        <v>79</v>
      </c>
      <c r="Y167" s="11">
        <v>1.06</v>
      </c>
      <c r="Z167" s="12">
        <v>3</v>
      </c>
      <c r="AA167" s="12">
        <v>0</v>
      </c>
      <c r="AB167" s="12">
        <v>1</v>
      </c>
      <c r="AC167" s="13">
        <v>1</v>
      </c>
      <c r="AD167" s="14">
        <f t="shared" si="6"/>
        <v>5</v>
      </c>
      <c r="AE167" s="15">
        <f t="shared" si="7"/>
        <v>0.2</v>
      </c>
      <c r="AF167" s="16">
        <v>7898</v>
      </c>
      <c r="AG167" s="16">
        <v>7898</v>
      </c>
      <c r="AH167" s="17" t="s">
        <v>1308</v>
      </c>
      <c r="AI167" s="18">
        <v>5</v>
      </c>
      <c r="AJ167" s="19" t="s">
        <v>1744</v>
      </c>
      <c r="AK167" s="20">
        <v>0.98</v>
      </c>
      <c r="AL167" s="17" t="s">
        <v>261</v>
      </c>
      <c r="AM167" s="5" t="s">
        <v>66</v>
      </c>
      <c r="AN167" s="5" t="s">
        <v>66</v>
      </c>
      <c r="AO167" s="5" t="s">
        <v>66</v>
      </c>
      <c r="AP167" s="5" t="s">
        <v>66</v>
      </c>
      <c r="AQ167" s="5" t="s">
        <v>66</v>
      </c>
      <c r="AR167" s="5" t="s">
        <v>66</v>
      </c>
      <c r="AS167" s="5" t="s">
        <v>66</v>
      </c>
      <c r="AT167" s="5" t="s">
        <v>66</v>
      </c>
      <c r="AU167" s="5" t="s">
        <v>66</v>
      </c>
      <c r="AV167" s="5" t="s">
        <v>66</v>
      </c>
      <c r="AW167" s="5" t="s">
        <v>66</v>
      </c>
      <c r="AX167" s="5" t="s">
        <v>66</v>
      </c>
      <c r="AY167" s="5" t="s">
        <v>1704</v>
      </c>
      <c r="AZ167" s="5" t="s">
        <v>145</v>
      </c>
      <c r="BA167" s="19" t="s">
        <v>145</v>
      </c>
      <c r="BB167" s="17" t="s">
        <v>94</v>
      </c>
      <c r="BC167" s="5" t="s">
        <v>1714</v>
      </c>
      <c r="BD167" s="5" t="s">
        <v>1745</v>
      </c>
    </row>
    <row r="168" spans="1:56" ht="36" hidden="1" x14ac:dyDescent="0.25">
      <c r="A168" s="78" t="s">
        <v>1352</v>
      </c>
      <c r="B168" s="5" t="s">
        <v>1353</v>
      </c>
      <c r="C168" s="5" t="s">
        <v>3293</v>
      </c>
      <c r="D168" s="5" t="s">
        <v>448</v>
      </c>
      <c r="E168" s="99" t="str">
        <f>VLOOKUP(D168,'Dropdown List'!$F$26:$G$40,2,0)</f>
        <v>Philippines</v>
      </c>
      <c r="F168" s="8" t="s">
        <v>210</v>
      </c>
      <c r="G168" s="96">
        <v>8</v>
      </c>
      <c r="H168" s="5" t="s">
        <v>57</v>
      </c>
      <c r="I168" s="8" t="s">
        <v>58</v>
      </c>
      <c r="J168" s="8" t="s">
        <v>881</v>
      </c>
      <c r="K168" s="8" t="s">
        <v>882</v>
      </c>
      <c r="L168" s="8" t="s">
        <v>1746</v>
      </c>
      <c r="M168" s="8" t="s">
        <v>1747</v>
      </c>
      <c r="N168" s="5" t="s">
        <v>1034</v>
      </c>
      <c r="O168" s="5" t="s">
        <v>61</v>
      </c>
      <c r="P168" s="5" t="s">
        <v>1532</v>
      </c>
      <c r="Q168" s="9" t="s">
        <v>75</v>
      </c>
      <c r="R168" s="5" t="s">
        <v>76</v>
      </c>
      <c r="S168" s="5" t="s">
        <v>64</v>
      </c>
      <c r="T168" s="96">
        <v>2</v>
      </c>
      <c r="U168" s="96">
        <v>1</v>
      </c>
      <c r="V168" s="96">
        <v>4</v>
      </c>
      <c r="W168" s="5" t="s">
        <v>78</v>
      </c>
      <c r="X168" s="10" t="s">
        <v>79</v>
      </c>
      <c r="Y168" s="11">
        <v>1.06</v>
      </c>
      <c r="Z168" s="12">
        <v>1</v>
      </c>
      <c r="AA168" s="12">
        <v>0</v>
      </c>
      <c r="AB168" s="12">
        <v>0</v>
      </c>
      <c r="AC168" s="13">
        <v>0</v>
      </c>
      <c r="AD168" s="14">
        <f t="shared" si="6"/>
        <v>1</v>
      </c>
      <c r="AE168" s="15">
        <f t="shared" si="7"/>
        <v>0</v>
      </c>
      <c r="AF168" s="16">
        <v>78</v>
      </c>
      <c r="AG168" s="16">
        <v>78</v>
      </c>
      <c r="AH168" s="17" t="s">
        <v>1308</v>
      </c>
      <c r="AI168" s="18">
        <v>19.38</v>
      </c>
      <c r="AJ168" s="19" t="s">
        <v>1748</v>
      </c>
      <c r="AK168" s="20">
        <v>0.98</v>
      </c>
      <c r="AL168" s="17" t="s">
        <v>261</v>
      </c>
      <c r="AM168" s="5" t="s">
        <v>66</v>
      </c>
      <c r="AN168" s="5" t="s">
        <v>66</v>
      </c>
      <c r="AO168" s="5" t="s">
        <v>66</v>
      </c>
      <c r="AP168" s="5" t="s">
        <v>66</v>
      </c>
      <c r="AQ168" s="5" t="s">
        <v>66</v>
      </c>
      <c r="AR168" s="5" t="s">
        <v>66</v>
      </c>
      <c r="AS168" s="5" t="s">
        <v>66</v>
      </c>
      <c r="AT168" s="5" t="s">
        <v>66</v>
      </c>
      <c r="AU168" s="5" t="s">
        <v>66</v>
      </c>
      <c r="AV168" s="5" t="s">
        <v>66</v>
      </c>
      <c r="AW168" s="5" t="s">
        <v>66</v>
      </c>
      <c r="AX168" s="5" t="s">
        <v>66</v>
      </c>
      <c r="AY168" s="5" t="s">
        <v>1704</v>
      </c>
      <c r="AZ168" s="5" t="s">
        <v>145</v>
      </c>
      <c r="BA168" s="19" t="s">
        <v>145</v>
      </c>
      <c r="BB168" s="17" t="s">
        <v>94</v>
      </c>
      <c r="BC168" s="5" t="s">
        <v>1714</v>
      </c>
      <c r="BD168" s="5" t="s">
        <v>2935</v>
      </c>
    </row>
    <row r="169" spans="1:56" ht="60" hidden="1" x14ac:dyDescent="0.25">
      <c r="A169" s="78" t="s">
        <v>587</v>
      </c>
      <c r="B169" s="5" t="s">
        <v>433</v>
      </c>
      <c r="C169" s="5" t="s">
        <v>412</v>
      </c>
      <c r="D169" s="5" t="s">
        <v>252</v>
      </c>
      <c r="E169" s="99" t="str">
        <f>VLOOKUP(D169,'Dropdown List'!$F$26:$G$40,2,0)</f>
        <v>India</v>
      </c>
      <c r="F169" s="8" t="s">
        <v>588</v>
      </c>
      <c r="G169" s="96">
        <v>8</v>
      </c>
      <c r="H169" s="5" t="s">
        <v>57</v>
      </c>
      <c r="I169" s="8" t="s">
        <v>58</v>
      </c>
      <c r="J169" s="8" t="s">
        <v>146</v>
      </c>
      <c r="K169" s="8" t="s">
        <v>190</v>
      </c>
      <c r="L169" s="8" t="s">
        <v>190</v>
      </c>
      <c r="M169" s="8" t="s">
        <v>589</v>
      </c>
      <c r="N169" s="5" t="s">
        <v>1034</v>
      </c>
      <c r="O169" s="5" t="s">
        <v>89</v>
      </c>
      <c r="P169" s="5" t="s">
        <v>590</v>
      </c>
      <c r="Q169" s="9" t="s">
        <v>418</v>
      </c>
      <c r="R169" s="5" t="s">
        <v>76</v>
      </c>
      <c r="S169" s="5" t="s">
        <v>90</v>
      </c>
      <c r="T169" s="96">
        <v>1</v>
      </c>
      <c r="U169" s="96">
        <v>2</v>
      </c>
      <c r="V169" s="96">
        <v>4</v>
      </c>
      <c r="W169" s="5" t="s">
        <v>91</v>
      </c>
      <c r="X169" s="10" t="s">
        <v>421</v>
      </c>
      <c r="Y169" s="11" t="s">
        <v>591</v>
      </c>
      <c r="Z169" s="12">
        <v>3</v>
      </c>
      <c r="AA169" s="12">
        <v>1</v>
      </c>
      <c r="AB169" s="12">
        <v>1</v>
      </c>
      <c r="AC169" s="13">
        <v>0</v>
      </c>
      <c r="AD169" s="14">
        <f t="shared" si="6"/>
        <v>5</v>
      </c>
      <c r="AE169" s="15">
        <f t="shared" si="7"/>
        <v>0</v>
      </c>
      <c r="AF169" s="16" t="s">
        <v>592</v>
      </c>
      <c r="AG169" s="16" t="s">
        <v>592</v>
      </c>
      <c r="AH169" s="17" t="s">
        <v>593</v>
      </c>
      <c r="AI169" s="18">
        <v>4</v>
      </c>
      <c r="AJ169" s="19">
        <v>0.95</v>
      </c>
      <c r="AK169" s="20">
        <v>0.99</v>
      </c>
      <c r="AL169" s="17" t="s">
        <v>594</v>
      </c>
      <c r="AM169" s="5" t="s">
        <v>66</v>
      </c>
      <c r="AN169" s="5" t="s">
        <v>66</v>
      </c>
      <c r="AO169" s="5" t="s">
        <v>595</v>
      </c>
      <c r="AP169" s="5" t="s">
        <v>66</v>
      </c>
      <c r="AQ169" s="5" t="s">
        <v>66</v>
      </c>
      <c r="AR169" s="5" t="s">
        <v>66</v>
      </c>
      <c r="AS169" s="5" t="s">
        <v>66</v>
      </c>
      <c r="AT169" s="5" t="s">
        <v>66</v>
      </c>
      <c r="AU169" s="5" t="s">
        <v>66</v>
      </c>
      <c r="AV169" s="5" t="s">
        <v>66</v>
      </c>
      <c r="AW169" s="5" t="s">
        <v>596</v>
      </c>
      <c r="AX169" s="5" t="s">
        <v>597</v>
      </c>
      <c r="AY169" s="5" t="s">
        <v>69</v>
      </c>
      <c r="AZ169" s="5" t="s">
        <v>145</v>
      </c>
      <c r="BA169" s="19" t="s">
        <v>598</v>
      </c>
      <c r="BB169" s="17" t="s">
        <v>94</v>
      </c>
      <c r="BC169" s="5" t="s">
        <v>599</v>
      </c>
      <c r="BD169" s="5" t="s">
        <v>600</v>
      </c>
    </row>
    <row r="170" spans="1:56" ht="96" hidden="1" x14ac:dyDescent="0.25">
      <c r="A170" s="78" t="s">
        <v>587</v>
      </c>
      <c r="B170" s="5" t="s">
        <v>433</v>
      </c>
      <c r="C170" s="5" t="s">
        <v>412</v>
      </c>
      <c r="D170" s="5" t="s">
        <v>252</v>
      </c>
      <c r="E170" s="99" t="str">
        <f>VLOOKUP(D170,'Dropdown List'!$F$26:$G$40,2,0)</f>
        <v>India</v>
      </c>
      <c r="F170" s="8" t="s">
        <v>588</v>
      </c>
      <c r="G170" s="96">
        <v>8</v>
      </c>
      <c r="H170" s="5" t="s">
        <v>57</v>
      </c>
      <c r="I170" s="8" t="s">
        <v>58</v>
      </c>
      <c r="J170" s="8" t="s">
        <v>146</v>
      </c>
      <c r="K170" s="8" t="s">
        <v>147</v>
      </c>
      <c r="L170" s="8" t="s">
        <v>601</v>
      </c>
      <c r="M170" s="8" t="s">
        <v>602</v>
      </c>
      <c r="N170" s="5" t="s">
        <v>1034</v>
      </c>
      <c r="O170" s="5" t="s">
        <v>89</v>
      </c>
      <c r="P170" s="5" t="s">
        <v>590</v>
      </c>
      <c r="Q170" s="9" t="s">
        <v>418</v>
      </c>
      <c r="R170" s="5" t="s">
        <v>76</v>
      </c>
      <c r="S170" s="5" t="s">
        <v>64</v>
      </c>
      <c r="T170" s="96">
        <v>1</v>
      </c>
      <c r="U170" s="96">
        <v>4</v>
      </c>
      <c r="V170" s="96">
        <v>6</v>
      </c>
      <c r="W170" s="5" t="s">
        <v>91</v>
      </c>
      <c r="X170" s="10" t="s">
        <v>421</v>
      </c>
      <c r="Y170" s="11" t="s">
        <v>603</v>
      </c>
      <c r="Z170" s="12">
        <v>11</v>
      </c>
      <c r="AA170" s="12">
        <v>1</v>
      </c>
      <c r="AB170" s="12">
        <v>1</v>
      </c>
      <c r="AC170" s="13">
        <v>5</v>
      </c>
      <c r="AD170" s="14">
        <f t="shared" si="6"/>
        <v>18</v>
      </c>
      <c r="AE170" s="15">
        <f t="shared" si="7"/>
        <v>0.27777777777777779</v>
      </c>
      <c r="AF170" s="16" t="s">
        <v>604</v>
      </c>
      <c r="AG170" s="16" t="s">
        <v>604</v>
      </c>
      <c r="AH170" s="17" t="s">
        <v>593</v>
      </c>
      <c r="AI170" s="18">
        <v>15</v>
      </c>
      <c r="AJ170" s="19">
        <v>0.95</v>
      </c>
      <c r="AK170" s="20">
        <v>0.99</v>
      </c>
      <c r="AL170" s="17" t="s">
        <v>594</v>
      </c>
      <c r="AM170" s="5" t="s">
        <v>605</v>
      </c>
      <c r="AN170" s="5" t="s">
        <v>66</v>
      </c>
      <c r="AO170" s="5" t="s">
        <v>606</v>
      </c>
      <c r="AP170" s="5" t="s">
        <v>607</v>
      </c>
      <c r="AQ170" s="5" t="s">
        <v>66</v>
      </c>
      <c r="AR170" s="5" t="s">
        <v>66</v>
      </c>
      <c r="AS170" s="5" t="s">
        <v>66</v>
      </c>
      <c r="AT170" s="5" t="s">
        <v>66</v>
      </c>
      <c r="AU170" s="5" t="s">
        <v>66</v>
      </c>
      <c r="AV170" s="5" t="s">
        <v>66</v>
      </c>
      <c r="AW170" s="5" t="s">
        <v>596</v>
      </c>
      <c r="AX170" s="5" t="s">
        <v>597</v>
      </c>
      <c r="AY170" s="5" t="s">
        <v>69</v>
      </c>
      <c r="AZ170" s="5" t="s">
        <v>145</v>
      </c>
      <c r="BA170" s="19" t="s">
        <v>608</v>
      </c>
      <c r="BB170" s="17" t="s">
        <v>94</v>
      </c>
      <c r="BC170" s="5" t="s">
        <v>609</v>
      </c>
      <c r="BD170" s="5" t="s">
        <v>610</v>
      </c>
    </row>
    <row r="171" spans="1:56" ht="72" hidden="1" x14ac:dyDescent="0.25">
      <c r="A171" s="78" t="s">
        <v>587</v>
      </c>
      <c r="B171" s="5" t="s">
        <v>433</v>
      </c>
      <c r="C171" s="5" t="s">
        <v>412</v>
      </c>
      <c r="D171" s="5" t="s">
        <v>252</v>
      </c>
      <c r="E171" s="99" t="str">
        <f>VLOOKUP(D171,'Dropdown List'!$F$26:$G$40,2,0)</f>
        <v>India</v>
      </c>
      <c r="F171" s="8" t="s">
        <v>588</v>
      </c>
      <c r="G171" s="96">
        <v>8</v>
      </c>
      <c r="H171" s="5" t="s">
        <v>57</v>
      </c>
      <c r="I171" s="8" t="s">
        <v>71</v>
      </c>
      <c r="J171" s="8" t="s">
        <v>102</v>
      </c>
      <c r="K171" s="8" t="s">
        <v>611</v>
      </c>
      <c r="L171" s="8" t="s">
        <v>612</v>
      </c>
      <c r="M171" s="8" t="s">
        <v>613</v>
      </c>
      <c r="N171" s="5" t="s">
        <v>1034</v>
      </c>
      <c r="O171" s="5" t="s">
        <v>61</v>
      </c>
      <c r="P171" s="5" t="s">
        <v>614</v>
      </c>
      <c r="Q171" s="9" t="s">
        <v>615</v>
      </c>
      <c r="R171" s="5" t="s">
        <v>76</v>
      </c>
      <c r="S171" s="5" t="s">
        <v>64</v>
      </c>
      <c r="T171" s="96">
        <v>1</v>
      </c>
      <c r="U171" s="96">
        <v>4</v>
      </c>
      <c r="V171" s="96">
        <v>8</v>
      </c>
      <c r="W171" s="5" t="s">
        <v>91</v>
      </c>
      <c r="X171" s="10" t="s">
        <v>421</v>
      </c>
      <c r="Y171" s="11" t="s">
        <v>603</v>
      </c>
      <c r="Z171" s="12">
        <v>12</v>
      </c>
      <c r="AA171" s="12">
        <v>1</v>
      </c>
      <c r="AB171" s="12">
        <v>1</v>
      </c>
      <c r="AC171" s="13">
        <v>2</v>
      </c>
      <c r="AD171" s="14">
        <f t="shared" si="6"/>
        <v>16</v>
      </c>
      <c r="AE171" s="15">
        <f t="shared" si="7"/>
        <v>0.125</v>
      </c>
      <c r="AF171" s="16">
        <v>2256</v>
      </c>
      <c r="AG171" s="16" t="s">
        <v>616</v>
      </c>
      <c r="AH171" s="17" t="s">
        <v>617</v>
      </c>
      <c r="AI171" s="18" t="s">
        <v>618</v>
      </c>
      <c r="AJ171" s="19">
        <v>0.95</v>
      </c>
      <c r="AK171" s="20">
        <v>0.99</v>
      </c>
      <c r="AL171" s="17" t="s">
        <v>594</v>
      </c>
      <c r="AM171" s="5" t="s">
        <v>66</v>
      </c>
      <c r="AN171" s="5" t="s">
        <v>66</v>
      </c>
      <c r="AO171" s="5" t="s">
        <v>619</v>
      </c>
      <c r="AP171" s="5" t="s">
        <v>66</v>
      </c>
      <c r="AQ171" s="5" t="s">
        <v>66</v>
      </c>
      <c r="AR171" s="5" t="s">
        <v>66</v>
      </c>
      <c r="AS171" s="5" t="s">
        <v>66</v>
      </c>
      <c r="AT171" s="5" t="s">
        <v>66</v>
      </c>
      <c r="AU171" s="5" t="s">
        <v>66</v>
      </c>
      <c r="AV171" s="5" t="s">
        <v>66</v>
      </c>
      <c r="AW171" s="5" t="s">
        <v>620</v>
      </c>
      <c r="AX171" s="5" t="s">
        <v>621</v>
      </c>
      <c r="AY171" s="5" t="s">
        <v>69</v>
      </c>
      <c r="AZ171" s="5" t="s">
        <v>145</v>
      </c>
      <c r="BA171" s="19" t="s">
        <v>622</v>
      </c>
      <c r="BB171" s="17" t="s">
        <v>69</v>
      </c>
      <c r="BC171" s="5" t="s">
        <v>623</v>
      </c>
      <c r="BD171" s="5" t="s">
        <v>624</v>
      </c>
    </row>
    <row r="172" spans="1:56" ht="72" hidden="1" x14ac:dyDescent="0.25">
      <c r="A172" s="78" t="s">
        <v>587</v>
      </c>
      <c r="B172" s="5" t="s">
        <v>433</v>
      </c>
      <c r="C172" s="5" t="s">
        <v>412</v>
      </c>
      <c r="D172" s="5" t="s">
        <v>252</v>
      </c>
      <c r="E172" s="99" t="str">
        <f>VLOOKUP(D172,'Dropdown List'!$F$26:$G$40,2,0)</f>
        <v>India</v>
      </c>
      <c r="F172" s="8" t="s">
        <v>588</v>
      </c>
      <c r="G172" s="96">
        <v>8</v>
      </c>
      <c r="H172" s="5" t="s">
        <v>57</v>
      </c>
      <c r="I172" s="8" t="s">
        <v>71</v>
      </c>
      <c r="J172" s="8" t="s">
        <v>102</v>
      </c>
      <c r="K172" s="8" t="s">
        <v>611</v>
      </c>
      <c r="L172" s="8" t="s">
        <v>625</v>
      </c>
      <c r="M172" s="8" t="s">
        <v>626</v>
      </c>
      <c r="N172" s="5" t="s">
        <v>1034</v>
      </c>
      <c r="O172" s="5" t="s">
        <v>61</v>
      </c>
      <c r="P172" s="5" t="s">
        <v>627</v>
      </c>
      <c r="Q172" s="9" t="s">
        <v>615</v>
      </c>
      <c r="R172" s="5" t="s">
        <v>76</v>
      </c>
      <c r="S172" s="5" t="s">
        <v>64</v>
      </c>
      <c r="T172" s="96">
        <v>1</v>
      </c>
      <c r="U172" s="96">
        <v>4</v>
      </c>
      <c r="V172" s="96">
        <v>8</v>
      </c>
      <c r="W172" s="5" t="s">
        <v>91</v>
      </c>
      <c r="X172" s="10" t="s">
        <v>421</v>
      </c>
      <c r="Y172" s="11" t="s">
        <v>603</v>
      </c>
      <c r="Z172" s="12">
        <v>8</v>
      </c>
      <c r="AA172" s="12">
        <v>2</v>
      </c>
      <c r="AB172" s="12">
        <v>1</v>
      </c>
      <c r="AC172" s="13">
        <v>1</v>
      </c>
      <c r="AD172" s="14">
        <f t="shared" si="6"/>
        <v>12</v>
      </c>
      <c r="AE172" s="15">
        <f t="shared" si="7"/>
        <v>8.3333333333333329E-2</v>
      </c>
      <c r="AF172" s="16">
        <v>960</v>
      </c>
      <c r="AG172" s="16" t="s">
        <v>2936</v>
      </c>
      <c r="AH172" s="17" t="s">
        <v>617</v>
      </c>
      <c r="AI172" s="18" t="s">
        <v>628</v>
      </c>
      <c r="AJ172" s="19">
        <v>0.95</v>
      </c>
      <c r="AK172" s="20">
        <v>0.99</v>
      </c>
      <c r="AL172" s="17" t="s">
        <v>594</v>
      </c>
      <c r="AM172" s="5" t="s">
        <v>66</v>
      </c>
      <c r="AN172" s="5" t="s">
        <v>66</v>
      </c>
      <c r="AO172" s="5" t="s">
        <v>619</v>
      </c>
      <c r="AP172" s="5" t="s">
        <v>66</v>
      </c>
      <c r="AQ172" s="5" t="s">
        <v>66</v>
      </c>
      <c r="AR172" s="5" t="s">
        <v>66</v>
      </c>
      <c r="AS172" s="5" t="s">
        <v>66</v>
      </c>
      <c r="AT172" s="5" t="s">
        <v>66</v>
      </c>
      <c r="AU172" s="5" t="s">
        <v>66</v>
      </c>
      <c r="AV172" s="5" t="s">
        <v>66</v>
      </c>
      <c r="AW172" s="5" t="s">
        <v>620</v>
      </c>
      <c r="AX172" s="5" t="s">
        <v>621</v>
      </c>
      <c r="AY172" s="5" t="s">
        <v>69</v>
      </c>
      <c r="AZ172" s="5" t="s">
        <v>145</v>
      </c>
      <c r="BA172" s="19" t="s">
        <v>622</v>
      </c>
      <c r="BB172" s="17" t="s">
        <v>69</v>
      </c>
      <c r="BC172" s="5" t="s">
        <v>623</v>
      </c>
      <c r="BD172" s="5" t="s">
        <v>624</v>
      </c>
    </row>
    <row r="173" spans="1:56" ht="72" hidden="1" x14ac:dyDescent="0.25">
      <c r="A173" s="78" t="s">
        <v>587</v>
      </c>
      <c r="B173" s="5" t="s">
        <v>433</v>
      </c>
      <c r="C173" s="5" t="s">
        <v>412</v>
      </c>
      <c r="D173" s="5" t="s">
        <v>252</v>
      </c>
      <c r="E173" s="99" t="str">
        <f>VLOOKUP(D173,'Dropdown List'!$F$26:$G$40,2,0)</f>
        <v>India</v>
      </c>
      <c r="F173" s="8" t="s">
        <v>588</v>
      </c>
      <c r="G173" s="96">
        <v>8</v>
      </c>
      <c r="H173" s="5" t="s">
        <v>57</v>
      </c>
      <c r="I173" s="8" t="s">
        <v>71</v>
      </c>
      <c r="J173" s="8" t="s">
        <v>102</v>
      </c>
      <c r="K173" s="8" t="s">
        <v>611</v>
      </c>
      <c r="L173" s="8" t="s">
        <v>612</v>
      </c>
      <c r="M173" s="8" t="s">
        <v>613</v>
      </c>
      <c r="N173" s="5" t="s">
        <v>1034</v>
      </c>
      <c r="O173" s="5" t="s">
        <v>61</v>
      </c>
      <c r="P173" s="5" t="s">
        <v>629</v>
      </c>
      <c r="Q173" s="9" t="s">
        <v>615</v>
      </c>
      <c r="R173" s="5" t="s">
        <v>76</v>
      </c>
      <c r="S173" s="5" t="s">
        <v>64</v>
      </c>
      <c r="T173" s="96">
        <v>1</v>
      </c>
      <c r="U173" s="96">
        <v>4</v>
      </c>
      <c r="V173" s="96">
        <v>8</v>
      </c>
      <c r="W173" s="5" t="s">
        <v>91</v>
      </c>
      <c r="X173" s="10" t="s">
        <v>421</v>
      </c>
      <c r="Y173" s="11" t="s">
        <v>603</v>
      </c>
      <c r="Z173" s="12">
        <v>8</v>
      </c>
      <c r="AA173" s="12">
        <v>2</v>
      </c>
      <c r="AB173" s="12">
        <v>0</v>
      </c>
      <c r="AC173" s="13">
        <v>1</v>
      </c>
      <c r="AD173" s="14">
        <f t="shared" si="6"/>
        <v>11</v>
      </c>
      <c r="AE173" s="15">
        <f t="shared" si="7"/>
        <v>9.0909090909090912E-2</v>
      </c>
      <c r="AF173" s="16">
        <v>798</v>
      </c>
      <c r="AG173" s="16" t="s">
        <v>2937</v>
      </c>
      <c r="AH173" s="17" t="s">
        <v>617</v>
      </c>
      <c r="AI173" s="18" t="s">
        <v>630</v>
      </c>
      <c r="AJ173" s="19">
        <v>0.95</v>
      </c>
      <c r="AK173" s="20">
        <v>0.99</v>
      </c>
      <c r="AL173" s="17" t="s">
        <v>594</v>
      </c>
      <c r="AM173" s="5" t="s">
        <v>66</v>
      </c>
      <c r="AN173" s="5" t="s">
        <v>66</v>
      </c>
      <c r="AO173" s="5" t="s">
        <v>619</v>
      </c>
      <c r="AP173" s="5" t="s">
        <v>66</v>
      </c>
      <c r="AQ173" s="5" t="s">
        <v>66</v>
      </c>
      <c r="AR173" s="5" t="s">
        <v>66</v>
      </c>
      <c r="AS173" s="5" t="s">
        <v>66</v>
      </c>
      <c r="AT173" s="5" t="s">
        <v>66</v>
      </c>
      <c r="AU173" s="5" t="s">
        <v>66</v>
      </c>
      <c r="AV173" s="5" t="s">
        <v>66</v>
      </c>
      <c r="AW173" s="5" t="s">
        <v>620</v>
      </c>
      <c r="AX173" s="5" t="s">
        <v>621</v>
      </c>
      <c r="AY173" s="5" t="s">
        <v>69</v>
      </c>
      <c r="AZ173" s="5" t="s">
        <v>145</v>
      </c>
      <c r="BA173" s="19" t="s">
        <v>622</v>
      </c>
      <c r="BB173" s="17" t="s">
        <v>69</v>
      </c>
      <c r="BC173" s="5" t="s">
        <v>623</v>
      </c>
      <c r="BD173" s="5" t="s">
        <v>624</v>
      </c>
    </row>
    <row r="174" spans="1:56" ht="144" hidden="1" x14ac:dyDescent="0.25">
      <c r="A174" s="78" t="s">
        <v>587</v>
      </c>
      <c r="B174" s="5" t="s">
        <v>433</v>
      </c>
      <c r="C174" s="5" t="s">
        <v>412</v>
      </c>
      <c r="D174" s="5" t="s">
        <v>252</v>
      </c>
      <c r="E174" s="99" t="str">
        <f>VLOOKUP(D174,'Dropdown List'!$F$26:$G$40,2,0)</f>
        <v>India</v>
      </c>
      <c r="F174" s="8" t="s">
        <v>588</v>
      </c>
      <c r="G174" s="96">
        <v>8</v>
      </c>
      <c r="H174" s="5" t="s">
        <v>57</v>
      </c>
      <c r="I174" s="8" t="s">
        <v>71</v>
      </c>
      <c r="J174" s="8" t="s">
        <v>112</v>
      </c>
      <c r="K174" s="8" t="s">
        <v>190</v>
      </c>
      <c r="L174" s="8" t="s">
        <v>631</v>
      </c>
      <c r="M174" s="8" t="s">
        <v>632</v>
      </c>
      <c r="N174" s="5" t="s">
        <v>1034</v>
      </c>
      <c r="O174" s="5" t="s">
        <v>61</v>
      </c>
      <c r="P174" s="5" t="s">
        <v>633</v>
      </c>
      <c r="Q174" s="9" t="s">
        <v>615</v>
      </c>
      <c r="R174" s="5" t="s">
        <v>76</v>
      </c>
      <c r="S174" s="5" t="s">
        <v>64</v>
      </c>
      <c r="T174" s="96">
        <v>1</v>
      </c>
      <c r="U174" s="96">
        <v>4</v>
      </c>
      <c r="V174" s="96">
        <v>8</v>
      </c>
      <c r="W174" s="5" t="s">
        <v>91</v>
      </c>
      <c r="X174" s="10" t="s">
        <v>421</v>
      </c>
      <c r="Y174" s="11" t="s">
        <v>603</v>
      </c>
      <c r="Z174" s="12">
        <v>4</v>
      </c>
      <c r="AA174" s="12">
        <v>1</v>
      </c>
      <c r="AB174" s="12">
        <v>0</v>
      </c>
      <c r="AC174" s="13">
        <v>1</v>
      </c>
      <c r="AD174" s="14">
        <f t="shared" si="6"/>
        <v>6</v>
      </c>
      <c r="AE174" s="15">
        <f t="shared" si="7"/>
        <v>0.16666666666666666</v>
      </c>
      <c r="AF174" s="16">
        <v>1075</v>
      </c>
      <c r="AG174" s="16" t="s">
        <v>2938</v>
      </c>
      <c r="AH174" s="17" t="s">
        <v>2939</v>
      </c>
      <c r="AI174" s="18" t="s">
        <v>634</v>
      </c>
      <c r="AJ174" s="19">
        <v>0.95</v>
      </c>
      <c r="AK174" s="20">
        <v>0.99</v>
      </c>
      <c r="AL174" s="17" t="s">
        <v>594</v>
      </c>
      <c r="AM174" s="5" t="s">
        <v>66</v>
      </c>
      <c r="AN174" s="5" t="s">
        <v>66</v>
      </c>
      <c r="AO174" s="5" t="s">
        <v>619</v>
      </c>
      <c r="AP174" s="5" t="s">
        <v>66</v>
      </c>
      <c r="AQ174" s="5" t="s">
        <v>66</v>
      </c>
      <c r="AR174" s="5" t="s">
        <v>66</v>
      </c>
      <c r="AS174" s="5" t="s">
        <v>66</v>
      </c>
      <c r="AT174" s="5" t="s">
        <v>66</v>
      </c>
      <c r="AU174" s="5" t="s">
        <v>66</v>
      </c>
      <c r="AV174" s="5" t="s">
        <v>66</v>
      </c>
      <c r="AW174" s="5" t="s">
        <v>66</v>
      </c>
      <c r="AX174" s="5" t="s">
        <v>635</v>
      </c>
      <c r="AY174" s="5" t="s">
        <v>69</v>
      </c>
      <c r="AZ174" s="5" t="s">
        <v>80</v>
      </c>
      <c r="BA174" s="19" t="s">
        <v>622</v>
      </c>
      <c r="BB174" s="17" t="s">
        <v>69</v>
      </c>
      <c r="BC174" s="5" t="s">
        <v>636</v>
      </c>
      <c r="BD174" s="5" t="s">
        <v>637</v>
      </c>
    </row>
    <row r="175" spans="1:56" ht="24" hidden="1" x14ac:dyDescent="0.25">
      <c r="A175" s="78" t="s">
        <v>587</v>
      </c>
      <c r="B175" s="5" t="s">
        <v>433</v>
      </c>
      <c r="C175" s="5" t="s">
        <v>412</v>
      </c>
      <c r="D175" s="5" t="s">
        <v>252</v>
      </c>
      <c r="E175" s="99" t="str">
        <f>VLOOKUP(D175,'Dropdown List'!$F$26:$G$40,2,0)</f>
        <v>India</v>
      </c>
      <c r="F175" s="8" t="s">
        <v>588</v>
      </c>
      <c r="G175" s="96">
        <v>8</v>
      </c>
      <c r="H175" s="5" t="s">
        <v>57</v>
      </c>
      <c r="I175" s="8" t="s">
        <v>71</v>
      </c>
      <c r="J175" s="8" t="s">
        <v>435</v>
      </c>
      <c r="K175" s="8" t="s">
        <v>293</v>
      </c>
      <c r="L175" s="8" t="s">
        <v>112</v>
      </c>
      <c r="M175" s="107" t="s">
        <v>638</v>
      </c>
      <c r="N175" s="5" t="s">
        <v>1034</v>
      </c>
      <c r="O175" s="5" t="s">
        <v>106</v>
      </c>
      <c r="P175" s="5" t="s">
        <v>639</v>
      </c>
      <c r="Q175" s="9" t="s">
        <v>172</v>
      </c>
      <c r="R175" s="5" t="s">
        <v>76</v>
      </c>
      <c r="S175" s="5" t="s">
        <v>64</v>
      </c>
      <c r="T175" s="96">
        <v>1</v>
      </c>
      <c r="U175" s="96">
        <v>4</v>
      </c>
      <c r="V175" s="96">
        <v>8</v>
      </c>
      <c r="W175" s="5" t="s">
        <v>91</v>
      </c>
      <c r="X175" s="10" t="s">
        <v>421</v>
      </c>
      <c r="Y175" s="11" t="s">
        <v>603</v>
      </c>
      <c r="Z175" s="12">
        <v>10</v>
      </c>
      <c r="AA175" s="12">
        <v>1</v>
      </c>
      <c r="AB175" s="12">
        <v>1</v>
      </c>
      <c r="AC175" s="13">
        <v>2</v>
      </c>
      <c r="AD175" s="14">
        <f t="shared" si="6"/>
        <v>14</v>
      </c>
      <c r="AE175" s="15">
        <f t="shared" si="7"/>
        <v>0.14285714285714285</v>
      </c>
      <c r="AF175" s="16">
        <v>7000</v>
      </c>
      <c r="AG175" s="16" t="s">
        <v>640</v>
      </c>
      <c r="AH175" s="17" t="s">
        <v>617</v>
      </c>
      <c r="AI175" s="18">
        <v>22.74</v>
      </c>
      <c r="AJ175" s="19">
        <v>0.95</v>
      </c>
      <c r="AK175" s="20">
        <v>0.99</v>
      </c>
      <c r="AL175" s="17" t="s">
        <v>594</v>
      </c>
      <c r="AM175" s="5" t="s">
        <v>66</v>
      </c>
      <c r="AN175" s="5" t="s">
        <v>66</v>
      </c>
      <c r="AO175" s="5" t="s">
        <v>66</v>
      </c>
      <c r="AP175" s="5" t="s">
        <v>66</v>
      </c>
      <c r="AQ175" s="5" t="s">
        <v>66</v>
      </c>
      <c r="AR175" s="5" t="s">
        <v>66</v>
      </c>
      <c r="AS175" s="5" t="s">
        <v>66</v>
      </c>
      <c r="AT175" s="5" t="s">
        <v>66</v>
      </c>
      <c r="AU175" s="5" t="s">
        <v>66</v>
      </c>
      <c r="AV175" s="5" t="s">
        <v>66</v>
      </c>
      <c r="AW175" s="5" t="s">
        <v>66</v>
      </c>
      <c r="AX175" s="5" t="s">
        <v>641</v>
      </c>
      <c r="AY175" s="5" t="s">
        <v>69</v>
      </c>
      <c r="AZ175" s="5" t="s">
        <v>70</v>
      </c>
      <c r="BA175" s="19" t="s">
        <v>622</v>
      </c>
      <c r="BB175" s="17" t="s">
        <v>69</v>
      </c>
      <c r="BC175" s="5" t="s">
        <v>642</v>
      </c>
      <c r="BD175" s="5" t="s">
        <v>643</v>
      </c>
    </row>
    <row r="176" spans="1:56" ht="24" hidden="1" x14ac:dyDescent="0.25">
      <c r="A176" s="78" t="s">
        <v>587</v>
      </c>
      <c r="B176" s="5" t="s">
        <v>433</v>
      </c>
      <c r="C176" s="5" t="s">
        <v>412</v>
      </c>
      <c r="D176" s="5" t="s">
        <v>252</v>
      </c>
      <c r="E176" s="99" t="str">
        <f>VLOOKUP(D176,'Dropdown List'!$F$26:$G$40,2,0)</f>
        <v>India</v>
      </c>
      <c r="F176" s="8" t="s">
        <v>588</v>
      </c>
      <c r="G176" s="96">
        <v>8</v>
      </c>
      <c r="H176" s="5" t="s">
        <v>57</v>
      </c>
      <c r="I176" s="8" t="s">
        <v>71</v>
      </c>
      <c r="J176" s="8" t="s">
        <v>167</v>
      </c>
      <c r="K176" s="8" t="s">
        <v>644</v>
      </c>
      <c r="L176" s="8" t="s">
        <v>645</v>
      </c>
      <c r="M176" s="8" t="s">
        <v>646</v>
      </c>
      <c r="N176" s="5" t="s">
        <v>1034</v>
      </c>
      <c r="O176" s="5" t="s">
        <v>106</v>
      </c>
      <c r="P176" s="5" t="s">
        <v>639</v>
      </c>
      <c r="Q176" s="9" t="s">
        <v>172</v>
      </c>
      <c r="R176" s="5" t="s">
        <v>76</v>
      </c>
      <c r="S176" s="5" t="s">
        <v>64</v>
      </c>
      <c r="T176" s="96">
        <v>1</v>
      </c>
      <c r="U176" s="96">
        <v>4</v>
      </c>
      <c r="V176" s="96">
        <v>8</v>
      </c>
      <c r="W176" s="5" t="s">
        <v>91</v>
      </c>
      <c r="X176" s="10" t="s">
        <v>421</v>
      </c>
      <c r="Y176" s="11" t="s">
        <v>603</v>
      </c>
      <c r="Z176" s="12">
        <v>4</v>
      </c>
      <c r="AA176" s="12">
        <v>1</v>
      </c>
      <c r="AB176" s="12">
        <v>0</v>
      </c>
      <c r="AC176" s="13">
        <v>1</v>
      </c>
      <c r="AD176" s="14">
        <f t="shared" si="6"/>
        <v>6</v>
      </c>
      <c r="AE176" s="15">
        <f t="shared" si="7"/>
        <v>0.16666666666666666</v>
      </c>
      <c r="AF176" s="16">
        <v>600</v>
      </c>
      <c r="AG176" s="16" t="s">
        <v>640</v>
      </c>
      <c r="AH176" s="17" t="s">
        <v>617</v>
      </c>
      <c r="AI176" s="18">
        <v>30.51</v>
      </c>
      <c r="AJ176" s="19">
        <v>0.95</v>
      </c>
      <c r="AK176" s="20">
        <v>0.99</v>
      </c>
      <c r="AL176" s="17" t="s">
        <v>594</v>
      </c>
      <c r="AM176" s="5" t="s">
        <v>66</v>
      </c>
      <c r="AN176" s="5" t="s">
        <v>66</v>
      </c>
      <c r="AO176" s="5" t="s">
        <v>647</v>
      </c>
      <c r="AP176" s="5" t="s">
        <v>66</v>
      </c>
      <c r="AQ176" s="5" t="s">
        <v>66</v>
      </c>
      <c r="AR176" s="5" t="s">
        <v>66</v>
      </c>
      <c r="AS176" s="5" t="s">
        <v>66</v>
      </c>
      <c r="AT176" s="5" t="s">
        <v>66</v>
      </c>
      <c r="AU176" s="5" t="s">
        <v>66</v>
      </c>
      <c r="AV176" s="5" t="s">
        <v>66</v>
      </c>
      <c r="AW176" s="5" t="s">
        <v>66</v>
      </c>
      <c r="AX176" s="5" t="s">
        <v>641</v>
      </c>
      <c r="AY176" s="5" t="s">
        <v>69</v>
      </c>
      <c r="AZ176" s="5" t="s">
        <v>70</v>
      </c>
      <c r="BA176" s="19" t="s">
        <v>622</v>
      </c>
      <c r="BB176" s="17" t="s">
        <v>69</v>
      </c>
      <c r="BC176" s="5" t="s">
        <v>642</v>
      </c>
      <c r="BD176" s="5" t="s">
        <v>648</v>
      </c>
    </row>
    <row r="177" spans="1:56" ht="72" hidden="1" x14ac:dyDescent="0.25">
      <c r="A177" s="78" t="s">
        <v>813</v>
      </c>
      <c r="B177" s="5" t="s">
        <v>814</v>
      </c>
      <c r="C177" s="5" t="s">
        <v>3293</v>
      </c>
      <c r="D177" s="5" t="s">
        <v>275</v>
      </c>
      <c r="E177" s="99" t="str">
        <f>VLOOKUP(D177,'Dropdown List'!$F$26:$G$40,2,0)</f>
        <v>South Africa</v>
      </c>
      <c r="F177" s="8" t="s">
        <v>2809</v>
      </c>
      <c r="G177" s="96">
        <v>1</v>
      </c>
      <c r="H177" s="5" t="s">
        <v>57</v>
      </c>
      <c r="I177" s="8" t="s">
        <v>71</v>
      </c>
      <c r="J177" s="8" t="s">
        <v>112</v>
      </c>
      <c r="K177" s="8" t="s">
        <v>130</v>
      </c>
      <c r="L177" s="8" t="s">
        <v>815</v>
      </c>
      <c r="M177" s="8" t="s">
        <v>2940</v>
      </c>
      <c r="N177" s="5" t="s">
        <v>319</v>
      </c>
      <c r="O177" s="5" t="s">
        <v>61</v>
      </c>
      <c r="P177" s="5" t="s">
        <v>3372</v>
      </c>
      <c r="Q177" s="9" t="s">
        <v>172</v>
      </c>
      <c r="R177" s="5" t="s">
        <v>132</v>
      </c>
      <c r="S177" s="5" t="s">
        <v>334</v>
      </c>
      <c r="T177" s="96">
        <v>4</v>
      </c>
      <c r="U177" s="96" t="s">
        <v>816</v>
      </c>
      <c r="V177" s="96">
        <v>4</v>
      </c>
      <c r="W177" s="5" t="s">
        <v>91</v>
      </c>
      <c r="X177" s="10" t="s">
        <v>79</v>
      </c>
      <c r="Y177" s="11">
        <v>35000</v>
      </c>
      <c r="Z177" s="12">
        <v>14</v>
      </c>
      <c r="AA177" s="12">
        <v>1</v>
      </c>
      <c r="AB177" s="12">
        <v>1</v>
      </c>
      <c r="AC177" s="13">
        <v>5</v>
      </c>
      <c r="AD177" s="14">
        <f t="shared" si="6"/>
        <v>21</v>
      </c>
      <c r="AE177" s="15">
        <f t="shared" si="7"/>
        <v>0.23809523809523808</v>
      </c>
      <c r="AF177" s="16">
        <v>18707</v>
      </c>
      <c r="AG177" s="16" t="s">
        <v>66</v>
      </c>
      <c r="AH177" s="17" t="s">
        <v>817</v>
      </c>
      <c r="AI177" s="18" t="s">
        <v>818</v>
      </c>
      <c r="AJ177" s="19" t="s">
        <v>819</v>
      </c>
      <c r="AK177" s="20">
        <v>0.90200000000000002</v>
      </c>
      <c r="AL177" s="17" t="s">
        <v>338</v>
      </c>
      <c r="AM177" s="5" t="s">
        <v>820</v>
      </c>
      <c r="AN177" s="5" t="s">
        <v>821</v>
      </c>
      <c r="AO177" s="5" t="s">
        <v>66</v>
      </c>
      <c r="AP177" s="5" t="s">
        <v>66</v>
      </c>
      <c r="AQ177" s="5" t="s">
        <v>822</v>
      </c>
      <c r="AR177" s="5" t="s">
        <v>822</v>
      </c>
      <c r="AS177" s="5" t="s">
        <v>822</v>
      </c>
      <c r="AT177" s="5" t="s">
        <v>822</v>
      </c>
      <c r="AU177" s="5" t="s">
        <v>822</v>
      </c>
      <c r="AV177" s="5" t="s">
        <v>822</v>
      </c>
      <c r="AW177" s="5" t="s">
        <v>822</v>
      </c>
      <c r="AX177" s="5" t="s">
        <v>823</v>
      </c>
      <c r="AY177" s="5" t="s">
        <v>556</v>
      </c>
      <c r="AZ177" s="5" t="s">
        <v>145</v>
      </c>
      <c r="BA177" s="19">
        <v>1</v>
      </c>
      <c r="BB177" s="17" t="s">
        <v>94</v>
      </c>
      <c r="BC177" s="5" t="s">
        <v>824</v>
      </c>
      <c r="BD177" s="5" t="s">
        <v>825</v>
      </c>
    </row>
    <row r="178" spans="1:56" ht="36" hidden="1" x14ac:dyDescent="0.25">
      <c r="A178" s="78" t="s">
        <v>813</v>
      </c>
      <c r="B178" s="5" t="s">
        <v>814</v>
      </c>
      <c r="C178" s="5" t="s">
        <v>3293</v>
      </c>
      <c r="D178" s="5" t="s">
        <v>275</v>
      </c>
      <c r="E178" s="99" t="str">
        <f>VLOOKUP(D178,'Dropdown List'!$F$26:$G$40,2,0)</f>
        <v>South Africa</v>
      </c>
      <c r="F178" s="8" t="s">
        <v>2809</v>
      </c>
      <c r="G178" s="96">
        <v>1</v>
      </c>
      <c r="H178" s="5" t="s">
        <v>57</v>
      </c>
      <c r="I178" s="8" t="s">
        <v>58</v>
      </c>
      <c r="J178" s="8" t="s">
        <v>146</v>
      </c>
      <c r="K178" s="8" t="s">
        <v>211</v>
      </c>
      <c r="L178" s="8" t="s">
        <v>886</v>
      </c>
      <c r="M178" s="8" t="s">
        <v>2941</v>
      </c>
      <c r="N178" s="5" t="s">
        <v>319</v>
      </c>
      <c r="O178" s="5" t="s">
        <v>89</v>
      </c>
      <c r="P178" s="5" t="s">
        <v>89</v>
      </c>
      <c r="Q178" s="9" t="s">
        <v>75</v>
      </c>
      <c r="R178" s="5" t="s">
        <v>132</v>
      </c>
      <c r="S178" s="5" t="s">
        <v>90</v>
      </c>
      <c r="T178" s="96">
        <v>3</v>
      </c>
      <c r="U178" s="96">
        <v>5</v>
      </c>
      <c r="V178" s="96">
        <v>8</v>
      </c>
      <c r="W178" s="5" t="s">
        <v>91</v>
      </c>
      <c r="X178" s="10" t="s">
        <v>79</v>
      </c>
      <c r="Y178" s="11">
        <v>35000</v>
      </c>
      <c r="Z178" s="12">
        <v>10</v>
      </c>
      <c r="AA178" s="12">
        <v>1</v>
      </c>
      <c r="AB178" s="12">
        <v>1</v>
      </c>
      <c r="AC178" s="13">
        <v>5</v>
      </c>
      <c r="AD178" s="14">
        <f t="shared" si="6"/>
        <v>17</v>
      </c>
      <c r="AE178" s="15">
        <f t="shared" si="7"/>
        <v>0.29411764705882354</v>
      </c>
      <c r="AF178" s="16">
        <v>2315</v>
      </c>
      <c r="AG178" s="16" t="s">
        <v>281</v>
      </c>
      <c r="AH178" s="17" t="s">
        <v>2942</v>
      </c>
      <c r="AI178" s="18" t="s">
        <v>887</v>
      </c>
      <c r="AJ178" s="19" t="s">
        <v>819</v>
      </c>
      <c r="AK178" s="20">
        <v>0.9</v>
      </c>
      <c r="AL178" s="17" t="s">
        <v>92</v>
      </c>
      <c r="AM178" s="5" t="s">
        <v>888</v>
      </c>
      <c r="AN178" s="5" t="s">
        <v>889</v>
      </c>
      <c r="AO178" s="5" t="s">
        <v>66</v>
      </c>
      <c r="AP178" s="5" t="s">
        <v>66</v>
      </c>
      <c r="AQ178" s="5" t="s">
        <v>66</v>
      </c>
      <c r="AR178" s="5" t="s">
        <v>66</v>
      </c>
      <c r="AS178" s="5" t="s">
        <v>66</v>
      </c>
      <c r="AT178" s="5" t="s">
        <v>66</v>
      </c>
      <c r="AU178" s="5" t="s">
        <v>66</v>
      </c>
      <c r="AV178" s="5" t="s">
        <v>66</v>
      </c>
      <c r="AW178" s="5" t="s">
        <v>66</v>
      </c>
      <c r="AX178" s="5" t="s">
        <v>890</v>
      </c>
      <c r="AY178" s="5" t="s">
        <v>556</v>
      </c>
      <c r="AZ178" s="5" t="s">
        <v>80</v>
      </c>
      <c r="BA178" s="19" t="s">
        <v>557</v>
      </c>
      <c r="BB178" s="17" t="s">
        <v>94</v>
      </c>
      <c r="BC178" s="5" t="s">
        <v>824</v>
      </c>
      <c r="BD178" s="5" t="s">
        <v>825</v>
      </c>
    </row>
    <row r="179" spans="1:56" ht="72" hidden="1" x14ac:dyDescent="0.25">
      <c r="A179" s="78" t="s">
        <v>813</v>
      </c>
      <c r="B179" s="5" t="s">
        <v>814</v>
      </c>
      <c r="C179" s="5" t="s">
        <v>3293</v>
      </c>
      <c r="D179" s="5" t="s">
        <v>275</v>
      </c>
      <c r="E179" s="99" t="str">
        <f>VLOOKUP(D179,'Dropdown List'!$F$26:$G$40,2,0)</f>
        <v>South Africa</v>
      </c>
      <c r="F179" s="8" t="s">
        <v>2809</v>
      </c>
      <c r="G179" s="96">
        <v>1</v>
      </c>
      <c r="H179" s="5" t="s">
        <v>57</v>
      </c>
      <c r="I179" s="8" t="s">
        <v>71</v>
      </c>
      <c r="J179" s="8" t="s">
        <v>112</v>
      </c>
      <c r="K179" s="8" t="s">
        <v>130</v>
      </c>
      <c r="L179" s="8" t="s">
        <v>891</v>
      </c>
      <c r="M179" s="8" t="s">
        <v>2943</v>
      </c>
      <c r="N179" s="5" t="s">
        <v>1034</v>
      </c>
      <c r="O179" s="5" t="s">
        <v>61</v>
      </c>
      <c r="P179" s="5" t="s">
        <v>2944</v>
      </c>
      <c r="Q179" s="9" t="s">
        <v>75</v>
      </c>
      <c r="R179" s="5" t="s">
        <v>132</v>
      </c>
      <c r="S179" s="5" t="s">
        <v>90</v>
      </c>
      <c r="T179" s="96">
        <v>3</v>
      </c>
      <c r="U179" s="96">
        <v>5</v>
      </c>
      <c r="V179" s="96">
        <v>8</v>
      </c>
      <c r="W179" s="5" t="s">
        <v>91</v>
      </c>
      <c r="X179" s="10" t="s">
        <v>79</v>
      </c>
      <c r="Y179" s="11">
        <v>35000</v>
      </c>
      <c r="Z179" s="12">
        <v>18</v>
      </c>
      <c r="AA179" s="12">
        <v>1</v>
      </c>
      <c r="AB179" s="12">
        <v>1</v>
      </c>
      <c r="AC179" s="13">
        <v>5</v>
      </c>
      <c r="AD179" s="14">
        <f t="shared" si="6"/>
        <v>25</v>
      </c>
      <c r="AE179" s="15">
        <f t="shared" si="7"/>
        <v>0.2</v>
      </c>
      <c r="AF179" s="16">
        <v>3939</v>
      </c>
      <c r="AG179" s="16" t="s">
        <v>281</v>
      </c>
      <c r="AH179" s="17" t="s">
        <v>817</v>
      </c>
      <c r="AI179" s="18" t="s">
        <v>310</v>
      </c>
      <c r="AJ179" s="19" t="s">
        <v>819</v>
      </c>
      <c r="AK179" s="20">
        <v>0.93</v>
      </c>
      <c r="AL179" s="17" t="s">
        <v>92</v>
      </c>
      <c r="AM179" s="5" t="s">
        <v>888</v>
      </c>
      <c r="AN179" s="5" t="s">
        <v>892</v>
      </c>
      <c r="AO179" s="5" t="s">
        <v>66</v>
      </c>
      <c r="AP179" s="5" t="s">
        <v>66</v>
      </c>
      <c r="AQ179" s="5" t="s">
        <v>66</v>
      </c>
      <c r="AR179" s="5" t="s">
        <v>66</v>
      </c>
      <c r="AS179" s="5" t="s">
        <v>66</v>
      </c>
      <c r="AT179" s="5" t="s">
        <v>66</v>
      </c>
      <c r="AU179" s="5" t="s">
        <v>66</v>
      </c>
      <c r="AV179" s="5" t="s">
        <v>66</v>
      </c>
      <c r="AW179" s="5" t="s">
        <v>66</v>
      </c>
      <c r="AX179" s="5" t="s">
        <v>893</v>
      </c>
      <c r="AY179" s="5" t="s">
        <v>556</v>
      </c>
      <c r="AZ179" s="5" t="s">
        <v>80</v>
      </c>
      <c r="BA179" s="19" t="s">
        <v>557</v>
      </c>
      <c r="BB179" s="17" t="s">
        <v>94</v>
      </c>
      <c r="BC179" s="5" t="s">
        <v>824</v>
      </c>
      <c r="BD179" s="5" t="s">
        <v>825</v>
      </c>
    </row>
    <row r="180" spans="1:56" ht="156" hidden="1" x14ac:dyDescent="0.25">
      <c r="A180" s="78" t="s">
        <v>401</v>
      </c>
      <c r="B180" s="5" t="s">
        <v>402</v>
      </c>
      <c r="C180" s="5" t="s">
        <v>290</v>
      </c>
      <c r="D180" s="5" t="s">
        <v>252</v>
      </c>
      <c r="E180" s="99" t="str">
        <f>VLOOKUP(D180,'Dropdown List'!$F$26:$G$40,2,0)</f>
        <v>India</v>
      </c>
      <c r="F180" s="8" t="s">
        <v>403</v>
      </c>
      <c r="G180" s="96">
        <v>2</v>
      </c>
      <c r="H180" s="5" t="s">
        <v>57</v>
      </c>
      <c r="I180" s="8" t="s">
        <v>71</v>
      </c>
      <c r="J180" s="8" t="s">
        <v>292</v>
      </c>
      <c r="K180" s="8" t="s">
        <v>293</v>
      </c>
      <c r="L180" s="8" t="s">
        <v>404</v>
      </c>
      <c r="M180" s="8" t="s">
        <v>405</v>
      </c>
      <c r="N180" s="5" t="s">
        <v>3294</v>
      </c>
      <c r="O180" s="5" t="s">
        <v>61</v>
      </c>
      <c r="P180" s="5" t="s">
        <v>3101</v>
      </c>
      <c r="Q180" s="9" t="s">
        <v>75</v>
      </c>
      <c r="R180" s="5" t="s">
        <v>76</v>
      </c>
      <c r="S180" s="5" t="s">
        <v>64</v>
      </c>
      <c r="T180" s="96">
        <v>1</v>
      </c>
      <c r="U180" s="96">
        <v>3</v>
      </c>
      <c r="V180" s="96">
        <v>5</v>
      </c>
      <c r="W180" s="5" t="s">
        <v>91</v>
      </c>
      <c r="X180" s="10" t="s">
        <v>321</v>
      </c>
      <c r="Y180" s="11" t="s">
        <v>3102</v>
      </c>
      <c r="Z180" s="12">
        <v>55.5</v>
      </c>
      <c r="AA180" s="12">
        <v>9</v>
      </c>
      <c r="AB180" s="12">
        <v>6</v>
      </c>
      <c r="AC180" s="13">
        <v>19.5</v>
      </c>
      <c r="AD180" s="14">
        <f t="shared" si="6"/>
        <v>90</v>
      </c>
      <c r="AE180" s="15">
        <f t="shared" si="7"/>
        <v>0.21666666666666667</v>
      </c>
      <c r="AF180" s="16">
        <v>2500</v>
      </c>
      <c r="AG180" s="16" t="s">
        <v>3103</v>
      </c>
      <c r="AH180" s="17" t="s">
        <v>3104</v>
      </c>
      <c r="AI180" s="18" t="s">
        <v>406</v>
      </c>
      <c r="AJ180" s="19" t="s">
        <v>407</v>
      </c>
      <c r="AK180" s="20" t="s">
        <v>3105</v>
      </c>
      <c r="AL180" s="17" t="s">
        <v>92</v>
      </c>
      <c r="AM180" s="5" t="s">
        <v>3106</v>
      </c>
      <c r="AN180" s="5" t="s">
        <v>3107</v>
      </c>
      <c r="AO180" s="5" t="s">
        <v>408</v>
      </c>
      <c r="AP180" s="5" t="s">
        <v>409</v>
      </c>
      <c r="AQ180" s="5" t="s">
        <v>303</v>
      </c>
      <c r="AR180" s="5" t="s">
        <v>3108</v>
      </c>
      <c r="AS180" s="5" t="s">
        <v>305</v>
      </c>
      <c r="AT180" s="5" t="s">
        <v>3109</v>
      </c>
      <c r="AU180" s="5" t="s">
        <v>66</v>
      </c>
      <c r="AV180" s="5" t="s">
        <v>66</v>
      </c>
      <c r="AW180" s="5" t="s">
        <v>66</v>
      </c>
      <c r="AX180" s="5" t="s">
        <v>0</v>
      </c>
      <c r="AY180" s="5" t="s">
        <v>69</v>
      </c>
      <c r="AZ180" s="5" t="s">
        <v>70</v>
      </c>
      <c r="BA180" s="19" t="s">
        <v>66</v>
      </c>
      <c r="BB180" s="17" t="s">
        <v>65</v>
      </c>
      <c r="BC180" s="5" t="s">
        <v>206</v>
      </c>
      <c r="BD180" s="5" t="s">
        <v>3110</v>
      </c>
    </row>
    <row r="181" spans="1:56" ht="132" hidden="1" x14ac:dyDescent="0.25">
      <c r="A181" s="78" t="s">
        <v>410</v>
      </c>
      <c r="B181" s="5" t="s">
        <v>411</v>
      </c>
      <c r="C181" s="5" t="s">
        <v>412</v>
      </c>
      <c r="D181" s="5" t="s">
        <v>3161</v>
      </c>
      <c r="E181" s="99" t="str">
        <f>VLOOKUP(D181,'Dropdown List'!$F$26:$G$40,2,0)</f>
        <v>Philippines</v>
      </c>
      <c r="F181" s="8" t="s">
        <v>3528</v>
      </c>
      <c r="G181" s="96" t="s">
        <v>3529</v>
      </c>
      <c r="H181" s="5" t="s">
        <v>57</v>
      </c>
      <c r="I181" s="8" t="s">
        <v>58</v>
      </c>
      <c r="J181" s="8" t="s">
        <v>146</v>
      </c>
      <c r="K181" s="8" t="s">
        <v>154</v>
      </c>
      <c r="L181" s="8" t="s">
        <v>415</v>
      </c>
      <c r="M181" s="8" t="s">
        <v>416</v>
      </c>
      <c r="N181" s="5" t="s">
        <v>319</v>
      </c>
      <c r="O181" s="5" t="s">
        <v>61</v>
      </c>
      <c r="P181" s="5" t="s">
        <v>3530</v>
      </c>
      <c r="Q181" s="9" t="s">
        <v>418</v>
      </c>
      <c r="R181" s="5" t="s">
        <v>132</v>
      </c>
      <c r="S181" s="5" t="s">
        <v>90</v>
      </c>
      <c r="T181" s="96" t="s">
        <v>419</v>
      </c>
      <c r="U181" s="96" t="s">
        <v>420</v>
      </c>
      <c r="V181" s="96" t="s">
        <v>114</v>
      </c>
      <c r="W181" s="5" t="s">
        <v>91</v>
      </c>
      <c r="X181" s="10" t="s">
        <v>421</v>
      </c>
      <c r="Y181" s="11">
        <v>22.64</v>
      </c>
      <c r="Z181" s="12">
        <v>113</v>
      </c>
      <c r="AA181" s="12">
        <v>11</v>
      </c>
      <c r="AB181" s="12">
        <v>9</v>
      </c>
      <c r="AC181" s="13">
        <v>11</v>
      </c>
      <c r="AD181" s="14">
        <f t="shared" si="6"/>
        <v>144</v>
      </c>
      <c r="AE181" s="15">
        <f t="shared" si="7"/>
        <v>7.6388888888888895E-2</v>
      </c>
      <c r="AF181" s="16">
        <v>14970</v>
      </c>
      <c r="AG181" s="16" t="s">
        <v>3531</v>
      </c>
      <c r="AH181" s="17" t="s">
        <v>423</v>
      </c>
      <c r="AI181" s="18" t="s">
        <v>424</v>
      </c>
      <c r="AJ181" s="19" t="s">
        <v>425</v>
      </c>
      <c r="AK181" s="20">
        <v>0.95</v>
      </c>
      <c r="AL181" s="17" t="s">
        <v>92</v>
      </c>
      <c r="AM181" s="5" t="s">
        <v>426</v>
      </c>
      <c r="AN181" s="5" t="s">
        <v>427</v>
      </c>
      <c r="AO181" s="5" t="s">
        <v>281</v>
      </c>
      <c r="AP181" s="5" t="s">
        <v>281</v>
      </c>
      <c r="AQ181" s="5" t="s">
        <v>428</v>
      </c>
      <c r="AR181" s="5" t="s">
        <v>429</v>
      </c>
      <c r="AS181" s="5" t="s">
        <v>430</v>
      </c>
      <c r="AT181" s="5" t="s">
        <v>281</v>
      </c>
      <c r="AU181" s="5" t="s">
        <v>281</v>
      </c>
      <c r="AV181" s="5" t="s">
        <v>281</v>
      </c>
      <c r="AW181" s="5" t="s">
        <v>281</v>
      </c>
      <c r="AX181" s="5" t="s">
        <v>281</v>
      </c>
      <c r="AY181" s="5" t="s">
        <v>281</v>
      </c>
      <c r="AZ181" s="5" t="s">
        <v>80</v>
      </c>
      <c r="BA181" s="19" t="s">
        <v>281</v>
      </c>
      <c r="BB181" s="17" t="s">
        <v>281</v>
      </c>
      <c r="BC181" s="5" t="s">
        <v>281</v>
      </c>
      <c r="BD181" s="5" t="s">
        <v>431</v>
      </c>
    </row>
    <row r="182" spans="1:56" ht="144" hidden="1" x14ac:dyDescent="0.25">
      <c r="A182" s="78" t="s">
        <v>410</v>
      </c>
      <c r="B182" s="5" t="s">
        <v>411</v>
      </c>
      <c r="C182" s="5" t="s">
        <v>412</v>
      </c>
      <c r="D182" s="5" t="s">
        <v>275</v>
      </c>
      <c r="E182" s="99" t="str">
        <f>VLOOKUP(D182,'Dropdown List'!$F$26:$G$40,2,0)</f>
        <v>South Africa</v>
      </c>
      <c r="F182" s="8" t="s">
        <v>413</v>
      </c>
      <c r="G182" s="96" t="s">
        <v>414</v>
      </c>
      <c r="H182" s="5" t="s">
        <v>57</v>
      </c>
      <c r="I182" s="8" t="s">
        <v>58</v>
      </c>
      <c r="J182" s="8" t="s">
        <v>146</v>
      </c>
      <c r="K182" s="8" t="s">
        <v>154</v>
      </c>
      <c r="L182" s="8" t="s">
        <v>415</v>
      </c>
      <c r="M182" s="8" t="s">
        <v>416</v>
      </c>
      <c r="N182" s="5" t="s">
        <v>319</v>
      </c>
      <c r="O182" s="5" t="s">
        <v>61</v>
      </c>
      <c r="P182" s="5" t="s">
        <v>417</v>
      </c>
      <c r="Q182" s="9" t="s">
        <v>418</v>
      </c>
      <c r="R182" s="5" t="s">
        <v>132</v>
      </c>
      <c r="S182" s="5" t="s">
        <v>90</v>
      </c>
      <c r="T182" s="96" t="s">
        <v>419</v>
      </c>
      <c r="U182" s="96" t="s">
        <v>420</v>
      </c>
      <c r="V182" s="96" t="s">
        <v>419</v>
      </c>
      <c r="W182" s="5" t="s">
        <v>91</v>
      </c>
      <c r="X182" s="10" t="s">
        <v>421</v>
      </c>
      <c r="Y182" s="11" t="s">
        <v>3162</v>
      </c>
      <c r="Z182" s="12">
        <v>131</v>
      </c>
      <c r="AA182" s="12">
        <v>14</v>
      </c>
      <c r="AB182" s="12">
        <v>17</v>
      </c>
      <c r="AC182" s="13">
        <v>47</v>
      </c>
      <c r="AD182" s="14">
        <f t="shared" si="6"/>
        <v>209</v>
      </c>
      <c r="AE182" s="15">
        <f t="shared" si="7"/>
        <v>0.22488038277511962</v>
      </c>
      <c r="AF182" s="16">
        <v>20793</v>
      </c>
      <c r="AG182" s="16" t="s">
        <v>422</v>
      </c>
      <c r="AH182" s="17" t="s">
        <v>423</v>
      </c>
      <c r="AI182" s="18" t="s">
        <v>424</v>
      </c>
      <c r="AJ182" s="19" t="s">
        <v>425</v>
      </c>
      <c r="AK182" s="20">
        <v>0.95</v>
      </c>
      <c r="AL182" s="17" t="s">
        <v>92</v>
      </c>
      <c r="AM182" s="5" t="s">
        <v>426</v>
      </c>
      <c r="AN182" s="5" t="s">
        <v>427</v>
      </c>
      <c r="AO182" s="5" t="s">
        <v>281</v>
      </c>
      <c r="AP182" s="5" t="s">
        <v>281</v>
      </c>
      <c r="AQ182" s="5" t="s">
        <v>428</v>
      </c>
      <c r="AR182" s="5" t="s">
        <v>429</v>
      </c>
      <c r="AS182" s="5" t="s">
        <v>430</v>
      </c>
      <c r="AT182" s="5" t="s">
        <v>281</v>
      </c>
      <c r="AU182" s="5" t="s">
        <v>281</v>
      </c>
      <c r="AV182" s="5" t="s">
        <v>281</v>
      </c>
      <c r="AW182" s="5" t="s">
        <v>281</v>
      </c>
      <c r="AX182" s="5" t="s">
        <v>281</v>
      </c>
      <c r="AY182" s="5" t="s">
        <v>281</v>
      </c>
      <c r="AZ182" s="5" t="s">
        <v>80</v>
      </c>
      <c r="BA182" s="19" t="s">
        <v>281</v>
      </c>
      <c r="BB182" s="17" t="s">
        <v>281</v>
      </c>
      <c r="BC182" s="5" t="s">
        <v>281</v>
      </c>
      <c r="BD182" s="5" t="s">
        <v>431</v>
      </c>
    </row>
    <row r="183" spans="1:56" ht="156" hidden="1" x14ac:dyDescent="0.25">
      <c r="A183" s="78" t="s">
        <v>288</v>
      </c>
      <c r="B183" s="5" t="s">
        <v>289</v>
      </c>
      <c r="C183" s="5" t="s">
        <v>290</v>
      </c>
      <c r="D183" s="5" t="s">
        <v>252</v>
      </c>
      <c r="E183" s="99" t="str">
        <f>VLOOKUP(D183,'Dropdown List'!$F$26:$G$40,2,0)</f>
        <v>India</v>
      </c>
      <c r="F183" s="8" t="s">
        <v>291</v>
      </c>
      <c r="G183" s="96">
        <v>1</v>
      </c>
      <c r="H183" s="5" t="s">
        <v>57</v>
      </c>
      <c r="I183" s="8" t="s">
        <v>71</v>
      </c>
      <c r="J183" s="8" t="s">
        <v>292</v>
      </c>
      <c r="K183" s="8" t="s">
        <v>293</v>
      </c>
      <c r="L183" s="8" t="s">
        <v>3094</v>
      </c>
      <c r="M183" s="8" t="s">
        <v>3095</v>
      </c>
      <c r="N183" s="5" t="s">
        <v>3294</v>
      </c>
      <c r="O183" s="5" t="s">
        <v>61</v>
      </c>
      <c r="P183" s="5" t="s">
        <v>294</v>
      </c>
      <c r="Q183" s="9" t="s">
        <v>75</v>
      </c>
      <c r="R183" s="5" t="s">
        <v>76</v>
      </c>
      <c r="S183" s="5" t="s">
        <v>120</v>
      </c>
      <c r="T183" s="96">
        <v>1</v>
      </c>
      <c r="U183" s="96">
        <v>6</v>
      </c>
      <c r="V183" s="96">
        <v>4</v>
      </c>
      <c r="W183" s="5" t="s">
        <v>91</v>
      </c>
      <c r="X183" s="10" t="s">
        <v>79</v>
      </c>
      <c r="Y183" s="11" t="s">
        <v>3096</v>
      </c>
      <c r="Z183" s="12">
        <v>49</v>
      </c>
      <c r="AA183" s="12">
        <v>14</v>
      </c>
      <c r="AB183" s="12">
        <v>6</v>
      </c>
      <c r="AC183" s="13">
        <v>4</v>
      </c>
      <c r="AD183" s="14">
        <f t="shared" si="6"/>
        <v>73</v>
      </c>
      <c r="AE183" s="15">
        <f t="shared" si="7"/>
        <v>5.4794520547945202E-2</v>
      </c>
      <c r="AF183" s="16" t="s">
        <v>295</v>
      </c>
      <c r="AG183" s="16" t="s">
        <v>66</v>
      </c>
      <c r="AH183" s="17" t="s">
        <v>296</v>
      </c>
      <c r="AI183" s="18" t="s">
        <v>297</v>
      </c>
      <c r="AJ183" s="19" t="s">
        <v>298</v>
      </c>
      <c r="AK183" s="20" t="s">
        <v>299</v>
      </c>
      <c r="AL183" s="17" t="s">
        <v>92</v>
      </c>
      <c r="AM183" s="5" t="s">
        <v>300</v>
      </c>
      <c r="AN183" s="5" t="s">
        <v>66</v>
      </c>
      <c r="AO183" s="5" t="s">
        <v>301</v>
      </c>
      <c r="AP183" s="5" t="s">
        <v>302</v>
      </c>
      <c r="AQ183" s="5" t="s">
        <v>303</v>
      </c>
      <c r="AR183" s="5" t="s">
        <v>304</v>
      </c>
      <c r="AS183" s="5" t="s">
        <v>305</v>
      </c>
      <c r="AT183" s="5" t="s">
        <v>66</v>
      </c>
      <c r="AU183" s="5" t="s">
        <v>66</v>
      </c>
      <c r="AV183" s="5" t="s">
        <v>66</v>
      </c>
      <c r="AW183" s="5" t="s">
        <v>66</v>
      </c>
      <c r="AX183" s="5" t="s">
        <v>0</v>
      </c>
      <c r="AY183" s="5" t="s">
        <v>69</v>
      </c>
      <c r="AZ183" s="5" t="s">
        <v>80</v>
      </c>
      <c r="BA183" s="19" t="s">
        <v>66</v>
      </c>
      <c r="BB183" s="17" t="s">
        <v>65</v>
      </c>
      <c r="BC183" s="5" t="s">
        <v>206</v>
      </c>
      <c r="BD183" s="5" t="s">
        <v>306</v>
      </c>
    </row>
    <row r="184" spans="1:56" ht="156" hidden="1" x14ac:dyDescent="0.25">
      <c r="A184" s="78" t="s">
        <v>288</v>
      </c>
      <c r="B184" s="5" t="s">
        <v>289</v>
      </c>
      <c r="C184" s="5" t="s">
        <v>290</v>
      </c>
      <c r="D184" s="5" t="s">
        <v>252</v>
      </c>
      <c r="E184" s="99" t="str">
        <f>VLOOKUP(D184,'Dropdown List'!$F$26:$G$40,2,0)</f>
        <v>India</v>
      </c>
      <c r="F184" s="8" t="s">
        <v>291</v>
      </c>
      <c r="G184" s="96">
        <v>1</v>
      </c>
      <c r="H184" s="5" t="s">
        <v>57</v>
      </c>
      <c r="I184" s="8" t="s">
        <v>58</v>
      </c>
      <c r="J184" s="8" t="s">
        <v>163</v>
      </c>
      <c r="K184" s="8" t="s">
        <v>307</v>
      </c>
      <c r="L184" s="8" t="s">
        <v>3097</v>
      </c>
      <c r="M184" s="8" t="s">
        <v>308</v>
      </c>
      <c r="N184" s="5" t="s">
        <v>3294</v>
      </c>
      <c r="O184" s="5" t="s">
        <v>61</v>
      </c>
      <c r="P184" s="5" t="s">
        <v>294</v>
      </c>
      <c r="Q184" s="9" t="s">
        <v>75</v>
      </c>
      <c r="R184" s="5" t="s">
        <v>76</v>
      </c>
      <c r="S184" s="5" t="s">
        <v>120</v>
      </c>
      <c r="T184" s="96">
        <v>1</v>
      </c>
      <c r="U184" s="96">
        <v>6</v>
      </c>
      <c r="V184" s="96">
        <v>4</v>
      </c>
      <c r="W184" s="5" t="s">
        <v>91</v>
      </c>
      <c r="X184" s="10" t="s">
        <v>79</v>
      </c>
      <c r="Y184" s="11" t="s">
        <v>3098</v>
      </c>
      <c r="Z184" s="12">
        <v>11</v>
      </c>
      <c r="AA184" s="12">
        <v>1</v>
      </c>
      <c r="AB184" s="12">
        <v>1</v>
      </c>
      <c r="AC184" s="13">
        <v>2</v>
      </c>
      <c r="AD184" s="14">
        <f t="shared" si="6"/>
        <v>15</v>
      </c>
      <c r="AE184" s="15">
        <f t="shared" si="7"/>
        <v>0.13333333333333333</v>
      </c>
      <c r="AF184" s="16" t="s">
        <v>309</v>
      </c>
      <c r="AG184" s="16" t="s">
        <v>66</v>
      </c>
      <c r="AH184" s="17" t="s">
        <v>66</v>
      </c>
      <c r="AI184" s="18" t="s">
        <v>310</v>
      </c>
      <c r="AJ184" s="19" t="s">
        <v>311</v>
      </c>
      <c r="AK184" s="20" t="s">
        <v>3099</v>
      </c>
      <c r="AL184" s="17" t="s">
        <v>92</v>
      </c>
      <c r="AM184" s="5" t="s">
        <v>3100</v>
      </c>
      <c r="AN184" s="5" t="s">
        <v>66</v>
      </c>
      <c r="AO184" s="5" t="s">
        <v>301</v>
      </c>
      <c r="AP184" s="5" t="s">
        <v>302</v>
      </c>
      <c r="AQ184" s="5" t="s">
        <v>303</v>
      </c>
      <c r="AR184" s="5" t="s">
        <v>304</v>
      </c>
      <c r="AS184" s="5" t="s">
        <v>305</v>
      </c>
      <c r="AT184" s="5" t="s">
        <v>66</v>
      </c>
      <c r="AU184" s="5" t="s">
        <v>66</v>
      </c>
      <c r="AV184" s="5" t="s">
        <v>66</v>
      </c>
      <c r="AW184" s="5" t="s">
        <v>66</v>
      </c>
      <c r="AX184" s="5" t="s">
        <v>0</v>
      </c>
      <c r="AY184" s="5" t="s">
        <v>69</v>
      </c>
      <c r="AZ184" s="5" t="s">
        <v>145</v>
      </c>
      <c r="BA184" s="19" t="s">
        <v>66</v>
      </c>
      <c r="BB184" s="17" t="s">
        <v>65</v>
      </c>
      <c r="BC184" s="5" t="s">
        <v>206</v>
      </c>
      <c r="BD184" s="5" t="s">
        <v>312</v>
      </c>
    </row>
    <row r="185" spans="1:56" ht="36" hidden="1" x14ac:dyDescent="0.25">
      <c r="A185" s="78" t="s">
        <v>473</v>
      </c>
      <c r="B185" s="5" t="s">
        <v>82</v>
      </c>
      <c r="C185" s="5" t="s">
        <v>3293</v>
      </c>
      <c r="D185" s="5" t="s">
        <v>275</v>
      </c>
      <c r="E185" s="99" t="str">
        <f>VLOOKUP(D185,'Dropdown List'!$F$26:$G$40,2,0)</f>
        <v>South Africa</v>
      </c>
      <c r="F185" s="8" t="s">
        <v>474</v>
      </c>
      <c r="G185" s="96">
        <v>1.5</v>
      </c>
      <c r="H185" s="5" t="s">
        <v>57</v>
      </c>
      <c r="I185" s="8" t="s">
        <v>58</v>
      </c>
      <c r="J185" s="8" t="s">
        <v>146</v>
      </c>
      <c r="K185" s="8" t="s">
        <v>154</v>
      </c>
      <c r="L185" s="8" t="s">
        <v>222</v>
      </c>
      <c r="M185" s="8" t="s">
        <v>155</v>
      </c>
      <c r="N185" s="5" t="s">
        <v>319</v>
      </c>
      <c r="O185" s="5" t="s">
        <v>156</v>
      </c>
      <c r="P185" s="5" t="s">
        <v>157</v>
      </c>
      <c r="Q185" s="9" t="s">
        <v>62</v>
      </c>
      <c r="R185" s="5" t="s">
        <v>132</v>
      </c>
      <c r="S185" s="5" t="s">
        <v>64</v>
      </c>
      <c r="T185" s="96">
        <v>3</v>
      </c>
      <c r="U185" s="96">
        <v>3</v>
      </c>
      <c r="V185" s="96">
        <v>6</v>
      </c>
      <c r="W185" s="5" t="s">
        <v>91</v>
      </c>
      <c r="X185" s="10" t="s">
        <v>79</v>
      </c>
      <c r="Y185" s="11">
        <v>36500</v>
      </c>
      <c r="Z185" s="12">
        <v>33</v>
      </c>
      <c r="AA185" s="12">
        <v>5</v>
      </c>
      <c r="AB185" s="12">
        <v>7</v>
      </c>
      <c r="AC185" s="13">
        <v>32</v>
      </c>
      <c r="AD185" s="14">
        <f t="shared" si="6"/>
        <v>77</v>
      </c>
      <c r="AE185" s="15">
        <f t="shared" si="7"/>
        <v>0.41558441558441561</v>
      </c>
      <c r="AF185" s="16">
        <v>7597.2</v>
      </c>
      <c r="AG185" s="16" t="s">
        <v>66</v>
      </c>
      <c r="AH185" s="17" t="s">
        <v>475</v>
      </c>
      <c r="AI185" s="18" t="s">
        <v>158</v>
      </c>
      <c r="AJ185" s="19" t="s">
        <v>476</v>
      </c>
      <c r="AK185" s="20">
        <v>0.9</v>
      </c>
      <c r="AL185" s="17" t="s">
        <v>92</v>
      </c>
      <c r="AM185" s="5" t="s">
        <v>3111</v>
      </c>
      <c r="AN185" s="5" t="s">
        <v>477</v>
      </c>
      <c r="AO185" s="5" t="s">
        <v>3112</v>
      </c>
      <c r="AP185" s="5" t="s">
        <v>3113</v>
      </c>
      <c r="AQ185" s="5" t="s">
        <v>66</v>
      </c>
      <c r="AR185" s="5" t="s">
        <v>66</v>
      </c>
      <c r="AS185" s="5" t="s">
        <v>66</v>
      </c>
      <c r="AT185" s="5" t="s">
        <v>3114</v>
      </c>
      <c r="AU185" s="5"/>
      <c r="AV185" s="5" t="s">
        <v>3115</v>
      </c>
      <c r="AW185" s="5" t="s">
        <v>3116</v>
      </c>
      <c r="AX185" s="5" t="s">
        <v>159</v>
      </c>
      <c r="AY185" s="5" t="s">
        <v>160</v>
      </c>
      <c r="AZ185" s="5" t="s">
        <v>145</v>
      </c>
      <c r="BA185" s="19" t="s">
        <v>66</v>
      </c>
      <c r="BB185" s="17" t="s">
        <v>161</v>
      </c>
      <c r="BC185" s="5" t="s">
        <v>162</v>
      </c>
      <c r="BD185" s="5" t="s">
        <v>478</v>
      </c>
    </row>
    <row r="186" spans="1:56" ht="36" hidden="1" x14ac:dyDescent="0.25">
      <c r="A186" s="78" t="s">
        <v>473</v>
      </c>
      <c r="B186" s="5" t="s">
        <v>82</v>
      </c>
      <c r="C186" s="5" t="s">
        <v>3293</v>
      </c>
      <c r="D186" s="5" t="s">
        <v>479</v>
      </c>
      <c r="E186" s="99" t="str">
        <f>VLOOKUP(D186,'Dropdown List'!$F$26:$G$40,2,0)</f>
        <v>Colombia</v>
      </c>
      <c r="F186" s="8" t="s">
        <v>474</v>
      </c>
      <c r="G186" s="96">
        <v>1.5</v>
      </c>
      <c r="H186" s="5" t="s">
        <v>57</v>
      </c>
      <c r="I186" s="8" t="s">
        <v>58</v>
      </c>
      <c r="J186" s="8" t="s">
        <v>146</v>
      </c>
      <c r="K186" s="8" t="s">
        <v>154</v>
      </c>
      <c r="L186" s="8" t="s">
        <v>222</v>
      </c>
      <c r="M186" s="8" t="s">
        <v>155</v>
      </c>
      <c r="N186" s="5" t="s">
        <v>319</v>
      </c>
      <c r="O186" s="5" t="s">
        <v>156</v>
      </c>
      <c r="P186" s="5" t="s">
        <v>157</v>
      </c>
      <c r="Q186" s="9" t="s">
        <v>62</v>
      </c>
      <c r="R186" s="5" t="s">
        <v>132</v>
      </c>
      <c r="S186" s="5" t="s">
        <v>64</v>
      </c>
      <c r="T186" s="96">
        <v>3</v>
      </c>
      <c r="U186" s="96">
        <v>3</v>
      </c>
      <c r="V186" s="96">
        <v>6</v>
      </c>
      <c r="W186" s="5" t="s">
        <v>91</v>
      </c>
      <c r="X186" s="10" t="s">
        <v>79</v>
      </c>
      <c r="Y186" s="11">
        <v>41600</v>
      </c>
      <c r="Z186" s="12">
        <v>10</v>
      </c>
      <c r="AA186" s="12">
        <v>1</v>
      </c>
      <c r="AB186" s="12">
        <v>1</v>
      </c>
      <c r="AC186" s="13">
        <v>11</v>
      </c>
      <c r="AD186" s="14">
        <f t="shared" si="6"/>
        <v>23</v>
      </c>
      <c r="AE186" s="15">
        <f t="shared" si="7"/>
        <v>0.47826086956521741</v>
      </c>
      <c r="AF186" s="16"/>
      <c r="AG186" s="16" t="s">
        <v>66</v>
      </c>
      <c r="AH186" s="17" t="s">
        <v>475</v>
      </c>
      <c r="AI186" s="18" t="s">
        <v>158</v>
      </c>
      <c r="AJ186" s="19" t="s">
        <v>476</v>
      </c>
      <c r="AK186" s="20">
        <v>0.9</v>
      </c>
      <c r="AL186" s="17" t="s">
        <v>92</v>
      </c>
      <c r="AM186" s="5" t="s">
        <v>3111</v>
      </c>
      <c r="AN186" s="5" t="s">
        <v>477</v>
      </c>
      <c r="AO186" s="5" t="s">
        <v>66</v>
      </c>
      <c r="AP186" s="5" t="s">
        <v>66</v>
      </c>
      <c r="AQ186" s="5" t="s">
        <v>66</v>
      </c>
      <c r="AR186" s="5" t="s">
        <v>66</v>
      </c>
      <c r="AS186" s="5" t="s">
        <v>66</v>
      </c>
      <c r="AT186" s="5" t="s">
        <v>3114</v>
      </c>
      <c r="AU186" s="5"/>
      <c r="AV186" s="5" t="s">
        <v>3115</v>
      </c>
      <c r="AW186" s="5" t="s">
        <v>3116</v>
      </c>
      <c r="AX186" s="5" t="s">
        <v>159</v>
      </c>
      <c r="AY186" s="5" t="s">
        <v>160</v>
      </c>
      <c r="AZ186" s="5" t="s">
        <v>145</v>
      </c>
      <c r="BA186" s="19" t="s">
        <v>66</v>
      </c>
      <c r="BB186" s="17" t="s">
        <v>161</v>
      </c>
      <c r="BC186" s="5" t="s">
        <v>162</v>
      </c>
      <c r="BD186" s="5" t="s">
        <v>478</v>
      </c>
    </row>
    <row r="187" spans="1:56" ht="72" hidden="1" x14ac:dyDescent="0.25">
      <c r="A187" s="78" t="s">
        <v>473</v>
      </c>
      <c r="B187" s="5" t="s">
        <v>82</v>
      </c>
      <c r="C187" s="5" t="s">
        <v>3293</v>
      </c>
      <c r="D187" s="5" t="s">
        <v>275</v>
      </c>
      <c r="E187" s="99" t="str">
        <f>VLOOKUP(D187,'Dropdown List'!$F$26:$G$40,2,0)</f>
        <v>South Africa</v>
      </c>
      <c r="F187" s="8" t="s">
        <v>474</v>
      </c>
      <c r="G187" s="96">
        <v>1.5</v>
      </c>
      <c r="H187" s="5" t="s">
        <v>57</v>
      </c>
      <c r="I187" s="8" t="s">
        <v>480</v>
      </c>
      <c r="J187" s="8" t="s">
        <v>481</v>
      </c>
      <c r="K187" s="8" t="s">
        <v>485</v>
      </c>
      <c r="L187" s="8" t="s">
        <v>485</v>
      </c>
      <c r="M187" s="8" t="s">
        <v>3117</v>
      </c>
      <c r="N187" s="5" t="s">
        <v>319</v>
      </c>
      <c r="O187" s="5" t="s">
        <v>156</v>
      </c>
      <c r="P187" s="5" t="s">
        <v>157</v>
      </c>
      <c r="Q187" s="9" t="s">
        <v>62</v>
      </c>
      <c r="R187" s="5" t="s">
        <v>132</v>
      </c>
      <c r="S187" s="5" t="s">
        <v>64</v>
      </c>
      <c r="T187" s="96">
        <v>3</v>
      </c>
      <c r="U187" s="96">
        <v>2</v>
      </c>
      <c r="V187" s="96">
        <v>2</v>
      </c>
      <c r="W187" s="5" t="s">
        <v>91</v>
      </c>
      <c r="X187" s="10" t="s">
        <v>79</v>
      </c>
      <c r="Y187" s="11">
        <v>36500</v>
      </c>
      <c r="Z187" s="12">
        <v>14</v>
      </c>
      <c r="AA187" s="12">
        <v>3</v>
      </c>
      <c r="AB187" s="12">
        <v>1</v>
      </c>
      <c r="AC187" s="13">
        <v>16</v>
      </c>
      <c r="AD187" s="14">
        <f t="shared" si="6"/>
        <v>34</v>
      </c>
      <c r="AE187" s="15">
        <f t="shared" si="7"/>
        <v>0.47058823529411764</v>
      </c>
      <c r="AF187" s="16">
        <v>7597.2</v>
      </c>
      <c r="AG187" s="16" t="s">
        <v>66</v>
      </c>
      <c r="AH187" s="17" t="s">
        <v>475</v>
      </c>
      <c r="AI187" s="18" t="s">
        <v>3118</v>
      </c>
      <c r="AJ187" s="19" t="s">
        <v>476</v>
      </c>
      <c r="AK187" s="20">
        <v>0.92</v>
      </c>
      <c r="AL187" s="17" t="s">
        <v>92</v>
      </c>
      <c r="AM187" s="5" t="s">
        <v>888</v>
      </c>
      <c r="AN187" s="5" t="s">
        <v>477</v>
      </c>
      <c r="AO187" s="5" t="s">
        <v>66</v>
      </c>
      <c r="AP187" s="5" t="s">
        <v>66</v>
      </c>
      <c r="AQ187" s="5" t="s">
        <v>66</v>
      </c>
      <c r="AR187" s="5" t="s">
        <v>66</v>
      </c>
      <c r="AS187" s="5" t="s">
        <v>66</v>
      </c>
      <c r="AT187" s="5" t="s">
        <v>66</v>
      </c>
      <c r="AU187" s="5" t="s">
        <v>66</v>
      </c>
      <c r="AV187" s="5" t="s">
        <v>66</v>
      </c>
      <c r="AW187" s="5" t="s">
        <v>66</v>
      </c>
      <c r="AX187" s="5" t="s">
        <v>159</v>
      </c>
      <c r="AY187" s="5" t="s">
        <v>482</v>
      </c>
      <c r="AZ187" s="5" t="s">
        <v>70</v>
      </c>
      <c r="BA187" s="19" t="s">
        <v>66</v>
      </c>
      <c r="BB187" s="17" t="s">
        <v>483</v>
      </c>
      <c r="BC187" s="5" t="s">
        <v>162</v>
      </c>
      <c r="BD187" s="5" t="s">
        <v>484</v>
      </c>
    </row>
    <row r="188" spans="1:56" ht="72" hidden="1" x14ac:dyDescent="0.25">
      <c r="A188" s="78" t="s">
        <v>473</v>
      </c>
      <c r="B188" s="5" t="s">
        <v>82</v>
      </c>
      <c r="C188" s="5" t="s">
        <v>3293</v>
      </c>
      <c r="D188" s="5" t="s">
        <v>479</v>
      </c>
      <c r="E188" s="99" t="str">
        <f>VLOOKUP(D188,'Dropdown List'!$F$26:$G$40,2,0)</f>
        <v>Colombia</v>
      </c>
      <c r="F188" s="8" t="s">
        <v>474</v>
      </c>
      <c r="G188" s="96">
        <v>1.5</v>
      </c>
      <c r="H188" s="5" t="s">
        <v>57</v>
      </c>
      <c r="I188" s="8" t="s">
        <v>480</v>
      </c>
      <c r="J188" s="8" t="s">
        <v>481</v>
      </c>
      <c r="K188" s="8" t="s">
        <v>485</v>
      </c>
      <c r="L188" s="8" t="s">
        <v>485</v>
      </c>
      <c r="M188" s="8" t="s">
        <v>3117</v>
      </c>
      <c r="N188" s="5" t="s">
        <v>319</v>
      </c>
      <c r="O188" s="5" t="s">
        <v>156</v>
      </c>
      <c r="P188" s="5" t="s">
        <v>157</v>
      </c>
      <c r="Q188" s="9" t="s">
        <v>62</v>
      </c>
      <c r="R188" s="5" t="s">
        <v>132</v>
      </c>
      <c r="S188" s="5" t="s">
        <v>64</v>
      </c>
      <c r="T188" s="96">
        <v>3</v>
      </c>
      <c r="U188" s="96">
        <v>2</v>
      </c>
      <c r="V188" s="96">
        <v>2</v>
      </c>
      <c r="W188" s="5" t="s">
        <v>91</v>
      </c>
      <c r="X188" s="10" t="s">
        <v>79</v>
      </c>
      <c r="Y188" s="11">
        <v>41600</v>
      </c>
      <c r="Z188" s="12">
        <v>2</v>
      </c>
      <c r="AA188" s="12">
        <v>0</v>
      </c>
      <c r="AB188" s="12">
        <v>1</v>
      </c>
      <c r="AC188" s="13">
        <v>3</v>
      </c>
      <c r="AD188" s="14">
        <f t="shared" si="6"/>
        <v>6</v>
      </c>
      <c r="AE188" s="15">
        <f t="shared" si="7"/>
        <v>0.5</v>
      </c>
      <c r="AF188" s="16"/>
      <c r="AG188" s="16" t="s">
        <v>66</v>
      </c>
      <c r="AH188" s="17" t="s">
        <v>475</v>
      </c>
      <c r="AI188" s="18" t="s">
        <v>3118</v>
      </c>
      <c r="AJ188" s="19" t="s">
        <v>476</v>
      </c>
      <c r="AK188" s="20">
        <v>0.92</v>
      </c>
      <c r="AL188" s="17" t="s">
        <v>92</v>
      </c>
      <c r="AM188" s="5" t="s">
        <v>888</v>
      </c>
      <c r="AN188" s="5" t="s">
        <v>477</v>
      </c>
      <c r="AO188" s="5" t="s">
        <v>66</v>
      </c>
      <c r="AP188" s="5" t="s">
        <v>66</v>
      </c>
      <c r="AQ188" s="5" t="s">
        <v>66</v>
      </c>
      <c r="AR188" s="5" t="s">
        <v>66</v>
      </c>
      <c r="AS188" s="5" t="s">
        <v>66</v>
      </c>
      <c r="AT188" s="5" t="s">
        <v>66</v>
      </c>
      <c r="AU188" s="5" t="s">
        <v>66</v>
      </c>
      <c r="AV188" s="5" t="s">
        <v>66</v>
      </c>
      <c r="AW188" s="5" t="s">
        <v>66</v>
      </c>
      <c r="AX188" s="5" t="s">
        <v>159</v>
      </c>
      <c r="AY188" s="5" t="s">
        <v>482</v>
      </c>
      <c r="AZ188" s="5" t="s">
        <v>70</v>
      </c>
      <c r="BA188" s="19" t="s">
        <v>66</v>
      </c>
      <c r="BB188" s="17" t="s">
        <v>483</v>
      </c>
      <c r="BC188" s="5" t="s">
        <v>162</v>
      </c>
      <c r="BD188" s="5" t="s">
        <v>484</v>
      </c>
    </row>
    <row r="189" spans="1:56" ht="72" hidden="1" x14ac:dyDescent="0.25">
      <c r="A189" s="78" t="s">
        <v>473</v>
      </c>
      <c r="B189" s="5" t="s">
        <v>82</v>
      </c>
      <c r="C189" s="5" t="s">
        <v>3293</v>
      </c>
      <c r="D189" s="5" t="s">
        <v>275</v>
      </c>
      <c r="E189" s="99" t="str">
        <f>VLOOKUP(D189,'Dropdown List'!$F$26:$G$40,2,0)</f>
        <v>South Africa</v>
      </c>
      <c r="F189" s="8" t="s">
        <v>474</v>
      </c>
      <c r="G189" s="96">
        <v>1.5</v>
      </c>
      <c r="H189" s="5" t="s">
        <v>57</v>
      </c>
      <c r="I189" s="8" t="s">
        <v>480</v>
      </c>
      <c r="J189" s="8" t="s">
        <v>481</v>
      </c>
      <c r="K189" s="8" t="s">
        <v>2769</v>
      </c>
      <c r="L189" s="8" t="s">
        <v>3119</v>
      </c>
      <c r="M189" s="8" t="s">
        <v>486</v>
      </c>
      <c r="N189" s="5" t="s">
        <v>319</v>
      </c>
      <c r="O189" s="5" t="s">
        <v>156</v>
      </c>
      <c r="P189" s="5" t="s">
        <v>157</v>
      </c>
      <c r="Q189" s="9" t="s">
        <v>62</v>
      </c>
      <c r="R189" s="5" t="s">
        <v>132</v>
      </c>
      <c r="S189" s="5" t="s">
        <v>64</v>
      </c>
      <c r="T189" s="96">
        <v>3</v>
      </c>
      <c r="U189" s="96">
        <v>3</v>
      </c>
      <c r="V189" s="96">
        <v>6</v>
      </c>
      <c r="W189" s="5" t="s">
        <v>91</v>
      </c>
      <c r="X189" s="10" t="s">
        <v>79</v>
      </c>
      <c r="Y189" s="11">
        <v>36500</v>
      </c>
      <c r="Z189" s="12">
        <v>12</v>
      </c>
      <c r="AA189" s="12">
        <v>3</v>
      </c>
      <c r="AB189" s="12">
        <v>3</v>
      </c>
      <c r="AC189" s="13">
        <v>14</v>
      </c>
      <c r="AD189" s="14">
        <f t="shared" si="6"/>
        <v>32</v>
      </c>
      <c r="AE189" s="15">
        <f t="shared" si="7"/>
        <v>0.4375</v>
      </c>
      <c r="AF189" s="16">
        <v>7597.2</v>
      </c>
      <c r="AG189" s="16" t="s">
        <v>66</v>
      </c>
      <c r="AH189" s="17" t="s">
        <v>475</v>
      </c>
      <c r="AI189" s="18" t="s">
        <v>3120</v>
      </c>
      <c r="AJ189" s="19" t="s">
        <v>476</v>
      </c>
      <c r="AK189" s="20">
        <v>0.82</v>
      </c>
      <c r="AL189" s="17" t="s">
        <v>92</v>
      </c>
      <c r="AM189" s="5" t="s">
        <v>3111</v>
      </c>
      <c r="AN189" s="5" t="s">
        <v>66</v>
      </c>
      <c r="AO189" s="5" t="s">
        <v>66</v>
      </c>
      <c r="AP189" s="5" t="s">
        <v>66</v>
      </c>
      <c r="AQ189" s="5" t="s">
        <v>66</v>
      </c>
      <c r="AR189" s="5" t="s">
        <v>66</v>
      </c>
      <c r="AS189" s="5" t="s">
        <v>66</v>
      </c>
      <c r="AT189" s="5" t="s">
        <v>66</v>
      </c>
      <c r="AU189" s="5" t="s">
        <v>66</v>
      </c>
      <c r="AV189" s="5" t="s">
        <v>66</v>
      </c>
      <c r="AW189" s="5" t="s">
        <v>66</v>
      </c>
      <c r="AX189" s="5" t="s">
        <v>159</v>
      </c>
      <c r="AY189" s="5" t="s">
        <v>482</v>
      </c>
      <c r="AZ189" s="5" t="s">
        <v>70</v>
      </c>
      <c r="BA189" s="19" t="s">
        <v>66</v>
      </c>
      <c r="BB189" s="17" t="s">
        <v>483</v>
      </c>
      <c r="BC189" s="5" t="s">
        <v>162</v>
      </c>
      <c r="BD189" s="5" t="s">
        <v>484</v>
      </c>
    </row>
    <row r="190" spans="1:56" ht="72" hidden="1" x14ac:dyDescent="0.25">
      <c r="A190" s="78" t="s">
        <v>473</v>
      </c>
      <c r="B190" s="5" t="s">
        <v>82</v>
      </c>
      <c r="C190" s="5" t="s">
        <v>3293</v>
      </c>
      <c r="D190" s="5" t="s">
        <v>479</v>
      </c>
      <c r="E190" s="99" t="str">
        <f>VLOOKUP(D190,'Dropdown List'!$F$26:$G$40,2,0)</f>
        <v>Colombia</v>
      </c>
      <c r="F190" s="8" t="s">
        <v>474</v>
      </c>
      <c r="G190" s="96">
        <v>1.5</v>
      </c>
      <c r="H190" s="5" t="s">
        <v>57</v>
      </c>
      <c r="I190" s="8" t="s">
        <v>480</v>
      </c>
      <c r="J190" s="8" t="s">
        <v>481</v>
      </c>
      <c r="K190" s="8" t="s">
        <v>2769</v>
      </c>
      <c r="L190" s="8" t="s">
        <v>3119</v>
      </c>
      <c r="M190" s="8" t="s">
        <v>486</v>
      </c>
      <c r="N190" s="5" t="s">
        <v>319</v>
      </c>
      <c r="O190" s="5" t="s">
        <v>156</v>
      </c>
      <c r="P190" s="5" t="s">
        <v>157</v>
      </c>
      <c r="Q190" s="9" t="s">
        <v>62</v>
      </c>
      <c r="R190" s="5" t="s">
        <v>132</v>
      </c>
      <c r="S190" s="5" t="s">
        <v>64</v>
      </c>
      <c r="T190" s="96">
        <v>3</v>
      </c>
      <c r="U190" s="96">
        <v>3</v>
      </c>
      <c r="V190" s="96">
        <v>6</v>
      </c>
      <c r="W190" s="5" t="s">
        <v>91</v>
      </c>
      <c r="X190" s="10" t="s">
        <v>79</v>
      </c>
      <c r="Y190" s="11">
        <v>41600</v>
      </c>
      <c r="Z190" s="12">
        <v>4</v>
      </c>
      <c r="AA190" s="12">
        <v>1</v>
      </c>
      <c r="AB190" s="12">
        <v>1</v>
      </c>
      <c r="AC190" s="13">
        <v>7</v>
      </c>
      <c r="AD190" s="14">
        <f t="shared" si="6"/>
        <v>13</v>
      </c>
      <c r="AE190" s="15">
        <f t="shared" si="7"/>
        <v>0.53846153846153844</v>
      </c>
      <c r="AF190" s="16"/>
      <c r="AG190" s="16" t="s">
        <v>66</v>
      </c>
      <c r="AH190" s="17" t="s">
        <v>475</v>
      </c>
      <c r="AI190" s="18" t="s">
        <v>3120</v>
      </c>
      <c r="AJ190" s="19" t="s">
        <v>476</v>
      </c>
      <c r="AK190" s="20">
        <v>0.82</v>
      </c>
      <c r="AL190" s="17" t="s">
        <v>92</v>
      </c>
      <c r="AM190" s="5" t="s">
        <v>3111</v>
      </c>
      <c r="AN190" s="5" t="s">
        <v>66</v>
      </c>
      <c r="AO190" s="5" t="s">
        <v>66</v>
      </c>
      <c r="AP190" s="5" t="s">
        <v>66</v>
      </c>
      <c r="AQ190" s="5" t="s">
        <v>66</v>
      </c>
      <c r="AR190" s="5" t="s">
        <v>66</v>
      </c>
      <c r="AS190" s="5" t="s">
        <v>66</v>
      </c>
      <c r="AT190" s="5" t="s">
        <v>66</v>
      </c>
      <c r="AU190" s="5" t="s">
        <v>66</v>
      </c>
      <c r="AV190" s="5" t="s">
        <v>66</v>
      </c>
      <c r="AW190" s="5" t="s">
        <v>66</v>
      </c>
      <c r="AX190" s="5" t="s">
        <v>159</v>
      </c>
      <c r="AY190" s="5" t="s">
        <v>482</v>
      </c>
      <c r="AZ190" s="5" t="s">
        <v>70</v>
      </c>
      <c r="BA190" s="19" t="s">
        <v>66</v>
      </c>
      <c r="BB190" s="17" t="s">
        <v>483</v>
      </c>
      <c r="BC190" s="5" t="s">
        <v>162</v>
      </c>
      <c r="BD190" s="5" t="s">
        <v>484</v>
      </c>
    </row>
    <row r="191" spans="1:56" ht="72" hidden="1" x14ac:dyDescent="0.25">
      <c r="A191" s="78" t="s">
        <v>473</v>
      </c>
      <c r="B191" s="5" t="s">
        <v>82</v>
      </c>
      <c r="C191" s="5" t="s">
        <v>3293</v>
      </c>
      <c r="D191" s="5" t="s">
        <v>275</v>
      </c>
      <c r="E191" s="99" t="str">
        <f>VLOOKUP(D191,'Dropdown List'!$F$26:$G$40,2,0)</f>
        <v>South Africa</v>
      </c>
      <c r="F191" s="8" t="s">
        <v>474</v>
      </c>
      <c r="G191" s="96">
        <v>1.5</v>
      </c>
      <c r="H191" s="5" t="s">
        <v>57</v>
      </c>
      <c r="I191" s="8" t="s">
        <v>480</v>
      </c>
      <c r="J191" s="8" t="s">
        <v>481</v>
      </c>
      <c r="K191" s="8" t="s">
        <v>2769</v>
      </c>
      <c r="L191" s="8" t="s">
        <v>3121</v>
      </c>
      <c r="M191" s="8" t="s">
        <v>486</v>
      </c>
      <c r="N191" s="5" t="s">
        <v>319</v>
      </c>
      <c r="O191" s="5" t="s">
        <v>156</v>
      </c>
      <c r="P191" s="5" t="s">
        <v>157</v>
      </c>
      <c r="Q191" s="9" t="s">
        <v>62</v>
      </c>
      <c r="R191" s="5" t="s">
        <v>132</v>
      </c>
      <c r="S191" s="5" t="s">
        <v>64</v>
      </c>
      <c r="T191" s="96">
        <v>3</v>
      </c>
      <c r="U191" s="96">
        <v>3</v>
      </c>
      <c r="V191" s="96">
        <v>6</v>
      </c>
      <c r="W191" s="5" t="s">
        <v>91</v>
      </c>
      <c r="X191" s="10" t="s">
        <v>79</v>
      </c>
      <c r="Y191" s="11">
        <v>36500</v>
      </c>
      <c r="Z191" s="12">
        <v>7</v>
      </c>
      <c r="AA191" s="12">
        <v>2</v>
      </c>
      <c r="AB191" s="12">
        <v>1</v>
      </c>
      <c r="AC191" s="13">
        <v>10</v>
      </c>
      <c r="AD191" s="14">
        <f t="shared" si="6"/>
        <v>20</v>
      </c>
      <c r="AE191" s="15">
        <f t="shared" si="7"/>
        <v>0.5</v>
      </c>
      <c r="AF191" s="16">
        <v>7597.2</v>
      </c>
      <c r="AG191" s="16" t="s">
        <v>66</v>
      </c>
      <c r="AH191" s="17" t="s">
        <v>475</v>
      </c>
      <c r="AI191" s="18" t="s">
        <v>3120</v>
      </c>
      <c r="AJ191" s="19" t="s">
        <v>476</v>
      </c>
      <c r="AK191" s="20">
        <v>0.82</v>
      </c>
      <c r="AL191" s="17" t="s">
        <v>92</v>
      </c>
      <c r="AM191" s="5" t="s">
        <v>3111</v>
      </c>
      <c r="AN191" s="5" t="s">
        <v>66</v>
      </c>
      <c r="AO191" s="5" t="s">
        <v>66</v>
      </c>
      <c r="AP191" s="5" t="s">
        <v>66</v>
      </c>
      <c r="AQ191" s="5" t="s">
        <v>66</v>
      </c>
      <c r="AR191" s="5" t="s">
        <v>66</v>
      </c>
      <c r="AS191" s="5" t="s">
        <v>66</v>
      </c>
      <c r="AT191" s="5" t="s">
        <v>66</v>
      </c>
      <c r="AU191" s="5" t="s">
        <v>66</v>
      </c>
      <c r="AV191" s="5" t="s">
        <v>66</v>
      </c>
      <c r="AW191" s="5" t="s">
        <v>66</v>
      </c>
      <c r="AX191" s="5" t="s">
        <v>159</v>
      </c>
      <c r="AY191" s="5" t="s">
        <v>482</v>
      </c>
      <c r="AZ191" s="5" t="s">
        <v>70</v>
      </c>
      <c r="BA191" s="19" t="s">
        <v>66</v>
      </c>
      <c r="BB191" s="17" t="s">
        <v>483</v>
      </c>
      <c r="BC191" s="5" t="s">
        <v>162</v>
      </c>
      <c r="BD191" s="5" t="s">
        <v>484</v>
      </c>
    </row>
    <row r="192" spans="1:56" ht="72" hidden="1" x14ac:dyDescent="0.25">
      <c r="A192" s="78" t="s">
        <v>473</v>
      </c>
      <c r="B192" s="5" t="s">
        <v>82</v>
      </c>
      <c r="C192" s="5" t="s">
        <v>3293</v>
      </c>
      <c r="D192" s="5" t="s">
        <v>479</v>
      </c>
      <c r="E192" s="99" t="str">
        <f>VLOOKUP(D192,'Dropdown List'!$F$26:$G$40,2,0)</f>
        <v>Colombia</v>
      </c>
      <c r="F192" s="8" t="s">
        <v>474</v>
      </c>
      <c r="G192" s="96">
        <v>1.5</v>
      </c>
      <c r="H192" s="5" t="s">
        <v>57</v>
      </c>
      <c r="I192" s="8" t="s">
        <v>480</v>
      </c>
      <c r="J192" s="8" t="s">
        <v>481</v>
      </c>
      <c r="K192" s="8" t="s">
        <v>2769</v>
      </c>
      <c r="L192" s="8" t="s">
        <v>3121</v>
      </c>
      <c r="M192" s="8" t="s">
        <v>486</v>
      </c>
      <c r="N192" s="5" t="s">
        <v>319</v>
      </c>
      <c r="O192" s="5" t="s">
        <v>156</v>
      </c>
      <c r="P192" s="5" t="s">
        <v>157</v>
      </c>
      <c r="Q192" s="9" t="s">
        <v>62</v>
      </c>
      <c r="R192" s="5" t="s">
        <v>132</v>
      </c>
      <c r="S192" s="5" t="s">
        <v>64</v>
      </c>
      <c r="T192" s="96">
        <v>3</v>
      </c>
      <c r="U192" s="96">
        <v>3</v>
      </c>
      <c r="V192" s="96">
        <v>6</v>
      </c>
      <c r="W192" s="5" t="s">
        <v>91</v>
      </c>
      <c r="X192" s="10" t="s">
        <v>79</v>
      </c>
      <c r="Y192" s="11">
        <v>41600</v>
      </c>
      <c r="Z192" s="12">
        <v>4</v>
      </c>
      <c r="AA192" s="12">
        <v>1</v>
      </c>
      <c r="AB192" s="12">
        <v>0</v>
      </c>
      <c r="AC192" s="13">
        <v>6</v>
      </c>
      <c r="AD192" s="14">
        <f t="shared" si="6"/>
        <v>11</v>
      </c>
      <c r="AE192" s="15">
        <f t="shared" si="7"/>
        <v>0.54545454545454541</v>
      </c>
      <c r="AF192" s="16"/>
      <c r="AG192" s="16" t="s">
        <v>66</v>
      </c>
      <c r="AH192" s="17" t="s">
        <v>475</v>
      </c>
      <c r="AI192" s="18" t="s">
        <v>3120</v>
      </c>
      <c r="AJ192" s="19" t="s">
        <v>476</v>
      </c>
      <c r="AK192" s="20">
        <v>0.82</v>
      </c>
      <c r="AL192" s="17" t="s">
        <v>92</v>
      </c>
      <c r="AM192" s="5" t="s">
        <v>3111</v>
      </c>
      <c r="AN192" s="5" t="s">
        <v>66</v>
      </c>
      <c r="AO192" s="5" t="s">
        <v>66</v>
      </c>
      <c r="AP192" s="5" t="s">
        <v>66</v>
      </c>
      <c r="AQ192" s="5" t="s">
        <v>66</v>
      </c>
      <c r="AR192" s="5" t="s">
        <v>66</v>
      </c>
      <c r="AS192" s="5" t="s">
        <v>66</v>
      </c>
      <c r="AT192" s="5" t="s">
        <v>66</v>
      </c>
      <c r="AU192" s="5" t="s">
        <v>66</v>
      </c>
      <c r="AV192" s="5" t="s">
        <v>66</v>
      </c>
      <c r="AW192" s="5" t="s">
        <v>66</v>
      </c>
      <c r="AX192" s="5" t="s">
        <v>159</v>
      </c>
      <c r="AY192" s="5" t="s">
        <v>482</v>
      </c>
      <c r="AZ192" s="5" t="s">
        <v>70</v>
      </c>
      <c r="BA192" s="19" t="s">
        <v>66</v>
      </c>
      <c r="BB192" s="17" t="s">
        <v>483</v>
      </c>
      <c r="BC192" s="5" t="s">
        <v>162</v>
      </c>
      <c r="BD192" s="5" t="s">
        <v>484</v>
      </c>
    </row>
    <row r="193" spans="1:56" ht="72" hidden="1" x14ac:dyDescent="0.25">
      <c r="A193" s="78" t="s">
        <v>473</v>
      </c>
      <c r="B193" s="5" t="s">
        <v>82</v>
      </c>
      <c r="C193" s="5" t="s">
        <v>3293</v>
      </c>
      <c r="D193" s="5" t="s">
        <v>275</v>
      </c>
      <c r="E193" s="99" t="str">
        <f>VLOOKUP(D193,'Dropdown List'!$F$26:$G$40,2,0)</f>
        <v>South Africa</v>
      </c>
      <c r="F193" s="8" t="s">
        <v>474</v>
      </c>
      <c r="G193" s="96">
        <v>1.5</v>
      </c>
      <c r="H193" s="5" t="s">
        <v>57</v>
      </c>
      <c r="I193" s="8" t="s">
        <v>480</v>
      </c>
      <c r="J193" s="8" t="s">
        <v>481</v>
      </c>
      <c r="K193" s="8" t="s">
        <v>2769</v>
      </c>
      <c r="L193" s="8" t="s">
        <v>3122</v>
      </c>
      <c r="M193" s="8" t="s">
        <v>486</v>
      </c>
      <c r="N193" s="5" t="s">
        <v>319</v>
      </c>
      <c r="O193" s="5" t="s">
        <v>156</v>
      </c>
      <c r="P193" s="5" t="s">
        <v>157</v>
      </c>
      <c r="Q193" s="9" t="s">
        <v>62</v>
      </c>
      <c r="R193" s="5" t="s">
        <v>132</v>
      </c>
      <c r="S193" s="5" t="s">
        <v>64</v>
      </c>
      <c r="T193" s="96">
        <v>3</v>
      </c>
      <c r="U193" s="96">
        <v>3</v>
      </c>
      <c r="V193" s="96">
        <v>6</v>
      </c>
      <c r="W193" s="5" t="s">
        <v>91</v>
      </c>
      <c r="X193" s="10" t="s">
        <v>79</v>
      </c>
      <c r="Y193" s="11">
        <v>36500</v>
      </c>
      <c r="Z193" s="12">
        <v>9</v>
      </c>
      <c r="AA193" s="12">
        <v>2</v>
      </c>
      <c r="AB193" s="12">
        <v>1</v>
      </c>
      <c r="AC193" s="13">
        <v>9</v>
      </c>
      <c r="AD193" s="14">
        <f t="shared" si="6"/>
        <v>21</v>
      </c>
      <c r="AE193" s="15">
        <f t="shared" si="7"/>
        <v>0.42857142857142855</v>
      </c>
      <c r="AF193" s="16">
        <v>7597.2</v>
      </c>
      <c r="AG193" s="16" t="s">
        <v>66</v>
      </c>
      <c r="AH193" s="17" t="s">
        <v>475</v>
      </c>
      <c r="AI193" s="18" t="s">
        <v>3120</v>
      </c>
      <c r="AJ193" s="19" t="s">
        <v>476</v>
      </c>
      <c r="AK193" s="20">
        <v>0.82</v>
      </c>
      <c r="AL193" s="17" t="s">
        <v>92</v>
      </c>
      <c r="AM193" s="5" t="s">
        <v>3111</v>
      </c>
      <c r="AN193" s="5" t="s">
        <v>66</v>
      </c>
      <c r="AO193" s="5" t="s">
        <v>66</v>
      </c>
      <c r="AP193" s="5" t="s">
        <v>66</v>
      </c>
      <c r="AQ193" s="5" t="s">
        <v>66</v>
      </c>
      <c r="AR193" s="5" t="s">
        <v>66</v>
      </c>
      <c r="AS193" s="5" t="s">
        <v>66</v>
      </c>
      <c r="AT193" s="5" t="s">
        <v>66</v>
      </c>
      <c r="AU193" s="5" t="s">
        <v>66</v>
      </c>
      <c r="AV193" s="5" t="s">
        <v>66</v>
      </c>
      <c r="AW193" s="5" t="s">
        <v>66</v>
      </c>
      <c r="AX193" s="5" t="s">
        <v>159</v>
      </c>
      <c r="AY193" s="5" t="s">
        <v>482</v>
      </c>
      <c r="AZ193" s="5" t="s">
        <v>70</v>
      </c>
      <c r="BA193" s="19" t="s">
        <v>66</v>
      </c>
      <c r="BB193" s="17" t="s">
        <v>483</v>
      </c>
      <c r="BC193" s="5" t="s">
        <v>162</v>
      </c>
      <c r="BD193" s="5" t="s">
        <v>484</v>
      </c>
    </row>
    <row r="194" spans="1:56" ht="36" hidden="1" x14ac:dyDescent="0.25">
      <c r="A194" s="78" t="s">
        <v>473</v>
      </c>
      <c r="B194" s="5" t="s">
        <v>82</v>
      </c>
      <c r="C194" s="5" t="s">
        <v>3293</v>
      </c>
      <c r="D194" s="5" t="s">
        <v>56</v>
      </c>
      <c r="E194" s="99" t="str">
        <f>VLOOKUP(D194,'Dropdown List'!$F$26:$G$40,2,0)</f>
        <v>India</v>
      </c>
      <c r="F194" s="8" t="s">
        <v>3532</v>
      </c>
      <c r="G194" s="96">
        <v>1</v>
      </c>
      <c r="H194" s="5" t="s">
        <v>57</v>
      </c>
      <c r="I194" s="8" t="s">
        <v>71</v>
      </c>
      <c r="J194" s="8" t="s">
        <v>112</v>
      </c>
      <c r="K194" s="8" t="s">
        <v>190</v>
      </c>
      <c r="L194" s="8" t="s">
        <v>3533</v>
      </c>
      <c r="M194" s="8" t="s">
        <v>3534</v>
      </c>
      <c r="N194" s="5" t="s">
        <v>319</v>
      </c>
      <c r="O194" s="5" t="s">
        <v>156</v>
      </c>
      <c r="P194" s="5" t="s">
        <v>157</v>
      </c>
      <c r="Q194" s="9" t="s">
        <v>62</v>
      </c>
      <c r="R194" s="5" t="s">
        <v>76</v>
      </c>
      <c r="S194" s="5" t="s">
        <v>64</v>
      </c>
      <c r="T194" s="96">
        <v>3</v>
      </c>
      <c r="U194" s="96">
        <v>2</v>
      </c>
      <c r="V194" s="96">
        <v>8</v>
      </c>
      <c r="W194" s="5" t="s">
        <v>91</v>
      </c>
      <c r="X194" s="10" t="s">
        <v>79</v>
      </c>
      <c r="Y194" s="11">
        <v>36500</v>
      </c>
      <c r="Z194" s="12">
        <v>5</v>
      </c>
      <c r="AA194" s="12">
        <v>0</v>
      </c>
      <c r="AB194" s="12">
        <v>0.5</v>
      </c>
      <c r="AC194" s="13">
        <v>9</v>
      </c>
      <c r="AD194" s="14">
        <f t="shared" si="6"/>
        <v>14.5</v>
      </c>
      <c r="AE194" s="15">
        <f t="shared" si="7"/>
        <v>0.62068965517241381</v>
      </c>
      <c r="AF194" s="16">
        <v>75077</v>
      </c>
      <c r="AG194" s="16" t="s">
        <v>66</v>
      </c>
      <c r="AH194" s="17" t="s">
        <v>475</v>
      </c>
      <c r="AI194" s="18" t="s">
        <v>3535</v>
      </c>
      <c r="AJ194" s="19">
        <v>0.95</v>
      </c>
      <c r="AK194" s="20">
        <v>0.95</v>
      </c>
      <c r="AL194" s="17" t="s">
        <v>92</v>
      </c>
      <c r="AM194" s="5" t="s">
        <v>3111</v>
      </c>
      <c r="AN194" s="5" t="s">
        <v>66</v>
      </c>
      <c r="AO194" s="5" t="s">
        <v>66</v>
      </c>
      <c r="AP194" s="5" t="s">
        <v>66</v>
      </c>
      <c r="AQ194" s="5" t="s">
        <v>66</v>
      </c>
      <c r="AR194" s="5" t="s">
        <v>66</v>
      </c>
      <c r="AS194" s="5" t="s">
        <v>66</v>
      </c>
      <c r="AT194" s="5" t="s">
        <v>66</v>
      </c>
      <c r="AU194" s="5" t="s">
        <v>66</v>
      </c>
      <c r="AV194" s="5" t="s">
        <v>66</v>
      </c>
      <c r="AW194" s="5" t="s">
        <v>66</v>
      </c>
      <c r="AX194" s="5" t="s">
        <v>3536</v>
      </c>
      <c r="AY194" s="5" t="s">
        <v>3537</v>
      </c>
      <c r="AZ194" s="5" t="s">
        <v>70</v>
      </c>
      <c r="BA194" s="19" t="s">
        <v>66</v>
      </c>
      <c r="BB194" s="17" t="s">
        <v>3538</v>
      </c>
      <c r="BC194" s="5" t="s">
        <v>3536</v>
      </c>
      <c r="BD194" s="5" t="s">
        <v>3539</v>
      </c>
    </row>
    <row r="195" spans="1:56" ht="24" hidden="1" x14ac:dyDescent="0.25">
      <c r="A195" s="78" t="s">
        <v>473</v>
      </c>
      <c r="B195" s="5" t="s">
        <v>82</v>
      </c>
      <c r="C195" s="5" t="s">
        <v>3293</v>
      </c>
      <c r="D195" s="5" t="s">
        <v>56</v>
      </c>
      <c r="E195" s="99" t="str">
        <f>VLOOKUP(D195,'Dropdown List'!$F$26:$G$40,2,0)</f>
        <v>India</v>
      </c>
      <c r="F195" s="8" t="s">
        <v>3532</v>
      </c>
      <c r="G195" s="96">
        <v>1</v>
      </c>
      <c r="H195" s="5" t="s">
        <v>57</v>
      </c>
      <c r="I195" s="8" t="s">
        <v>71</v>
      </c>
      <c r="J195" s="8" t="s">
        <v>2703</v>
      </c>
      <c r="K195" s="8" t="s">
        <v>2707</v>
      </c>
      <c r="L195" s="8" t="s">
        <v>3540</v>
      </c>
      <c r="M195" s="8" t="s">
        <v>3541</v>
      </c>
      <c r="N195" s="5" t="s">
        <v>319</v>
      </c>
      <c r="O195" s="5" t="s">
        <v>156</v>
      </c>
      <c r="P195" s="5" t="s">
        <v>3542</v>
      </c>
      <c r="Q195" s="9" t="s">
        <v>62</v>
      </c>
      <c r="R195" s="5" t="s">
        <v>76</v>
      </c>
      <c r="S195" s="5" t="s">
        <v>64</v>
      </c>
      <c r="T195" s="96">
        <v>3</v>
      </c>
      <c r="U195" s="96">
        <v>4</v>
      </c>
      <c r="V195" s="96">
        <v>8</v>
      </c>
      <c r="W195" s="5" t="s">
        <v>91</v>
      </c>
      <c r="X195" s="10" t="s">
        <v>79</v>
      </c>
      <c r="Y195" s="11">
        <v>36500</v>
      </c>
      <c r="Z195" s="12">
        <v>9</v>
      </c>
      <c r="AA195" s="12">
        <v>1</v>
      </c>
      <c r="AB195" s="12">
        <v>0.5</v>
      </c>
      <c r="AC195" s="13">
        <v>12</v>
      </c>
      <c r="AD195" s="14">
        <f t="shared" si="6"/>
        <v>22.5</v>
      </c>
      <c r="AE195" s="15">
        <f t="shared" si="7"/>
        <v>0.53333333333333333</v>
      </c>
      <c r="AF195" s="16">
        <v>21541</v>
      </c>
      <c r="AG195" s="16" t="s">
        <v>66</v>
      </c>
      <c r="AH195" s="17" t="s">
        <v>475</v>
      </c>
      <c r="AI195" s="18" t="s">
        <v>3543</v>
      </c>
      <c r="AJ195" s="19">
        <v>0.95</v>
      </c>
      <c r="AK195" s="20">
        <v>0.95</v>
      </c>
      <c r="AL195" s="17" t="s">
        <v>92</v>
      </c>
      <c r="AM195" s="5" t="s">
        <v>3111</v>
      </c>
      <c r="AN195" s="5" t="s">
        <v>66</v>
      </c>
      <c r="AO195" s="5" t="s">
        <v>66</v>
      </c>
      <c r="AP195" s="5" t="s">
        <v>66</v>
      </c>
      <c r="AQ195" s="5" t="s">
        <v>66</v>
      </c>
      <c r="AR195" s="5" t="s">
        <v>66</v>
      </c>
      <c r="AS195" s="5" t="s">
        <v>66</v>
      </c>
      <c r="AT195" s="5" t="s">
        <v>66</v>
      </c>
      <c r="AU195" s="5" t="s">
        <v>66</v>
      </c>
      <c r="AV195" s="5" t="s">
        <v>66</v>
      </c>
      <c r="AW195" s="5" t="s">
        <v>66</v>
      </c>
      <c r="AX195" s="5" t="s">
        <v>3536</v>
      </c>
      <c r="AY195" s="5" t="s">
        <v>3537</v>
      </c>
      <c r="AZ195" s="5" t="s">
        <v>70</v>
      </c>
      <c r="BA195" s="19" t="s">
        <v>66</v>
      </c>
      <c r="BB195" s="17" t="s">
        <v>3538</v>
      </c>
      <c r="BC195" s="5" t="s">
        <v>3536</v>
      </c>
      <c r="BD195" s="5" t="s">
        <v>3539</v>
      </c>
    </row>
    <row r="196" spans="1:56" ht="24" hidden="1" x14ac:dyDescent="0.25">
      <c r="A196" s="78" t="s">
        <v>473</v>
      </c>
      <c r="B196" s="5" t="s">
        <v>82</v>
      </c>
      <c r="C196" s="5" t="s">
        <v>3293</v>
      </c>
      <c r="D196" s="5" t="s">
        <v>56</v>
      </c>
      <c r="E196" s="99" t="str">
        <f>VLOOKUP(D196,'Dropdown List'!$F$26:$G$40,2,0)</f>
        <v>India</v>
      </c>
      <c r="F196" s="8" t="s">
        <v>3532</v>
      </c>
      <c r="G196" s="96">
        <v>1</v>
      </c>
      <c r="H196" s="5" t="s">
        <v>57</v>
      </c>
      <c r="I196" s="8" t="s">
        <v>71</v>
      </c>
      <c r="J196" s="8" t="s">
        <v>112</v>
      </c>
      <c r="K196" s="8" t="s">
        <v>113</v>
      </c>
      <c r="L196" s="8" t="s">
        <v>3544</v>
      </c>
      <c r="M196" s="8" t="s">
        <v>3545</v>
      </c>
      <c r="N196" s="5" t="s">
        <v>319</v>
      </c>
      <c r="O196" s="5" t="s">
        <v>89</v>
      </c>
      <c r="P196" s="5" t="s">
        <v>3542</v>
      </c>
      <c r="Q196" s="9" t="s">
        <v>62</v>
      </c>
      <c r="R196" s="5" t="s">
        <v>76</v>
      </c>
      <c r="S196" s="5" t="s">
        <v>64</v>
      </c>
      <c r="T196" s="96">
        <v>3</v>
      </c>
      <c r="U196" s="96">
        <v>4</v>
      </c>
      <c r="V196" s="96">
        <v>8</v>
      </c>
      <c r="W196" s="5" t="s">
        <v>91</v>
      </c>
      <c r="X196" s="10" t="s">
        <v>79</v>
      </c>
      <c r="Y196" s="11">
        <v>36500</v>
      </c>
      <c r="Z196" s="12">
        <v>10</v>
      </c>
      <c r="AA196" s="12">
        <v>0</v>
      </c>
      <c r="AB196" s="12">
        <v>1</v>
      </c>
      <c r="AC196" s="13">
        <v>15</v>
      </c>
      <c r="AD196" s="14">
        <f t="shared" si="6"/>
        <v>26</v>
      </c>
      <c r="AE196" s="15">
        <f t="shared" si="7"/>
        <v>0.57692307692307687</v>
      </c>
      <c r="AF196" s="16">
        <v>18860</v>
      </c>
      <c r="AG196" s="16" t="s">
        <v>66</v>
      </c>
      <c r="AH196" s="17" t="s">
        <v>475</v>
      </c>
      <c r="AI196" s="18" t="s">
        <v>3546</v>
      </c>
      <c r="AJ196" s="19">
        <v>0.95</v>
      </c>
      <c r="AK196" s="20">
        <v>0.95</v>
      </c>
      <c r="AL196" s="17" t="s">
        <v>92</v>
      </c>
      <c r="AM196" s="5" t="s">
        <v>3111</v>
      </c>
      <c r="AN196" s="5" t="s">
        <v>66</v>
      </c>
      <c r="AO196" s="5" t="s">
        <v>66</v>
      </c>
      <c r="AP196" s="5" t="s">
        <v>66</v>
      </c>
      <c r="AQ196" s="5" t="s">
        <v>66</v>
      </c>
      <c r="AR196" s="5" t="s">
        <v>66</v>
      </c>
      <c r="AS196" s="5" t="s">
        <v>66</v>
      </c>
      <c r="AT196" s="5" t="s">
        <v>66</v>
      </c>
      <c r="AU196" s="5" t="s">
        <v>66</v>
      </c>
      <c r="AV196" s="5" t="s">
        <v>66</v>
      </c>
      <c r="AW196" s="5" t="s">
        <v>66</v>
      </c>
      <c r="AX196" s="5" t="s">
        <v>3536</v>
      </c>
      <c r="AY196" s="5" t="s">
        <v>3537</v>
      </c>
      <c r="AZ196" s="5" t="s">
        <v>70</v>
      </c>
      <c r="BA196" s="19" t="s">
        <v>66</v>
      </c>
      <c r="BB196" s="17" t="s">
        <v>3538</v>
      </c>
      <c r="BC196" s="5" t="s">
        <v>3536</v>
      </c>
      <c r="BD196" s="5" t="s">
        <v>3539</v>
      </c>
    </row>
    <row r="197" spans="1:56" ht="24" hidden="1" x14ac:dyDescent="0.25">
      <c r="A197" s="78" t="s">
        <v>473</v>
      </c>
      <c r="B197" s="5" t="s">
        <v>82</v>
      </c>
      <c r="C197" s="5" t="s">
        <v>3293</v>
      </c>
      <c r="D197" s="5" t="s">
        <v>56</v>
      </c>
      <c r="E197" s="99" t="str">
        <f>VLOOKUP(D197,'Dropdown List'!$F$26:$G$40,2,0)</f>
        <v>India</v>
      </c>
      <c r="F197" s="8" t="s">
        <v>3532</v>
      </c>
      <c r="G197" s="96">
        <v>1</v>
      </c>
      <c r="H197" s="5" t="s">
        <v>57</v>
      </c>
      <c r="I197" s="8" t="s">
        <v>71</v>
      </c>
      <c r="J197" s="8" t="s">
        <v>112</v>
      </c>
      <c r="K197" s="8" t="s">
        <v>113</v>
      </c>
      <c r="L197" s="8" t="s">
        <v>3547</v>
      </c>
      <c r="M197" s="8" t="s">
        <v>3548</v>
      </c>
      <c r="N197" s="5" t="s">
        <v>319</v>
      </c>
      <c r="O197" s="5" t="s">
        <v>74</v>
      </c>
      <c r="P197" s="5" t="s">
        <v>3549</v>
      </c>
      <c r="Q197" s="9" t="s">
        <v>62</v>
      </c>
      <c r="R197" s="5" t="s">
        <v>76</v>
      </c>
      <c r="S197" s="5" t="s">
        <v>64</v>
      </c>
      <c r="T197" s="96">
        <v>3</v>
      </c>
      <c r="U197" s="96">
        <v>4</v>
      </c>
      <c r="V197" s="96">
        <v>8</v>
      </c>
      <c r="W197" s="5" t="s">
        <v>91</v>
      </c>
      <c r="X197" s="10" t="s">
        <v>79</v>
      </c>
      <c r="Y197" s="11">
        <v>36500</v>
      </c>
      <c r="Z197" s="12">
        <v>16</v>
      </c>
      <c r="AA197" s="12">
        <v>0</v>
      </c>
      <c r="AB197" s="12">
        <v>1</v>
      </c>
      <c r="AC197" s="13">
        <v>21</v>
      </c>
      <c r="AD197" s="14">
        <f t="shared" ref="AD197:AD260" si="8">SUM(Z197:AC197)</f>
        <v>38</v>
      </c>
      <c r="AE197" s="15">
        <f t="shared" ref="AE197:AE260" si="9">AC197/AD197</f>
        <v>0.55263157894736847</v>
      </c>
      <c r="AF197" s="16">
        <v>5587</v>
      </c>
      <c r="AG197" s="16" t="s">
        <v>66</v>
      </c>
      <c r="AH197" s="17" t="s">
        <v>475</v>
      </c>
      <c r="AI197" s="18" t="s">
        <v>3550</v>
      </c>
      <c r="AJ197" s="19">
        <v>0.95</v>
      </c>
      <c r="AK197" s="20">
        <v>0.95</v>
      </c>
      <c r="AL197" s="17" t="s">
        <v>92</v>
      </c>
      <c r="AM197" s="5" t="s">
        <v>3111</v>
      </c>
      <c r="AN197" s="5" t="s">
        <v>66</v>
      </c>
      <c r="AO197" s="5" t="s">
        <v>66</v>
      </c>
      <c r="AP197" s="5" t="s">
        <v>66</v>
      </c>
      <c r="AQ197" s="5" t="s">
        <v>66</v>
      </c>
      <c r="AR197" s="5" t="s">
        <v>66</v>
      </c>
      <c r="AS197" s="5" t="s">
        <v>66</v>
      </c>
      <c r="AT197" s="5" t="s">
        <v>66</v>
      </c>
      <c r="AU197" s="5" t="s">
        <v>66</v>
      </c>
      <c r="AV197" s="5" t="s">
        <v>66</v>
      </c>
      <c r="AW197" s="5" t="s">
        <v>66</v>
      </c>
      <c r="AX197" s="5" t="s">
        <v>3536</v>
      </c>
      <c r="AY197" s="5" t="s">
        <v>3537</v>
      </c>
      <c r="AZ197" s="5" t="s">
        <v>70</v>
      </c>
      <c r="BA197" s="19" t="s">
        <v>66</v>
      </c>
      <c r="BB197" s="17" t="s">
        <v>3538</v>
      </c>
      <c r="BC197" s="5" t="s">
        <v>3536</v>
      </c>
      <c r="BD197" s="5" t="s">
        <v>3539</v>
      </c>
    </row>
    <row r="198" spans="1:56" ht="48" hidden="1" x14ac:dyDescent="0.25">
      <c r="A198" s="78" t="s">
        <v>473</v>
      </c>
      <c r="B198" s="5" t="s">
        <v>82</v>
      </c>
      <c r="C198" s="5" t="s">
        <v>3293</v>
      </c>
      <c r="D198" s="5" t="s">
        <v>56</v>
      </c>
      <c r="E198" s="99" t="str">
        <f>VLOOKUP(D198,'Dropdown List'!$F$26:$G$40,2,0)</f>
        <v>India</v>
      </c>
      <c r="F198" s="8" t="s">
        <v>3551</v>
      </c>
      <c r="G198" s="96">
        <v>1</v>
      </c>
      <c r="H198" s="5" t="s">
        <v>57</v>
      </c>
      <c r="I198" s="8" t="s">
        <v>71</v>
      </c>
      <c r="J198" s="8" t="s">
        <v>112</v>
      </c>
      <c r="K198" s="8" t="s">
        <v>113</v>
      </c>
      <c r="L198" s="8" t="s">
        <v>3552</v>
      </c>
      <c r="M198" s="8" t="s">
        <v>3553</v>
      </c>
      <c r="N198" s="5" t="s">
        <v>1034</v>
      </c>
      <c r="O198" s="5" t="s">
        <v>74</v>
      </c>
      <c r="P198" s="5" t="s">
        <v>3549</v>
      </c>
      <c r="Q198" s="9" t="s">
        <v>62</v>
      </c>
      <c r="R198" s="5" t="s">
        <v>76</v>
      </c>
      <c r="S198" s="5" t="s">
        <v>64</v>
      </c>
      <c r="T198" s="96">
        <v>3</v>
      </c>
      <c r="U198" s="96">
        <v>4</v>
      </c>
      <c r="V198" s="96">
        <v>8</v>
      </c>
      <c r="W198" s="5" t="s">
        <v>91</v>
      </c>
      <c r="X198" s="10" t="s">
        <v>79</v>
      </c>
      <c r="Y198" s="11">
        <v>36500</v>
      </c>
      <c r="Z198" s="12">
        <v>2</v>
      </c>
      <c r="AA198" s="12">
        <v>0</v>
      </c>
      <c r="AB198" s="12">
        <v>0.7</v>
      </c>
      <c r="AC198" s="13">
        <v>3</v>
      </c>
      <c r="AD198" s="14">
        <f t="shared" si="8"/>
        <v>5.7</v>
      </c>
      <c r="AE198" s="15">
        <f t="shared" si="9"/>
        <v>0.52631578947368418</v>
      </c>
      <c r="AF198" s="16">
        <v>1073</v>
      </c>
      <c r="AG198" s="16" t="s">
        <v>66</v>
      </c>
      <c r="AH198" s="17" t="s">
        <v>475</v>
      </c>
      <c r="AI198" s="18" t="s">
        <v>3554</v>
      </c>
      <c r="AJ198" s="19">
        <v>0.95</v>
      </c>
      <c r="AK198" s="20">
        <v>0.95</v>
      </c>
      <c r="AL198" s="17" t="s">
        <v>92</v>
      </c>
      <c r="AM198" s="5" t="s">
        <v>3111</v>
      </c>
      <c r="AN198" s="5" t="s">
        <v>66</v>
      </c>
      <c r="AO198" s="5" t="s">
        <v>66</v>
      </c>
      <c r="AP198" s="5" t="s">
        <v>66</v>
      </c>
      <c r="AQ198" s="5" t="s">
        <v>66</v>
      </c>
      <c r="AR198" s="5" t="s">
        <v>66</v>
      </c>
      <c r="AS198" s="5" t="s">
        <v>66</v>
      </c>
      <c r="AT198" s="5" t="s">
        <v>66</v>
      </c>
      <c r="AU198" s="5" t="s">
        <v>66</v>
      </c>
      <c r="AV198" s="5" t="s">
        <v>66</v>
      </c>
      <c r="AW198" s="5" t="s">
        <v>66</v>
      </c>
      <c r="AX198" s="5" t="s">
        <v>3536</v>
      </c>
      <c r="AY198" s="5" t="s">
        <v>3537</v>
      </c>
      <c r="AZ198" s="5" t="s">
        <v>70</v>
      </c>
      <c r="BA198" s="19" t="s">
        <v>66</v>
      </c>
      <c r="BB198" s="17" t="s">
        <v>3538</v>
      </c>
      <c r="BC198" s="5" t="s">
        <v>3536</v>
      </c>
      <c r="BD198" s="5" t="s">
        <v>3539</v>
      </c>
    </row>
    <row r="199" spans="1:56" ht="36" hidden="1" x14ac:dyDescent="0.25">
      <c r="A199" s="78" t="s">
        <v>473</v>
      </c>
      <c r="B199" s="5" t="s">
        <v>82</v>
      </c>
      <c r="C199" s="5" t="s">
        <v>3293</v>
      </c>
      <c r="D199" s="5" t="s">
        <v>56</v>
      </c>
      <c r="E199" s="99" t="str">
        <f>VLOOKUP(D199,'Dropdown List'!$F$26:$G$40,2,0)</f>
        <v>India</v>
      </c>
      <c r="F199" s="8" t="s">
        <v>3551</v>
      </c>
      <c r="G199" s="96">
        <v>1</v>
      </c>
      <c r="H199" s="5" t="s">
        <v>57</v>
      </c>
      <c r="I199" s="8" t="s">
        <v>71</v>
      </c>
      <c r="J199" s="8" t="s">
        <v>112</v>
      </c>
      <c r="K199" s="8" t="s">
        <v>113</v>
      </c>
      <c r="L199" s="8" t="s">
        <v>3555</v>
      </c>
      <c r="M199" s="8" t="s">
        <v>3556</v>
      </c>
      <c r="N199" s="5" t="s">
        <v>1034</v>
      </c>
      <c r="O199" s="5" t="s">
        <v>89</v>
      </c>
      <c r="P199" s="5" t="s">
        <v>3542</v>
      </c>
      <c r="Q199" s="9" t="s">
        <v>62</v>
      </c>
      <c r="R199" s="5" t="s">
        <v>76</v>
      </c>
      <c r="S199" s="5" t="s">
        <v>64</v>
      </c>
      <c r="T199" s="96">
        <v>3</v>
      </c>
      <c r="U199" s="96">
        <v>4</v>
      </c>
      <c r="V199" s="96">
        <v>8</v>
      </c>
      <c r="W199" s="5" t="s">
        <v>91</v>
      </c>
      <c r="X199" s="10" t="s">
        <v>79</v>
      </c>
      <c r="Y199" s="11">
        <v>36500</v>
      </c>
      <c r="Z199" s="12">
        <v>9</v>
      </c>
      <c r="AA199" s="12">
        <v>0</v>
      </c>
      <c r="AB199" s="12">
        <v>0.3</v>
      </c>
      <c r="AC199" s="13">
        <v>12</v>
      </c>
      <c r="AD199" s="14">
        <f t="shared" si="8"/>
        <v>21.3</v>
      </c>
      <c r="AE199" s="15">
        <f t="shared" si="9"/>
        <v>0.56338028169014087</v>
      </c>
      <c r="AF199" s="16">
        <v>2708</v>
      </c>
      <c r="AG199" s="16" t="s">
        <v>66</v>
      </c>
      <c r="AH199" s="17" t="s">
        <v>475</v>
      </c>
      <c r="AI199" s="18" t="s">
        <v>3550</v>
      </c>
      <c r="AJ199" s="19">
        <v>0.95</v>
      </c>
      <c r="AK199" s="20">
        <v>0.95</v>
      </c>
      <c r="AL199" s="17" t="s">
        <v>92</v>
      </c>
      <c r="AM199" s="5" t="s">
        <v>3111</v>
      </c>
      <c r="AN199" s="5" t="s">
        <v>66</v>
      </c>
      <c r="AO199" s="5" t="s">
        <v>66</v>
      </c>
      <c r="AP199" s="5" t="s">
        <v>66</v>
      </c>
      <c r="AQ199" s="5" t="s">
        <v>66</v>
      </c>
      <c r="AR199" s="5" t="s">
        <v>66</v>
      </c>
      <c r="AS199" s="5" t="s">
        <v>66</v>
      </c>
      <c r="AT199" s="5" t="s">
        <v>66</v>
      </c>
      <c r="AU199" s="5" t="s">
        <v>66</v>
      </c>
      <c r="AV199" s="5" t="s">
        <v>66</v>
      </c>
      <c r="AW199" s="5" t="s">
        <v>66</v>
      </c>
      <c r="AX199" s="5" t="s">
        <v>3536</v>
      </c>
      <c r="AY199" s="5" t="s">
        <v>3537</v>
      </c>
      <c r="AZ199" s="5" t="s">
        <v>70</v>
      </c>
      <c r="BA199" s="19" t="s">
        <v>66</v>
      </c>
      <c r="BB199" s="17" t="s">
        <v>3538</v>
      </c>
      <c r="BC199" s="5" t="s">
        <v>3536</v>
      </c>
      <c r="BD199" s="5" t="s">
        <v>3539</v>
      </c>
    </row>
    <row r="200" spans="1:56" ht="36" hidden="1" x14ac:dyDescent="0.25">
      <c r="A200" s="78" t="s">
        <v>473</v>
      </c>
      <c r="B200" s="5" t="s">
        <v>82</v>
      </c>
      <c r="C200" s="5" t="s">
        <v>3293</v>
      </c>
      <c r="D200" s="5" t="s">
        <v>56</v>
      </c>
      <c r="E200" s="99" t="str">
        <f>VLOOKUP(D200,'Dropdown List'!$F$26:$G$40,2,0)</f>
        <v>India</v>
      </c>
      <c r="F200" s="8" t="s">
        <v>3551</v>
      </c>
      <c r="G200" s="96">
        <v>1</v>
      </c>
      <c r="H200" s="5" t="s">
        <v>57</v>
      </c>
      <c r="I200" s="8" t="s">
        <v>480</v>
      </c>
      <c r="J200" s="8" t="s">
        <v>481</v>
      </c>
      <c r="K200" s="8" t="s">
        <v>2710</v>
      </c>
      <c r="L200" s="8" t="s">
        <v>3557</v>
      </c>
      <c r="M200" s="8" t="s">
        <v>3558</v>
      </c>
      <c r="N200" s="5" t="s">
        <v>319</v>
      </c>
      <c r="O200" s="5" t="s">
        <v>156</v>
      </c>
      <c r="P200" s="5" t="s">
        <v>157</v>
      </c>
      <c r="Q200" s="9" t="s">
        <v>62</v>
      </c>
      <c r="R200" s="5" t="s">
        <v>76</v>
      </c>
      <c r="S200" s="5" t="s">
        <v>64</v>
      </c>
      <c r="T200" s="96">
        <v>3</v>
      </c>
      <c r="U200" s="96">
        <v>4</v>
      </c>
      <c r="V200" s="96">
        <v>8</v>
      </c>
      <c r="W200" s="5" t="s">
        <v>91</v>
      </c>
      <c r="X200" s="10" t="s">
        <v>79</v>
      </c>
      <c r="Y200" s="11">
        <v>36500</v>
      </c>
      <c r="Z200" s="12">
        <v>6</v>
      </c>
      <c r="AA200" s="12">
        <v>1</v>
      </c>
      <c r="AB200" s="12">
        <v>0.8</v>
      </c>
      <c r="AC200" s="13">
        <v>7</v>
      </c>
      <c r="AD200" s="14">
        <f t="shared" si="8"/>
        <v>14.8</v>
      </c>
      <c r="AE200" s="15">
        <f t="shared" si="9"/>
        <v>0.47297297297297297</v>
      </c>
      <c r="AF200" s="16">
        <v>390</v>
      </c>
      <c r="AG200" s="16" t="s">
        <v>66</v>
      </c>
      <c r="AH200" s="17" t="s">
        <v>475</v>
      </c>
      <c r="AI200" s="18" t="s">
        <v>3559</v>
      </c>
      <c r="AJ200" s="19">
        <v>0.95</v>
      </c>
      <c r="AK200" s="20">
        <v>0.95</v>
      </c>
      <c r="AL200" s="17" t="s">
        <v>92</v>
      </c>
      <c r="AM200" s="5" t="s">
        <v>3111</v>
      </c>
      <c r="AN200" s="5" t="s">
        <v>66</v>
      </c>
      <c r="AO200" s="5" t="s">
        <v>66</v>
      </c>
      <c r="AP200" s="5" t="s">
        <v>66</v>
      </c>
      <c r="AQ200" s="5" t="s">
        <v>66</v>
      </c>
      <c r="AR200" s="5" t="s">
        <v>66</v>
      </c>
      <c r="AS200" s="5" t="s">
        <v>66</v>
      </c>
      <c r="AT200" s="5" t="s">
        <v>66</v>
      </c>
      <c r="AU200" s="5" t="s">
        <v>66</v>
      </c>
      <c r="AV200" s="5" t="s">
        <v>66</v>
      </c>
      <c r="AW200" s="5" t="s">
        <v>66</v>
      </c>
      <c r="AX200" s="5" t="s">
        <v>3536</v>
      </c>
      <c r="AY200" s="5" t="s">
        <v>3537</v>
      </c>
      <c r="AZ200" s="5" t="s">
        <v>70</v>
      </c>
      <c r="BA200" s="19" t="s">
        <v>66</v>
      </c>
      <c r="BB200" s="17" t="s">
        <v>3538</v>
      </c>
      <c r="BC200" s="5" t="s">
        <v>3536</v>
      </c>
      <c r="BD200" s="5" t="s">
        <v>3539</v>
      </c>
    </row>
    <row r="201" spans="1:56" ht="36" hidden="1" x14ac:dyDescent="0.25">
      <c r="A201" s="78" t="s">
        <v>473</v>
      </c>
      <c r="B201" s="5" t="s">
        <v>82</v>
      </c>
      <c r="C201" s="5" t="s">
        <v>3293</v>
      </c>
      <c r="D201" s="5" t="s">
        <v>56</v>
      </c>
      <c r="E201" s="99" t="str">
        <f>VLOOKUP(D201,'Dropdown List'!$F$26:$G$40,2,0)</f>
        <v>India</v>
      </c>
      <c r="F201" s="8" t="s">
        <v>3551</v>
      </c>
      <c r="G201" s="96">
        <v>1</v>
      </c>
      <c r="H201" s="5" t="s">
        <v>57</v>
      </c>
      <c r="I201" s="8" t="s">
        <v>71</v>
      </c>
      <c r="J201" s="8" t="s">
        <v>112</v>
      </c>
      <c r="K201" s="8" t="s">
        <v>113</v>
      </c>
      <c r="L201" s="8" t="s">
        <v>3560</v>
      </c>
      <c r="M201" s="8" t="s">
        <v>3561</v>
      </c>
      <c r="N201" s="5" t="s">
        <v>319</v>
      </c>
      <c r="O201" s="5" t="s">
        <v>156</v>
      </c>
      <c r="P201" s="5" t="s">
        <v>157</v>
      </c>
      <c r="Q201" s="9" t="s">
        <v>62</v>
      </c>
      <c r="R201" s="5" t="s">
        <v>76</v>
      </c>
      <c r="S201" s="5" t="s">
        <v>64</v>
      </c>
      <c r="T201" s="96">
        <v>3</v>
      </c>
      <c r="U201" s="96">
        <v>4</v>
      </c>
      <c r="V201" s="96">
        <v>8</v>
      </c>
      <c r="W201" s="5" t="s">
        <v>91</v>
      </c>
      <c r="X201" s="10" t="s">
        <v>79</v>
      </c>
      <c r="Y201" s="11">
        <v>36500</v>
      </c>
      <c r="Z201" s="12">
        <v>2</v>
      </c>
      <c r="AA201" s="12">
        <v>0</v>
      </c>
      <c r="AB201" s="12">
        <v>0.2</v>
      </c>
      <c r="AC201" s="13">
        <v>4</v>
      </c>
      <c r="AD201" s="14">
        <f t="shared" si="8"/>
        <v>6.2</v>
      </c>
      <c r="AE201" s="15">
        <f t="shared" si="9"/>
        <v>0.64516129032258063</v>
      </c>
      <c r="AF201" s="16">
        <v>437</v>
      </c>
      <c r="AG201" s="16" t="s">
        <v>66</v>
      </c>
      <c r="AH201" s="17" t="s">
        <v>475</v>
      </c>
      <c r="AI201" s="18" t="s">
        <v>3562</v>
      </c>
      <c r="AJ201" s="19">
        <v>0.95</v>
      </c>
      <c r="AK201" s="20">
        <v>0.95</v>
      </c>
      <c r="AL201" s="17" t="s">
        <v>92</v>
      </c>
      <c r="AM201" s="5" t="s">
        <v>3111</v>
      </c>
      <c r="AN201" s="5" t="s">
        <v>66</v>
      </c>
      <c r="AO201" s="5" t="s">
        <v>66</v>
      </c>
      <c r="AP201" s="5" t="s">
        <v>66</v>
      </c>
      <c r="AQ201" s="5" t="s">
        <v>66</v>
      </c>
      <c r="AR201" s="5" t="s">
        <v>66</v>
      </c>
      <c r="AS201" s="5" t="s">
        <v>66</v>
      </c>
      <c r="AT201" s="5" t="s">
        <v>66</v>
      </c>
      <c r="AU201" s="5" t="s">
        <v>66</v>
      </c>
      <c r="AV201" s="5" t="s">
        <v>66</v>
      </c>
      <c r="AW201" s="5" t="s">
        <v>66</v>
      </c>
      <c r="AX201" s="5" t="s">
        <v>3536</v>
      </c>
      <c r="AY201" s="5" t="s">
        <v>3537</v>
      </c>
      <c r="AZ201" s="5" t="s">
        <v>70</v>
      </c>
      <c r="BA201" s="19" t="s">
        <v>66</v>
      </c>
      <c r="BB201" s="17" t="s">
        <v>3538</v>
      </c>
      <c r="BC201" s="5" t="s">
        <v>3536</v>
      </c>
      <c r="BD201" s="5" t="s">
        <v>3539</v>
      </c>
    </row>
    <row r="202" spans="1:56" ht="36" hidden="1" x14ac:dyDescent="0.25">
      <c r="A202" s="78" t="s">
        <v>473</v>
      </c>
      <c r="B202" s="5" t="s">
        <v>82</v>
      </c>
      <c r="C202" s="5" t="s">
        <v>3293</v>
      </c>
      <c r="D202" s="5" t="s">
        <v>56</v>
      </c>
      <c r="E202" s="99" t="str">
        <f>VLOOKUP(D202,'Dropdown List'!$F$26:$G$40,2,0)</f>
        <v>India</v>
      </c>
      <c r="F202" s="8" t="s">
        <v>3551</v>
      </c>
      <c r="G202" s="96">
        <v>1</v>
      </c>
      <c r="H202" s="5" t="s">
        <v>57</v>
      </c>
      <c r="I202" s="8" t="s">
        <v>71</v>
      </c>
      <c r="J202" s="8" t="s">
        <v>112</v>
      </c>
      <c r="K202" s="8" t="s">
        <v>113</v>
      </c>
      <c r="L202" s="8" t="s">
        <v>3563</v>
      </c>
      <c r="M202" s="8" t="s">
        <v>3564</v>
      </c>
      <c r="N202" s="5" t="s">
        <v>319</v>
      </c>
      <c r="O202" s="5" t="s">
        <v>156</v>
      </c>
      <c r="P202" s="5" t="s">
        <v>157</v>
      </c>
      <c r="Q202" s="9" t="s">
        <v>62</v>
      </c>
      <c r="R202" s="5" t="s">
        <v>76</v>
      </c>
      <c r="S202" s="5" t="s">
        <v>64</v>
      </c>
      <c r="T202" s="96">
        <v>3</v>
      </c>
      <c r="U202" s="96">
        <v>4</v>
      </c>
      <c r="V202" s="96">
        <v>8</v>
      </c>
      <c r="W202" s="5" t="s">
        <v>91</v>
      </c>
      <c r="X202" s="10" t="s">
        <v>79</v>
      </c>
      <c r="Y202" s="11">
        <v>36500</v>
      </c>
      <c r="Z202" s="12">
        <v>9</v>
      </c>
      <c r="AA202" s="12">
        <v>0</v>
      </c>
      <c r="AB202" s="12">
        <v>0.5</v>
      </c>
      <c r="AC202" s="13">
        <v>11</v>
      </c>
      <c r="AD202" s="14">
        <f t="shared" si="8"/>
        <v>20.5</v>
      </c>
      <c r="AE202" s="15">
        <f t="shared" si="9"/>
        <v>0.53658536585365857</v>
      </c>
      <c r="AF202" s="16">
        <v>6352</v>
      </c>
      <c r="AG202" s="16" t="s">
        <v>66</v>
      </c>
      <c r="AH202" s="17" t="s">
        <v>475</v>
      </c>
      <c r="AI202" s="18" t="s">
        <v>3565</v>
      </c>
      <c r="AJ202" s="19">
        <v>0.95</v>
      </c>
      <c r="AK202" s="20">
        <v>0.95</v>
      </c>
      <c r="AL202" s="17" t="s">
        <v>92</v>
      </c>
      <c r="AM202" s="5" t="s">
        <v>3111</v>
      </c>
      <c r="AN202" s="5" t="s">
        <v>66</v>
      </c>
      <c r="AO202" s="5" t="s">
        <v>66</v>
      </c>
      <c r="AP202" s="5" t="s">
        <v>66</v>
      </c>
      <c r="AQ202" s="5" t="s">
        <v>66</v>
      </c>
      <c r="AR202" s="5" t="s">
        <v>66</v>
      </c>
      <c r="AS202" s="5" t="s">
        <v>66</v>
      </c>
      <c r="AT202" s="5" t="s">
        <v>66</v>
      </c>
      <c r="AU202" s="5" t="s">
        <v>66</v>
      </c>
      <c r="AV202" s="5" t="s">
        <v>66</v>
      </c>
      <c r="AW202" s="5" t="s">
        <v>66</v>
      </c>
      <c r="AX202" s="5" t="s">
        <v>3536</v>
      </c>
      <c r="AY202" s="5" t="s">
        <v>3537</v>
      </c>
      <c r="AZ202" s="5" t="s">
        <v>70</v>
      </c>
      <c r="BA202" s="19" t="s">
        <v>66</v>
      </c>
      <c r="BB202" s="17" t="s">
        <v>3538</v>
      </c>
      <c r="BC202" s="5" t="s">
        <v>3536</v>
      </c>
      <c r="BD202" s="5" t="s">
        <v>3539</v>
      </c>
    </row>
    <row r="203" spans="1:56" ht="60" hidden="1" x14ac:dyDescent="0.25">
      <c r="A203" s="78" t="s">
        <v>473</v>
      </c>
      <c r="B203" s="5" t="s">
        <v>82</v>
      </c>
      <c r="C203" s="5" t="s">
        <v>3293</v>
      </c>
      <c r="D203" s="5" t="s">
        <v>56</v>
      </c>
      <c r="E203" s="99" t="str">
        <f>VLOOKUP(D203,'Dropdown List'!$F$26:$G$40,2,0)</f>
        <v>India</v>
      </c>
      <c r="F203" s="8" t="s">
        <v>3532</v>
      </c>
      <c r="G203" s="96">
        <v>1</v>
      </c>
      <c r="H203" s="5" t="s">
        <v>57</v>
      </c>
      <c r="I203" s="8" t="s">
        <v>71</v>
      </c>
      <c r="J203" s="8" t="s">
        <v>112</v>
      </c>
      <c r="K203" s="8" t="s">
        <v>540</v>
      </c>
      <c r="L203" s="8" t="s">
        <v>3566</v>
      </c>
      <c r="M203" s="8" t="s">
        <v>3567</v>
      </c>
      <c r="N203" s="5" t="s">
        <v>319</v>
      </c>
      <c r="O203" s="5" t="s">
        <v>156</v>
      </c>
      <c r="P203" s="5" t="s">
        <v>157</v>
      </c>
      <c r="Q203" s="9" t="s">
        <v>62</v>
      </c>
      <c r="R203" s="5" t="s">
        <v>76</v>
      </c>
      <c r="S203" s="5" t="s">
        <v>64</v>
      </c>
      <c r="T203" s="96">
        <v>3</v>
      </c>
      <c r="U203" s="96">
        <v>4</v>
      </c>
      <c r="V203" s="96">
        <v>8</v>
      </c>
      <c r="W203" s="5" t="s">
        <v>91</v>
      </c>
      <c r="X203" s="10" t="s">
        <v>79</v>
      </c>
      <c r="Y203" s="11">
        <v>36500</v>
      </c>
      <c r="Z203" s="12">
        <v>9</v>
      </c>
      <c r="AA203" s="12">
        <v>0</v>
      </c>
      <c r="AB203" s="12">
        <v>0.5</v>
      </c>
      <c r="AC203" s="13">
        <v>11</v>
      </c>
      <c r="AD203" s="14">
        <f t="shared" si="8"/>
        <v>20.5</v>
      </c>
      <c r="AE203" s="15">
        <f t="shared" si="9"/>
        <v>0.53658536585365857</v>
      </c>
      <c r="AF203" s="16">
        <v>9692</v>
      </c>
      <c r="AG203" s="16" t="s">
        <v>66</v>
      </c>
      <c r="AH203" s="17" t="s">
        <v>475</v>
      </c>
      <c r="AI203" s="18" t="s">
        <v>3568</v>
      </c>
      <c r="AJ203" s="19">
        <v>0.95</v>
      </c>
      <c r="AK203" s="20">
        <v>0.95</v>
      </c>
      <c r="AL203" s="17" t="s">
        <v>92</v>
      </c>
      <c r="AM203" s="5" t="s">
        <v>3111</v>
      </c>
      <c r="AN203" s="5" t="s">
        <v>66</v>
      </c>
      <c r="AO203" s="5" t="s">
        <v>66</v>
      </c>
      <c r="AP203" s="5" t="s">
        <v>66</v>
      </c>
      <c r="AQ203" s="5" t="s">
        <v>66</v>
      </c>
      <c r="AR203" s="5" t="s">
        <v>66</v>
      </c>
      <c r="AS203" s="5" t="s">
        <v>66</v>
      </c>
      <c r="AT203" s="5" t="s">
        <v>66</v>
      </c>
      <c r="AU203" s="5" t="s">
        <v>66</v>
      </c>
      <c r="AV203" s="5" t="s">
        <v>66</v>
      </c>
      <c r="AW203" s="5" t="s">
        <v>66</v>
      </c>
      <c r="AX203" s="5" t="s">
        <v>3536</v>
      </c>
      <c r="AY203" s="5" t="s">
        <v>3537</v>
      </c>
      <c r="AZ203" s="5" t="s">
        <v>70</v>
      </c>
      <c r="BA203" s="19" t="s">
        <v>66</v>
      </c>
      <c r="BB203" s="17" t="s">
        <v>3538</v>
      </c>
      <c r="BC203" s="5" t="s">
        <v>3536</v>
      </c>
      <c r="BD203" s="5" t="s">
        <v>3539</v>
      </c>
    </row>
    <row r="204" spans="1:56" ht="36" hidden="1" x14ac:dyDescent="0.25">
      <c r="A204" s="78" t="s">
        <v>1002</v>
      </c>
      <c r="B204" s="5" t="s">
        <v>1003</v>
      </c>
      <c r="C204" s="5" t="s">
        <v>3293</v>
      </c>
      <c r="D204" s="5" t="s">
        <v>56</v>
      </c>
      <c r="E204" s="99" t="str">
        <f>VLOOKUP(D204,'Dropdown List'!$F$26:$G$40,2,0)</f>
        <v>India</v>
      </c>
      <c r="F204" s="8" t="s">
        <v>3163</v>
      </c>
      <c r="G204" s="96" t="s">
        <v>3164</v>
      </c>
      <c r="H204" s="5" t="s">
        <v>57</v>
      </c>
      <c r="I204" s="8" t="s">
        <v>58</v>
      </c>
      <c r="J204" s="8" t="s">
        <v>59</v>
      </c>
      <c r="K204" s="8" t="s">
        <v>86</v>
      </c>
      <c r="L204" s="8" t="s">
        <v>3165</v>
      </c>
      <c r="M204" s="8" t="s">
        <v>3166</v>
      </c>
      <c r="N204" s="5" t="s">
        <v>319</v>
      </c>
      <c r="O204" s="5" t="s">
        <v>89</v>
      </c>
      <c r="P204" s="5" t="s">
        <v>89</v>
      </c>
      <c r="Q204" s="9" t="s">
        <v>75</v>
      </c>
      <c r="R204" s="5" t="s">
        <v>76</v>
      </c>
      <c r="S204" s="5" t="s">
        <v>90</v>
      </c>
      <c r="T204" s="96">
        <v>2</v>
      </c>
      <c r="U204" s="96">
        <v>1</v>
      </c>
      <c r="V204" s="96">
        <v>8</v>
      </c>
      <c r="W204" s="5" t="s">
        <v>91</v>
      </c>
      <c r="X204" s="10" t="s">
        <v>79</v>
      </c>
      <c r="Y204" s="11" t="s">
        <v>3167</v>
      </c>
      <c r="Z204" s="12">
        <v>4</v>
      </c>
      <c r="AA204" s="12">
        <v>0.5</v>
      </c>
      <c r="AB204" s="12">
        <v>0.25</v>
      </c>
      <c r="AC204" s="13">
        <v>2</v>
      </c>
      <c r="AD204" s="14">
        <f t="shared" si="8"/>
        <v>6.75</v>
      </c>
      <c r="AE204" s="15">
        <f t="shared" si="9"/>
        <v>0.29629629629629628</v>
      </c>
      <c r="AF204" s="16">
        <v>3695</v>
      </c>
      <c r="AG204" s="16" t="s">
        <v>66</v>
      </c>
      <c r="AH204" s="17" t="s">
        <v>66</v>
      </c>
      <c r="AI204" s="18">
        <v>12</v>
      </c>
      <c r="AJ204" s="19" t="s">
        <v>3168</v>
      </c>
      <c r="AK204" s="20" t="s">
        <v>3169</v>
      </c>
      <c r="AL204" s="17" t="s">
        <v>1276</v>
      </c>
      <c r="AM204" s="5" t="s">
        <v>66</v>
      </c>
      <c r="AN204" s="5" t="s">
        <v>66</v>
      </c>
      <c r="AO204" s="5" t="s">
        <v>3170</v>
      </c>
      <c r="AP204" s="5" t="s">
        <v>66</v>
      </c>
      <c r="AQ204" s="5" t="s">
        <v>66</v>
      </c>
      <c r="AR204" s="5" t="s">
        <v>66</v>
      </c>
      <c r="AS204" s="5" t="s">
        <v>66</v>
      </c>
      <c r="AT204" s="5" t="s">
        <v>66</v>
      </c>
      <c r="AU204" s="5" t="s">
        <v>66</v>
      </c>
      <c r="AV204" s="5" t="s">
        <v>66</v>
      </c>
      <c r="AW204" s="5" t="s">
        <v>66</v>
      </c>
      <c r="AX204" s="5" t="s">
        <v>68</v>
      </c>
      <c r="AY204" s="5" t="s">
        <v>69</v>
      </c>
      <c r="AZ204" s="5" t="s">
        <v>80</v>
      </c>
      <c r="BA204" s="19" t="s">
        <v>66</v>
      </c>
      <c r="BB204" s="17" t="s">
        <v>69</v>
      </c>
      <c r="BC204" s="5"/>
      <c r="BD204" s="5" t="s">
        <v>3171</v>
      </c>
    </row>
    <row r="205" spans="1:56" ht="48" hidden="1" x14ac:dyDescent="0.25">
      <c r="A205" s="78" t="s">
        <v>1002</v>
      </c>
      <c r="B205" s="5" t="s">
        <v>1003</v>
      </c>
      <c r="C205" s="5" t="s">
        <v>3293</v>
      </c>
      <c r="D205" s="5" t="s">
        <v>56</v>
      </c>
      <c r="E205" s="99" t="str">
        <f>VLOOKUP(D205,'Dropdown List'!$F$26:$G$40,2,0)</f>
        <v>India</v>
      </c>
      <c r="F205" s="8" t="s">
        <v>3163</v>
      </c>
      <c r="G205" s="96" t="s">
        <v>3164</v>
      </c>
      <c r="H205" s="5" t="s">
        <v>57</v>
      </c>
      <c r="I205" s="8" t="s">
        <v>58</v>
      </c>
      <c r="J205" s="8" t="s">
        <v>59</v>
      </c>
      <c r="K205" s="8" t="s">
        <v>86</v>
      </c>
      <c r="L205" s="8" t="s">
        <v>3172</v>
      </c>
      <c r="M205" s="8" t="s">
        <v>3173</v>
      </c>
      <c r="N205" s="5" t="s">
        <v>319</v>
      </c>
      <c r="O205" s="5" t="s">
        <v>89</v>
      </c>
      <c r="P205" s="5" t="s">
        <v>89</v>
      </c>
      <c r="Q205" s="9" t="s">
        <v>75</v>
      </c>
      <c r="R205" s="5" t="s">
        <v>76</v>
      </c>
      <c r="S205" s="5" t="s">
        <v>90</v>
      </c>
      <c r="T205" s="96">
        <v>2</v>
      </c>
      <c r="U205" s="96">
        <v>1</v>
      </c>
      <c r="V205" s="96">
        <v>8</v>
      </c>
      <c r="W205" s="5" t="s">
        <v>91</v>
      </c>
      <c r="X205" s="10" t="s">
        <v>79</v>
      </c>
      <c r="Y205" s="11" t="s">
        <v>3167</v>
      </c>
      <c r="Z205" s="12">
        <v>1.1100000000000001</v>
      </c>
      <c r="AA205" s="12">
        <v>0.5</v>
      </c>
      <c r="AB205" s="12">
        <v>0.25</v>
      </c>
      <c r="AC205" s="13">
        <v>2</v>
      </c>
      <c r="AD205" s="14">
        <f t="shared" si="8"/>
        <v>3.8600000000000003</v>
      </c>
      <c r="AE205" s="15">
        <f t="shared" si="9"/>
        <v>0.51813471502590669</v>
      </c>
      <c r="AF205" s="16">
        <v>591.66666666666663</v>
      </c>
      <c r="AG205" s="16" t="s">
        <v>66</v>
      </c>
      <c r="AH205" s="17" t="s">
        <v>66</v>
      </c>
      <c r="AI205" s="18">
        <v>6</v>
      </c>
      <c r="AJ205" s="19" t="s">
        <v>3168</v>
      </c>
      <c r="AK205" s="20" t="s">
        <v>3169</v>
      </c>
      <c r="AL205" s="17" t="s">
        <v>1276</v>
      </c>
      <c r="AM205" s="5" t="s">
        <v>66</v>
      </c>
      <c r="AN205" s="5" t="s">
        <v>66</v>
      </c>
      <c r="AO205" s="5" t="s">
        <v>3170</v>
      </c>
      <c r="AP205" s="5" t="s">
        <v>66</v>
      </c>
      <c r="AQ205" s="5" t="s">
        <v>66</v>
      </c>
      <c r="AR205" s="5" t="s">
        <v>66</v>
      </c>
      <c r="AS205" s="5" t="s">
        <v>66</v>
      </c>
      <c r="AT205" s="5" t="s">
        <v>66</v>
      </c>
      <c r="AU205" s="5" t="s">
        <v>66</v>
      </c>
      <c r="AV205" s="5" t="s">
        <v>66</v>
      </c>
      <c r="AW205" s="5" t="s">
        <v>66</v>
      </c>
      <c r="AX205" s="5" t="s">
        <v>68</v>
      </c>
      <c r="AY205" s="5" t="s">
        <v>69</v>
      </c>
      <c r="AZ205" s="5" t="s">
        <v>80</v>
      </c>
      <c r="BA205" s="19" t="s">
        <v>66</v>
      </c>
      <c r="BB205" s="17" t="s">
        <v>69</v>
      </c>
      <c r="BC205" s="5"/>
      <c r="BD205" s="5"/>
    </row>
    <row r="206" spans="1:56" ht="36" hidden="1" x14ac:dyDescent="0.25">
      <c r="A206" s="78" t="s">
        <v>1002</v>
      </c>
      <c r="B206" s="5" t="s">
        <v>1003</v>
      </c>
      <c r="C206" s="5" t="s">
        <v>3293</v>
      </c>
      <c r="D206" s="5" t="s">
        <v>56</v>
      </c>
      <c r="E206" s="99" t="str">
        <f>VLOOKUP(D206,'Dropdown List'!$F$26:$G$40,2,0)</f>
        <v>India</v>
      </c>
      <c r="F206" s="8" t="s">
        <v>3163</v>
      </c>
      <c r="G206" s="96" t="s">
        <v>3164</v>
      </c>
      <c r="H206" s="5" t="s">
        <v>57</v>
      </c>
      <c r="I206" s="8" t="s">
        <v>58</v>
      </c>
      <c r="J206" s="8" t="s">
        <v>59</v>
      </c>
      <c r="K206" s="8" t="s">
        <v>86</v>
      </c>
      <c r="L206" s="8" t="s">
        <v>3174</v>
      </c>
      <c r="M206" s="8" t="s">
        <v>3175</v>
      </c>
      <c r="N206" s="5" t="s">
        <v>319</v>
      </c>
      <c r="O206" s="5" t="s">
        <v>89</v>
      </c>
      <c r="P206" s="5" t="s">
        <v>89</v>
      </c>
      <c r="Q206" s="9" t="s">
        <v>75</v>
      </c>
      <c r="R206" s="5" t="s">
        <v>76</v>
      </c>
      <c r="S206" s="5" t="s">
        <v>90</v>
      </c>
      <c r="T206" s="96">
        <v>2</v>
      </c>
      <c r="U206" s="96">
        <v>1</v>
      </c>
      <c r="V206" s="96">
        <v>8</v>
      </c>
      <c r="W206" s="5" t="s">
        <v>91</v>
      </c>
      <c r="X206" s="10" t="s">
        <v>79</v>
      </c>
      <c r="Y206" s="11" t="s">
        <v>3167</v>
      </c>
      <c r="Z206" s="12">
        <v>0.68</v>
      </c>
      <c r="AA206" s="12">
        <v>0.5</v>
      </c>
      <c r="AB206" s="12">
        <v>0.25</v>
      </c>
      <c r="AC206" s="13">
        <v>2</v>
      </c>
      <c r="AD206" s="14">
        <f t="shared" si="8"/>
        <v>3.43</v>
      </c>
      <c r="AE206" s="15">
        <f t="shared" si="9"/>
        <v>0.58309037900874627</v>
      </c>
      <c r="AF206" s="16">
        <v>1648.3333333333333</v>
      </c>
      <c r="AG206" s="16" t="s">
        <v>66</v>
      </c>
      <c r="AH206" s="17" t="s">
        <v>66</v>
      </c>
      <c r="AI206" s="18">
        <v>4.5</v>
      </c>
      <c r="AJ206" s="19" t="s">
        <v>3168</v>
      </c>
      <c r="AK206" s="20" t="s">
        <v>3169</v>
      </c>
      <c r="AL206" s="17" t="s">
        <v>1276</v>
      </c>
      <c r="AM206" s="5" t="s">
        <v>66</v>
      </c>
      <c r="AN206" s="5" t="s">
        <v>66</v>
      </c>
      <c r="AO206" s="5" t="s">
        <v>3170</v>
      </c>
      <c r="AP206" s="5" t="s">
        <v>66</v>
      </c>
      <c r="AQ206" s="5" t="s">
        <v>66</v>
      </c>
      <c r="AR206" s="5" t="s">
        <v>66</v>
      </c>
      <c r="AS206" s="5" t="s">
        <v>66</v>
      </c>
      <c r="AT206" s="5" t="s">
        <v>66</v>
      </c>
      <c r="AU206" s="5" t="s">
        <v>66</v>
      </c>
      <c r="AV206" s="5" t="s">
        <v>66</v>
      </c>
      <c r="AW206" s="5" t="s">
        <v>66</v>
      </c>
      <c r="AX206" s="5" t="s">
        <v>68</v>
      </c>
      <c r="AY206" s="5" t="s">
        <v>69</v>
      </c>
      <c r="AZ206" s="5" t="s">
        <v>80</v>
      </c>
      <c r="BA206" s="19" t="s">
        <v>66</v>
      </c>
      <c r="BB206" s="17" t="s">
        <v>69</v>
      </c>
      <c r="BC206" s="5"/>
      <c r="BD206" s="5"/>
    </row>
    <row r="207" spans="1:56" ht="48" hidden="1" x14ac:dyDescent="0.25">
      <c r="A207" s="78" t="s">
        <v>1002</v>
      </c>
      <c r="B207" s="5" t="s">
        <v>1003</v>
      </c>
      <c r="C207" s="5" t="s">
        <v>3293</v>
      </c>
      <c r="D207" s="5" t="s">
        <v>56</v>
      </c>
      <c r="E207" s="99" t="str">
        <f>VLOOKUP(D207,'Dropdown List'!$F$26:$G$40,2,0)</f>
        <v>India</v>
      </c>
      <c r="F207" s="8" t="s">
        <v>3163</v>
      </c>
      <c r="G207" s="96" t="s">
        <v>3164</v>
      </c>
      <c r="H207" s="5" t="s">
        <v>57</v>
      </c>
      <c r="I207" s="8" t="s">
        <v>58</v>
      </c>
      <c r="J207" s="8" t="s">
        <v>59</v>
      </c>
      <c r="K207" s="8" t="s">
        <v>86</v>
      </c>
      <c r="L207" s="8" t="s">
        <v>3176</v>
      </c>
      <c r="M207" s="8" t="s">
        <v>3177</v>
      </c>
      <c r="N207" s="5" t="s">
        <v>319</v>
      </c>
      <c r="O207" s="5" t="s">
        <v>89</v>
      </c>
      <c r="P207" s="5" t="s">
        <v>89</v>
      </c>
      <c r="Q207" s="9" t="s">
        <v>75</v>
      </c>
      <c r="R207" s="5" t="s">
        <v>76</v>
      </c>
      <c r="S207" s="5" t="s">
        <v>90</v>
      </c>
      <c r="T207" s="96">
        <v>2</v>
      </c>
      <c r="U207" s="96">
        <v>1</v>
      </c>
      <c r="V207" s="96">
        <v>8</v>
      </c>
      <c r="W207" s="5" t="s">
        <v>91</v>
      </c>
      <c r="X207" s="10" t="s">
        <v>79</v>
      </c>
      <c r="Y207" s="11" t="s">
        <v>3167</v>
      </c>
      <c r="Z207" s="12">
        <v>0.21</v>
      </c>
      <c r="AA207" s="12">
        <v>0.5</v>
      </c>
      <c r="AB207" s="12">
        <v>0.25</v>
      </c>
      <c r="AC207" s="13">
        <v>2</v>
      </c>
      <c r="AD207" s="14">
        <f t="shared" si="8"/>
        <v>2.96</v>
      </c>
      <c r="AE207" s="15">
        <f t="shared" si="9"/>
        <v>0.67567567567567566</v>
      </c>
      <c r="AF207" s="16">
        <v>347.33333333333331</v>
      </c>
      <c r="AG207" s="16" t="s">
        <v>66</v>
      </c>
      <c r="AH207" s="17" t="s">
        <v>66</v>
      </c>
      <c r="AI207" s="18">
        <v>6</v>
      </c>
      <c r="AJ207" s="19" t="s">
        <v>3168</v>
      </c>
      <c r="AK207" s="20" t="s">
        <v>3169</v>
      </c>
      <c r="AL207" s="17" t="s">
        <v>1276</v>
      </c>
      <c r="AM207" s="5" t="s">
        <v>66</v>
      </c>
      <c r="AN207" s="5" t="s">
        <v>66</v>
      </c>
      <c r="AO207" s="5" t="s">
        <v>3170</v>
      </c>
      <c r="AP207" s="5" t="s">
        <v>66</v>
      </c>
      <c r="AQ207" s="5" t="s">
        <v>66</v>
      </c>
      <c r="AR207" s="5" t="s">
        <v>66</v>
      </c>
      <c r="AS207" s="5" t="s">
        <v>66</v>
      </c>
      <c r="AT207" s="5" t="s">
        <v>66</v>
      </c>
      <c r="AU207" s="5" t="s">
        <v>66</v>
      </c>
      <c r="AV207" s="5" t="s">
        <v>66</v>
      </c>
      <c r="AW207" s="5" t="s">
        <v>66</v>
      </c>
      <c r="AX207" s="5" t="s">
        <v>68</v>
      </c>
      <c r="AY207" s="5" t="s">
        <v>69</v>
      </c>
      <c r="AZ207" s="5" t="s">
        <v>80</v>
      </c>
      <c r="BA207" s="19" t="s">
        <v>66</v>
      </c>
      <c r="BB207" s="17" t="s">
        <v>69</v>
      </c>
      <c r="BC207" s="5"/>
      <c r="BD207" s="5"/>
    </row>
    <row r="208" spans="1:56" ht="36" hidden="1" x14ac:dyDescent="0.25">
      <c r="A208" s="78" t="s">
        <v>1002</v>
      </c>
      <c r="B208" s="5" t="s">
        <v>1003</v>
      </c>
      <c r="C208" s="5" t="s">
        <v>3293</v>
      </c>
      <c r="D208" s="5" t="s">
        <v>56</v>
      </c>
      <c r="E208" s="99" t="str">
        <f>VLOOKUP(D208,'Dropdown List'!$F$26:$G$40,2,0)</f>
        <v>India</v>
      </c>
      <c r="F208" s="8" t="s">
        <v>3163</v>
      </c>
      <c r="G208" s="96" t="s">
        <v>3164</v>
      </c>
      <c r="H208" s="5" t="s">
        <v>57</v>
      </c>
      <c r="I208" s="8" t="s">
        <v>58</v>
      </c>
      <c r="J208" s="8" t="s">
        <v>163</v>
      </c>
      <c r="K208" s="8" t="s">
        <v>1050</v>
      </c>
      <c r="L208" s="8" t="s">
        <v>3178</v>
      </c>
      <c r="M208" s="8" t="s">
        <v>3179</v>
      </c>
      <c r="N208" s="5" t="s">
        <v>319</v>
      </c>
      <c r="O208" s="5" t="s">
        <v>61</v>
      </c>
      <c r="P208" s="5" t="s">
        <v>1051</v>
      </c>
      <c r="Q208" s="9" t="s">
        <v>75</v>
      </c>
      <c r="R208" s="5" t="s">
        <v>76</v>
      </c>
      <c r="S208" s="5" t="s">
        <v>64</v>
      </c>
      <c r="T208" s="96">
        <v>2</v>
      </c>
      <c r="U208" s="96">
        <v>2</v>
      </c>
      <c r="V208" s="96">
        <v>14</v>
      </c>
      <c r="W208" s="5" t="s">
        <v>91</v>
      </c>
      <c r="X208" s="10" t="s">
        <v>79</v>
      </c>
      <c r="Y208" s="11" t="s">
        <v>3180</v>
      </c>
      <c r="Z208" s="12">
        <v>0.39</v>
      </c>
      <c r="AA208" s="12">
        <v>0.18181818181818182</v>
      </c>
      <c r="AB208" s="12">
        <v>9.0909090909090912E-2</v>
      </c>
      <c r="AC208" s="13">
        <v>0.5</v>
      </c>
      <c r="AD208" s="14">
        <f t="shared" si="8"/>
        <v>1.1627272727272726</v>
      </c>
      <c r="AE208" s="15">
        <f t="shared" si="9"/>
        <v>0.43002345582486323</v>
      </c>
      <c r="AF208" s="16">
        <v>619</v>
      </c>
      <c r="AG208" s="16" t="s">
        <v>66</v>
      </c>
      <c r="AH208" s="17" t="s">
        <v>66</v>
      </c>
      <c r="AI208" s="18">
        <v>2.5</v>
      </c>
      <c r="AJ208" s="19" t="s">
        <v>3168</v>
      </c>
      <c r="AK208" s="20" t="s">
        <v>3169</v>
      </c>
      <c r="AL208" s="17" t="s">
        <v>1276</v>
      </c>
      <c r="AM208" s="5" t="s">
        <v>66</v>
      </c>
      <c r="AN208" s="5" t="s">
        <v>66</v>
      </c>
      <c r="AO208" s="5" t="s">
        <v>3170</v>
      </c>
      <c r="AP208" s="5" t="s">
        <v>66</v>
      </c>
      <c r="AQ208" s="5" t="s">
        <v>66</v>
      </c>
      <c r="AR208" s="5" t="s">
        <v>66</v>
      </c>
      <c r="AS208" s="5" t="s">
        <v>66</v>
      </c>
      <c r="AT208" s="5" t="s">
        <v>66</v>
      </c>
      <c r="AU208" s="5" t="s">
        <v>66</v>
      </c>
      <c r="AV208" s="5" t="s">
        <v>66</v>
      </c>
      <c r="AW208" s="5" t="s">
        <v>66</v>
      </c>
      <c r="AX208" s="5" t="s">
        <v>68</v>
      </c>
      <c r="AY208" s="5" t="s">
        <v>69</v>
      </c>
      <c r="AZ208" s="5" t="s">
        <v>80</v>
      </c>
      <c r="BA208" s="19" t="s">
        <v>66</v>
      </c>
      <c r="BB208" s="17" t="s">
        <v>69</v>
      </c>
      <c r="BC208" s="5"/>
      <c r="BD208" s="5" t="s">
        <v>3181</v>
      </c>
    </row>
    <row r="209" spans="1:56" ht="36" hidden="1" x14ac:dyDescent="0.25">
      <c r="A209" s="78" t="s">
        <v>1002</v>
      </c>
      <c r="B209" s="5" t="s">
        <v>1003</v>
      </c>
      <c r="C209" s="5" t="s">
        <v>3293</v>
      </c>
      <c r="D209" s="5" t="s">
        <v>56</v>
      </c>
      <c r="E209" s="99" t="str">
        <f>VLOOKUP(D209,'Dropdown List'!$F$26:$G$40,2,0)</f>
        <v>India</v>
      </c>
      <c r="F209" s="8" t="s">
        <v>3163</v>
      </c>
      <c r="G209" s="96" t="s">
        <v>3164</v>
      </c>
      <c r="H209" s="5" t="s">
        <v>57</v>
      </c>
      <c r="I209" s="8" t="s">
        <v>58</v>
      </c>
      <c r="J209" s="8" t="s">
        <v>163</v>
      </c>
      <c r="K209" s="8" t="s">
        <v>1050</v>
      </c>
      <c r="L209" s="8" t="s">
        <v>3182</v>
      </c>
      <c r="M209" s="8" t="s">
        <v>3183</v>
      </c>
      <c r="N209" s="5" t="s">
        <v>319</v>
      </c>
      <c r="O209" s="5" t="s">
        <v>61</v>
      </c>
      <c r="P209" s="5" t="s">
        <v>1051</v>
      </c>
      <c r="Q209" s="9" t="s">
        <v>75</v>
      </c>
      <c r="R209" s="5" t="s">
        <v>76</v>
      </c>
      <c r="S209" s="5" t="s">
        <v>64</v>
      </c>
      <c r="T209" s="96">
        <v>2</v>
      </c>
      <c r="U209" s="96">
        <v>2</v>
      </c>
      <c r="V209" s="96">
        <v>14</v>
      </c>
      <c r="W209" s="5" t="s">
        <v>91</v>
      </c>
      <c r="X209" s="10" t="s">
        <v>79</v>
      </c>
      <c r="Y209" s="11" t="s">
        <v>3180</v>
      </c>
      <c r="Z209" s="12">
        <v>0.28000000000000003</v>
      </c>
      <c r="AA209" s="12">
        <v>0.18181818181818182</v>
      </c>
      <c r="AB209" s="12">
        <v>9.0909090909090912E-2</v>
      </c>
      <c r="AC209" s="13">
        <v>0.5</v>
      </c>
      <c r="AD209" s="14">
        <f t="shared" si="8"/>
        <v>1.0527272727272727</v>
      </c>
      <c r="AE209" s="15">
        <f t="shared" si="9"/>
        <v>0.47495682210708118</v>
      </c>
      <c r="AF209" s="16">
        <v>368.33333333333331</v>
      </c>
      <c r="AG209" s="16" t="s">
        <v>66</v>
      </c>
      <c r="AH209" s="17" t="s">
        <v>66</v>
      </c>
      <c r="AI209" s="18">
        <v>2</v>
      </c>
      <c r="AJ209" s="19" t="s">
        <v>3168</v>
      </c>
      <c r="AK209" s="20" t="s">
        <v>3169</v>
      </c>
      <c r="AL209" s="17" t="s">
        <v>1276</v>
      </c>
      <c r="AM209" s="5" t="s">
        <v>66</v>
      </c>
      <c r="AN209" s="5" t="s">
        <v>66</v>
      </c>
      <c r="AO209" s="5" t="s">
        <v>3170</v>
      </c>
      <c r="AP209" s="5" t="s">
        <v>66</v>
      </c>
      <c r="AQ209" s="5" t="s">
        <v>66</v>
      </c>
      <c r="AR209" s="5" t="s">
        <v>66</v>
      </c>
      <c r="AS209" s="5" t="s">
        <v>66</v>
      </c>
      <c r="AT209" s="5" t="s">
        <v>66</v>
      </c>
      <c r="AU209" s="5" t="s">
        <v>66</v>
      </c>
      <c r="AV209" s="5" t="s">
        <v>66</v>
      </c>
      <c r="AW209" s="5" t="s">
        <v>66</v>
      </c>
      <c r="AX209" s="5" t="s">
        <v>68</v>
      </c>
      <c r="AY209" s="5" t="s">
        <v>69</v>
      </c>
      <c r="AZ209" s="5" t="s">
        <v>80</v>
      </c>
      <c r="BA209" s="19" t="s">
        <v>66</v>
      </c>
      <c r="BB209" s="17" t="s">
        <v>69</v>
      </c>
      <c r="BC209" s="5"/>
      <c r="BD209" s="5"/>
    </row>
    <row r="210" spans="1:56" ht="48" hidden="1" x14ac:dyDescent="0.25">
      <c r="A210" s="78" t="s">
        <v>1002</v>
      </c>
      <c r="B210" s="5" t="s">
        <v>1003</v>
      </c>
      <c r="C210" s="5" t="s">
        <v>3293</v>
      </c>
      <c r="D210" s="5" t="s">
        <v>56</v>
      </c>
      <c r="E210" s="99" t="str">
        <f>VLOOKUP(D210,'Dropdown List'!$F$26:$G$40,2,0)</f>
        <v>India</v>
      </c>
      <c r="F210" s="8" t="s">
        <v>3163</v>
      </c>
      <c r="G210" s="96" t="s">
        <v>3164</v>
      </c>
      <c r="H210" s="5" t="s">
        <v>57</v>
      </c>
      <c r="I210" s="8" t="s">
        <v>58</v>
      </c>
      <c r="J210" s="8" t="s">
        <v>163</v>
      </c>
      <c r="K210" s="8" t="s">
        <v>1050</v>
      </c>
      <c r="L210" s="8" t="s">
        <v>3184</v>
      </c>
      <c r="M210" s="8" t="s">
        <v>3185</v>
      </c>
      <c r="N210" s="5" t="s">
        <v>319</v>
      </c>
      <c r="O210" s="5" t="s">
        <v>61</v>
      </c>
      <c r="P210" s="5" t="s">
        <v>1051</v>
      </c>
      <c r="Q210" s="9" t="s">
        <v>75</v>
      </c>
      <c r="R210" s="5" t="s">
        <v>76</v>
      </c>
      <c r="S210" s="5" t="s">
        <v>64</v>
      </c>
      <c r="T210" s="96">
        <v>2</v>
      </c>
      <c r="U210" s="96">
        <v>2</v>
      </c>
      <c r="V210" s="96">
        <v>14</v>
      </c>
      <c r="W210" s="5" t="s">
        <v>91</v>
      </c>
      <c r="X210" s="10" t="s">
        <v>79</v>
      </c>
      <c r="Y210" s="11" t="s">
        <v>3180</v>
      </c>
      <c r="Z210" s="12">
        <v>0.23</v>
      </c>
      <c r="AA210" s="12">
        <v>0.18181818181818182</v>
      </c>
      <c r="AB210" s="12">
        <v>9.0909090909090912E-2</v>
      </c>
      <c r="AC210" s="13">
        <v>0.5</v>
      </c>
      <c r="AD210" s="14">
        <f t="shared" si="8"/>
        <v>1.0027272727272729</v>
      </c>
      <c r="AE210" s="15">
        <f t="shared" si="9"/>
        <v>0.49864007252946502</v>
      </c>
      <c r="AF210" s="16">
        <v>330.66666666666669</v>
      </c>
      <c r="AG210" s="16" t="s">
        <v>66</v>
      </c>
      <c r="AH210" s="17" t="s">
        <v>66</v>
      </c>
      <c r="AI210" s="18">
        <v>2.7</v>
      </c>
      <c r="AJ210" s="19" t="s">
        <v>3168</v>
      </c>
      <c r="AK210" s="20" t="s">
        <v>3169</v>
      </c>
      <c r="AL210" s="17" t="s">
        <v>1276</v>
      </c>
      <c r="AM210" s="5" t="s">
        <v>66</v>
      </c>
      <c r="AN210" s="5" t="s">
        <v>66</v>
      </c>
      <c r="AO210" s="5" t="s">
        <v>3170</v>
      </c>
      <c r="AP210" s="5" t="s">
        <v>66</v>
      </c>
      <c r="AQ210" s="5" t="s">
        <v>66</v>
      </c>
      <c r="AR210" s="5" t="s">
        <v>66</v>
      </c>
      <c r="AS210" s="5" t="s">
        <v>66</v>
      </c>
      <c r="AT210" s="5" t="s">
        <v>66</v>
      </c>
      <c r="AU210" s="5" t="s">
        <v>66</v>
      </c>
      <c r="AV210" s="5" t="s">
        <v>66</v>
      </c>
      <c r="AW210" s="5" t="s">
        <v>66</v>
      </c>
      <c r="AX210" s="5" t="s">
        <v>68</v>
      </c>
      <c r="AY210" s="5" t="s">
        <v>69</v>
      </c>
      <c r="AZ210" s="5" t="s">
        <v>80</v>
      </c>
      <c r="BA210" s="19" t="s">
        <v>66</v>
      </c>
      <c r="BB210" s="17" t="s">
        <v>69</v>
      </c>
      <c r="BC210" s="5"/>
      <c r="BD210" s="5"/>
    </row>
    <row r="211" spans="1:56" ht="84" hidden="1" x14ac:dyDescent="0.25">
      <c r="A211" s="78" t="s">
        <v>1002</v>
      </c>
      <c r="B211" s="5" t="s">
        <v>1003</v>
      </c>
      <c r="C211" s="5" t="s">
        <v>3293</v>
      </c>
      <c r="D211" s="5" t="s">
        <v>56</v>
      </c>
      <c r="E211" s="99" t="str">
        <f>VLOOKUP(D211,'Dropdown List'!$F$26:$G$40,2,0)</f>
        <v>India</v>
      </c>
      <c r="F211" s="8" t="s">
        <v>3163</v>
      </c>
      <c r="G211" s="96" t="s">
        <v>3164</v>
      </c>
      <c r="H211" s="5" t="s">
        <v>57</v>
      </c>
      <c r="I211" s="8" t="s">
        <v>58</v>
      </c>
      <c r="J211" s="8" t="s">
        <v>163</v>
      </c>
      <c r="K211" s="8" t="s">
        <v>1050</v>
      </c>
      <c r="L211" s="8" t="s">
        <v>3186</v>
      </c>
      <c r="M211" s="8" t="s">
        <v>3187</v>
      </c>
      <c r="N211" s="5" t="s">
        <v>319</v>
      </c>
      <c r="O211" s="5" t="s">
        <v>61</v>
      </c>
      <c r="P211" s="5" t="s">
        <v>1051</v>
      </c>
      <c r="Q211" s="9" t="s">
        <v>75</v>
      </c>
      <c r="R211" s="5" t="s">
        <v>76</v>
      </c>
      <c r="S211" s="5" t="s">
        <v>64</v>
      </c>
      <c r="T211" s="96">
        <v>2</v>
      </c>
      <c r="U211" s="96">
        <v>2</v>
      </c>
      <c r="V211" s="96">
        <v>14</v>
      </c>
      <c r="W211" s="5" t="s">
        <v>91</v>
      </c>
      <c r="X211" s="10" t="s">
        <v>79</v>
      </c>
      <c r="Y211" s="11" t="s">
        <v>3180</v>
      </c>
      <c r="Z211" s="12">
        <v>5.82</v>
      </c>
      <c r="AA211" s="12">
        <v>0.18181818181818182</v>
      </c>
      <c r="AB211" s="12">
        <v>9.0909090909090912E-2</v>
      </c>
      <c r="AC211" s="13">
        <v>5</v>
      </c>
      <c r="AD211" s="14">
        <f t="shared" si="8"/>
        <v>11.092727272727274</v>
      </c>
      <c r="AE211" s="15">
        <f t="shared" si="9"/>
        <v>0.45074577938042942</v>
      </c>
      <c r="AF211" s="16">
        <v>1639.3333333333333</v>
      </c>
      <c r="AG211" s="16" t="s">
        <v>66</v>
      </c>
      <c r="AH211" s="17" t="s">
        <v>66</v>
      </c>
      <c r="AI211" s="18">
        <v>2.5</v>
      </c>
      <c r="AJ211" s="19" t="s">
        <v>3168</v>
      </c>
      <c r="AK211" s="20" t="s">
        <v>3169</v>
      </c>
      <c r="AL211" s="17" t="s">
        <v>1276</v>
      </c>
      <c r="AM211" s="5" t="s">
        <v>66</v>
      </c>
      <c r="AN211" s="5" t="s">
        <v>66</v>
      </c>
      <c r="AO211" s="5" t="s">
        <v>3170</v>
      </c>
      <c r="AP211" s="5" t="s">
        <v>66</v>
      </c>
      <c r="AQ211" s="5" t="s">
        <v>66</v>
      </c>
      <c r="AR211" s="5" t="s">
        <v>66</v>
      </c>
      <c r="AS211" s="5" t="s">
        <v>66</v>
      </c>
      <c r="AT211" s="5" t="s">
        <v>66</v>
      </c>
      <c r="AU211" s="5" t="s">
        <v>66</v>
      </c>
      <c r="AV211" s="5" t="s">
        <v>66</v>
      </c>
      <c r="AW211" s="5" t="s">
        <v>66</v>
      </c>
      <c r="AX211" s="5" t="s">
        <v>68</v>
      </c>
      <c r="AY211" s="5" t="s">
        <v>69</v>
      </c>
      <c r="AZ211" s="5" t="s">
        <v>80</v>
      </c>
      <c r="BA211" s="19" t="s">
        <v>66</v>
      </c>
      <c r="BB211" s="17" t="s">
        <v>69</v>
      </c>
      <c r="BC211" s="5"/>
      <c r="BD211" s="5"/>
    </row>
    <row r="212" spans="1:56" ht="36" hidden="1" x14ac:dyDescent="0.25">
      <c r="A212" s="78" t="s">
        <v>1002</v>
      </c>
      <c r="B212" s="5" t="s">
        <v>1003</v>
      </c>
      <c r="C212" s="5" t="s">
        <v>3293</v>
      </c>
      <c r="D212" s="5" t="s">
        <v>56</v>
      </c>
      <c r="E212" s="99" t="str">
        <f>VLOOKUP(D212,'Dropdown List'!$F$26:$G$40,2,0)</f>
        <v>India</v>
      </c>
      <c r="F212" s="8" t="s">
        <v>3163</v>
      </c>
      <c r="G212" s="96" t="s">
        <v>3164</v>
      </c>
      <c r="H212" s="5" t="s">
        <v>57</v>
      </c>
      <c r="I212" s="8" t="s">
        <v>58</v>
      </c>
      <c r="J212" s="8" t="s">
        <v>163</v>
      </c>
      <c r="K212" s="8" t="s">
        <v>1050</v>
      </c>
      <c r="L212" s="8" t="s">
        <v>3188</v>
      </c>
      <c r="M212" s="8" t="s">
        <v>3189</v>
      </c>
      <c r="N212" s="5" t="s">
        <v>319</v>
      </c>
      <c r="O212" s="5" t="s">
        <v>61</v>
      </c>
      <c r="P212" s="5" t="s">
        <v>1051</v>
      </c>
      <c r="Q212" s="9" t="s">
        <v>75</v>
      </c>
      <c r="R212" s="5" t="s">
        <v>76</v>
      </c>
      <c r="S212" s="5" t="s">
        <v>64</v>
      </c>
      <c r="T212" s="96">
        <v>2</v>
      </c>
      <c r="U212" s="96">
        <v>2</v>
      </c>
      <c r="V212" s="96">
        <v>14</v>
      </c>
      <c r="W212" s="5" t="s">
        <v>91</v>
      </c>
      <c r="X212" s="10" t="s">
        <v>79</v>
      </c>
      <c r="Y212" s="11" t="s">
        <v>3180</v>
      </c>
      <c r="Z212" s="12">
        <v>0.01</v>
      </c>
      <c r="AA212" s="12">
        <v>0.18181818181818182</v>
      </c>
      <c r="AB212" s="12">
        <v>9.0909090909090912E-2</v>
      </c>
      <c r="AC212" s="13">
        <v>1</v>
      </c>
      <c r="AD212" s="14">
        <f t="shared" si="8"/>
        <v>1.2827272727272727</v>
      </c>
      <c r="AE212" s="15">
        <f t="shared" si="9"/>
        <v>0.77958894401133949</v>
      </c>
      <c r="AF212" s="16">
        <v>8.6666666666666661</v>
      </c>
      <c r="AG212" s="16" t="s">
        <v>66</v>
      </c>
      <c r="AH212" s="17" t="s">
        <v>66</v>
      </c>
      <c r="AI212" s="18">
        <v>5</v>
      </c>
      <c r="AJ212" s="19" t="s">
        <v>3168</v>
      </c>
      <c r="AK212" s="20" t="s">
        <v>3169</v>
      </c>
      <c r="AL212" s="17" t="s">
        <v>1276</v>
      </c>
      <c r="AM212" s="5" t="s">
        <v>66</v>
      </c>
      <c r="AN212" s="5" t="s">
        <v>66</v>
      </c>
      <c r="AO212" s="5" t="s">
        <v>3170</v>
      </c>
      <c r="AP212" s="5" t="s">
        <v>66</v>
      </c>
      <c r="AQ212" s="5" t="s">
        <v>66</v>
      </c>
      <c r="AR212" s="5" t="s">
        <v>66</v>
      </c>
      <c r="AS212" s="5" t="s">
        <v>66</v>
      </c>
      <c r="AT212" s="5" t="s">
        <v>66</v>
      </c>
      <c r="AU212" s="5" t="s">
        <v>66</v>
      </c>
      <c r="AV212" s="5" t="s">
        <v>66</v>
      </c>
      <c r="AW212" s="5" t="s">
        <v>66</v>
      </c>
      <c r="AX212" s="5" t="s">
        <v>68</v>
      </c>
      <c r="AY212" s="5" t="s">
        <v>69</v>
      </c>
      <c r="AZ212" s="5" t="s">
        <v>80</v>
      </c>
      <c r="BA212" s="19" t="s">
        <v>66</v>
      </c>
      <c r="BB212" s="17" t="s">
        <v>69</v>
      </c>
      <c r="BC212" s="5"/>
      <c r="BD212" s="5"/>
    </row>
    <row r="213" spans="1:56" ht="36" hidden="1" x14ac:dyDescent="0.25">
      <c r="A213" s="78" t="s">
        <v>1002</v>
      </c>
      <c r="B213" s="5" t="s">
        <v>1003</v>
      </c>
      <c r="C213" s="5" t="s">
        <v>3293</v>
      </c>
      <c r="D213" s="5" t="s">
        <v>56</v>
      </c>
      <c r="E213" s="99" t="str">
        <f>VLOOKUP(D213,'Dropdown List'!$F$26:$G$40,2,0)</f>
        <v>India</v>
      </c>
      <c r="F213" s="8" t="s">
        <v>3163</v>
      </c>
      <c r="G213" s="96" t="s">
        <v>3164</v>
      </c>
      <c r="H213" s="5" t="s">
        <v>57</v>
      </c>
      <c r="I213" s="8" t="s">
        <v>58</v>
      </c>
      <c r="J213" s="8" t="s">
        <v>163</v>
      </c>
      <c r="K213" s="8" t="s">
        <v>1050</v>
      </c>
      <c r="L213" s="8" t="s">
        <v>3190</v>
      </c>
      <c r="M213" s="8" t="s">
        <v>3191</v>
      </c>
      <c r="N213" s="5" t="s">
        <v>319</v>
      </c>
      <c r="O213" s="5" t="s">
        <v>61</v>
      </c>
      <c r="P213" s="5" t="s">
        <v>1051</v>
      </c>
      <c r="Q213" s="9" t="s">
        <v>75</v>
      </c>
      <c r="R213" s="5" t="s">
        <v>76</v>
      </c>
      <c r="S213" s="5" t="s">
        <v>64</v>
      </c>
      <c r="T213" s="96">
        <v>2</v>
      </c>
      <c r="U213" s="96">
        <v>2</v>
      </c>
      <c r="V213" s="96">
        <v>14</v>
      </c>
      <c r="W213" s="5" t="s">
        <v>91</v>
      </c>
      <c r="X213" s="10" t="s">
        <v>79</v>
      </c>
      <c r="Y213" s="11" t="s">
        <v>3180</v>
      </c>
      <c r="Z213" s="12">
        <v>1.03</v>
      </c>
      <c r="AA213" s="12">
        <v>0.18181818181818182</v>
      </c>
      <c r="AB213" s="12">
        <v>9.0909090909090912E-2</v>
      </c>
      <c r="AC213" s="13">
        <v>1</v>
      </c>
      <c r="AD213" s="14">
        <f t="shared" si="8"/>
        <v>2.3027272727272727</v>
      </c>
      <c r="AE213" s="15">
        <f t="shared" si="9"/>
        <v>0.43426766679826295</v>
      </c>
      <c r="AF213" s="16">
        <v>521.33333333333337</v>
      </c>
      <c r="AG213" s="16" t="s">
        <v>66</v>
      </c>
      <c r="AH213" s="17" t="s">
        <v>66</v>
      </c>
      <c r="AI213" s="18">
        <v>11.7</v>
      </c>
      <c r="AJ213" s="19" t="s">
        <v>3168</v>
      </c>
      <c r="AK213" s="20" t="s">
        <v>3169</v>
      </c>
      <c r="AL213" s="17" t="s">
        <v>1276</v>
      </c>
      <c r="AM213" s="5" t="s">
        <v>66</v>
      </c>
      <c r="AN213" s="5" t="s">
        <v>66</v>
      </c>
      <c r="AO213" s="5" t="s">
        <v>3170</v>
      </c>
      <c r="AP213" s="5" t="s">
        <v>66</v>
      </c>
      <c r="AQ213" s="5" t="s">
        <v>66</v>
      </c>
      <c r="AR213" s="5" t="s">
        <v>66</v>
      </c>
      <c r="AS213" s="5" t="s">
        <v>66</v>
      </c>
      <c r="AT213" s="5" t="s">
        <v>66</v>
      </c>
      <c r="AU213" s="5" t="s">
        <v>66</v>
      </c>
      <c r="AV213" s="5" t="s">
        <v>66</v>
      </c>
      <c r="AW213" s="5" t="s">
        <v>66</v>
      </c>
      <c r="AX213" s="5" t="s">
        <v>68</v>
      </c>
      <c r="AY213" s="5" t="s">
        <v>69</v>
      </c>
      <c r="AZ213" s="5" t="s">
        <v>80</v>
      </c>
      <c r="BA213" s="19" t="s">
        <v>66</v>
      </c>
      <c r="BB213" s="17" t="s">
        <v>69</v>
      </c>
      <c r="BC213" s="5"/>
      <c r="BD213" s="5"/>
    </row>
    <row r="214" spans="1:56" ht="48" hidden="1" x14ac:dyDescent="0.25">
      <c r="A214" s="78" t="s">
        <v>1002</v>
      </c>
      <c r="B214" s="5" t="s">
        <v>1003</v>
      </c>
      <c r="C214" s="5" t="s">
        <v>3293</v>
      </c>
      <c r="D214" s="5" t="s">
        <v>56</v>
      </c>
      <c r="E214" s="99" t="str">
        <f>VLOOKUP(D214,'Dropdown List'!$F$26:$G$40,2,0)</f>
        <v>India</v>
      </c>
      <c r="F214" s="8" t="s">
        <v>3163</v>
      </c>
      <c r="G214" s="96" t="s">
        <v>3164</v>
      </c>
      <c r="H214" s="5" t="s">
        <v>57</v>
      </c>
      <c r="I214" s="8" t="s">
        <v>58</v>
      </c>
      <c r="J214" s="8" t="s">
        <v>163</v>
      </c>
      <c r="K214" s="8" t="s">
        <v>1050</v>
      </c>
      <c r="L214" s="8" t="s">
        <v>3192</v>
      </c>
      <c r="M214" s="8" t="s">
        <v>3193</v>
      </c>
      <c r="N214" s="5" t="s">
        <v>319</v>
      </c>
      <c r="O214" s="5" t="s">
        <v>61</v>
      </c>
      <c r="P214" s="5" t="s">
        <v>1051</v>
      </c>
      <c r="Q214" s="9" t="s">
        <v>75</v>
      </c>
      <c r="R214" s="5" t="s">
        <v>76</v>
      </c>
      <c r="S214" s="5" t="s">
        <v>64</v>
      </c>
      <c r="T214" s="96">
        <v>2</v>
      </c>
      <c r="U214" s="96">
        <v>2</v>
      </c>
      <c r="V214" s="96">
        <v>14</v>
      </c>
      <c r="W214" s="5" t="s">
        <v>91</v>
      </c>
      <c r="X214" s="10" t="s">
        <v>79</v>
      </c>
      <c r="Y214" s="11" t="s">
        <v>3180</v>
      </c>
      <c r="Z214" s="12">
        <v>0.34</v>
      </c>
      <c r="AA214" s="12">
        <v>0.18181818181818182</v>
      </c>
      <c r="AB214" s="12">
        <v>9.0909090909090912E-2</v>
      </c>
      <c r="AC214" s="13">
        <v>0.5</v>
      </c>
      <c r="AD214" s="14">
        <f t="shared" si="8"/>
        <v>1.1127272727272728</v>
      </c>
      <c r="AE214" s="15">
        <f t="shared" si="9"/>
        <v>0.44934640522875813</v>
      </c>
      <c r="AF214" s="16">
        <v>242.33333333333334</v>
      </c>
      <c r="AG214" s="16" t="s">
        <v>66</v>
      </c>
      <c r="AH214" s="17" t="s">
        <v>66</v>
      </c>
      <c r="AI214" s="18">
        <v>5</v>
      </c>
      <c r="AJ214" s="19" t="s">
        <v>3168</v>
      </c>
      <c r="AK214" s="20" t="s">
        <v>3169</v>
      </c>
      <c r="AL214" s="17" t="s">
        <v>1276</v>
      </c>
      <c r="AM214" s="5" t="s">
        <v>66</v>
      </c>
      <c r="AN214" s="5" t="s">
        <v>66</v>
      </c>
      <c r="AO214" s="5" t="s">
        <v>3170</v>
      </c>
      <c r="AP214" s="5" t="s">
        <v>66</v>
      </c>
      <c r="AQ214" s="5" t="s">
        <v>66</v>
      </c>
      <c r="AR214" s="5" t="s">
        <v>66</v>
      </c>
      <c r="AS214" s="5" t="s">
        <v>66</v>
      </c>
      <c r="AT214" s="5" t="s">
        <v>66</v>
      </c>
      <c r="AU214" s="5" t="s">
        <v>66</v>
      </c>
      <c r="AV214" s="5" t="s">
        <v>66</v>
      </c>
      <c r="AW214" s="5" t="s">
        <v>66</v>
      </c>
      <c r="AX214" s="5" t="s">
        <v>68</v>
      </c>
      <c r="AY214" s="5" t="s">
        <v>69</v>
      </c>
      <c r="AZ214" s="5" t="s">
        <v>80</v>
      </c>
      <c r="BA214" s="19" t="s">
        <v>66</v>
      </c>
      <c r="BB214" s="17" t="s">
        <v>69</v>
      </c>
      <c r="BC214" s="5"/>
      <c r="BD214" s="5"/>
    </row>
    <row r="215" spans="1:56" ht="36" hidden="1" x14ac:dyDescent="0.25">
      <c r="A215" s="78" t="s">
        <v>1002</v>
      </c>
      <c r="B215" s="5" t="s">
        <v>1003</v>
      </c>
      <c r="C215" s="5" t="s">
        <v>3293</v>
      </c>
      <c r="D215" s="5" t="s">
        <v>56</v>
      </c>
      <c r="E215" s="99" t="str">
        <f>VLOOKUP(D215,'Dropdown List'!$F$26:$G$40,2,0)</f>
        <v>India</v>
      </c>
      <c r="F215" s="8" t="s">
        <v>3163</v>
      </c>
      <c r="G215" s="96" t="s">
        <v>3164</v>
      </c>
      <c r="H215" s="5" t="s">
        <v>57</v>
      </c>
      <c r="I215" s="8" t="s">
        <v>58</v>
      </c>
      <c r="J215" s="8" t="s">
        <v>163</v>
      </c>
      <c r="K215" s="8" t="s">
        <v>1050</v>
      </c>
      <c r="L215" s="8" t="s">
        <v>3194</v>
      </c>
      <c r="M215" s="8" t="s">
        <v>3195</v>
      </c>
      <c r="N215" s="5" t="s">
        <v>319</v>
      </c>
      <c r="O215" s="5" t="s">
        <v>61</v>
      </c>
      <c r="P215" s="5" t="s">
        <v>1051</v>
      </c>
      <c r="Q215" s="9" t="s">
        <v>75</v>
      </c>
      <c r="R215" s="5" t="s">
        <v>76</v>
      </c>
      <c r="S215" s="5" t="s">
        <v>64</v>
      </c>
      <c r="T215" s="96">
        <v>2</v>
      </c>
      <c r="U215" s="96">
        <v>2</v>
      </c>
      <c r="V215" s="96">
        <v>14</v>
      </c>
      <c r="W215" s="5" t="s">
        <v>91</v>
      </c>
      <c r="X215" s="10" t="s">
        <v>79</v>
      </c>
      <c r="Y215" s="11" t="s">
        <v>3180</v>
      </c>
      <c r="Z215" s="12">
        <v>0.9</v>
      </c>
      <c r="AA215" s="12">
        <v>0.18181818181818182</v>
      </c>
      <c r="AB215" s="12">
        <v>9.0909090909090912E-2</v>
      </c>
      <c r="AC215" s="13">
        <v>1</v>
      </c>
      <c r="AD215" s="14">
        <f t="shared" si="8"/>
        <v>2.1727272727272728</v>
      </c>
      <c r="AE215" s="15">
        <f t="shared" si="9"/>
        <v>0.46025104602510458</v>
      </c>
      <c r="AF215" s="16">
        <v>1135</v>
      </c>
      <c r="AG215" s="16" t="s">
        <v>66</v>
      </c>
      <c r="AH215" s="17" t="s">
        <v>66</v>
      </c>
      <c r="AI215" s="18">
        <v>2</v>
      </c>
      <c r="AJ215" s="19" t="s">
        <v>3168</v>
      </c>
      <c r="AK215" s="20" t="s">
        <v>3169</v>
      </c>
      <c r="AL215" s="17" t="s">
        <v>1276</v>
      </c>
      <c r="AM215" s="5" t="s">
        <v>66</v>
      </c>
      <c r="AN215" s="5" t="s">
        <v>66</v>
      </c>
      <c r="AO215" s="5" t="s">
        <v>3170</v>
      </c>
      <c r="AP215" s="5" t="s">
        <v>66</v>
      </c>
      <c r="AQ215" s="5" t="s">
        <v>66</v>
      </c>
      <c r="AR215" s="5" t="s">
        <v>66</v>
      </c>
      <c r="AS215" s="5" t="s">
        <v>66</v>
      </c>
      <c r="AT215" s="5" t="s">
        <v>66</v>
      </c>
      <c r="AU215" s="5" t="s">
        <v>3196</v>
      </c>
      <c r="AV215" s="5" t="s">
        <v>66</v>
      </c>
      <c r="AW215" s="5" t="s">
        <v>66</v>
      </c>
      <c r="AX215" s="5" t="s">
        <v>68</v>
      </c>
      <c r="AY215" s="5" t="s">
        <v>69</v>
      </c>
      <c r="AZ215" s="5" t="s">
        <v>80</v>
      </c>
      <c r="BA215" s="19" t="s">
        <v>66</v>
      </c>
      <c r="BB215" s="17" t="s">
        <v>69</v>
      </c>
      <c r="BC215" s="5"/>
      <c r="BD215" s="5"/>
    </row>
    <row r="216" spans="1:56" ht="36" hidden="1" x14ac:dyDescent="0.25">
      <c r="A216" s="78" t="s">
        <v>1002</v>
      </c>
      <c r="B216" s="5" t="s">
        <v>1003</v>
      </c>
      <c r="C216" s="5" t="s">
        <v>3293</v>
      </c>
      <c r="D216" s="5" t="s">
        <v>56</v>
      </c>
      <c r="E216" s="99" t="str">
        <f>VLOOKUP(D216,'Dropdown List'!$F$26:$G$40,2,0)</f>
        <v>India</v>
      </c>
      <c r="F216" s="8" t="s">
        <v>3163</v>
      </c>
      <c r="G216" s="96" t="s">
        <v>3164</v>
      </c>
      <c r="H216" s="5" t="s">
        <v>57</v>
      </c>
      <c r="I216" s="8" t="s">
        <v>58</v>
      </c>
      <c r="J216" s="8" t="s">
        <v>163</v>
      </c>
      <c r="K216" s="8" t="s">
        <v>1050</v>
      </c>
      <c r="L216" s="8" t="s">
        <v>3197</v>
      </c>
      <c r="M216" s="8" t="s">
        <v>3198</v>
      </c>
      <c r="N216" s="5" t="s">
        <v>319</v>
      </c>
      <c r="O216" s="5" t="s">
        <v>61</v>
      </c>
      <c r="P216" s="5" t="s">
        <v>1051</v>
      </c>
      <c r="Q216" s="9" t="s">
        <v>75</v>
      </c>
      <c r="R216" s="5" t="s">
        <v>76</v>
      </c>
      <c r="S216" s="5" t="s">
        <v>64</v>
      </c>
      <c r="T216" s="96">
        <v>2</v>
      </c>
      <c r="U216" s="96">
        <v>2</v>
      </c>
      <c r="V216" s="96">
        <v>14</v>
      </c>
      <c r="W216" s="5" t="s">
        <v>91</v>
      </c>
      <c r="X216" s="10" t="s">
        <v>79</v>
      </c>
      <c r="Y216" s="11" t="s">
        <v>3180</v>
      </c>
      <c r="Z216" s="12">
        <v>2</v>
      </c>
      <c r="AA216" s="12">
        <v>0.18181818181818182</v>
      </c>
      <c r="AB216" s="12">
        <v>9.0909090909090912E-2</v>
      </c>
      <c r="AC216" s="13">
        <v>2</v>
      </c>
      <c r="AD216" s="14">
        <f t="shared" si="8"/>
        <v>4.2727272727272725</v>
      </c>
      <c r="AE216" s="15">
        <f t="shared" si="9"/>
        <v>0.46808510638297873</v>
      </c>
      <c r="AF216" s="16">
        <v>719.33333333333337</v>
      </c>
      <c r="AG216" s="16" t="s">
        <v>66</v>
      </c>
      <c r="AH216" s="17" t="s">
        <v>66</v>
      </c>
      <c r="AI216" s="18" t="s">
        <v>3199</v>
      </c>
      <c r="AJ216" s="19" t="s">
        <v>3200</v>
      </c>
      <c r="AK216" s="20" t="s">
        <v>3169</v>
      </c>
      <c r="AL216" s="17" t="s">
        <v>1276</v>
      </c>
      <c r="AM216" s="5" t="s">
        <v>66</v>
      </c>
      <c r="AN216" s="5" t="s">
        <v>66</v>
      </c>
      <c r="AO216" s="5" t="s">
        <v>3170</v>
      </c>
      <c r="AP216" s="5" t="s">
        <v>66</v>
      </c>
      <c r="AQ216" s="5" t="s">
        <v>66</v>
      </c>
      <c r="AR216" s="5" t="s">
        <v>66</v>
      </c>
      <c r="AS216" s="5" t="s">
        <v>66</v>
      </c>
      <c r="AT216" s="5" t="s">
        <v>66</v>
      </c>
      <c r="AU216" s="5" t="s">
        <v>66</v>
      </c>
      <c r="AV216" s="5" t="s">
        <v>66</v>
      </c>
      <c r="AW216" s="5" t="s">
        <v>66</v>
      </c>
      <c r="AX216" s="5" t="s">
        <v>68</v>
      </c>
      <c r="AY216" s="5" t="s">
        <v>69</v>
      </c>
      <c r="AZ216" s="5" t="s">
        <v>80</v>
      </c>
      <c r="BA216" s="19" t="s">
        <v>66</v>
      </c>
      <c r="BB216" s="17" t="s">
        <v>69</v>
      </c>
      <c r="BC216" s="5"/>
      <c r="BD216" s="5"/>
    </row>
    <row r="217" spans="1:56" ht="84" hidden="1" x14ac:dyDescent="0.25">
      <c r="A217" s="78" t="s">
        <v>1002</v>
      </c>
      <c r="B217" s="5" t="s">
        <v>1003</v>
      </c>
      <c r="C217" s="5" t="s">
        <v>3293</v>
      </c>
      <c r="D217" s="5" t="s">
        <v>56</v>
      </c>
      <c r="E217" s="99" t="str">
        <f>VLOOKUP(D217,'Dropdown List'!$F$26:$G$40,2,0)</f>
        <v>India</v>
      </c>
      <c r="F217" s="8" t="s">
        <v>3163</v>
      </c>
      <c r="G217" s="96" t="s">
        <v>3164</v>
      </c>
      <c r="H217" s="5" t="s">
        <v>57</v>
      </c>
      <c r="I217" s="8" t="s">
        <v>58</v>
      </c>
      <c r="J217" s="8" t="s">
        <v>163</v>
      </c>
      <c r="K217" s="8" t="s">
        <v>1050</v>
      </c>
      <c r="L217" s="8" t="s">
        <v>3201</v>
      </c>
      <c r="M217" s="8" t="s">
        <v>3202</v>
      </c>
      <c r="N217" s="5" t="s">
        <v>269</v>
      </c>
      <c r="O217" s="5" t="s">
        <v>269</v>
      </c>
      <c r="P217" s="5" t="s">
        <v>3203</v>
      </c>
      <c r="Q217" s="9" t="s">
        <v>75</v>
      </c>
      <c r="R217" s="5" t="s">
        <v>76</v>
      </c>
      <c r="S217" s="5" t="s">
        <v>64</v>
      </c>
      <c r="T217" s="96">
        <v>2</v>
      </c>
      <c r="U217" s="96">
        <v>9</v>
      </c>
      <c r="V217" s="96">
        <v>7</v>
      </c>
      <c r="W217" s="5" t="s">
        <v>91</v>
      </c>
      <c r="X217" s="10" t="s">
        <v>79</v>
      </c>
      <c r="Y217" s="11" t="s">
        <v>3204</v>
      </c>
      <c r="Z217" s="12">
        <v>0.24</v>
      </c>
      <c r="AA217" s="12">
        <v>0.5</v>
      </c>
      <c r="AB217" s="12">
        <v>0.25</v>
      </c>
      <c r="AC217" s="13">
        <v>1</v>
      </c>
      <c r="AD217" s="14">
        <f t="shared" si="8"/>
        <v>1.99</v>
      </c>
      <c r="AE217" s="15">
        <f t="shared" si="9"/>
        <v>0.50251256281407031</v>
      </c>
      <c r="AF217" s="16">
        <v>662</v>
      </c>
      <c r="AG217" s="16" t="s">
        <v>66</v>
      </c>
      <c r="AH217" s="17" t="s">
        <v>66</v>
      </c>
      <c r="AI217" s="18">
        <v>1.88</v>
      </c>
      <c r="AJ217" s="19" t="s">
        <v>3168</v>
      </c>
      <c r="AK217" s="20" t="s">
        <v>3205</v>
      </c>
      <c r="AL217" s="17" t="s">
        <v>261</v>
      </c>
      <c r="AM217" s="5" t="s">
        <v>66</v>
      </c>
      <c r="AN217" s="5" t="s">
        <v>66</v>
      </c>
      <c r="AO217" s="5" t="s">
        <v>3170</v>
      </c>
      <c r="AP217" s="5" t="s">
        <v>66</v>
      </c>
      <c r="AQ217" s="5" t="s">
        <v>66</v>
      </c>
      <c r="AR217" s="5" t="s">
        <v>66</v>
      </c>
      <c r="AS217" s="5" t="s">
        <v>66</v>
      </c>
      <c r="AT217" s="5" t="s">
        <v>66</v>
      </c>
      <c r="AU217" s="5" t="s">
        <v>66</v>
      </c>
      <c r="AV217" s="5" t="s">
        <v>66</v>
      </c>
      <c r="AW217" s="5" t="s">
        <v>66</v>
      </c>
      <c r="AX217" s="5" t="s">
        <v>68</v>
      </c>
      <c r="AY217" s="5" t="s">
        <v>69</v>
      </c>
      <c r="AZ217" s="5" t="s">
        <v>145</v>
      </c>
      <c r="BA217" s="19" t="s">
        <v>66</v>
      </c>
      <c r="BB217" s="17" t="s">
        <v>69</v>
      </c>
      <c r="BC217" s="5"/>
      <c r="BD217" s="5" t="s">
        <v>3206</v>
      </c>
    </row>
    <row r="218" spans="1:56" ht="48" hidden="1" x14ac:dyDescent="0.25">
      <c r="A218" s="78" t="s">
        <v>1002</v>
      </c>
      <c r="B218" s="5" t="s">
        <v>1003</v>
      </c>
      <c r="C218" s="5" t="s">
        <v>3293</v>
      </c>
      <c r="D218" s="5" t="s">
        <v>56</v>
      </c>
      <c r="E218" s="99" t="str">
        <f>VLOOKUP(D218,'Dropdown List'!$F$26:$G$40,2,0)</f>
        <v>India</v>
      </c>
      <c r="F218" s="8" t="s">
        <v>3163</v>
      </c>
      <c r="G218" s="96" t="s">
        <v>3164</v>
      </c>
      <c r="H218" s="5" t="s">
        <v>57</v>
      </c>
      <c r="I218" s="8" t="s">
        <v>58</v>
      </c>
      <c r="J218" s="8" t="s">
        <v>163</v>
      </c>
      <c r="K218" s="8" t="s">
        <v>1050</v>
      </c>
      <c r="L218" s="8" t="s">
        <v>3207</v>
      </c>
      <c r="M218" s="8" t="s">
        <v>3208</v>
      </c>
      <c r="N218" s="5" t="s">
        <v>269</v>
      </c>
      <c r="O218" s="5" t="s">
        <v>269</v>
      </c>
      <c r="P218" s="5" t="s">
        <v>3203</v>
      </c>
      <c r="Q218" s="9" t="s">
        <v>75</v>
      </c>
      <c r="R218" s="5" t="s">
        <v>76</v>
      </c>
      <c r="S218" s="5" t="s">
        <v>64</v>
      </c>
      <c r="T218" s="96">
        <v>2</v>
      </c>
      <c r="U218" s="96">
        <v>9</v>
      </c>
      <c r="V218" s="96">
        <v>7</v>
      </c>
      <c r="W218" s="5" t="s">
        <v>91</v>
      </c>
      <c r="X218" s="10" t="s">
        <v>79</v>
      </c>
      <c r="Y218" s="11" t="s">
        <v>3204</v>
      </c>
      <c r="Z218" s="12">
        <v>0</v>
      </c>
      <c r="AA218" s="12">
        <v>0</v>
      </c>
      <c r="AB218" s="12">
        <v>0</v>
      </c>
      <c r="AC218" s="13">
        <v>0</v>
      </c>
      <c r="AD218" s="14">
        <f t="shared" si="8"/>
        <v>0</v>
      </c>
      <c r="AE218" s="15" t="e">
        <f t="shared" si="9"/>
        <v>#DIV/0!</v>
      </c>
      <c r="AF218" s="16">
        <v>0</v>
      </c>
      <c r="AG218" s="16" t="s">
        <v>66</v>
      </c>
      <c r="AH218" s="17" t="s">
        <v>66</v>
      </c>
      <c r="AI218" s="18">
        <v>2.67</v>
      </c>
      <c r="AJ218" s="19" t="s">
        <v>3168</v>
      </c>
      <c r="AK218" s="20" t="s">
        <v>3205</v>
      </c>
      <c r="AL218" s="17" t="s">
        <v>261</v>
      </c>
      <c r="AM218" s="5" t="s">
        <v>66</v>
      </c>
      <c r="AN218" s="5" t="s">
        <v>66</v>
      </c>
      <c r="AO218" s="5" t="s">
        <v>3170</v>
      </c>
      <c r="AP218" s="5" t="s">
        <v>66</v>
      </c>
      <c r="AQ218" s="5" t="s">
        <v>66</v>
      </c>
      <c r="AR218" s="5" t="s">
        <v>66</v>
      </c>
      <c r="AS218" s="5" t="s">
        <v>66</v>
      </c>
      <c r="AT218" s="5" t="s">
        <v>66</v>
      </c>
      <c r="AU218" s="5" t="s">
        <v>66</v>
      </c>
      <c r="AV218" s="5" t="s">
        <v>66</v>
      </c>
      <c r="AW218" s="5" t="s">
        <v>66</v>
      </c>
      <c r="AX218" s="5" t="s">
        <v>68</v>
      </c>
      <c r="AY218" s="5" t="s">
        <v>69</v>
      </c>
      <c r="AZ218" s="5" t="s">
        <v>145</v>
      </c>
      <c r="BA218" s="19" t="s">
        <v>66</v>
      </c>
      <c r="BB218" s="17" t="s">
        <v>69</v>
      </c>
      <c r="BC218" s="5"/>
      <c r="BD218" s="5"/>
    </row>
    <row r="219" spans="1:56" ht="36" hidden="1" x14ac:dyDescent="0.25">
      <c r="A219" s="78" t="s">
        <v>1002</v>
      </c>
      <c r="B219" s="5" t="s">
        <v>1003</v>
      </c>
      <c r="C219" s="5" t="s">
        <v>3293</v>
      </c>
      <c r="D219" s="5" t="s">
        <v>56</v>
      </c>
      <c r="E219" s="99" t="str">
        <f>VLOOKUP(D219,'Dropdown List'!$F$26:$G$40,2,0)</f>
        <v>India</v>
      </c>
      <c r="F219" s="8" t="s">
        <v>3163</v>
      </c>
      <c r="G219" s="96" t="s">
        <v>3164</v>
      </c>
      <c r="H219" s="5" t="s">
        <v>57</v>
      </c>
      <c r="I219" s="8" t="s">
        <v>58</v>
      </c>
      <c r="J219" s="8" t="s">
        <v>163</v>
      </c>
      <c r="K219" s="8" t="s">
        <v>1050</v>
      </c>
      <c r="L219" s="8" t="s">
        <v>3209</v>
      </c>
      <c r="M219" s="8" t="s">
        <v>3210</v>
      </c>
      <c r="N219" s="5" t="s">
        <v>269</v>
      </c>
      <c r="O219" s="5" t="s">
        <v>269</v>
      </c>
      <c r="P219" s="5" t="s">
        <v>3203</v>
      </c>
      <c r="Q219" s="9" t="s">
        <v>75</v>
      </c>
      <c r="R219" s="5" t="s">
        <v>76</v>
      </c>
      <c r="S219" s="5" t="s">
        <v>64</v>
      </c>
      <c r="T219" s="96">
        <v>2</v>
      </c>
      <c r="U219" s="96">
        <v>9</v>
      </c>
      <c r="V219" s="96">
        <v>7</v>
      </c>
      <c r="W219" s="5" t="s">
        <v>91</v>
      </c>
      <c r="X219" s="10" t="s">
        <v>79</v>
      </c>
      <c r="Y219" s="11" t="s">
        <v>3204</v>
      </c>
      <c r="Z219" s="12">
        <v>7.85</v>
      </c>
      <c r="AA219" s="12">
        <v>0.5</v>
      </c>
      <c r="AB219" s="12">
        <v>0.25</v>
      </c>
      <c r="AC219" s="13">
        <v>1</v>
      </c>
      <c r="AD219" s="14">
        <f t="shared" si="8"/>
        <v>9.6</v>
      </c>
      <c r="AE219" s="15">
        <f t="shared" si="9"/>
        <v>0.10416666666666667</v>
      </c>
      <c r="AF219" s="16">
        <v>26202.333333333332</v>
      </c>
      <c r="AG219" s="16" t="s">
        <v>66</v>
      </c>
      <c r="AH219" s="17" t="s">
        <v>66</v>
      </c>
      <c r="AI219" s="18">
        <v>0.67</v>
      </c>
      <c r="AJ219" s="19" t="s">
        <v>3211</v>
      </c>
      <c r="AK219" s="20" t="s">
        <v>3205</v>
      </c>
      <c r="AL219" s="17" t="s">
        <v>261</v>
      </c>
      <c r="AM219" s="5" t="s">
        <v>66</v>
      </c>
      <c r="AN219" s="5" t="s">
        <v>66</v>
      </c>
      <c r="AO219" s="5" t="s">
        <v>3170</v>
      </c>
      <c r="AP219" s="5" t="s">
        <v>66</v>
      </c>
      <c r="AQ219" s="5" t="s">
        <v>66</v>
      </c>
      <c r="AR219" s="5" t="s">
        <v>66</v>
      </c>
      <c r="AS219" s="5" t="s">
        <v>66</v>
      </c>
      <c r="AT219" s="5" t="s">
        <v>66</v>
      </c>
      <c r="AU219" s="5" t="s">
        <v>66</v>
      </c>
      <c r="AV219" s="5" t="s">
        <v>66</v>
      </c>
      <c r="AW219" s="5" t="s">
        <v>66</v>
      </c>
      <c r="AX219" s="5" t="s">
        <v>68</v>
      </c>
      <c r="AY219" s="5" t="s">
        <v>69</v>
      </c>
      <c r="AZ219" s="5" t="s">
        <v>145</v>
      </c>
      <c r="BA219" s="19" t="s">
        <v>66</v>
      </c>
      <c r="BB219" s="17" t="s">
        <v>69</v>
      </c>
      <c r="BC219" s="5"/>
      <c r="BD219" s="5"/>
    </row>
    <row r="220" spans="1:56" ht="36" hidden="1" x14ac:dyDescent="0.25">
      <c r="A220" s="78" t="s">
        <v>1002</v>
      </c>
      <c r="B220" s="5" t="s">
        <v>1003</v>
      </c>
      <c r="C220" s="5" t="s">
        <v>3293</v>
      </c>
      <c r="D220" s="5" t="s">
        <v>56</v>
      </c>
      <c r="E220" s="99" t="str">
        <f>VLOOKUP(D220,'Dropdown List'!$F$26:$G$40,2,0)</f>
        <v>India</v>
      </c>
      <c r="F220" s="8" t="s">
        <v>3163</v>
      </c>
      <c r="G220" s="96" t="s">
        <v>3164</v>
      </c>
      <c r="H220" s="5" t="s">
        <v>57</v>
      </c>
      <c r="I220" s="8" t="s">
        <v>58</v>
      </c>
      <c r="J220" s="8" t="s">
        <v>163</v>
      </c>
      <c r="K220" s="8" t="s">
        <v>1050</v>
      </c>
      <c r="L220" s="8" t="s">
        <v>3212</v>
      </c>
      <c r="M220" s="8" t="s">
        <v>3213</v>
      </c>
      <c r="N220" s="5" t="s">
        <v>269</v>
      </c>
      <c r="O220" s="5" t="s">
        <v>269</v>
      </c>
      <c r="P220" s="5" t="s">
        <v>3203</v>
      </c>
      <c r="Q220" s="9" t="s">
        <v>75</v>
      </c>
      <c r="R220" s="5" t="s">
        <v>76</v>
      </c>
      <c r="S220" s="5" t="s">
        <v>64</v>
      </c>
      <c r="T220" s="96">
        <v>2</v>
      </c>
      <c r="U220" s="96">
        <v>9</v>
      </c>
      <c r="V220" s="96">
        <v>7</v>
      </c>
      <c r="W220" s="5" t="s">
        <v>91</v>
      </c>
      <c r="X220" s="10" t="s">
        <v>79</v>
      </c>
      <c r="Y220" s="11" t="s">
        <v>3204</v>
      </c>
      <c r="Z220" s="12">
        <v>0</v>
      </c>
      <c r="AA220" s="12">
        <v>0</v>
      </c>
      <c r="AB220" s="12">
        <v>0</v>
      </c>
      <c r="AC220" s="13">
        <v>0</v>
      </c>
      <c r="AD220" s="14">
        <f t="shared" si="8"/>
        <v>0</v>
      </c>
      <c r="AE220" s="15" t="e">
        <f t="shared" si="9"/>
        <v>#DIV/0!</v>
      </c>
      <c r="AF220" s="16">
        <v>0</v>
      </c>
      <c r="AG220" s="16" t="s">
        <v>66</v>
      </c>
      <c r="AH220" s="17" t="s">
        <v>66</v>
      </c>
      <c r="AI220" s="18">
        <v>6.4</v>
      </c>
      <c r="AJ220" s="19" t="s">
        <v>3214</v>
      </c>
      <c r="AK220" s="20" t="s">
        <v>3205</v>
      </c>
      <c r="AL220" s="17" t="s">
        <v>261</v>
      </c>
      <c r="AM220" s="5" t="s">
        <v>66</v>
      </c>
      <c r="AN220" s="5" t="s">
        <v>66</v>
      </c>
      <c r="AO220" s="5" t="s">
        <v>3170</v>
      </c>
      <c r="AP220" s="5" t="s">
        <v>66</v>
      </c>
      <c r="AQ220" s="5" t="s">
        <v>66</v>
      </c>
      <c r="AR220" s="5" t="s">
        <v>66</v>
      </c>
      <c r="AS220" s="5" t="s">
        <v>66</v>
      </c>
      <c r="AT220" s="5" t="s">
        <v>66</v>
      </c>
      <c r="AU220" s="5" t="s">
        <v>66</v>
      </c>
      <c r="AV220" s="5" t="s">
        <v>66</v>
      </c>
      <c r="AW220" s="5" t="s">
        <v>66</v>
      </c>
      <c r="AX220" s="5" t="s">
        <v>68</v>
      </c>
      <c r="AY220" s="5" t="s">
        <v>69</v>
      </c>
      <c r="AZ220" s="5" t="s">
        <v>145</v>
      </c>
      <c r="BA220" s="19" t="s">
        <v>66</v>
      </c>
      <c r="BB220" s="17" t="s">
        <v>69</v>
      </c>
      <c r="BC220" s="5"/>
      <c r="BD220" s="5"/>
    </row>
    <row r="221" spans="1:56" ht="36" hidden="1" x14ac:dyDescent="0.25">
      <c r="A221" s="78" t="s">
        <v>1002</v>
      </c>
      <c r="B221" s="5" t="s">
        <v>1003</v>
      </c>
      <c r="C221" s="5" t="s">
        <v>3293</v>
      </c>
      <c r="D221" s="5" t="s">
        <v>56</v>
      </c>
      <c r="E221" s="99" t="str">
        <f>VLOOKUP(D221,'Dropdown List'!$F$26:$G$40,2,0)</f>
        <v>India</v>
      </c>
      <c r="F221" s="8" t="s">
        <v>3163</v>
      </c>
      <c r="G221" s="96" t="s">
        <v>3164</v>
      </c>
      <c r="H221" s="5" t="s">
        <v>57</v>
      </c>
      <c r="I221" s="8" t="s">
        <v>58</v>
      </c>
      <c r="J221" s="8" t="s">
        <v>163</v>
      </c>
      <c r="K221" s="8" t="s">
        <v>1050</v>
      </c>
      <c r="L221" s="8" t="s">
        <v>3215</v>
      </c>
      <c r="M221" s="8" t="s">
        <v>3216</v>
      </c>
      <c r="N221" s="5" t="s">
        <v>269</v>
      </c>
      <c r="O221" s="5" t="s">
        <v>269</v>
      </c>
      <c r="P221" s="5" t="s">
        <v>3203</v>
      </c>
      <c r="Q221" s="9" t="s">
        <v>75</v>
      </c>
      <c r="R221" s="5" t="s">
        <v>76</v>
      </c>
      <c r="S221" s="5" t="s">
        <v>64</v>
      </c>
      <c r="T221" s="96">
        <v>2</v>
      </c>
      <c r="U221" s="96">
        <v>9</v>
      </c>
      <c r="V221" s="96">
        <v>7</v>
      </c>
      <c r="W221" s="5" t="s">
        <v>91</v>
      </c>
      <c r="X221" s="10" t="s">
        <v>79</v>
      </c>
      <c r="Y221" s="11" t="s">
        <v>3204</v>
      </c>
      <c r="Z221" s="12">
        <v>0.33</v>
      </c>
      <c r="AA221" s="12">
        <v>0.5</v>
      </c>
      <c r="AB221" s="12">
        <v>0.25</v>
      </c>
      <c r="AC221" s="13">
        <v>1</v>
      </c>
      <c r="AD221" s="14">
        <f t="shared" si="8"/>
        <v>2.08</v>
      </c>
      <c r="AE221" s="15">
        <f t="shared" si="9"/>
        <v>0.48076923076923073</v>
      </c>
      <c r="AF221" s="16">
        <v>295.66666666666669</v>
      </c>
      <c r="AG221" s="16" t="s">
        <v>66</v>
      </c>
      <c r="AH221" s="17" t="s">
        <v>66</v>
      </c>
      <c r="AI221" s="18">
        <v>3</v>
      </c>
      <c r="AJ221" s="19" t="s">
        <v>3168</v>
      </c>
      <c r="AK221" s="20" t="s">
        <v>3205</v>
      </c>
      <c r="AL221" s="17" t="s">
        <v>261</v>
      </c>
      <c r="AM221" s="5" t="s">
        <v>66</v>
      </c>
      <c r="AN221" s="5" t="s">
        <v>66</v>
      </c>
      <c r="AO221" s="5" t="s">
        <v>3170</v>
      </c>
      <c r="AP221" s="5" t="s">
        <v>66</v>
      </c>
      <c r="AQ221" s="5" t="s">
        <v>66</v>
      </c>
      <c r="AR221" s="5" t="s">
        <v>66</v>
      </c>
      <c r="AS221" s="5" t="s">
        <v>66</v>
      </c>
      <c r="AT221" s="5" t="s">
        <v>66</v>
      </c>
      <c r="AU221" s="5" t="s">
        <v>66</v>
      </c>
      <c r="AV221" s="5" t="s">
        <v>66</v>
      </c>
      <c r="AW221" s="5" t="s">
        <v>66</v>
      </c>
      <c r="AX221" s="5" t="s">
        <v>68</v>
      </c>
      <c r="AY221" s="5" t="s">
        <v>69</v>
      </c>
      <c r="AZ221" s="5" t="s">
        <v>145</v>
      </c>
      <c r="BA221" s="19" t="s">
        <v>66</v>
      </c>
      <c r="BB221" s="17" t="s">
        <v>69</v>
      </c>
      <c r="BC221" s="5"/>
      <c r="BD221" s="5"/>
    </row>
    <row r="222" spans="1:56" ht="36" hidden="1" x14ac:dyDescent="0.25">
      <c r="A222" s="78" t="s">
        <v>1002</v>
      </c>
      <c r="B222" s="5" t="s">
        <v>1003</v>
      </c>
      <c r="C222" s="5" t="s">
        <v>3293</v>
      </c>
      <c r="D222" s="5" t="s">
        <v>56</v>
      </c>
      <c r="E222" s="99" t="str">
        <f>VLOOKUP(D222,'Dropdown List'!$F$26:$G$40,2,0)</f>
        <v>India</v>
      </c>
      <c r="F222" s="8" t="s">
        <v>3163</v>
      </c>
      <c r="G222" s="96" t="s">
        <v>3164</v>
      </c>
      <c r="H222" s="5" t="s">
        <v>57</v>
      </c>
      <c r="I222" s="8" t="s">
        <v>58</v>
      </c>
      <c r="J222" s="8" t="s">
        <v>163</v>
      </c>
      <c r="K222" s="8" t="s">
        <v>1050</v>
      </c>
      <c r="L222" s="8" t="s">
        <v>3217</v>
      </c>
      <c r="M222" s="8" t="s">
        <v>3218</v>
      </c>
      <c r="N222" s="5" t="s">
        <v>269</v>
      </c>
      <c r="O222" s="5" t="s">
        <v>269</v>
      </c>
      <c r="P222" s="5" t="s">
        <v>3203</v>
      </c>
      <c r="Q222" s="9" t="s">
        <v>75</v>
      </c>
      <c r="R222" s="5" t="s">
        <v>76</v>
      </c>
      <c r="S222" s="5" t="s">
        <v>64</v>
      </c>
      <c r="T222" s="96">
        <v>2</v>
      </c>
      <c r="U222" s="96">
        <v>9</v>
      </c>
      <c r="V222" s="96">
        <v>7</v>
      </c>
      <c r="W222" s="5" t="s">
        <v>91</v>
      </c>
      <c r="X222" s="10" t="s">
        <v>79</v>
      </c>
      <c r="Y222" s="11" t="s">
        <v>3204</v>
      </c>
      <c r="Z222" s="12">
        <v>5.15</v>
      </c>
      <c r="AA222" s="12">
        <v>0.5</v>
      </c>
      <c r="AB222" s="12">
        <v>0.25</v>
      </c>
      <c r="AC222" s="13">
        <v>1</v>
      </c>
      <c r="AD222" s="14">
        <f t="shared" si="8"/>
        <v>6.9</v>
      </c>
      <c r="AE222" s="15">
        <f t="shared" si="9"/>
        <v>0.14492753623188406</v>
      </c>
      <c r="AF222" s="16">
        <v>1852.6666666666667</v>
      </c>
      <c r="AG222" s="16" t="s">
        <v>66</v>
      </c>
      <c r="AH222" s="17" t="s">
        <v>66</v>
      </c>
      <c r="AI222" s="18">
        <v>9</v>
      </c>
      <c r="AJ222" s="19" t="s">
        <v>3168</v>
      </c>
      <c r="AK222" s="20" t="s">
        <v>3205</v>
      </c>
      <c r="AL222" s="17" t="s">
        <v>261</v>
      </c>
      <c r="AM222" s="5" t="s">
        <v>66</v>
      </c>
      <c r="AN222" s="5" t="s">
        <v>66</v>
      </c>
      <c r="AO222" s="5" t="s">
        <v>3170</v>
      </c>
      <c r="AP222" s="5" t="s">
        <v>66</v>
      </c>
      <c r="AQ222" s="5" t="s">
        <v>66</v>
      </c>
      <c r="AR222" s="5" t="s">
        <v>66</v>
      </c>
      <c r="AS222" s="5" t="s">
        <v>66</v>
      </c>
      <c r="AT222" s="5" t="s">
        <v>66</v>
      </c>
      <c r="AU222" s="5" t="s">
        <v>66</v>
      </c>
      <c r="AV222" s="5" t="s">
        <v>66</v>
      </c>
      <c r="AW222" s="5" t="s">
        <v>66</v>
      </c>
      <c r="AX222" s="5" t="s">
        <v>68</v>
      </c>
      <c r="AY222" s="5" t="s">
        <v>69</v>
      </c>
      <c r="AZ222" s="5" t="s">
        <v>145</v>
      </c>
      <c r="BA222" s="19" t="s">
        <v>66</v>
      </c>
      <c r="BB222" s="17" t="s">
        <v>69</v>
      </c>
      <c r="BC222" s="5"/>
      <c r="BD222" s="5"/>
    </row>
    <row r="223" spans="1:56" ht="48" hidden="1" x14ac:dyDescent="0.25">
      <c r="A223" s="78" t="s">
        <v>1002</v>
      </c>
      <c r="B223" s="5" t="s">
        <v>1003</v>
      </c>
      <c r="C223" s="5" t="s">
        <v>3293</v>
      </c>
      <c r="D223" s="5" t="s">
        <v>56</v>
      </c>
      <c r="E223" s="99" t="str">
        <f>VLOOKUP(D223,'Dropdown List'!$F$26:$G$40,2,0)</f>
        <v>India</v>
      </c>
      <c r="F223" s="8" t="s">
        <v>3163</v>
      </c>
      <c r="G223" s="96" t="s">
        <v>3164</v>
      </c>
      <c r="H223" s="5" t="s">
        <v>57</v>
      </c>
      <c r="I223" s="8" t="s">
        <v>58</v>
      </c>
      <c r="J223" s="8" t="s">
        <v>163</v>
      </c>
      <c r="K223" s="8" t="s">
        <v>1052</v>
      </c>
      <c r="L223" s="8" t="s">
        <v>3219</v>
      </c>
      <c r="M223" s="8" t="s">
        <v>3220</v>
      </c>
      <c r="N223" s="5" t="s">
        <v>269</v>
      </c>
      <c r="O223" s="5" t="s">
        <v>269</v>
      </c>
      <c r="P223" s="5" t="s">
        <v>3221</v>
      </c>
      <c r="Q223" s="9" t="s">
        <v>75</v>
      </c>
      <c r="R223" s="5" t="s">
        <v>76</v>
      </c>
      <c r="S223" s="5" t="s">
        <v>64</v>
      </c>
      <c r="T223" s="96">
        <v>2</v>
      </c>
      <c r="U223" s="96">
        <v>3</v>
      </c>
      <c r="V223" s="96">
        <v>4</v>
      </c>
      <c r="W223" s="5" t="s">
        <v>91</v>
      </c>
      <c r="X223" s="10" t="s">
        <v>79</v>
      </c>
      <c r="Y223" s="11" t="s">
        <v>3222</v>
      </c>
      <c r="Z223" s="12">
        <v>2</v>
      </c>
      <c r="AA223" s="12">
        <v>0.2</v>
      </c>
      <c r="AB223" s="12">
        <v>0.1</v>
      </c>
      <c r="AC223" s="13">
        <v>0.4</v>
      </c>
      <c r="AD223" s="14">
        <f t="shared" si="8"/>
        <v>2.7</v>
      </c>
      <c r="AE223" s="15">
        <f t="shared" si="9"/>
        <v>0.14814814814814814</v>
      </c>
      <c r="AF223" s="16">
        <v>13.8</v>
      </c>
      <c r="AG223" s="16" t="s">
        <v>66</v>
      </c>
      <c r="AH223" s="17" t="s">
        <v>66</v>
      </c>
      <c r="AI223" s="18">
        <v>5</v>
      </c>
      <c r="AJ223" s="19" t="s">
        <v>3168</v>
      </c>
      <c r="AK223" s="20" t="s">
        <v>3205</v>
      </c>
      <c r="AL223" s="17" t="s">
        <v>261</v>
      </c>
      <c r="AM223" s="5" t="s">
        <v>66</v>
      </c>
      <c r="AN223" s="5" t="s">
        <v>66</v>
      </c>
      <c r="AO223" s="5" t="s">
        <v>3170</v>
      </c>
      <c r="AP223" s="5" t="s">
        <v>66</v>
      </c>
      <c r="AQ223" s="5" t="s">
        <v>66</v>
      </c>
      <c r="AR223" s="5" t="s">
        <v>66</v>
      </c>
      <c r="AS223" s="5" t="s">
        <v>66</v>
      </c>
      <c r="AT223" s="5" t="s">
        <v>66</v>
      </c>
      <c r="AU223" s="5" t="s">
        <v>66</v>
      </c>
      <c r="AV223" s="5" t="s">
        <v>66</v>
      </c>
      <c r="AW223" s="5" t="s">
        <v>66</v>
      </c>
      <c r="AX223" s="5" t="s">
        <v>68</v>
      </c>
      <c r="AY223" s="5" t="s">
        <v>69</v>
      </c>
      <c r="AZ223" s="5" t="s">
        <v>145</v>
      </c>
      <c r="BA223" s="19" t="s">
        <v>66</v>
      </c>
      <c r="BB223" s="17" t="s">
        <v>69</v>
      </c>
      <c r="BC223" s="5"/>
      <c r="BD223" s="5" t="s">
        <v>3223</v>
      </c>
    </row>
    <row r="224" spans="1:56" ht="48" hidden="1" x14ac:dyDescent="0.25">
      <c r="A224" s="78" t="s">
        <v>1002</v>
      </c>
      <c r="B224" s="5" t="s">
        <v>1003</v>
      </c>
      <c r="C224" s="5" t="s">
        <v>3293</v>
      </c>
      <c r="D224" s="5" t="s">
        <v>56</v>
      </c>
      <c r="E224" s="99" t="str">
        <f>VLOOKUP(D224,'Dropdown List'!$F$26:$G$40,2,0)</f>
        <v>India</v>
      </c>
      <c r="F224" s="8" t="s">
        <v>3163</v>
      </c>
      <c r="G224" s="96" t="s">
        <v>3164</v>
      </c>
      <c r="H224" s="5" t="s">
        <v>57</v>
      </c>
      <c r="I224" s="8" t="s">
        <v>58</v>
      </c>
      <c r="J224" s="8" t="s">
        <v>163</v>
      </c>
      <c r="K224" s="8" t="s">
        <v>1052</v>
      </c>
      <c r="L224" s="8" t="s">
        <v>3224</v>
      </c>
      <c r="M224" s="8" t="s">
        <v>3225</v>
      </c>
      <c r="N224" s="5" t="s">
        <v>269</v>
      </c>
      <c r="O224" s="5" t="s">
        <v>269</v>
      </c>
      <c r="P224" s="5" t="s">
        <v>3226</v>
      </c>
      <c r="Q224" s="9" t="s">
        <v>75</v>
      </c>
      <c r="R224" s="5" t="s">
        <v>76</v>
      </c>
      <c r="S224" s="5" t="s">
        <v>64</v>
      </c>
      <c r="T224" s="96">
        <v>2</v>
      </c>
      <c r="U224" s="96">
        <v>3</v>
      </c>
      <c r="V224" s="96">
        <v>4</v>
      </c>
      <c r="W224" s="5" t="s">
        <v>91</v>
      </c>
      <c r="X224" s="10" t="s">
        <v>79</v>
      </c>
      <c r="Y224" s="11" t="s">
        <v>3222</v>
      </c>
      <c r="Z224" s="12">
        <v>2</v>
      </c>
      <c r="AA224" s="12">
        <v>0.2</v>
      </c>
      <c r="AB224" s="12">
        <v>0.1</v>
      </c>
      <c r="AC224" s="13">
        <v>0.4</v>
      </c>
      <c r="AD224" s="14">
        <f t="shared" si="8"/>
        <v>2.7</v>
      </c>
      <c r="AE224" s="15">
        <f t="shared" si="9"/>
        <v>0.14814814814814814</v>
      </c>
      <c r="AF224" s="16">
        <v>13.8</v>
      </c>
      <c r="AG224" s="16" t="s">
        <v>66</v>
      </c>
      <c r="AH224" s="17" t="s">
        <v>66</v>
      </c>
      <c r="AI224" s="18">
        <v>10</v>
      </c>
      <c r="AJ224" s="19" t="s">
        <v>3168</v>
      </c>
      <c r="AK224" s="20" t="s">
        <v>3205</v>
      </c>
      <c r="AL224" s="17" t="s">
        <v>261</v>
      </c>
      <c r="AM224" s="5" t="s">
        <v>66</v>
      </c>
      <c r="AN224" s="5" t="s">
        <v>66</v>
      </c>
      <c r="AO224" s="5" t="s">
        <v>3170</v>
      </c>
      <c r="AP224" s="5" t="s">
        <v>66</v>
      </c>
      <c r="AQ224" s="5" t="s">
        <v>66</v>
      </c>
      <c r="AR224" s="5" t="s">
        <v>66</v>
      </c>
      <c r="AS224" s="5" t="s">
        <v>66</v>
      </c>
      <c r="AT224" s="5" t="s">
        <v>66</v>
      </c>
      <c r="AU224" s="5" t="s">
        <v>66</v>
      </c>
      <c r="AV224" s="5" t="s">
        <v>66</v>
      </c>
      <c r="AW224" s="5" t="s">
        <v>66</v>
      </c>
      <c r="AX224" s="5" t="s">
        <v>68</v>
      </c>
      <c r="AY224" s="5" t="s">
        <v>69</v>
      </c>
      <c r="AZ224" s="5" t="s">
        <v>145</v>
      </c>
      <c r="BA224" s="19" t="s">
        <v>66</v>
      </c>
      <c r="BB224" s="17" t="s">
        <v>69</v>
      </c>
      <c r="BC224" s="5"/>
      <c r="BD224" s="5"/>
    </row>
    <row r="225" spans="1:56" ht="60" hidden="1" x14ac:dyDescent="0.25">
      <c r="A225" s="78" t="s">
        <v>1002</v>
      </c>
      <c r="B225" s="5" t="s">
        <v>1003</v>
      </c>
      <c r="C225" s="5" t="s">
        <v>3293</v>
      </c>
      <c r="D225" s="5" t="s">
        <v>56</v>
      </c>
      <c r="E225" s="99" t="str">
        <f>VLOOKUP(D225,'Dropdown List'!$F$26:$G$40,2,0)</f>
        <v>India</v>
      </c>
      <c r="F225" s="8" t="s">
        <v>3163</v>
      </c>
      <c r="G225" s="96" t="s">
        <v>3164</v>
      </c>
      <c r="H225" s="5" t="s">
        <v>57</v>
      </c>
      <c r="I225" s="8" t="s">
        <v>58</v>
      </c>
      <c r="J225" s="8" t="s">
        <v>163</v>
      </c>
      <c r="K225" s="8" t="s">
        <v>1052</v>
      </c>
      <c r="L225" s="8" t="s">
        <v>3227</v>
      </c>
      <c r="M225" s="8" t="s">
        <v>3228</v>
      </c>
      <c r="N225" s="5" t="s">
        <v>269</v>
      </c>
      <c r="O225" s="5" t="s">
        <v>269</v>
      </c>
      <c r="P225" s="5" t="s">
        <v>3226</v>
      </c>
      <c r="Q225" s="9" t="s">
        <v>75</v>
      </c>
      <c r="R225" s="5" t="s">
        <v>76</v>
      </c>
      <c r="S225" s="5" t="s">
        <v>64</v>
      </c>
      <c r="T225" s="96">
        <v>2</v>
      </c>
      <c r="U225" s="96">
        <v>3</v>
      </c>
      <c r="V225" s="96">
        <v>4</v>
      </c>
      <c r="W225" s="5" t="s">
        <v>91</v>
      </c>
      <c r="X225" s="10" t="s">
        <v>79</v>
      </c>
      <c r="Y225" s="11" t="s">
        <v>3222</v>
      </c>
      <c r="Z225" s="12">
        <v>2</v>
      </c>
      <c r="AA225" s="12">
        <v>0.2</v>
      </c>
      <c r="AB225" s="12">
        <v>0.1</v>
      </c>
      <c r="AC225" s="13">
        <v>0.4</v>
      </c>
      <c r="AD225" s="14">
        <f t="shared" si="8"/>
        <v>2.7</v>
      </c>
      <c r="AE225" s="15">
        <f t="shared" si="9"/>
        <v>0.14814814814814814</v>
      </c>
      <c r="AF225" s="16">
        <v>13.8</v>
      </c>
      <c r="AG225" s="16" t="s">
        <v>66</v>
      </c>
      <c r="AH225" s="17" t="s">
        <v>66</v>
      </c>
      <c r="AI225" s="18">
        <v>4</v>
      </c>
      <c r="AJ225" s="19" t="s">
        <v>3168</v>
      </c>
      <c r="AK225" s="20" t="s">
        <v>3205</v>
      </c>
      <c r="AL225" s="17" t="s">
        <v>261</v>
      </c>
      <c r="AM225" s="5" t="s">
        <v>66</v>
      </c>
      <c r="AN225" s="5" t="s">
        <v>66</v>
      </c>
      <c r="AO225" s="5" t="s">
        <v>3170</v>
      </c>
      <c r="AP225" s="5" t="s">
        <v>66</v>
      </c>
      <c r="AQ225" s="5" t="s">
        <v>66</v>
      </c>
      <c r="AR225" s="5" t="s">
        <v>66</v>
      </c>
      <c r="AS225" s="5" t="s">
        <v>66</v>
      </c>
      <c r="AT225" s="5" t="s">
        <v>66</v>
      </c>
      <c r="AU225" s="5" t="s">
        <v>66</v>
      </c>
      <c r="AV225" s="5" t="s">
        <v>66</v>
      </c>
      <c r="AW225" s="5" t="s">
        <v>66</v>
      </c>
      <c r="AX225" s="5" t="s">
        <v>68</v>
      </c>
      <c r="AY225" s="5" t="s">
        <v>69</v>
      </c>
      <c r="AZ225" s="5" t="s">
        <v>145</v>
      </c>
      <c r="BA225" s="19" t="s">
        <v>66</v>
      </c>
      <c r="BB225" s="17" t="s">
        <v>69</v>
      </c>
      <c r="BC225" s="5"/>
      <c r="BD225" s="5"/>
    </row>
    <row r="226" spans="1:56" ht="36" hidden="1" x14ac:dyDescent="0.25">
      <c r="A226" s="78" t="s">
        <v>1002</v>
      </c>
      <c r="B226" s="5" t="s">
        <v>1003</v>
      </c>
      <c r="C226" s="5" t="s">
        <v>3293</v>
      </c>
      <c r="D226" s="5" t="s">
        <v>56</v>
      </c>
      <c r="E226" s="99" t="str">
        <f>VLOOKUP(D226,'Dropdown List'!$F$26:$G$40,2,0)</f>
        <v>India</v>
      </c>
      <c r="F226" s="8" t="s">
        <v>3163</v>
      </c>
      <c r="G226" s="96" t="s">
        <v>3164</v>
      </c>
      <c r="H226" s="5" t="s">
        <v>57</v>
      </c>
      <c r="I226" s="8" t="s">
        <v>58</v>
      </c>
      <c r="J226" s="8" t="s">
        <v>163</v>
      </c>
      <c r="K226" s="8" t="s">
        <v>1052</v>
      </c>
      <c r="L226" s="8" t="s">
        <v>3229</v>
      </c>
      <c r="M226" s="8" t="s">
        <v>3230</v>
      </c>
      <c r="N226" s="5" t="s">
        <v>269</v>
      </c>
      <c r="O226" s="5" t="s">
        <v>269</v>
      </c>
      <c r="P226" s="5" t="s">
        <v>3226</v>
      </c>
      <c r="Q226" s="9" t="s">
        <v>75</v>
      </c>
      <c r="R226" s="5" t="s">
        <v>76</v>
      </c>
      <c r="S226" s="5" t="s">
        <v>64</v>
      </c>
      <c r="T226" s="96">
        <v>2</v>
      </c>
      <c r="U226" s="96">
        <v>3</v>
      </c>
      <c r="V226" s="96">
        <v>4</v>
      </c>
      <c r="W226" s="5" t="s">
        <v>91</v>
      </c>
      <c r="X226" s="10" t="s">
        <v>79</v>
      </c>
      <c r="Y226" s="11" t="s">
        <v>3222</v>
      </c>
      <c r="Z226" s="12">
        <v>2</v>
      </c>
      <c r="AA226" s="12">
        <v>0.2</v>
      </c>
      <c r="AB226" s="12">
        <v>0.1</v>
      </c>
      <c r="AC226" s="13">
        <v>0.4</v>
      </c>
      <c r="AD226" s="14">
        <f t="shared" si="8"/>
        <v>2.7</v>
      </c>
      <c r="AE226" s="15">
        <f t="shared" si="9"/>
        <v>0.14814814814814814</v>
      </c>
      <c r="AF226" s="16">
        <v>13.8</v>
      </c>
      <c r="AG226" s="16" t="s">
        <v>66</v>
      </c>
      <c r="AH226" s="17" t="s">
        <v>66</v>
      </c>
      <c r="AI226" s="18">
        <v>4</v>
      </c>
      <c r="AJ226" s="19" t="s">
        <v>3168</v>
      </c>
      <c r="AK226" s="20" t="s">
        <v>3205</v>
      </c>
      <c r="AL226" s="17" t="s">
        <v>261</v>
      </c>
      <c r="AM226" s="5" t="s">
        <v>66</v>
      </c>
      <c r="AN226" s="5" t="s">
        <v>66</v>
      </c>
      <c r="AO226" s="5" t="s">
        <v>3170</v>
      </c>
      <c r="AP226" s="5" t="s">
        <v>66</v>
      </c>
      <c r="AQ226" s="5" t="s">
        <v>66</v>
      </c>
      <c r="AR226" s="5" t="s">
        <v>66</v>
      </c>
      <c r="AS226" s="5" t="s">
        <v>66</v>
      </c>
      <c r="AT226" s="5" t="s">
        <v>66</v>
      </c>
      <c r="AU226" s="5" t="s">
        <v>66</v>
      </c>
      <c r="AV226" s="5" t="s">
        <v>66</v>
      </c>
      <c r="AW226" s="5" t="s">
        <v>66</v>
      </c>
      <c r="AX226" s="5" t="s">
        <v>68</v>
      </c>
      <c r="AY226" s="5" t="s">
        <v>69</v>
      </c>
      <c r="AZ226" s="5" t="s">
        <v>145</v>
      </c>
      <c r="BA226" s="19" t="s">
        <v>66</v>
      </c>
      <c r="BB226" s="17" t="s">
        <v>69</v>
      </c>
      <c r="BC226" s="5"/>
      <c r="BD226" s="5"/>
    </row>
    <row r="227" spans="1:56" ht="120" hidden="1" x14ac:dyDescent="0.25">
      <c r="A227" s="78" t="s">
        <v>1002</v>
      </c>
      <c r="B227" s="5" t="s">
        <v>1003</v>
      </c>
      <c r="C227" s="5" t="s">
        <v>3293</v>
      </c>
      <c r="D227" s="5" t="s">
        <v>56</v>
      </c>
      <c r="E227" s="99" t="str">
        <f>VLOOKUP(D227,'Dropdown List'!$F$26:$G$40,2,0)</f>
        <v>India</v>
      </c>
      <c r="F227" s="8" t="s">
        <v>3163</v>
      </c>
      <c r="G227" s="96" t="s">
        <v>3164</v>
      </c>
      <c r="H227" s="5" t="s">
        <v>57</v>
      </c>
      <c r="I227" s="8" t="s">
        <v>58</v>
      </c>
      <c r="J227" s="8" t="s">
        <v>163</v>
      </c>
      <c r="K227" s="8" t="s">
        <v>1052</v>
      </c>
      <c r="L227" s="8" t="s">
        <v>3231</v>
      </c>
      <c r="M227" s="8" t="s">
        <v>3232</v>
      </c>
      <c r="N227" s="5" t="s">
        <v>269</v>
      </c>
      <c r="O227" s="5" t="s">
        <v>269</v>
      </c>
      <c r="P227" s="5" t="s">
        <v>3226</v>
      </c>
      <c r="Q227" s="9" t="s">
        <v>75</v>
      </c>
      <c r="R227" s="5" t="s">
        <v>76</v>
      </c>
      <c r="S227" s="5" t="s">
        <v>64</v>
      </c>
      <c r="T227" s="96">
        <v>2</v>
      </c>
      <c r="U227" s="96">
        <v>3</v>
      </c>
      <c r="V227" s="96">
        <v>4</v>
      </c>
      <c r="W227" s="5" t="s">
        <v>91</v>
      </c>
      <c r="X227" s="10" t="s">
        <v>79</v>
      </c>
      <c r="Y227" s="11" t="s">
        <v>3222</v>
      </c>
      <c r="Z227" s="12">
        <v>2</v>
      </c>
      <c r="AA227" s="12">
        <v>0.2</v>
      </c>
      <c r="AB227" s="12">
        <v>0.1</v>
      </c>
      <c r="AC227" s="13">
        <v>0.4</v>
      </c>
      <c r="AD227" s="14">
        <f t="shared" si="8"/>
        <v>2.7</v>
      </c>
      <c r="AE227" s="15">
        <f t="shared" si="9"/>
        <v>0.14814814814814814</v>
      </c>
      <c r="AF227" s="16">
        <v>13.8</v>
      </c>
      <c r="AG227" s="16" t="s">
        <v>66</v>
      </c>
      <c r="AH227" s="17" t="s">
        <v>66</v>
      </c>
      <c r="AI227" s="18">
        <v>7</v>
      </c>
      <c r="AJ227" s="19" t="s">
        <v>3168</v>
      </c>
      <c r="AK227" s="20" t="s">
        <v>3205</v>
      </c>
      <c r="AL227" s="17" t="s">
        <v>261</v>
      </c>
      <c r="AM227" s="5" t="s">
        <v>66</v>
      </c>
      <c r="AN227" s="5" t="s">
        <v>66</v>
      </c>
      <c r="AO227" s="5" t="s">
        <v>3170</v>
      </c>
      <c r="AP227" s="5" t="s">
        <v>66</v>
      </c>
      <c r="AQ227" s="5" t="s">
        <v>66</v>
      </c>
      <c r="AR227" s="5" t="s">
        <v>66</v>
      </c>
      <c r="AS227" s="5" t="s">
        <v>66</v>
      </c>
      <c r="AT227" s="5" t="s">
        <v>66</v>
      </c>
      <c r="AU227" s="5" t="s">
        <v>66</v>
      </c>
      <c r="AV227" s="5" t="s">
        <v>66</v>
      </c>
      <c r="AW227" s="5" t="s">
        <v>66</v>
      </c>
      <c r="AX227" s="5" t="s">
        <v>68</v>
      </c>
      <c r="AY227" s="5" t="s">
        <v>69</v>
      </c>
      <c r="AZ227" s="5" t="s">
        <v>145</v>
      </c>
      <c r="BA227" s="19" t="s">
        <v>66</v>
      </c>
      <c r="BB227" s="17" t="s">
        <v>69</v>
      </c>
      <c r="BC227" s="5"/>
      <c r="BD227" s="5"/>
    </row>
    <row r="228" spans="1:56" ht="72" hidden="1" x14ac:dyDescent="0.25">
      <c r="A228" s="78" t="s">
        <v>1002</v>
      </c>
      <c r="B228" s="5" t="s">
        <v>1003</v>
      </c>
      <c r="C228" s="5" t="s">
        <v>3293</v>
      </c>
      <c r="D228" s="5" t="s">
        <v>56</v>
      </c>
      <c r="E228" s="99" t="str">
        <f>VLOOKUP(D228,'Dropdown List'!$F$26:$G$40,2,0)</f>
        <v>India</v>
      </c>
      <c r="F228" s="8" t="s">
        <v>3163</v>
      </c>
      <c r="G228" s="96" t="s">
        <v>3164</v>
      </c>
      <c r="H228" s="5" t="s">
        <v>57</v>
      </c>
      <c r="I228" s="8" t="s">
        <v>58</v>
      </c>
      <c r="J228" s="8" t="s">
        <v>163</v>
      </c>
      <c r="K228" s="8" t="s">
        <v>1052</v>
      </c>
      <c r="L228" s="8" t="s">
        <v>3233</v>
      </c>
      <c r="M228" s="8" t="s">
        <v>3234</v>
      </c>
      <c r="N228" s="5" t="s">
        <v>269</v>
      </c>
      <c r="O228" s="5" t="s">
        <v>269</v>
      </c>
      <c r="P228" s="5" t="s">
        <v>3226</v>
      </c>
      <c r="Q228" s="9" t="s">
        <v>75</v>
      </c>
      <c r="R228" s="5" t="s">
        <v>76</v>
      </c>
      <c r="S228" s="5" t="s">
        <v>64</v>
      </c>
      <c r="T228" s="96">
        <v>2</v>
      </c>
      <c r="U228" s="96">
        <v>3</v>
      </c>
      <c r="V228" s="96">
        <v>4</v>
      </c>
      <c r="W228" s="5" t="s">
        <v>91</v>
      </c>
      <c r="X228" s="10" t="s">
        <v>79</v>
      </c>
      <c r="Y228" s="11" t="s">
        <v>3222</v>
      </c>
      <c r="Z228" s="12">
        <v>2</v>
      </c>
      <c r="AA228" s="12">
        <v>0.2</v>
      </c>
      <c r="AB228" s="12">
        <v>0.1</v>
      </c>
      <c r="AC228" s="13">
        <v>0.4</v>
      </c>
      <c r="AD228" s="14">
        <f t="shared" si="8"/>
        <v>2.7</v>
      </c>
      <c r="AE228" s="15">
        <f t="shared" si="9"/>
        <v>0.14814814814814814</v>
      </c>
      <c r="AF228" s="16">
        <v>13.8</v>
      </c>
      <c r="AG228" s="16" t="s">
        <v>66</v>
      </c>
      <c r="AH228" s="17" t="s">
        <v>66</v>
      </c>
      <c r="AI228" s="18">
        <v>7</v>
      </c>
      <c r="AJ228" s="19" t="s">
        <v>3168</v>
      </c>
      <c r="AK228" s="20" t="s">
        <v>3205</v>
      </c>
      <c r="AL228" s="17" t="s">
        <v>261</v>
      </c>
      <c r="AM228" s="5" t="s">
        <v>66</v>
      </c>
      <c r="AN228" s="5" t="s">
        <v>66</v>
      </c>
      <c r="AO228" s="5" t="s">
        <v>3170</v>
      </c>
      <c r="AP228" s="5" t="s">
        <v>66</v>
      </c>
      <c r="AQ228" s="5" t="s">
        <v>66</v>
      </c>
      <c r="AR228" s="5" t="s">
        <v>66</v>
      </c>
      <c r="AS228" s="5" t="s">
        <v>66</v>
      </c>
      <c r="AT228" s="5" t="s">
        <v>66</v>
      </c>
      <c r="AU228" s="5" t="s">
        <v>66</v>
      </c>
      <c r="AV228" s="5" t="s">
        <v>66</v>
      </c>
      <c r="AW228" s="5" t="s">
        <v>66</v>
      </c>
      <c r="AX228" s="5" t="s">
        <v>68</v>
      </c>
      <c r="AY228" s="5" t="s">
        <v>69</v>
      </c>
      <c r="AZ228" s="5" t="s">
        <v>145</v>
      </c>
      <c r="BA228" s="19" t="s">
        <v>66</v>
      </c>
      <c r="BB228" s="17" t="s">
        <v>69</v>
      </c>
      <c r="BC228" s="5"/>
      <c r="BD228" s="5"/>
    </row>
    <row r="229" spans="1:56" ht="48" hidden="1" x14ac:dyDescent="0.25">
      <c r="A229" s="78" t="s">
        <v>1002</v>
      </c>
      <c r="B229" s="5" t="s">
        <v>1003</v>
      </c>
      <c r="C229" s="5" t="s">
        <v>3293</v>
      </c>
      <c r="D229" s="5" t="s">
        <v>56</v>
      </c>
      <c r="E229" s="99" t="str">
        <f>VLOOKUP(D229,'Dropdown List'!$F$26:$G$40,2,0)</f>
        <v>India</v>
      </c>
      <c r="F229" s="8" t="s">
        <v>3163</v>
      </c>
      <c r="G229" s="96" t="s">
        <v>3164</v>
      </c>
      <c r="H229" s="5" t="s">
        <v>57</v>
      </c>
      <c r="I229" s="8" t="s">
        <v>58</v>
      </c>
      <c r="J229" s="8" t="s">
        <v>163</v>
      </c>
      <c r="K229" s="8" t="s">
        <v>1052</v>
      </c>
      <c r="L229" s="8" t="s">
        <v>3235</v>
      </c>
      <c r="M229" s="8" t="s">
        <v>3236</v>
      </c>
      <c r="N229" s="5" t="s">
        <v>269</v>
      </c>
      <c r="O229" s="5" t="s">
        <v>269</v>
      </c>
      <c r="P229" s="5" t="s">
        <v>3226</v>
      </c>
      <c r="Q229" s="9" t="s">
        <v>75</v>
      </c>
      <c r="R229" s="5" t="s">
        <v>76</v>
      </c>
      <c r="S229" s="5" t="s">
        <v>64</v>
      </c>
      <c r="T229" s="96">
        <v>2</v>
      </c>
      <c r="U229" s="96">
        <v>3</v>
      </c>
      <c r="V229" s="96">
        <v>4</v>
      </c>
      <c r="W229" s="5" t="s">
        <v>91</v>
      </c>
      <c r="X229" s="10" t="s">
        <v>79</v>
      </c>
      <c r="Y229" s="11" t="s">
        <v>3222</v>
      </c>
      <c r="Z229" s="12">
        <v>2</v>
      </c>
      <c r="AA229" s="12">
        <v>0.2</v>
      </c>
      <c r="AB229" s="12">
        <v>0.1</v>
      </c>
      <c r="AC229" s="13">
        <v>0.4</v>
      </c>
      <c r="AD229" s="14">
        <f t="shared" si="8"/>
        <v>2.7</v>
      </c>
      <c r="AE229" s="15">
        <f t="shared" si="9"/>
        <v>0.14814814814814814</v>
      </c>
      <c r="AF229" s="16">
        <v>13.8</v>
      </c>
      <c r="AG229" s="16" t="s">
        <v>66</v>
      </c>
      <c r="AH229" s="17" t="s">
        <v>66</v>
      </c>
      <c r="AI229" s="18">
        <v>10</v>
      </c>
      <c r="AJ229" s="19" t="s">
        <v>3168</v>
      </c>
      <c r="AK229" s="20" t="s">
        <v>3205</v>
      </c>
      <c r="AL229" s="17" t="s">
        <v>261</v>
      </c>
      <c r="AM229" s="5" t="s">
        <v>66</v>
      </c>
      <c r="AN229" s="5" t="s">
        <v>66</v>
      </c>
      <c r="AO229" s="5" t="s">
        <v>3170</v>
      </c>
      <c r="AP229" s="5" t="s">
        <v>66</v>
      </c>
      <c r="AQ229" s="5" t="s">
        <v>66</v>
      </c>
      <c r="AR229" s="5" t="s">
        <v>66</v>
      </c>
      <c r="AS229" s="5" t="s">
        <v>66</v>
      </c>
      <c r="AT229" s="5" t="s">
        <v>66</v>
      </c>
      <c r="AU229" s="5" t="s">
        <v>66</v>
      </c>
      <c r="AV229" s="5" t="s">
        <v>66</v>
      </c>
      <c r="AW229" s="5" t="s">
        <v>66</v>
      </c>
      <c r="AX229" s="5" t="s">
        <v>68</v>
      </c>
      <c r="AY229" s="5" t="s">
        <v>69</v>
      </c>
      <c r="AZ229" s="5" t="s">
        <v>145</v>
      </c>
      <c r="BA229" s="19" t="s">
        <v>66</v>
      </c>
      <c r="BB229" s="17" t="s">
        <v>69</v>
      </c>
      <c r="BC229" s="5"/>
      <c r="BD229" s="5"/>
    </row>
    <row r="230" spans="1:56" ht="48" hidden="1" x14ac:dyDescent="0.25">
      <c r="A230" s="78" t="s">
        <v>1002</v>
      </c>
      <c r="B230" s="5" t="s">
        <v>1003</v>
      </c>
      <c r="C230" s="5" t="s">
        <v>3293</v>
      </c>
      <c r="D230" s="5" t="s">
        <v>56</v>
      </c>
      <c r="E230" s="99" t="str">
        <f>VLOOKUP(D230,'Dropdown List'!$F$26:$G$40,2,0)</f>
        <v>India</v>
      </c>
      <c r="F230" s="8" t="s">
        <v>3163</v>
      </c>
      <c r="G230" s="96" t="s">
        <v>3164</v>
      </c>
      <c r="H230" s="5" t="s">
        <v>57</v>
      </c>
      <c r="I230" s="8" t="s">
        <v>58</v>
      </c>
      <c r="J230" s="8" t="s">
        <v>163</v>
      </c>
      <c r="K230" s="8" t="s">
        <v>1052</v>
      </c>
      <c r="L230" s="8" t="s">
        <v>3237</v>
      </c>
      <c r="M230" s="8" t="s">
        <v>3238</v>
      </c>
      <c r="N230" s="5" t="s">
        <v>269</v>
      </c>
      <c r="O230" s="5" t="s">
        <v>269</v>
      </c>
      <c r="P230" s="5" t="s">
        <v>3221</v>
      </c>
      <c r="Q230" s="9" t="s">
        <v>75</v>
      </c>
      <c r="R230" s="5" t="s">
        <v>76</v>
      </c>
      <c r="S230" s="5" t="s">
        <v>64</v>
      </c>
      <c r="T230" s="96">
        <v>2</v>
      </c>
      <c r="U230" s="96">
        <v>3</v>
      </c>
      <c r="V230" s="96">
        <v>4</v>
      </c>
      <c r="W230" s="5" t="s">
        <v>91</v>
      </c>
      <c r="X230" s="10" t="s">
        <v>79</v>
      </c>
      <c r="Y230" s="11" t="s">
        <v>3222</v>
      </c>
      <c r="Z230" s="12">
        <v>2</v>
      </c>
      <c r="AA230" s="12">
        <v>0.2</v>
      </c>
      <c r="AB230" s="12">
        <v>0.1</v>
      </c>
      <c r="AC230" s="13">
        <v>0.4</v>
      </c>
      <c r="AD230" s="14">
        <f t="shared" si="8"/>
        <v>2.7</v>
      </c>
      <c r="AE230" s="15">
        <f t="shared" si="9"/>
        <v>0.14814814814814814</v>
      </c>
      <c r="AF230" s="16">
        <v>13.8</v>
      </c>
      <c r="AG230" s="16" t="s">
        <v>66</v>
      </c>
      <c r="AH230" s="17" t="s">
        <v>66</v>
      </c>
      <c r="AI230" s="18">
        <v>10</v>
      </c>
      <c r="AJ230" s="19" t="s">
        <v>3168</v>
      </c>
      <c r="AK230" s="20" t="s">
        <v>3205</v>
      </c>
      <c r="AL230" s="17" t="s">
        <v>261</v>
      </c>
      <c r="AM230" s="5" t="s">
        <v>66</v>
      </c>
      <c r="AN230" s="5" t="s">
        <v>66</v>
      </c>
      <c r="AO230" s="5" t="s">
        <v>3170</v>
      </c>
      <c r="AP230" s="5" t="s">
        <v>66</v>
      </c>
      <c r="AQ230" s="5" t="s">
        <v>66</v>
      </c>
      <c r="AR230" s="5" t="s">
        <v>66</v>
      </c>
      <c r="AS230" s="5" t="s">
        <v>66</v>
      </c>
      <c r="AT230" s="5" t="s">
        <v>66</v>
      </c>
      <c r="AU230" s="5" t="s">
        <v>66</v>
      </c>
      <c r="AV230" s="5" t="s">
        <v>66</v>
      </c>
      <c r="AW230" s="5" t="s">
        <v>66</v>
      </c>
      <c r="AX230" s="5" t="s">
        <v>68</v>
      </c>
      <c r="AY230" s="5" t="s">
        <v>69</v>
      </c>
      <c r="AZ230" s="5" t="s">
        <v>145</v>
      </c>
      <c r="BA230" s="19" t="s">
        <v>66</v>
      </c>
      <c r="BB230" s="17" t="s">
        <v>69</v>
      </c>
      <c r="BC230" s="5"/>
      <c r="BD230" s="5"/>
    </row>
    <row r="231" spans="1:56" ht="36" hidden="1" x14ac:dyDescent="0.25">
      <c r="A231" s="78" t="s">
        <v>1002</v>
      </c>
      <c r="B231" s="5" t="s">
        <v>1003</v>
      </c>
      <c r="C231" s="5" t="s">
        <v>3293</v>
      </c>
      <c r="D231" s="5" t="s">
        <v>56</v>
      </c>
      <c r="E231" s="99" t="str">
        <f>VLOOKUP(D231,'Dropdown List'!$F$26:$G$40,2,0)</f>
        <v>India</v>
      </c>
      <c r="F231" s="8" t="s">
        <v>3163</v>
      </c>
      <c r="G231" s="96" t="s">
        <v>3164</v>
      </c>
      <c r="H231" s="5" t="s">
        <v>57</v>
      </c>
      <c r="I231" s="8" t="s">
        <v>58</v>
      </c>
      <c r="J231" s="8" t="s">
        <v>163</v>
      </c>
      <c r="K231" s="8" t="s">
        <v>1052</v>
      </c>
      <c r="L231" s="8" t="s">
        <v>3239</v>
      </c>
      <c r="M231" s="8" t="s">
        <v>3240</v>
      </c>
      <c r="N231" s="5" t="s">
        <v>269</v>
      </c>
      <c r="O231" s="5" t="s">
        <v>269</v>
      </c>
      <c r="P231" s="5" t="s">
        <v>3226</v>
      </c>
      <c r="Q231" s="9" t="s">
        <v>75</v>
      </c>
      <c r="R231" s="5" t="s">
        <v>76</v>
      </c>
      <c r="S231" s="5" t="s">
        <v>64</v>
      </c>
      <c r="T231" s="96">
        <v>2</v>
      </c>
      <c r="U231" s="96">
        <v>3</v>
      </c>
      <c r="V231" s="96">
        <v>4</v>
      </c>
      <c r="W231" s="5" t="s">
        <v>91</v>
      </c>
      <c r="X231" s="10" t="s">
        <v>79</v>
      </c>
      <c r="Y231" s="11" t="s">
        <v>3222</v>
      </c>
      <c r="Z231" s="12">
        <v>2</v>
      </c>
      <c r="AA231" s="12">
        <v>0.2</v>
      </c>
      <c r="AB231" s="12">
        <v>0.1</v>
      </c>
      <c r="AC231" s="13">
        <v>0.4</v>
      </c>
      <c r="AD231" s="14">
        <f t="shared" si="8"/>
        <v>2.7</v>
      </c>
      <c r="AE231" s="15">
        <f t="shared" si="9"/>
        <v>0.14814814814814814</v>
      </c>
      <c r="AF231" s="16">
        <v>13.8</v>
      </c>
      <c r="AG231" s="16" t="s">
        <v>66</v>
      </c>
      <c r="AH231" s="17" t="s">
        <v>66</v>
      </c>
      <c r="AI231" s="18">
        <v>7</v>
      </c>
      <c r="AJ231" s="19" t="s">
        <v>3168</v>
      </c>
      <c r="AK231" s="20" t="s">
        <v>3205</v>
      </c>
      <c r="AL231" s="17" t="s">
        <v>261</v>
      </c>
      <c r="AM231" s="5" t="s">
        <v>66</v>
      </c>
      <c r="AN231" s="5" t="s">
        <v>66</v>
      </c>
      <c r="AO231" s="5" t="s">
        <v>3170</v>
      </c>
      <c r="AP231" s="5" t="s">
        <v>66</v>
      </c>
      <c r="AQ231" s="5" t="s">
        <v>66</v>
      </c>
      <c r="AR231" s="5" t="s">
        <v>66</v>
      </c>
      <c r="AS231" s="5" t="s">
        <v>66</v>
      </c>
      <c r="AT231" s="5" t="s">
        <v>66</v>
      </c>
      <c r="AU231" s="5" t="s">
        <v>66</v>
      </c>
      <c r="AV231" s="5" t="s">
        <v>66</v>
      </c>
      <c r="AW231" s="5" t="s">
        <v>66</v>
      </c>
      <c r="AX231" s="5" t="s">
        <v>68</v>
      </c>
      <c r="AY231" s="5" t="s">
        <v>69</v>
      </c>
      <c r="AZ231" s="5" t="s">
        <v>145</v>
      </c>
      <c r="BA231" s="19" t="s">
        <v>66</v>
      </c>
      <c r="BB231" s="17" t="s">
        <v>69</v>
      </c>
      <c r="BC231" s="5"/>
      <c r="BD231" s="5"/>
    </row>
    <row r="232" spans="1:56" ht="120" hidden="1" x14ac:dyDescent="0.25">
      <c r="A232" s="78" t="s">
        <v>1002</v>
      </c>
      <c r="B232" s="5" t="s">
        <v>1003</v>
      </c>
      <c r="C232" s="5" t="s">
        <v>3293</v>
      </c>
      <c r="D232" s="5" t="s">
        <v>56</v>
      </c>
      <c r="E232" s="99" t="str">
        <f>VLOOKUP(D232,'Dropdown List'!$F$26:$G$40,2,0)</f>
        <v>India</v>
      </c>
      <c r="F232" s="8" t="s">
        <v>3163</v>
      </c>
      <c r="G232" s="96" t="s">
        <v>3164</v>
      </c>
      <c r="H232" s="5" t="s">
        <v>57</v>
      </c>
      <c r="I232" s="8" t="s">
        <v>58</v>
      </c>
      <c r="J232" s="8" t="s">
        <v>163</v>
      </c>
      <c r="K232" s="8" t="s">
        <v>1052</v>
      </c>
      <c r="L232" s="8" t="s">
        <v>3241</v>
      </c>
      <c r="M232" s="8" t="s">
        <v>3242</v>
      </c>
      <c r="N232" s="5" t="s">
        <v>269</v>
      </c>
      <c r="O232" s="5" t="s">
        <v>269</v>
      </c>
      <c r="P232" s="5" t="s">
        <v>3226</v>
      </c>
      <c r="Q232" s="9" t="s">
        <v>75</v>
      </c>
      <c r="R232" s="5" t="s">
        <v>76</v>
      </c>
      <c r="S232" s="5" t="s">
        <v>64</v>
      </c>
      <c r="T232" s="96">
        <v>2</v>
      </c>
      <c r="U232" s="96">
        <v>3</v>
      </c>
      <c r="V232" s="96">
        <v>4</v>
      </c>
      <c r="W232" s="5" t="s">
        <v>91</v>
      </c>
      <c r="X232" s="10" t="s">
        <v>79</v>
      </c>
      <c r="Y232" s="11" t="s">
        <v>3222</v>
      </c>
      <c r="Z232" s="12">
        <v>2</v>
      </c>
      <c r="AA232" s="12">
        <v>0.2</v>
      </c>
      <c r="AB232" s="12">
        <v>0.1</v>
      </c>
      <c r="AC232" s="13">
        <v>0.4</v>
      </c>
      <c r="AD232" s="14">
        <f t="shared" si="8"/>
        <v>2.7</v>
      </c>
      <c r="AE232" s="15">
        <f t="shared" si="9"/>
        <v>0.14814814814814814</v>
      </c>
      <c r="AF232" s="16">
        <v>13.8</v>
      </c>
      <c r="AG232" s="16" t="s">
        <v>66</v>
      </c>
      <c r="AH232" s="17" t="s">
        <v>66</v>
      </c>
      <c r="AI232" s="18">
        <v>25</v>
      </c>
      <c r="AJ232" s="19" t="s">
        <v>3168</v>
      </c>
      <c r="AK232" s="20" t="s">
        <v>3205</v>
      </c>
      <c r="AL232" s="17" t="s">
        <v>261</v>
      </c>
      <c r="AM232" s="5" t="s">
        <v>66</v>
      </c>
      <c r="AN232" s="5" t="s">
        <v>66</v>
      </c>
      <c r="AO232" s="5" t="s">
        <v>3170</v>
      </c>
      <c r="AP232" s="5" t="s">
        <v>66</v>
      </c>
      <c r="AQ232" s="5" t="s">
        <v>66</v>
      </c>
      <c r="AR232" s="5" t="s">
        <v>66</v>
      </c>
      <c r="AS232" s="5" t="s">
        <v>66</v>
      </c>
      <c r="AT232" s="5" t="s">
        <v>66</v>
      </c>
      <c r="AU232" s="5" t="s">
        <v>66</v>
      </c>
      <c r="AV232" s="5" t="s">
        <v>66</v>
      </c>
      <c r="AW232" s="5" t="s">
        <v>66</v>
      </c>
      <c r="AX232" s="5" t="s">
        <v>68</v>
      </c>
      <c r="AY232" s="5" t="s">
        <v>69</v>
      </c>
      <c r="AZ232" s="5" t="s">
        <v>145</v>
      </c>
      <c r="BA232" s="19" t="s">
        <v>66</v>
      </c>
      <c r="BB232" s="17" t="s">
        <v>69</v>
      </c>
      <c r="BC232" s="5"/>
      <c r="BD232" s="5"/>
    </row>
    <row r="233" spans="1:56" ht="48" hidden="1" x14ac:dyDescent="0.25">
      <c r="A233" s="78" t="s">
        <v>1002</v>
      </c>
      <c r="B233" s="5" t="s">
        <v>1003</v>
      </c>
      <c r="C233" s="5" t="s">
        <v>3293</v>
      </c>
      <c r="D233" s="5" t="s">
        <v>56</v>
      </c>
      <c r="E233" s="99" t="str">
        <f>VLOOKUP(D233,'Dropdown List'!$F$26:$G$40,2,0)</f>
        <v>India</v>
      </c>
      <c r="F233" s="8" t="s">
        <v>3163</v>
      </c>
      <c r="G233" s="96" t="s">
        <v>3164</v>
      </c>
      <c r="H233" s="5" t="s">
        <v>57</v>
      </c>
      <c r="I233" s="8" t="s">
        <v>58</v>
      </c>
      <c r="J233" s="8" t="s">
        <v>163</v>
      </c>
      <c r="K233" s="8" t="s">
        <v>1053</v>
      </c>
      <c r="L233" s="8" t="s">
        <v>3243</v>
      </c>
      <c r="M233" s="8" t="s">
        <v>3244</v>
      </c>
      <c r="N233" s="5" t="s">
        <v>319</v>
      </c>
      <c r="O233" s="5" t="s">
        <v>74</v>
      </c>
      <c r="P233" s="5" t="s">
        <v>74</v>
      </c>
      <c r="Q233" s="9" t="s">
        <v>75</v>
      </c>
      <c r="R233" s="5" t="s">
        <v>76</v>
      </c>
      <c r="S233" s="5" t="s">
        <v>64</v>
      </c>
      <c r="T233" s="96">
        <v>2</v>
      </c>
      <c r="U233" s="96">
        <v>4</v>
      </c>
      <c r="V233" s="96">
        <v>4</v>
      </c>
      <c r="W233" s="5" t="s">
        <v>91</v>
      </c>
      <c r="X233" s="10" t="s">
        <v>79</v>
      </c>
      <c r="Y233" s="11" t="s">
        <v>3245</v>
      </c>
      <c r="Z233" s="12">
        <v>5.3</v>
      </c>
      <c r="AA233" s="12">
        <v>0.4</v>
      </c>
      <c r="AB233" s="12">
        <v>0.2</v>
      </c>
      <c r="AC233" s="13">
        <v>1</v>
      </c>
      <c r="AD233" s="14">
        <f t="shared" si="8"/>
        <v>6.9</v>
      </c>
      <c r="AE233" s="15">
        <f t="shared" si="9"/>
        <v>0.14492753623188406</v>
      </c>
      <c r="AF233" s="16">
        <v>5323.25</v>
      </c>
      <c r="AG233" s="16" t="s">
        <v>66</v>
      </c>
      <c r="AH233" s="17" t="s">
        <v>66</v>
      </c>
      <c r="AI233" s="18">
        <v>10</v>
      </c>
      <c r="AJ233" s="19" t="s">
        <v>66</v>
      </c>
      <c r="AK233" s="20" t="s">
        <v>3169</v>
      </c>
      <c r="AL233" s="17" t="s">
        <v>1276</v>
      </c>
      <c r="AM233" s="5" t="s">
        <v>66</v>
      </c>
      <c r="AN233" s="5" t="s">
        <v>66</v>
      </c>
      <c r="AO233" s="5" t="s">
        <v>3170</v>
      </c>
      <c r="AP233" s="5" t="s">
        <v>66</v>
      </c>
      <c r="AQ233" s="5" t="s">
        <v>66</v>
      </c>
      <c r="AR233" s="5" t="s">
        <v>66</v>
      </c>
      <c r="AS233" s="5" t="s">
        <v>66</v>
      </c>
      <c r="AT233" s="5" t="s">
        <v>66</v>
      </c>
      <c r="AU233" s="5" t="s">
        <v>66</v>
      </c>
      <c r="AV233" s="5" t="s">
        <v>66</v>
      </c>
      <c r="AW233" s="5" t="s">
        <v>66</v>
      </c>
      <c r="AX233" s="5" t="s">
        <v>68</v>
      </c>
      <c r="AY233" s="5" t="s">
        <v>69</v>
      </c>
      <c r="AZ233" s="5" t="s">
        <v>70</v>
      </c>
      <c r="BA233" s="19" t="s">
        <v>66</v>
      </c>
      <c r="BB233" s="17" t="s">
        <v>69</v>
      </c>
      <c r="BC233" s="5"/>
      <c r="BD233" s="5" t="s">
        <v>3246</v>
      </c>
    </row>
    <row r="234" spans="1:56" ht="60" hidden="1" x14ac:dyDescent="0.25">
      <c r="A234" s="78" t="s">
        <v>1002</v>
      </c>
      <c r="B234" s="5" t="s">
        <v>1003</v>
      </c>
      <c r="C234" s="5" t="s">
        <v>3293</v>
      </c>
      <c r="D234" s="5" t="s">
        <v>56</v>
      </c>
      <c r="E234" s="99" t="str">
        <f>VLOOKUP(D234,'Dropdown List'!$F$26:$G$40,2,0)</f>
        <v>India</v>
      </c>
      <c r="F234" s="8" t="s">
        <v>3163</v>
      </c>
      <c r="G234" s="96" t="s">
        <v>3164</v>
      </c>
      <c r="H234" s="5" t="s">
        <v>57</v>
      </c>
      <c r="I234" s="8" t="s">
        <v>58</v>
      </c>
      <c r="J234" s="8" t="s">
        <v>396</v>
      </c>
      <c r="K234" s="8" t="s">
        <v>1054</v>
      </c>
      <c r="L234" s="8" t="s">
        <v>3247</v>
      </c>
      <c r="M234" s="8" t="s">
        <v>3248</v>
      </c>
      <c r="N234" s="5" t="s">
        <v>319</v>
      </c>
      <c r="O234" s="5" t="s">
        <v>74</v>
      </c>
      <c r="P234" s="5" t="s">
        <v>74</v>
      </c>
      <c r="Q234" s="9" t="s">
        <v>75</v>
      </c>
      <c r="R234" s="5" t="s">
        <v>76</v>
      </c>
      <c r="S234" s="5" t="s">
        <v>64</v>
      </c>
      <c r="T234" s="96">
        <v>2</v>
      </c>
      <c r="U234" s="96">
        <v>4</v>
      </c>
      <c r="V234" s="96">
        <v>4</v>
      </c>
      <c r="W234" s="5" t="s">
        <v>91</v>
      </c>
      <c r="X234" s="10" t="s">
        <v>79</v>
      </c>
      <c r="Y234" s="11" t="s">
        <v>3245</v>
      </c>
      <c r="Z234" s="12">
        <v>5.2</v>
      </c>
      <c r="AA234" s="12">
        <v>0.4</v>
      </c>
      <c r="AB234" s="12">
        <v>0.2</v>
      </c>
      <c r="AC234" s="13">
        <v>1</v>
      </c>
      <c r="AD234" s="14">
        <f t="shared" si="8"/>
        <v>6.8000000000000007</v>
      </c>
      <c r="AE234" s="15">
        <f t="shared" si="9"/>
        <v>0.14705882352941174</v>
      </c>
      <c r="AF234" s="16">
        <v>1771.4166666666667</v>
      </c>
      <c r="AG234" s="16" t="s">
        <v>66</v>
      </c>
      <c r="AH234" s="17" t="s">
        <v>66</v>
      </c>
      <c r="AI234" s="18">
        <v>5</v>
      </c>
      <c r="AJ234" s="19" t="s">
        <v>3249</v>
      </c>
      <c r="AK234" s="20" t="s">
        <v>3169</v>
      </c>
      <c r="AL234" s="17" t="s">
        <v>1276</v>
      </c>
      <c r="AM234" s="5" t="s">
        <v>66</v>
      </c>
      <c r="AN234" s="5" t="s">
        <v>66</v>
      </c>
      <c r="AO234" s="5" t="s">
        <v>3250</v>
      </c>
      <c r="AP234" s="5" t="s">
        <v>66</v>
      </c>
      <c r="AQ234" s="5" t="s">
        <v>66</v>
      </c>
      <c r="AR234" s="5" t="s">
        <v>66</v>
      </c>
      <c r="AS234" s="5" t="s">
        <v>66</v>
      </c>
      <c r="AT234" s="5" t="s">
        <v>66</v>
      </c>
      <c r="AU234" s="5" t="s">
        <v>66</v>
      </c>
      <c r="AV234" s="5" t="s">
        <v>66</v>
      </c>
      <c r="AW234" s="5" t="s">
        <v>66</v>
      </c>
      <c r="AX234" s="5" t="s">
        <v>68</v>
      </c>
      <c r="AY234" s="5" t="s">
        <v>69</v>
      </c>
      <c r="AZ234" s="5" t="s">
        <v>80</v>
      </c>
      <c r="BA234" s="19" t="s">
        <v>66</v>
      </c>
      <c r="BB234" s="17" t="s">
        <v>3251</v>
      </c>
      <c r="BC234" s="5"/>
      <c r="BD234" s="5"/>
    </row>
    <row r="235" spans="1:56" ht="84" hidden="1" x14ac:dyDescent="0.25">
      <c r="A235" s="78" t="s">
        <v>1002</v>
      </c>
      <c r="B235" s="5" t="s">
        <v>1003</v>
      </c>
      <c r="C235" s="5" t="s">
        <v>3293</v>
      </c>
      <c r="D235" s="5" t="s">
        <v>56</v>
      </c>
      <c r="E235" s="99" t="str">
        <f>VLOOKUP(D235,'Dropdown List'!$F$26:$G$40,2,0)</f>
        <v>India</v>
      </c>
      <c r="F235" s="8" t="s">
        <v>3163</v>
      </c>
      <c r="G235" s="96" t="s">
        <v>3164</v>
      </c>
      <c r="H235" s="5" t="s">
        <v>57</v>
      </c>
      <c r="I235" s="8" t="s">
        <v>58</v>
      </c>
      <c r="J235" s="8" t="s">
        <v>396</v>
      </c>
      <c r="K235" s="8" t="s">
        <v>397</v>
      </c>
      <c r="L235" s="8" t="s">
        <v>3252</v>
      </c>
      <c r="M235" s="8" t="s">
        <v>3253</v>
      </c>
      <c r="N235" s="5" t="s">
        <v>319</v>
      </c>
      <c r="O235" s="5" t="s">
        <v>74</v>
      </c>
      <c r="P235" s="5" t="s">
        <v>74</v>
      </c>
      <c r="Q235" s="9" t="s">
        <v>75</v>
      </c>
      <c r="R235" s="5" t="s">
        <v>76</v>
      </c>
      <c r="S235" s="5" t="s">
        <v>64</v>
      </c>
      <c r="T235" s="96">
        <v>2</v>
      </c>
      <c r="U235" s="96">
        <v>4</v>
      </c>
      <c r="V235" s="96">
        <v>4</v>
      </c>
      <c r="W235" s="5" t="s">
        <v>91</v>
      </c>
      <c r="X235" s="10" t="s">
        <v>79</v>
      </c>
      <c r="Y235" s="11" t="s">
        <v>3245</v>
      </c>
      <c r="Z235" s="12">
        <v>2.25</v>
      </c>
      <c r="AA235" s="12">
        <v>0.4</v>
      </c>
      <c r="AB235" s="12">
        <v>0.2</v>
      </c>
      <c r="AC235" s="13">
        <v>1</v>
      </c>
      <c r="AD235" s="14">
        <f t="shared" si="8"/>
        <v>3.85</v>
      </c>
      <c r="AE235" s="15">
        <f t="shared" si="9"/>
        <v>0.25974025974025972</v>
      </c>
      <c r="AF235" s="16">
        <v>20.25</v>
      </c>
      <c r="AG235" s="16" t="s">
        <v>66</v>
      </c>
      <c r="AH235" s="17" t="s">
        <v>66</v>
      </c>
      <c r="AI235" s="18">
        <v>8</v>
      </c>
      <c r="AJ235" s="19" t="s">
        <v>3254</v>
      </c>
      <c r="AK235" s="20" t="s">
        <v>3169</v>
      </c>
      <c r="AL235" s="17" t="s">
        <v>1276</v>
      </c>
      <c r="AM235" s="5" t="s">
        <v>66</v>
      </c>
      <c r="AN235" s="5" t="s">
        <v>66</v>
      </c>
      <c r="AO235" s="5" t="s">
        <v>3250</v>
      </c>
      <c r="AP235" s="5" t="s">
        <v>66</v>
      </c>
      <c r="AQ235" s="5" t="s">
        <v>66</v>
      </c>
      <c r="AR235" s="5" t="s">
        <v>66</v>
      </c>
      <c r="AS235" s="5" t="s">
        <v>66</v>
      </c>
      <c r="AT235" s="5" t="s">
        <v>66</v>
      </c>
      <c r="AU235" s="5" t="s">
        <v>66</v>
      </c>
      <c r="AV235" s="5" t="s">
        <v>66</v>
      </c>
      <c r="AW235" s="5" t="s">
        <v>66</v>
      </c>
      <c r="AX235" s="5" t="s">
        <v>68</v>
      </c>
      <c r="AY235" s="5" t="s">
        <v>69</v>
      </c>
      <c r="AZ235" s="5" t="s">
        <v>70</v>
      </c>
      <c r="BA235" s="19" t="s">
        <v>66</v>
      </c>
      <c r="BB235" s="17" t="s">
        <v>3251</v>
      </c>
      <c r="BC235" s="5"/>
      <c r="BD235" s="5"/>
    </row>
    <row r="236" spans="1:56" ht="36" hidden="1" x14ac:dyDescent="0.25">
      <c r="A236" s="78" t="s">
        <v>1002</v>
      </c>
      <c r="B236" s="5" t="s">
        <v>1003</v>
      </c>
      <c r="C236" s="5" t="s">
        <v>3293</v>
      </c>
      <c r="D236" s="5" t="s">
        <v>56</v>
      </c>
      <c r="E236" s="99" t="str">
        <f>VLOOKUP(D236,'Dropdown List'!$F$26:$G$40,2,0)</f>
        <v>India</v>
      </c>
      <c r="F236" s="8" t="s">
        <v>3163</v>
      </c>
      <c r="G236" s="96" t="s">
        <v>3164</v>
      </c>
      <c r="H236" s="5" t="s">
        <v>57</v>
      </c>
      <c r="I236" s="8" t="s">
        <v>58</v>
      </c>
      <c r="J236" s="8" t="s">
        <v>163</v>
      </c>
      <c r="K236" s="8" t="s">
        <v>1052</v>
      </c>
      <c r="L236" s="8" t="s">
        <v>3255</v>
      </c>
      <c r="M236" s="8" t="s">
        <v>3256</v>
      </c>
      <c r="N236" s="5" t="s">
        <v>319</v>
      </c>
      <c r="O236" s="5" t="s">
        <v>74</v>
      </c>
      <c r="P236" s="5" t="s">
        <v>74</v>
      </c>
      <c r="Q236" s="9" t="s">
        <v>75</v>
      </c>
      <c r="R236" s="5" t="s">
        <v>76</v>
      </c>
      <c r="S236" s="5" t="s">
        <v>64</v>
      </c>
      <c r="T236" s="96">
        <v>2</v>
      </c>
      <c r="U236" s="96">
        <v>4</v>
      </c>
      <c r="V236" s="96">
        <v>4</v>
      </c>
      <c r="W236" s="5" t="s">
        <v>91</v>
      </c>
      <c r="X236" s="10" t="s">
        <v>79</v>
      </c>
      <c r="Y236" s="11" t="s">
        <v>3245</v>
      </c>
      <c r="Z236" s="12">
        <v>0.38</v>
      </c>
      <c r="AA236" s="12">
        <v>0.4</v>
      </c>
      <c r="AB236" s="12">
        <v>0.2</v>
      </c>
      <c r="AC236" s="13">
        <v>1</v>
      </c>
      <c r="AD236" s="14">
        <f t="shared" si="8"/>
        <v>1.98</v>
      </c>
      <c r="AE236" s="15">
        <f t="shared" si="9"/>
        <v>0.50505050505050508</v>
      </c>
      <c r="AF236" s="16">
        <v>11.583333333333334</v>
      </c>
      <c r="AG236" s="16" t="s">
        <v>66</v>
      </c>
      <c r="AH236" s="17" t="s">
        <v>66</v>
      </c>
      <c r="AI236" s="18">
        <v>8</v>
      </c>
      <c r="AJ236" s="19" t="s">
        <v>3254</v>
      </c>
      <c r="AK236" s="20" t="s">
        <v>3169</v>
      </c>
      <c r="AL236" s="17" t="s">
        <v>1276</v>
      </c>
      <c r="AM236" s="5" t="s">
        <v>66</v>
      </c>
      <c r="AN236" s="5" t="s">
        <v>66</v>
      </c>
      <c r="AO236" s="5" t="s">
        <v>3250</v>
      </c>
      <c r="AP236" s="5" t="s">
        <v>66</v>
      </c>
      <c r="AQ236" s="5" t="s">
        <v>66</v>
      </c>
      <c r="AR236" s="5" t="s">
        <v>66</v>
      </c>
      <c r="AS236" s="5" t="s">
        <v>66</v>
      </c>
      <c r="AT236" s="5" t="s">
        <v>66</v>
      </c>
      <c r="AU236" s="5" t="s">
        <v>66</v>
      </c>
      <c r="AV236" s="5" t="s">
        <v>66</v>
      </c>
      <c r="AW236" s="5" t="s">
        <v>66</v>
      </c>
      <c r="AX236" s="5" t="s">
        <v>68</v>
      </c>
      <c r="AY236" s="5" t="s">
        <v>69</v>
      </c>
      <c r="AZ236" s="5" t="s">
        <v>70</v>
      </c>
      <c r="BA236" s="19" t="s">
        <v>66</v>
      </c>
      <c r="BB236" s="17" t="s">
        <v>3251</v>
      </c>
      <c r="BC236" s="5"/>
      <c r="BD236" s="5"/>
    </row>
    <row r="237" spans="1:56" ht="60" hidden="1" x14ac:dyDescent="0.25">
      <c r="A237" s="78" t="s">
        <v>1002</v>
      </c>
      <c r="B237" s="5" t="s">
        <v>1003</v>
      </c>
      <c r="C237" s="5" t="s">
        <v>3293</v>
      </c>
      <c r="D237" s="5" t="s">
        <v>56</v>
      </c>
      <c r="E237" s="99" t="str">
        <f>VLOOKUP(D237,'Dropdown List'!$F$26:$G$40,2,0)</f>
        <v>India</v>
      </c>
      <c r="F237" s="8" t="s">
        <v>3163</v>
      </c>
      <c r="G237" s="96" t="s">
        <v>3164</v>
      </c>
      <c r="H237" s="5" t="s">
        <v>57</v>
      </c>
      <c r="I237" s="8" t="s">
        <v>58</v>
      </c>
      <c r="J237" s="8" t="s">
        <v>881</v>
      </c>
      <c r="K237" s="8" t="s">
        <v>1055</v>
      </c>
      <c r="L237" s="8" t="s">
        <v>3257</v>
      </c>
      <c r="M237" s="8" t="s">
        <v>3258</v>
      </c>
      <c r="N237" s="5" t="s">
        <v>319</v>
      </c>
      <c r="O237" s="5" t="s">
        <v>74</v>
      </c>
      <c r="P237" s="5" t="s">
        <v>74</v>
      </c>
      <c r="Q237" s="9" t="s">
        <v>75</v>
      </c>
      <c r="R237" s="5" t="s">
        <v>76</v>
      </c>
      <c r="S237" s="5" t="s">
        <v>64</v>
      </c>
      <c r="T237" s="96">
        <v>2</v>
      </c>
      <c r="U237" s="96">
        <v>4</v>
      </c>
      <c r="V237" s="96">
        <v>4</v>
      </c>
      <c r="W237" s="5" t="s">
        <v>91</v>
      </c>
      <c r="X237" s="10" t="s">
        <v>79</v>
      </c>
      <c r="Y237" s="11" t="s">
        <v>3245</v>
      </c>
      <c r="Z237" s="12">
        <v>1.87</v>
      </c>
      <c r="AA237" s="12">
        <v>0.4</v>
      </c>
      <c r="AB237" s="12">
        <v>0.2</v>
      </c>
      <c r="AC237" s="13">
        <v>1</v>
      </c>
      <c r="AD237" s="14">
        <f t="shared" si="8"/>
        <v>3.47</v>
      </c>
      <c r="AE237" s="15">
        <f t="shared" si="9"/>
        <v>0.28818443804034583</v>
      </c>
      <c r="AF237" s="16">
        <v>1529.1666666666667</v>
      </c>
      <c r="AG237" s="16" t="s">
        <v>66</v>
      </c>
      <c r="AH237" s="17" t="s">
        <v>66</v>
      </c>
      <c r="AI237" s="18">
        <v>3</v>
      </c>
      <c r="AJ237" s="19" t="s">
        <v>3259</v>
      </c>
      <c r="AK237" s="20" t="s">
        <v>3169</v>
      </c>
      <c r="AL237" s="17" t="s">
        <v>1276</v>
      </c>
      <c r="AM237" s="5" t="s">
        <v>66</v>
      </c>
      <c r="AN237" s="5" t="s">
        <v>66</v>
      </c>
      <c r="AO237" s="5" t="s">
        <v>3250</v>
      </c>
      <c r="AP237" s="5" t="s">
        <v>66</v>
      </c>
      <c r="AQ237" s="5" t="s">
        <v>66</v>
      </c>
      <c r="AR237" s="5" t="s">
        <v>66</v>
      </c>
      <c r="AS237" s="5" t="s">
        <v>66</v>
      </c>
      <c r="AT237" s="5" t="s">
        <v>66</v>
      </c>
      <c r="AU237" s="5" t="s">
        <v>66</v>
      </c>
      <c r="AV237" s="5" t="s">
        <v>66</v>
      </c>
      <c r="AW237" s="5" t="s">
        <v>66</v>
      </c>
      <c r="AX237" s="5" t="s">
        <v>68</v>
      </c>
      <c r="AY237" s="5" t="s">
        <v>69</v>
      </c>
      <c r="AZ237" s="5" t="s">
        <v>80</v>
      </c>
      <c r="BA237" s="19" t="s">
        <v>66</v>
      </c>
      <c r="BB237" s="17" t="s">
        <v>3251</v>
      </c>
      <c r="BC237" s="5"/>
      <c r="BD237" s="5"/>
    </row>
    <row r="238" spans="1:56" ht="60" hidden="1" x14ac:dyDescent="0.25">
      <c r="A238" s="78" t="s">
        <v>1002</v>
      </c>
      <c r="B238" s="5" t="s">
        <v>1003</v>
      </c>
      <c r="C238" s="5" t="s">
        <v>3293</v>
      </c>
      <c r="D238" s="5" t="s">
        <v>56</v>
      </c>
      <c r="E238" s="99" t="str">
        <f>VLOOKUP(D238,'Dropdown List'!$F$26:$G$40,2,0)</f>
        <v>India</v>
      </c>
      <c r="F238" s="8" t="s">
        <v>3163</v>
      </c>
      <c r="G238" s="96" t="s">
        <v>3260</v>
      </c>
      <c r="H238" s="5" t="s">
        <v>57</v>
      </c>
      <c r="I238" s="8" t="s">
        <v>58</v>
      </c>
      <c r="J238" s="8" t="s">
        <v>396</v>
      </c>
      <c r="K238" s="8" t="s">
        <v>1468</v>
      </c>
      <c r="L238" s="8" t="s">
        <v>3261</v>
      </c>
      <c r="M238" s="8" t="s">
        <v>3262</v>
      </c>
      <c r="N238" s="5" t="s">
        <v>319</v>
      </c>
      <c r="O238" s="5" t="s">
        <v>61</v>
      </c>
      <c r="P238" s="5" t="s">
        <v>61</v>
      </c>
      <c r="Q238" s="9" t="s">
        <v>75</v>
      </c>
      <c r="R238" s="5" t="s">
        <v>76</v>
      </c>
      <c r="S238" s="5" t="s">
        <v>64</v>
      </c>
      <c r="T238" s="96">
        <v>2</v>
      </c>
      <c r="U238" s="96">
        <v>4</v>
      </c>
      <c r="V238" s="96">
        <v>4</v>
      </c>
      <c r="W238" s="5" t="s">
        <v>91</v>
      </c>
      <c r="X238" s="10" t="s">
        <v>79</v>
      </c>
      <c r="Y238" s="11" t="s">
        <v>3180</v>
      </c>
      <c r="Z238" s="12">
        <v>2</v>
      </c>
      <c r="AA238" s="12">
        <v>0.33</v>
      </c>
      <c r="AB238" s="12">
        <v>0.33</v>
      </c>
      <c r="AC238" s="13">
        <v>3</v>
      </c>
      <c r="AD238" s="14">
        <f t="shared" si="8"/>
        <v>5.66</v>
      </c>
      <c r="AE238" s="15">
        <f t="shared" si="9"/>
        <v>0.53003533568904593</v>
      </c>
      <c r="AF238" s="16" t="s">
        <v>3263</v>
      </c>
      <c r="AG238" s="16" t="s">
        <v>3263</v>
      </c>
      <c r="AH238" s="17" t="s">
        <v>3263</v>
      </c>
      <c r="AI238" s="18" t="s">
        <v>3263</v>
      </c>
      <c r="AJ238" s="19" t="s">
        <v>3264</v>
      </c>
      <c r="AK238" s="20" t="s">
        <v>2182</v>
      </c>
      <c r="AL238" s="17" t="s">
        <v>2810</v>
      </c>
      <c r="AM238" s="5" t="s">
        <v>66</v>
      </c>
      <c r="AN238" s="5" t="s">
        <v>66</v>
      </c>
      <c r="AO238" s="5" t="s">
        <v>3250</v>
      </c>
      <c r="AP238" s="5" t="s">
        <v>66</v>
      </c>
      <c r="AQ238" s="5" t="s">
        <v>66</v>
      </c>
      <c r="AR238" s="5" t="s">
        <v>66</v>
      </c>
      <c r="AS238" s="5" t="s">
        <v>66</v>
      </c>
      <c r="AT238" s="5" t="s">
        <v>66</v>
      </c>
      <c r="AU238" s="5" t="s">
        <v>66</v>
      </c>
      <c r="AV238" s="5" t="s">
        <v>66</v>
      </c>
      <c r="AW238" s="5" t="s">
        <v>66</v>
      </c>
      <c r="AX238" s="5" t="s">
        <v>68</v>
      </c>
      <c r="AY238" s="5" t="s">
        <v>69</v>
      </c>
      <c r="AZ238" s="5" t="s">
        <v>80</v>
      </c>
      <c r="BA238" s="19" t="s">
        <v>66</v>
      </c>
      <c r="BB238" s="17" t="s">
        <v>3251</v>
      </c>
      <c r="BC238" s="5"/>
      <c r="BD238" s="5" t="s">
        <v>3265</v>
      </c>
    </row>
    <row r="239" spans="1:56" ht="60" hidden="1" x14ac:dyDescent="0.25">
      <c r="A239" s="78" t="s">
        <v>1002</v>
      </c>
      <c r="B239" s="5" t="s">
        <v>1003</v>
      </c>
      <c r="C239" s="5" t="s">
        <v>3293</v>
      </c>
      <c r="D239" s="5" t="s">
        <v>56</v>
      </c>
      <c r="E239" s="99" t="str">
        <f>VLOOKUP(D239,'Dropdown List'!$F$26:$G$40,2,0)</f>
        <v>India</v>
      </c>
      <c r="F239" s="8" t="s">
        <v>3163</v>
      </c>
      <c r="G239" s="96" t="s">
        <v>3260</v>
      </c>
      <c r="H239" s="5" t="s">
        <v>57</v>
      </c>
      <c r="I239" s="8" t="s">
        <v>58</v>
      </c>
      <c r="J239" s="8" t="s">
        <v>396</v>
      </c>
      <c r="K239" s="8" t="s">
        <v>1468</v>
      </c>
      <c r="L239" s="8" t="s">
        <v>3266</v>
      </c>
      <c r="M239" s="8" t="s">
        <v>3267</v>
      </c>
      <c r="N239" s="5" t="s">
        <v>319</v>
      </c>
      <c r="O239" s="5" t="s">
        <v>61</v>
      </c>
      <c r="P239" s="5" t="s">
        <v>61</v>
      </c>
      <c r="Q239" s="9" t="s">
        <v>75</v>
      </c>
      <c r="R239" s="5" t="s">
        <v>76</v>
      </c>
      <c r="S239" s="5" t="s">
        <v>64</v>
      </c>
      <c r="T239" s="96">
        <v>2</v>
      </c>
      <c r="U239" s="96">
        <v>4</v>
      </c>
      <c r="V239" s="96">
        <v>4</v>
      </c>
      <c r="W239" s="5" t="s">
        <v>91</v>
      </c>
      <c r="X239" s="10" t="s">
        <v>79</v>
      </c>
      <c r="Y239" s="11" t="s">
        <v>3180</v>
      </c>
      <c r="Z239" s="12">
        <v>2</v>
      </c>
      <c r="AA239" s="12">
        <v>0.33</v>
      </c>
      <c r="AB239" s="12">
        <v>0.33</v>
      </c>
      <c r="AC239" s="13">
        <v>3</v>
      </c>
      <c r="AD239" s="14">
        <f t="shared" si="8"/>
        <v>5.66</v>
      </c>
      <c r="AE239" s="15">
        <f t="shared" si="9"/>
        <v>0.53003533568904593</v>
      </c>
      <c r="AF239" s="16" t="s">
        <v>3268</v>
      </c>
      <c r="AG239" s="16" t="s">
        <v>3268</v>
      </c>
      <c r="AH239" s="17" t="s">
        <v>3263</v>
      </c>
      <c r="AI239" s="18">
        <v>6</v>
      </c>
      <c r="AJ239" s="19" t="s">
        <v>793</v>
      </c>
      <c r="AK239" s="20" t="s">
        <v>3269</v>
      </c>
      <c r="AL239" s="17" t="s">
        <v>2810</v>
      </c>
      <c r="AM239" s="5" t="s">
        <v>66</v>
      </c>
      <c r="AN239" s="5" t="s">
        <v>66</v>
      </c>
      <c r="AO239" s="5" t="s">
        <v>3250</v>
      </c>
      <c r="AP239" s="5" t="s">
        <v>66</v>
      </c>
      <c r="AQ239" s="5" t="s">
        <v>66</v>
      </c>
      <c r="AR239" s="5" t="s">
        <v>66</v>
      </c>
      <c r="AS239" s="5" t="s">
        <v>66</v>
      </c>
      <c r="AT239" s="5" t="s">
        <v>66</v>
      </c>
      <c r="AU239" s="5" t="s">
        <v>66</v>
      </c>
      <c r="AV239" s="5" t="s">
        <v>66</v>
      </c>
      <c r="AW239" s="5" t="s">
        <v>66</v>
      </c>
      <c r="AX239" s="5" t="s">
        <v>68</v>
      </c>
      <c r="AY239" s="5" t="s">
        <v>69</v>
      </c>
      <c r="AZ239" s="5" t="s">
        <v>80</v>
      </c>
      <c r="BA239" s="19" t="s">
        <v>66</v>
      </c>
      <c r="BB239" s="17" t="s">
        <v>3251</v>
      </c>
      <c r="BC239" s="5"/>
      <c r="BD239" s="5" t="s">
        <v>3265</v>
      </c>
    </row>
    <row r="240" spans="1:56" ht="60" hidden="1" x14ac:dyDescent="0.25">
      <c r="A240" s="78" t="s">
        <v>1002</v>
      </c>
      <c r="B240" s="5" t="s">
        <v>1003</v>
      </c>
      <c r="C240" s="5" t="s">
        <v>3293</v>
      </c>
      <c r="D240" s="5" t="s">
        <v>56</v>
      </c>
      <c r="E240" s="99" t="str">
        <f>VLOOKUP(D240,'Dropdown List'!$F$26:$G$40,2,0)</f>
        <v>India</v>
      </c>
      <c r="F240" s="8" t="s">
        <v>3163</v>
      </c>
      <c r="G240" s="96" t="s">
        <v>3260</v>
      </c>
      <c r="H240" s="5" t="s">
        <v>57</v>
      </c>
      <c r="I240" s="8" t="s">
        <v>58</v>
      </c>
      <c r="J240" s="8" t="s">
        <v>396</v>
      </c>
      <c r="K240" s="8" t="s">
        <v>1468</v>
      </c>
      <c r="L240" s="8" t="s">
        <v>3270</v>
      </c>
      <c r="M240" s="8" t="s">
        <v>3271</v>
      </c>
      <c r="N240" s="5" t="s">
        <v>319</v>
      </c>
      <c r="O240" s="5" t="s">
        <v>61</v>
      </c>
      <c r="P240" s="5" t="s">
        <v>61</v>
      </c>
      <c r="Q240" s="9" t="s">
        <v>75</v>
      </c>
      <c r="R240" s="5" t="s">
        <v>76</v>
      </c>
      <c r="S240" s="5" t="s">
        <v>64</v>
      </c>
      <c r="T240" s="96">
        <v>2</v>
      </c>
      <c r="U240" s="96">
        <v>4</v>
      </c>
      <c r="V240" s="96">
        <v>4</v>
      </c>
      <c r="W240" s="5" t="s">
        <v>91</v>
      </c>
      <c r="X240" s="10" t="s">
        <v>79</v>
      </c>
      <c r="Y240" s="11" t="s">
        <v>3180</v>
      </c>
      <c r="Z240" s="12">
        <v>2</v>
      </c>
      <c r="AA240" s="12">
        <v>0.33</v>
      </c>
      <c r="AB240" s="12">
        <v>0.33</v>
      </c>
      <c r="AC240" s="13">
        <v>3</v>
      </c>
      <c r="AD240" s="14">
        <f t="shared" si="8"/>
        <v>5.66</v>
      </c>
      <c r="AE240" s="15">
        <f t="shared" si="9"/>
        <v>0.53003533568904593</v>
      </c>
      <c r="AF240" s="16" t="s">
        <v>3268</v>
      </c>
      <c r="AG240" s="16" t="s">
        <v>3268</v>
      </c>
      <c r="AH240" s="17" t="s">
        <v>3263</v>
      </c>
      <c r="AI240" s="18">
        <v>35</v>
      </c>
      <c r="AJ240" s="19" t="s">
        <v>3272</v>
      </c>
      <c r="AK240" s="20" t="s">
        <v>3273</v>
      </c>
      <c r="AL240" s="17" t="s">
        <v>2810</v>
      </c>
      <c r="AM240" s="5" t="s">
        <v>66</v>
      </c>
      <c r="AN240" s="5" t="s">
        <v>66</v>
      </c>
      <c r="AO240" s="5" t="s">
        <v>3250</v>
      </c>
      <c r="AP240" s="5" t="s">
        <v>66</v>
      </c>
      <c r="AQ240" s="5" t="s">
        <v>66</v>
      </c>
      <c r="AR240" s="5" t="s">
        <v>66</v>
      </c>
      <c r="AS240" s="5" t="s">
        <v>66</v>
      </c>
      <c r="AT240" s="5" t="s">
        <v>66</v>
      </c>
      <c r="AU240" s="5" t="s">
        <v>66</v>
      </c>
      <c r="AV240" s="5" t="s">
        <v>66</v>
      </c>
      <c r="AW240" s="5" t="s">
        <v>66</v>
      </c>
      <c r="AX240" s="5" t="s">
        <v>68</v>
      </c>
      <c r="AY240" s="5" t="s">
        <v>69</v>
      </c>
      <c r="AZ240" s="5" t="s">
        <v>80</v>
      </c>
      <c r="BA240" s="19" t="s">
        <v>66</v>
      </c>
      <c r="BB240" s="17" t="s">
        <v>3251</v>
      </c>
      <c r="BC240" s="5"/>
      <c r="BD240" s="5" t="s">
        <v>3265</v>
      </c>
    </row>
    <row r="241" spans="1:56" ht="60" hidden="1" x14ac:dyDescent="0.25">
      <c r="A241" s="78" t="s">
        <v>81</v>
      </c>
      <c r="B241" s="76" t="s">
        <v>82</v>
      </c>
      <c r="C241" s="5" t="s">
        <v>3293</v>
      </c>
      <c r="D241" s="5" t="s">
        <v>448</v>
      </c>
      <c r="E241" s="99" t="str">
        <f>VLOOKUP(D241,'Dropdown List'!$F$26:$G$40,2,0)</f>
        <v>Philippines</v>
      </c>
      <c r="F241" s="8" t="s">
        <v>3496</v>
      </c>
      <c r="G241" s="96" t="s">
        <v>3497</v>
      </c>
      <c r="H241" s="5" t="s">
        <v>57</v>
      </c>
      <c r="I241" s="8" t="s">
        <v>58</v>
      </c>
      <c r="J241" s="8" t="s">
        <v>146</v>
      </c>
      <c r="K241" s="8" t="s">
        <v>154</v>
      </c>
      <c r="L241" s="8" t="s">
        <v>148</v>
      </c>
      <c r="M241" s="8" t="s">
        <v>155</v>
      </c>
      <c r="N241" s="5" t="s">
        <v>319</v>
      </c>
      <c r="O241" s="5" t="s">
        <v>156</v>
      </c>
      <c r="P241" s="5" t="s">
        <v>157</v>
      </c>
      <c r="Q241" s="9" t="s">
        <v>62</v>
      </c>
      <c r="R241" s="5" t="s">
        <v>132</v>
      </c>
      <c r="S241" s="5" t="s">
        <v>64</v>
      </c>
      <c r="T241" s="96">
        <v>3</v>
      </c>
      <c r="U241" s="96">
        <v>4</v>
      </c>
      <c r="V241" s="96">
        <v>8</v>
      </c>
      <c r="W241" s="5" t="s">
        <v>78</v>
      </c>
      <c r="X241" s="10" t="s">
        <v>79</v>
      </c>
      <c r="Y241" s="11">
        <v>32316</v>
      </c>
      <c r="Z241" s="12">
        <v>58</v>
      </c>
      <c r="AA241" s="12">
        <v>23</v>
      </c>
      <c r="AB241" s="12">
        <v>9</v>
      </c>
      <c r="AC241" s="13">
        <v>20</v>
      </c>
      <c r="AD241" s="14">
        <f t="shared" si="8"/>
        <v>110</v>
      </c>
      <c r="AE241" s="15">
        <f t="shared" si="9"/>
        <v>0.18181818181818182</v>
      </c>
      <c r="AF241" s="16">
        <v>43186.857142857145</v>
      </c>
      <c r="AG241" s="16">
        <v>23385.316504495226</v>
      </c>
      <c r="AH241" s="17" t="s">
        <v>3498</v>
      </c>
      <c r="AI241" s="18" t="s">
        <v>158</v>
      </c>
      <c r="AJ241" s="19" t="s">
        <v>150</v>
      </c>
      <c r="AK241" s="20">
        <v>0.13</v>
      </c>
      <c r="AL241" s="17" t="s">
        <v>261</v>
      </c>
      <c r="AM241" s="5" t="s">
        <v>151</v>
      </c>
      <c r="AN241" s="5" t="s">
        <v>152</v>
      </c>
      <c r="AO241" s="5" t="s">
        <v>3499</v>
      </c>
      <c r="AP241" s="5" t="s">
        <v>3500</v>
      </c>
      <c r="AQ241" s="5" t="s">
        <v>3501</v>
      </c>
      <c r="AR241" s="5" t="s">
        <v>3502</v>
      </c>
      <c r="AS241" s="5" t="s">
        <v>3503</v>
      </c>
      <c r="AT241" s="5" t="s">
        <v>3504</v>
      </c>
      <c r="AU241" s="5" t="s">
        <v>66</v>
      </c>
      <c r="AV241" s="5" t="s">
        <v>66</v>
      </c>
      <c r="AW241" s="5" t="s">
        <v>66</v>
      </c>
      <c r="AX241" s="5" t="s">
        <v>159</v>
      </c>
      <c r="AY241" s="5" t="s">
        <v>160</v>
      </c>
      <c r="AZ241" s="5" t="s">
        <v>145</v>
      </c>
      <c r="BA241" s="19" t="s">
        <v>66</v>
      </c>
      <c r="BB241" s="17" t="s">
        <v>161</v>
      </c>
      <c r="BC241" s="5" t="s">
        <v>162</v>
      </c>
      <c r="BD241" s="5" t="s">
        <v>153</v>
      </c>
    </row>
    <row r="242" spans="1:56" ht="60" hidden="1" x14ac:dyDescent="0.25">
      <c r="A242" s="78" t="s">
        <v>81</v>
      </c>
      <c r="B242" s="5" t="s">
        <v>82</v>
      </c>
      <c r="C242" s="5" t="s">
        <v>3293</v>
      </c>
      <c r="D242" s="5" t="s">
        <v>3369</v>
      </c>
      <c r="E242" s="99" t="str">
        <f>VLOOKUP(D242,'Dropdown List'!$F$26:$G$40,2,0)</f>
        <v>Philippines</v>
      </c>
      <c r="F242" s="8" t="s">
        <v>3496</v>
      </c>
      <c r="G242" s="96" t="s">
        <v>3497</v>
      </c>
      <c r="H242" s="5" t="s">
        <v>57</v>
      </c>
      <c r="I242" s="8" t="s">
        <v>58</v>
      </c>
      <c r="J242" s="8" t="s">
        <v>146</v>
      </c>
      <c r="K242" s="8" t="s">
        <v>154</v>
      </c>
      <c r="L242" s="8" t="s">
        <v>148</v>
      </c>
      <c r="M242" s="8" t="s">
        <v>155</v>
      </c>
      <c r="N242" s="5" t="s">
        <v>319</v>
      </c>
      <c r="O242" s="5" t="s">
        <v>156</v>
      </c>
      <c r="P242" s="5" t="s">
        <v>157</v>
      </c>
      <c r="Q242" s="9" t="s">
        <v>62</v>
      </c>
      <c r="R242" s="5" t="s">
        <v>132</v>
      </c>
      <c r="S242" s="5" t="s">
        <v>64</v>
      </c>
      <c r="T242" s="96">
        <v>3</v>
      </c>
      <c r="U242" s="96">
        <v>4</v>
      </c>
      <c r="V242" s="96">
        <v>8</v>
      </c>
      <c r="W242" s="5" t="s">
        <v>78</v>
      </c>
      <c r="X242" s="10" t="s">
        <v>79</v>
      </c>
      <c r="Y242" s="11">
        <v>32316</v>
      </c>
      <c r="Z242" s="12">
        <v>50</v>
      </c>
      <c r="AA242" s="12">
        <v>19</v>
      </c>
      <c r="AB242" s="12">
        <v>7</v>
      </c>
      <c r="AC242" s="13">
        <v>0</v>
      </c>
      <c r="AD242" s="14">
        <f t="shared" si="8"/>
        <v>76</v>
      </c>
      <c r="AE242" s="15">
        <f t="shared" si="9"/>
        <v>0</v>
      </c>
      <c r="AF242" s="16">
        <v>43186.857142857145</v>
      </c>
      <c r="AG242" s="16">
        <v>19801.540638361916</v>
      </c>
      <c r="AH242" s="17" t="s">
        <v>3498</v>
      </c>
      <c r="AI242" s="18" t="s">
        <v>158</v>
      </c>
      <c r="AJ242" s="19" t="s">
        <v>150</v>
      </c>
      <c r="AK242" s="20">
        <v>0.13</v>
      </c>
      <c r="AL242" s="17" t="s">
        <v>261</v>
      </c>
      <c r="AM242" s="5" t="s">
        <v>151</v>
      </c>
      <c r="AN242" s="5" t="s">
        <v>152</v>
      </c>
      <c r="AO242" s="5" t="s">
        <v>3499</v>
      </c>
      <c r="AP242" s="5" t="s">
        <v>3500</v>
      </c>
      <c r="AQ242" s="5" t="s">
        <v>3501</v>
      </c>
      <c r="AR242" s="5" t="s">
        <v>3502</v>
      </c>
      <c r="AS242" s="5" t="s">
        <v>3503</v>
      </c>
      <c r="AT242" s="5" t="s">
        <v>3504</v>
      </c>
      <c r="AU242" s="5" t="s">
        <v>66</v>
      </c>
      <c r="AV242" s="5" t="s">
        <v>66</v>
      </c>
      <c r="AW242" s="5" t="s">
        <v>66</v>
      </c>
      <c r="AX242" s="5" t="s">
        <v>159</v>
      </c>
      <c r="AY242" s="5" t="s">
        <v>160</v>
      </c>
      <c r="AZ242" s="5" t="s">
        <v>145</v>
      </c>
      <c r="BA242" s="19" t="s">
        <v>66</v>
      </c>
      <c r="BB242" s="17" t="s">
        <v>161</v>
      </c>
      <c r="BC242" s="5" t="s">
        <v>162</v>
      </c>
      <c r="BD242" s="5" t="s">
        <v>153</v>
      </c>
    </row>
    <row r="243" spans="1:56" ht="60" hidden="1" x14ac:dyDescent="0.25">
      <c r="A243" s="78" t="s">
        <v>81</v>
      </c>
      <c r="B243" s="5" t="s">
        <v>82</v>
      </c>
      <c r="C243" s="5" t="s">
        <v>3293</v>
      </c>
      <c r="D243" s="5" t="s">
        <v>275</v>
      </c>
      <c r="E243" s="99" t="str">
        <f>VLOOKUP(D243,'Dropdown List'!$F$26:$G$40,2,0)</f>
        <v>South Africa</v>
      </c>
      <c r="F243" s="8" t="s">
        <v>3505</v>
      </c>
      <c r="G243" s="96" t="s">
        <v>3497</v>
      </c>
      <c r="H243" s="5" t="s">
        <v>57</v>
      </c>
      <c r="I243" s="8" t="s">
        <v>58</v>
      </c>
      <c r="J243" s="8" t="s">
        <v>146</v>
      </c>
      <c r="K243" s="8" t="s">
        <v>154</v>
      </c>
      <c r="L243" s="8" t="s">
        <v>148</v>
      </c>
      <c r="M243" s="8" t="s">
        <v>155</v>
      </c>
      <c r="N243" s="5" t="s">
        <v>319</v>
      </c>
      <c r="O243" s="5" t="s">
        <v>156</v>
      </c>
      <c r="P243" s="5" t="s">
        <v>157</v>
      </c>
      <c r="Q243" s="9" t="s">
        <v>62</v>
      </c>
      <c r="R243" s="5" t="s">
        <v>132</v>
      </c>
      <c r="S243" s="5" t="s">
        <v>64</v>
      </c>
      <c r="T243" s="96">
        <v>3</v>
      </c>
      <c r="U243" s="96">
        <v>4</v>
      </c>
      <c r="V243" s="96">
        <v>8</v>
      </c>
      <c r="W243" s="5" t="s">
        <v>78</v>
      </c>
      <c r="X243" s="10" t="s">
        <v>79</v>
      </c>
      <c r="Y243" s="11">
        <v>32700</v>
      </c>
      <c r="Z243" s="12">
        <v>36</v>
      </c>
      <c r="AA243" s="12">
        <v>19</v>
      </c>
      <c r="AB243" s="12">
        <v>3</v>
      </c>
      <c r="AC243" s="13">
        <v>16</v>
      </c>
      <c r="AD243" s="14">
        <f t="shared" si="8"/>
        <v>74</v>
      </c>
      <c r="AE243" s="15">
        <f t="shared" si="9"/>
        <v>0.21621621621621623</v>
      </c>
      <c r="AF243" s="16">
        <v>37336.285714285717</v>
      </c>
      <c r="AG243" s="16">
        <v>15238.412021872995</v>
      </c>
      <c r="AH243" s="17" t="s">
        <v>3498</v>
      </c>
      <c r="AI243" s="18" t="s">
        <v>158</v>
      </c>
      <c r="AJ243" s="19" t="s">
        <v>150</v>
      </c>
      <c r="AK243" s="20">
        <v>0.13</v>
      </c>
      <c r="AL243" s="17" t="s">
        <v>261</v>
      </c>
      <c r="AM243" s="5" t="s">
        <v>151</v>
      </c>
      <c r="AN243" s="5" t="s">
        <v>152</v>
      </c>
      <c r="AO243" s="5" t="s">
        <v>3499</v>
      </c>
      <c r="AP243" s="5" t="s">
        <v>3500</v>
      </c>
      <c r="AQ243" s="5" t="s">
        <v>3501</v>
      </c>
      <c r="AR243" s="5" t="s">
        <v>3502</v>
      </c>
      <c r="AS243" s="5" t="s">
        <v>3503</v>
      </c>
      <c r="AT243" s="5" t="s">
        <v>3504</v>
      </c>
      <c r="AU243" s="5" t="s">
        <v>66</v>
      </c>
      <c r="AV243" s="5" t="s">
        <v>66</v>
      </c>
      <c r="AW243" s="5" t="s">
        <v>66</v>
      </c>
      <c r="AX243" s="5" t="s">
        <v>159</v>
      </c>
      <c r="AY243" s="5" t="s">
        <v>160</v>
      </c>
      <c r="AZ243" s="5" t="s">
        <v>145</v>
      </c>
      <c r="BA243" s="19" t="s">
        <v>66</v>
      </c>
      <c r="BB243" s="17" t="s">
        <v>161</v>
      </c>
      <c r="BC243" s="5" t="s">
        <v>162</v>
      </c>
      <c r="BD243" s="5" t="s">
        <v>153</v>
      </c>
    </row>
    <row r="244" spans="1:56" ht="60" hidden="1" x14ac:dyDescent="0.25">
      <c r="A244" s="78" t="s">
        <v>81</v>
      </c>
      <c r="B244" s="5" t="s">
        <v>82</v>
      </c>
      <c r="C244" s="5" t="s">
        <v>3293</v>
      </c>
      <c r="D244" s="5" t="s">
        <v>3370</v>
      </c>
      <c r="E244" s="99" t="str">
        <f>VLOOKUP(D244,'Dropdown List'!$F$26:$G$40,2,0)</f>
        <v>South Africa</v>
      </c>
      <c r="F244" s="8" t="s">
        <v>3505</v>
      </c>
      <c r="G244" s="96" t="s">
        <v>3497</v>
      </c>
      <c r="H244" s="5" t="s">
        <v>57</v>
      </c>
      <c r="I244" s="8" t="s">
        <v>58</v>
      </c>
      <c r="J244" s="8" t="s">
        <v>146</v>
      </c>
      <c r="K244" s="8" t="s">
        <v>154</v>
      </c>
      <c r="L244" s="8" t="s">
        <v>148</v>
      </c>
      <c r="M244" s="8" t="s">
        <v>155</v>
      </c>
      <c r="N244" s="5" t="s">
        <v>319</v>
      </c>
      <c r="O244" s="5" t="s">
        <v>156</v>
      </c>
      <c r="P244" s="5" t="s">
        <v>157</v>
      </c>
      <c r="Q244" s="9" t="s">
        <v>62</v>
      </c>
      <c r="R244" s="5" t="s">
        <v>132</v>
      </c>
      <c r="S244" s="5" t="s">
        <v>64</v>
      </c>
      <c r="T244" s="96">
        <v>3</v>
      </c>
      <c r="U244" s="96">
        <v>4</v>
      </c>
      <c r="V244" s="96">
        <v>8</v>
      </c>
      <c r="W244" s="5" t="s">
        <v>78</v>
      </c>
      <c r="X244" s="10" t="s">
        <v>79</v>
      </c>
      <c r="Y244" s="11">
        <v>32700</v>
      </c>
      <c r="Z244" s="12">
        <v>53</v>
      </c>
      <c r="AA244" s="12">
        <v>16</v>
      </c>
      <c r="AB244" s="12">
        <v>7</v>
      </c>
      <c r="AC244" s="13">
        <v>13</v>
      </c>
      <c r="AD244" s="14">
        <f t="shared" si="8"/>
        <v>89</v>
      </c>
      <c r="AE244" s="15">
        <f t="shared" si="9"/>
        <v>0.14606741573033707</v>
      </c>
      <c r="AF244" s="16">
        <v>37336.285714285717</v>
      </c>
      <c r="AG244" s="16">
        <v>22097.873692412719</v>
      </c>
      <c r="AH244" s="17" t="s">
        <v>3498</v>
      </c>
      <c r="AI244" s="18" t="s">
        <v>158</v>
      </c>
      <c r="AJ244" s="19" t="s">
        <v>150</v>
      </c>
      <c r="AK244" s="20">
        <v>0.13</v>
      </c>
      <c r="AL244" s="17" t="s">
        <v>261</v>
      </c>
      <c r="AM244" s="5" t="s">
        <v>151</v>
      </c>
      <c r="AN244" s="5" t="s">
        <v>152</v>
      </c>
      <c r="AO244" s="5" t="s">
        <v>3499</v>
      </c>
      <c r="AP244" s="5" t="s">
        <v>3500</v>
      </c>
      <c r="AQ244" s="5" t="s">
        <v>3501</v>
      </c>
      <c r="AR244" s="5" t="s">
        <v>3502</v>
      </c>
      <c r="AS244" s="5" t="s">
        <v>3503</v>
      </c>
      <c r="AT244" s="5" t="s">
        <v>3504</v>
      </c>
      <c r="AU244" s="5" t="s">
        <v>66</v>
      </c>
      <c r="AV244" s="5" t="s">
        <v>66</v>
      </c>
      <c r="AW244" s="5" t="s">
        <v>66</v>
      </c>
      <c r="AX244" s="5" t="s">
        <v>159</v>
      </c>
      <c r="AY244" s="5" t="s">
        <v>160</v>
      </c>
      <c r="AZ244" s="5" t="s">
        <v>145</v>
      </c>
      <c r="BA244" s="19" t="s">
        <v>66</v>
      </c>
      <c r="BB244" s="17" t="s">
        <v>161</v>
      </c>
      <c r="BC244" s="5" t="s">
        <v>162</v>
      </c>
      <c r="BD244" s="5" t="s">
        <v>153</v>
      </c>
    </row>
    <row r="245" spans="1:56" ht="204" hidden="1" x14ac:dyDescent="0.25">
      <c r="A245" s="78" t="s">
        <v>207</v>
      </c>
      <c r="B245" s="5" t="s">
        <v>208</v>
      </c>
      <c r="C245" s="5" t="s">
        <v>3293</v>
      </c>
      <c r="D245" s="5" t="s">
        <v>56</v>
      </c>
      <c r="E245" s="99" t="str">
        <f>VLOOKUP(D245,'Dropdown List'!$F$26:$G$40,2,0)</f>
        <v>India</v>
      </c>
      <c r="F245" s="8" t="s">
        <v>232</v>
      </c>
      <c r="G245" s="96">
        <v>5</v>
      </c>
      <c r="H245" s="5" t="s">
        <v>57</v>
      </c>
      <c r="I245" s="8" t="s">
        <v>233</v>
      </c>
      <c r="J245" s="8" t="s">
        <v>234</v>
      </c>
      <c r="K245" s="8" t="s">
        <v>235</v>
      </c>
      <c r="L245" s="8" t="s">
        <v>236</v>
      </c>
      <c r="M245" s="8" t="s">
        <v>237</v>
      </c>
      <c r="N245" s="5" t="s">
        <v>1034</v>
      </c>
      <c r="O245" s="5" t="s">
        <v>61</v>
      </c>
      <c r="P245" s="5" t="s">
        <v>238</v>
      </c>
      <c r="Q245" s="9" t="s">
        <v>62</v>
      </c>
      <c r="R245" s="5" t="s">
        <v>76</v>
      </c>
      <c r="S245" s="5" t="s">
        <v>120</v>
      </c>
      <c r="T245" s="96">
        <v>2</v>
      </c>
      <c r="U245" s="96">
        <v>4</v>
      </c>
      <c r="V245" s="96">
        <v>4</v>
      </c>
      <c r="W245" s="5" t="s">
        <v>91</v>
      </c>
      <c r="X245" s="10" t="s">
        <v>79</v>
      </c>
      <c r="Y245" s="11" t="s">
        <v>3301</v>
      </c>
      <c r="Z245" s="12">
        <v>5</v>
      </c>
      <c r="AA245" s="12" t="s">
        <v>66</v>
      </c>
      <c r="AB245" s="12">
        <v>1</v>
      </c>
      <c r="AC245" s="13">
        <v>3</v>
      </c>
      <c r="AD245" s="14">
        <f t="shared" si="8"/>
        <v>9</v>
      </c>
      <c r="AE245" s="15">
        <f t="shared" si="9"/>
        <v>0.33333333333333331</v>
      </c>
      <c r="AF245" s="16">
        <v>130</v>
      </c>
      <c r="AG245" s="16">
        <v>130</v>
      </c>
      <c r="AH245" s="17" t="s">
        <v>239</v>
      </c>
      <c r="AI245" s="18" t="s">
        <v>240</v>
      </c>
      <c r="AJ245" s="19" t="s">
        <v>241</v>
      </c>
      <c r="AK245" s="20" t="s">
        <v>66</v>
      </c>
      <c r="AL245" s="17" t="s">
        <v>65</v>
      </c>
      <c r="AM245" s="5" t="s">
        <v>66</v>
      </c>
      <c r="AN245" s="5" t="s">
        <v>66</v>
      </c>
      <c r="AO245" s="5" t="s">
        <v>66</v>
      </c>
      <c r="AP245" s="5" t="s">
        <v>242</v>
      </c>
      <c r="AQ245" s="5" t="s">
        <v>61</v>
      </c>
      <c r="AR245" s="5" t="s">
        <v>243</v>
      </c>
      <c r="AS245" s="5" t="s">
        <v>244</v>
      </c>
      <c r="AT245" s="5" t="s">
        <v>137</v>
      </c>
      <c r="AU245" s="5" t="s">
        <v>245</v>
      </c>
      <c r="AV245" s="5" t="s">
        <v>246</v>
      </c>
      <c r="AW245" s="5" t="s">
        <v>66</v>
      </c>
      <c r="AX245" s="5" t="s">
        <v>247</v>
      </c>
      <c r="AY245" s="5" t="s">
        <v>69</v>
      </c>
      <c r="AZ245" s="5" t="s">
        <v>70</v>
      </c>
      <c r="BA245" s="19" t="s">
        <v>248</v>
      </c>
      <c r="BB245" s="17" t="s">
        <v>69</v>
      </c>
      <c r="BC245" s="5" t="s">
        <v>249</v>
      </c>
      <c r="BD245" s="5" t="s">
        <v>250</v>
      </c>
    </row>
    <row r="246" spans="1:56" ht="132" hidden="1" x14ac:dyDescent="0.25">
      <c r="A246" s="78" t="s">
        <v>207</v>
      </c>
      <c r="B246" s="5" t="s">
        <v>208</v>
      </c>
      <c r="C246" s="5" t="s">
        <v>3293</v>
      </c>
      <c r="D246" s="5" t="s">
        <v>252</v>
      </c>
      <c r="E246" s="99" t="str">
        <f>VLOOKUP(D246,'Dropdown List'!$F$26:$G$40,2,0)</f>
        <v>India</v>
      </c>
      <c r="F246" s="8" t="s">
        <v>253</v>
      </c>
      <c r="G246" s="96">
        <v>6</v>
      </c>
      <c r="H246" s="5" t="s">
        <v>85</v>
      </c>
      <c r="I246" s="8" t="s">
        <v>58</v>
      </c>
      <c r="J246" s="8" t="s">
        <v>163</v>
      </c>
      <c r="K246" s="8" t="s">
        <v>254</v>
      </c>
      <c r="L246" s="8" t="s">
        <v>255</v>
      </c>
      <c r="M246" s="8" t="s">
        <v>256</v>
      </c>
      <c r="N246" s="5" t="s">
        <v>319</v>
      </c>
      <c r="O246" s="5" t="s">
        <v>74</v>
      </c>
      <c r="P246" s="5" t="s">
        <v>66</v>
      </c>
      <c r="Q246" s="9" t="s">
        <v>75</v>
      </c>
      <c r="R246" s="5" t="s">
        <v>76</v>
      </c>
      <c r="S246" s="5" t="s">
        <v>90</v>
      </c>
      <c r="T246" s="96">
        <v>2</v>
      </c>
      <c r="U246" s="96">
        <v>6</v>
      </c>
      <c r="V246" s="96">
        <v>6</v>
      </c>
      <c r="W246" s="5" t="s">
        <v>91</v>
      </c>
      <c r="X246" s="10" t="s">
        <v>79</v>
      </c>
      <c r="Y246" s="11">
        <v>21057.798279999995</v>
      </c>
      <c r="Z246" s="12">
        <v>14</v>
      </c>
      <c r="AA246" s="12">
        <v>0</v>
      </c>
      <c r="AB246" s="12">
        <v>1</v>
      </c>
      <c r="AC246" s="13">
        <v>2</v>
      </c>
      <c r="AD246" s="14">
        <f t="shared" si="8"/>
        <v>17</v>
      </c>
      <c r="AE246" s="15">
        <f t="shared" si="9"/>
        <v>0.11764705882352941</v>
      </c>
      <c r="AF246" s="16">
        <v>60000</v>
      </c>
      <c r="AG246" s="16" t="s">
        <v>257</v>
      </c>
      <c r="AH246" s="17" t="s">
        <v>258</v>
      </c>
      <c r="AI246" s="18" t="s">
        <v>259</v>
      </c>
      <c r="AJ246" s="19" t="s">
        <v>260</v>
      </c>
      <c r="AK246" s="20">
        <v>0.9</v>
      </c>
      <c r="AL246" s="17" t="s">
        <v>261</v>
      </c>
      <c r="AM246" s="5" t="s">
        <v>262</v>
      </c>
      <c r="AN246" s="5" t="s">
        <v>66</v>
      </c>
      <c r="AO246" s="5" t="s">
        <v>66</v>
      </c>
      <c r="AP246" s="5" t="s">
        <v>66</v>
      </c>
      <c r="AQ246" s="5" t="s">
        <v>66</v>
      </c>
      <c r="AR246" s="5" t="s">
        <v>66</v>
      </c>
      <c r="AS246" s="5" t="s">
        <v>66</v>
      </c>
      <c r="AT246" s="5" t="s">
        <v>66</v>
      </c>
      <c r="AU246" s="5" t="s">
        <v>66</v>
      </c>
      <c r="AV246" s="5" t="s">
        <v>66</v>
      </c>
      <c r="AW246" s="5" t="s">
        <v>66</v>
      </c>
      <c r="AX246" s="5" t="s">
        <v>263</v>
      </c>
      <c r="AY246" s="5" t="s">
        <v>65</v>
      </c>
      <c r="AZ246" s="5" t="s">
        <v>80</v>
      </c>
      <c r="BA246" s="19" t="s">
        <v>264</v>
      </c>
      <c r="BB246" s="17" t="s">
        <v>65</v>
      </c>
      <c r="BC246" s="5" t="s">
        <v>265</v>
      </c>
      <c r="BD246" s="5" t="s">
        <v>266</v>
      </c>
    </row>
    <row r="247" spans="1:56" ht="96" hidden="1" x14ac:dyDescent="0.25">
      <c r="A247" s="78" t="s">
        <v>587</v>
      </c>
      <c r="B247" s="5" t="s">
        <v>433</v>
      </c>
      <c r="C247" s="5" t="s">
        <v>412</v>
      </c>
      <c r="D247" s="5" t="s">
        <v>209</v>
      </c>
      <c r="E247" s="99" t="str">
        <f>VLOOKUP(D247,'Dropdown List'!$F$26:$G$40,2,0)</f>
        <v>Philippines</v>
      </c>
      <c r="F247" s="8" t="s">
        <v>588</v>
      </c>
      <c r="G247" s="96">
        <v>1</v>
      </c>
      <c r="H247" s="5" t="s">
        <v>57</v>
      </c>
      <c r="I247" s="8" t="s">
        <v>58</v>
      </c>
      <c r="J247" s="8" t="s">
        <v>59</v>
      </c>
      <c r="K247" s="8" t="s">
        <v>86</v>
      </c>
      <c r="L247" s="8" t="s">
        <v>601</v>
      </c>
      <c r="M247" s="8" t="s">
        <v>649</v>
      </c>
      <c r="N247" s="5" t="s">
        <v>1034</v>
      </c>
      <c r="O247" s="5" t="s">
        <v>89</v>
      </c>
      <c r="P247" s="5" t="s">
        <v>590</v>
      </c>
      <c r="Q247" s="9" t="s">
        <v>172</v>
      </c>
      <c r="R247" s="5" t="s">
        <v>76</v>
      </c>
      <c r="S247" s="5" t="s">
        <v>120</v>
      </c>
      <c r="T247" s="96">
        <v>1</v>
      </c>
      <c r="U247" s="96">
        <v>4</v>
      </c>
      <c r="V247" s="96">
        <v>4</v>
      </c>
      <c r="W247" s="5" t="s">
        <v>91</v>
      </c>
      <c r="X247" s="10" t="s">
        <v>421</v>
      </c>
      <c r="Y247" s="11">
        <v>47983</v>
      </c>
      <c r="Z247" s="12">
        <v>7</v>
      </c>
      <c r="AA247" s="12">
        <v>2</v>
      </c>
      <c r="AB247" s="12">
        <v>1</v>
      </c>
      <c r="AC247" s="13">
        <v>2</v>
      </c>
      <c r="AD247" s="14">
        <f t="shared" si="8"/>
        <v>12</v>
      </c>
      <c r="AE247" s="15">
        <f t="shared" si="9"/>
        <v>0.16666666666666666</v>
      </c>
      <c r="AF247" s="16" t="s">
        <v>650</v>
      </c>
      <c r="AG247" s="16" t="s">
        <v>650</v>
      </c>
      <c r="AH247" s="17" t="s">
        <v>617</v>
      </c>
      <c r="AI247" s="18" t="s">
        <v>651</v>
      </c>
      <c r="AJ247" s="19" t="s">
        <v>281</v>
      </c>
      <c r="AK247" s="20">
        <v>0.95</v>
      </c>
      <c r="AL247" s="17" t="s">
        <v>594</v>
      </c>
      <c r="AM247" s="5" t="s">
        <v>66</v>
      </c>
      <c r="AN247" s="5" t="s">
        <v>66</v>
      </c>
      <c r="AO247" s="5" t="s">
        <v>652</v>
      </c>
      <c r="AP247" s="5" t="s">
        <v>653</v>
      </c>
      <c r="AQ247" s="5" t="s">
        <v>66</v>
      </c>
      <c r="AR247" s="5" t="s">
        <v>66</v>
      </c>
      <c r="AS247" s="5" t="s">
        <v>66</v>
      </c>
      <c r="AT247" s="5" t="s">
        <v>66</v>
      </c>
      <c r="AU247" s="5" t="s">
        <v>66</v>
      </c>
      <c r="AV247" s="5" t="s">
        <v>66</v>
      </c>
      <c r="AW247" s="5" t="s">
        <v>66</v>
      </c>
      <c r="AX247" s="5" t="s">
        <v>654</v>
      </c>
      <c r="AY247" s="5" t="s">
        <v>69</v>
      </c>
      <c r="AZ247" s="5" t="s">
        <v>70</v>
      </c>
      <c r="BA247" s="19" t="s">
        <v>622</v>
      </c>
      <c r="BB247" s="17" t="s">
        <v>69</v>
      </c>
      <c r="BC247" s="5" t="s">
        <v>655</v>
      </c>
      <c r="BD247" s="5" t="s">
        <v>656</v>
      </c>
    </row>
    <row r="248" spans="1:56" ht="36" hidden="1" x14ac:dyDescent="0.25">
      <c r="A248" s="78" t="s">
        <v>587</v>
      </c>
      <c r="B248" s="5" t="s">
        <v>433</v>
      </c>
      <c r="C248" s="5" t="s">
        <v>412</v>
      </c>
      <c r="D248" s="5" t="s">
        <v>3161</v>
      </c>
      <c r="E248" s="99" t="str">
        <f>VLOOKUP(D248,'Dropdown List'!$F$26:$G$40,2,0)</f>
        <v>Philippines</v>
      </c>
      <c r="F248" s="8" t="s">
        <v>588</v>
      </c>
      <c r="G248" s="96">
        <v>0</v>
      </c>
      <c r="H248" s="5" t="s">
        <v>57</v>
      </c>
      <c r="I248" s="8" t="s">
        <v>58</v>
      </c>
      <c r="J248" s="8" t="s">
        <v>146</v>
      </c>
      <c r="K248" s="8" t="s">
        <v>211</v>
      </c>
      <c r="L248" s="8" t="s">
        <v>601</v>
      </c>
      <c r="M248" s="8" t="s">
        <v>657</v>
      </c>
      <c r="N248" s="5" t="s">
        <v>1034</v>
      </c>
      <c r="O248" s="5" t="s">
        <v>89</v>
      </c>
      <c r="P248" s="5" t="s">
        <v>590</v>
      </c>
      <c r="Q248" s="9" t="s">
        <v>615</v>
      </c>
      <c r="R248" s="5" t="s">
        <v>132</v>
      </c>
      <c r="S248" s="5" t="s">
        <v>64</v>
      </c>
      <c r="T248" s="96">
        <v>1</v>
      </c>
      <c r="U248" s="96">
        <v>1</v>
      </c>
      <c r="V248" s="96">
        <v>2</v>
      </c>
      <c r="W248" s="5" t="s">
        <v>91</v>
      </c>
      <c r="X248" s="10" t="s">
        <v>421</v>
      </c>
      <c r="Y248" s="11">
        <v>46500</v>
      </c>
      <c r="Z248" s="12">
        <v>15</v>
      </c>
      <c r="AA248" s="12">
        <v>1</v>
      </c>
      <c r="AB248" s="12">
        <v>2</v>
      </c>
      <c r="AC248" s="13">
        <v>4</v>
      </c>
      <c r="AD248" s="14">
        <f t="shared" si="8"/>
        <v>22</v>
      </c>
      <c r="AE248" s="15">
        <f t="shared" si="9"/>
        <v>0.18181818181818182</v>
      </c>
      <c r="AF248" s="16" t="s">
        <v>658</v>
      </c>
      <c r="AG248" s="16" t="s">
        <v>658</v>
      </c>
      <c r="AH248" s="17" t="s">
        <v>617</v>
      </c>
      <c r="AI248" s="18" t="s">
        <v>659</v>
      </c>
      <c r="AJ248" s="19" t="s">
        <v>281</v>
      </c>
      <c r="AK248" s="20">
        <v>0.95</v>
      </c>
      <c r="AL248" s="17" t="s">
        <v>594</v>
      </c>
      <c r="AM248" s="5" t="s">
        <v>66</v>
      </c>
      <c r="AN248" s="5" t="s">
        <v>66</v>
      </c>
      <c r="AO248" s="5" t="s">
        <v>66</v>
      </c>
      <c r="AP248" s="5" t="s">
        <v>66</v>
      </c>
      <c r="AQ248" s="5" t="s">
        <v>66</v>
      </c>
      <c r="AR248" s="5" t="s">
        <v>66</v>
      </c>
      <c r="AS248" s="5" t="s">
        <v>66</v>
      </c>
      <c r="AT248" s="5" t="s">
        <v>66</v>
      </c>
      <c r="AU248" s="5" t="s">
        <v>66</v>
      </c>
      <c r="AV248" s="5" t="s">
        <v>66</v>
      </c>
      <c r="AW248" s="5" t="s">
        <v>66</v>
      </c>
      <c r="AX248" s="5" t="s">
        <v>654</v>
      </c>
      <c r="AY248" s="5" t="s">
        <v>69</v>
      </c>
      <c r="AZ248" s="5" t="s">
        <v>70</v>
      </c>
      <c r="BA248" s="19" t="s">
        <v>622</v>
      </c>
      <c r="BB248" s="17" t="s">
        <v>69</v>
      </c>
      <c r="BC248" s="5" t="s">
        <v>655</v>
      </c>
      <c r="BD248" s="5" t="s">
        <v>660</v>
      </c>
    </row>
    <row r="249" spans="1:56" ht="60" hidden="1" x14ac:dyDescent="0.25">
      <c r="A249" s="78" t="s">
        <v>661</v>
      </c>
      <c r="B249" s="5" t="s">
        <v>662</v>
      </c>
      <c r="C249" s="5" t="s">
        <v>290</v>
      </c>
      <c r="D249" s="5" t="s">
        <v>56</v>
      </c>
      <c r="E249" s="99" t="str">
        <f>VLOOKUP(D249,'Dropdown List'!$F$26:$G$40,2,0)</f>
        <v>India</v>
      </c>
      <c r="F249" s="8" t="s">
        <v>663</v>
      </c>
      <c r="G249" s="96">
        <v>9</v>
      </c>
      <c r="H249" s="5" t="s">
        <v>57</v>
      </c>
      <c r="I249" s="8" t="s">
        <v>480</v>
      </c>
      <c r="J249" s="8" t="s">
        <v>481</v>
      </c>
      <c r="K249" s="8" t="s">
        <v>316</v>
      </c>
      <c r="L249" s="8" t="s">
        <v>664</v>
      </c>
      <c r="M249" s="8" t="s">
        <v>665</v>
      </c>
      <c r="N249" s="5" t="s">
        <v>319</v>
      </c>
      <c r="O249" s="5" t="s">
        <v>666</v>
      </c>
      <c r="P249" s="5" t="s">
        <v>666</v>
      </c>
      <c r="Q249" s="9" t="s">
        <v>62</v>
      </c>
      <c r="R249" s="5" t="s">
        <v>132</v>
      </c>
      <c r="S249" s="5" t="s">
        <v>64</v>
      </c>
      <c r="T249" s="96">
        <v>2</v>
      </c>
      <c r="U249" s="96">
        <v>5</v>
      </c>
      <c r="V249" s="96">
        <v>8</v>
      </c>
      <c r="W249" s="5" t="s">
        <v>91</v>
      </c>
      <c r="X249" s="10" t="s">
        <v>321</v>
      </c>
      <c r="Y249" s="11" t="s">
        <v>3506</v>
      </c>
      <c r="Z249" s="12">
        <v>120</v>
      </c>
      <c r="AA249" s="12">
        <v>9</v>
      </c>
      <c r="AB249" s="12">
        <v>8</v>
      </c>
      <c r="AC249" s="13">
        <v>0</v>
      </c>
      <c r="AD249" s="14">
        <f t="shared" si="8"/>
        <v>137</v>
      </c>
      <c r="AE249" s="15">
        <f t="shared" si="9"/>
        <v>0</v>
      </c>
      <c r="AF249" s="16">
        <v>45000</v>
      </c>
      <c r="AG249" s="16" t="s">
        <v>281</v>
      </c>
      <c r="AH249" s="17" t="s">
        <v>667</v>
      </c>
      <c r="AI249" s="18" t="s">
        <v>66</v>
      </c>
      <c r="AJ249" s="19" t="s">
        <v>281</v>
      </c>
      <c r="AK249" s="20">
        <v>0.95</v>
      </c>
      <c r="AL249" s="17" t="s">
        <v>261</v>
      </c>
      <c r="AM249" s="5" t="s">
        <v>668</v>
      </c>
      <c r="AN249" s="5" t="s">
        <v>669</v>
      </c>
      <c r="AO249" s="5" t="s">
        <v>670</v>
      </c>
      <c r="AP249" s="5" t="s">
        <v>671</v>
      </c>
      <c r="AQ249" s="5" t="s">
        <v>66</v>
      </c>
      <c r="AR249" s="5" t="s">
        <v>281</v>
      </c>
      <c r="AS249" s="5" t="s">
        <v>281</v>
      </c>
      <c r="AT249" s="5" t="s">
        <v>281</v>
      </c>
      <c r="AU249" s="5" t="s">
        <v>66</v>
      </c>
      <c r="AV249" s="5" t="s">
        <v>66</v>
      </c>
      <c r="AW249" s="5" t="s">
        <v>3507</v>
      </c>
      <c r="AX249" s="5" t="s">
        <v>672</v>
      </c>
      <c r="AY249" s="5" t="s">
        <v>69</v>
      </c>
      <c r="AZ249" s="5" t="s">
        <v>80</v>
      </c>
      <c r="BA249" s="19">
        <v>1</v>
      </c>
      <c r="BB249" s="17" t="s">
        <v>673</v>
      </c>
      <c r="BC249" s="5" t="s">
        <v>674</v>
      </c>
      <c r="BD249" s="5" t="s">
        <v>675</v>
      </c>
    </row>
    <row r="250" spans="1:56" ht="60" hidden="1" x14ac:dyDescent="0.25">
      <c r="A250" s="78" t="s">
        <v>661</v>
      </c>
      <c r="B250" s="5" t="s">
        <v>662</v>
      </c>
      <c r="C250" s="5" t="s">
        <v>290</v>
      </c>
      <c r="D250" s="5" t="s">
        <v>252</v>
      </c>
      <c r="E250" s="99" t="str">
        <f>VLOOKUP(D250,'Dropdown List'!$F$26:$G$40,2,0)</f>
        <v>India</v>
      </c>
      <c r="F250" s="8" t="s">
        <v>663</v>
      </c>
      <c r="G250" s="96">
        <v>9</v>
      </c>
      <c r="H250" s="5" t="s">
        <v>57</v>
      </c>
      <c r="I250" s="8" t="s">
        <v>480</v>
      </c>
      <c r="J250" s="8" t="s">
        <v>481</v>
      </c>
      <c r="K250" s="8" t="s">
        <v>316</v>
      </c>
      <c r="L250" s="8" t="s">
        <v>664</v>
      </c>
      <c r="M250" s="8" t="s">
        <v>665</v>
      </c>
      <c r="N250" s="5" t="s">
        <v>319</v>
      </c>
      <c r="O250" s="5" t="s">
        <v>666</v>
      </c>
      <c r="P250" s="5" t="s">
        <v>666</v>
      </c>
      <c r="Q250" s="9" t="s">
        <v>62</v>
      </c>
      <c r="R250" s="5" t="s">
        <v>132</v>
      </c>
      <c r="S250" s="5" t="s">
        <v>64</v>
      </c>
      <c r="T250" s="96">
        <v>2</v>
      </c>
      <c r="U250" s="96">
        <v>5</v>
      </c>
      <c r="V250" s="96">
        <v>8</v>
      </c>
      <c r="W250" s="5" t="s">
        <v>91</v>
      </c>
      <c r="X250" s="10" t="s">
        <v>321</v>
      </c>
      <c r="Y250" s="11" t="s">
        <v>3506</v>
      </c>
      <c r="Z250" s="12">
        <v>120</v>
      </c>
      <c r="AA250" s="12">
        <v>9</v>
      </c>
      <c r="AB250" s="12">
        <v>8</v>
      </c>
      <c r="AC250" s="13">
        <v>0</v>
      </c>
      <c r="AD250" s="14">
        <f t="shared" si="8"/>
        <v>137</v>
      </c>
      <c r="AE250" s="15">
        <f t="shared" si="9"/>
        <v>0</v>
      </c>
      <c r="AF250" s="16">
        <v>45000</v>
      </c>
      <c r="AG250" s="16" t="s">
        <v>281</v>
      </c>
      <c r="AH250" s="17" t="s">
        <v>667</v>
      </c>
      <c r="AI250" s="18" t="s">
        <v>66</v>
      </c>
      <c r="AJ250" s="19" t="s">
        <v>281</v>
      </c>
      <c r="AK250" s="20">
        <v>0.95</v>
      </c>
      <c r="AL250" s="17" t="s">
        <v>261</v>
      </c>
      <c r="AM250" s="5" t="s">
        <v>668</v>
      </c>
      <c r="AN250" s="5" t="s">
        <v>669</v>
      </c>
      <c r="AO250" s="5" t="s">
        <v>670</v>
      </c>
      <c r="AP250" s="5" t="s">
        <v>671</v>
      </c>
      <c r="AQ250" s="5" t="s">
        <v>66</v>
      </c>
      <c r="AR250" s="5" t="s">
        <v>281</v>
      </c>
      <c r="AS250" s="5" t="s">
        <v>281</v>
      </c>
      <c r="AT250" s="5" t="s">
        <v>281</v>
      </c>
      <c r="AU250" s="5" t="s">
        <v>66</v>
      </c>
      <c r="AV250" s="5" t="s">
        <v>66</v>
      </c>
      <c r="AW250" s="5" t="s">
        <v>3507</v>
      </c>
      <c r="AX250" s="5" t="s">
        <v>672</v>
      </c>
      <c r="AY250" s="5" t="s">
        <v>69</v>
      </c>
      <c r="AZ250" s="5" t="s">
        <v>80</v>
      </c>
      <c r="BA250" s="19">
        <v>1</v>
      </c>
      <c r="BB250" s="17" t="s">
        <v>673</v>
      </c>
      <c r="BC250" s="5" t="s">
        <v>674</v>
      </c>
      <c r="BD250" s="5" t="s">
        <v>675</v>
      </c>
    </row>
    <row r="251" spans="1:56" ht="168" hidden="1" x14ac:dyDescent="0.25">
      <c r="A251" s="78" t="s">
        <v>661</v>
      </c>
      <c r="B251" s="5" t="s">
        <v>662</v>
      </c>
      <c r="C251" s="5" t="s">
        <v>290</v>
      </c>
      <c r="D251" s="5" t="s">
        <v>56</v>
      </c>
      <c r="E251" s="99" t="str">
        <f>VLOOKUP(D251,'Dropdown List'!$F$26:$G$40,2,0)</f>
        <v>India</v>
      </c>
      <c r="F251" s="8" t="s">
        <v>663</v>
      </c>
      <c r="G251" s="96">
        <v>14</v>
      </c>
      <c r="H251" s="5" t="s">
        <v>57</v>
      </c>
      <c r="I251" s="8" t="s">
        <v>480</v>
      </c>
      <c r="J251" s="8" t="s">
        <v>481</v>
      </c>
      <c r="K251" s="8" t="s">
        <v>2736</v>
      </c>
      <c r="L251" s="8" t="s">
        <v>676</v>
      </c>
      <c r="M251" s="8" t="s">
        <v>677</v>
      </c>
      <c r="N251" s="5" t="s">
        <v>319</v>
      </c>
      <c r="O251" s="5" t="s">
        <v>61</v>
      </c>
      <c r="P251" s="5" t="s">
        <v>678</v>
      </c>
      <c r="Q251" s="9" t="s">
        <v>62</v>
      </c>
      <c r="R251" s="5" t="s">
        <v>76</v>
      </c>
      <c r="S251" s="5" t="s">
        <v>64</v>
      </c>
      <c r="T251" s="96">
        <v>1</v>
      </c>
      <c r="U251" s="96">
        <v>4</v>
      </c>
      <c r="V251" s="96">
        <v>8</v>
      </c>
      <c r="W251" s="5" t="s">
        <v>91</v>
      </c>
      <c r="X251" s="10" t="s">
        <v>321</v>
      </c>
      <c r="Y251" s="11">
        <v>19728.674435945301</v>
      </c>
      <c r="Z251" s="12">
        <v>51</v>
      </c>
      <c r="AA251" s="12">
        <v>0</v>
      </c>
      <c r="AB251" s="12">
        <v>4</v>
      </c>
      <c r="AC251" s="13">
        <v>3</v>
      </c>
      <c r="AD251" s="14">
        <f t="shared" si="8"/>
        <v>58</v>
      </c>
      <c r="AE251" s="15">
        <f t="shared" si="9"/>
        <v>5.1724137931034482E-2</v>
      </c>
      <c r="AF251" s="16">
        <v>55891</v>
      </c>
      <c r="AG251" s="16" t="s">
        <v>3508</v>
      </c>
      <c r="AH251" s="17" t="s">
        <v>679</v>
      </c>
      <c r="AI251" s="18" t="s">
        <v>680</v>
      </c>
      <c r="AJ251" s="19" t="s">
        <v>681</v>
      </c>
      <c r="AK251" s="20">
        <v>0.95</v>
      </c>
      <c r="AL251" s="17" t="s">
        <v>261</v>
      </c>
      <c r="AM251" s="5" t="s">
        <v>682</v>
      </c>
      <c r="AN251" s="5" t="s">
        <v>683</v>
      </c>
      <c r="AO251" s="5" t="s">
        <v>66</v>
      </c>
      <c r="AP251" s="5" t="s">
        <v>66</v>
      </c>
      <c r="AQ251" s="5" t="s">
        <v>678</v>
      </c>
      <c r="AR251" s="5" t="s">
        <v>684</v>
      </c>
      <c r="AS251" s="5" t="s">
        <v>685</v>
      </c>
      <c r="AT251" s="5" t="s">
        <v>66</v>
      </c>
      <c r="AU251" s="5" t="s">
        <v>66</v>
      </c>
      <c r="AV251" s="5" t="s">
        <v>66</v>
      </c>
      <c r="AW251" s="5" t="s">
        <v>686</v>
      </c>
      <c r="AX251" s="5" t="s">
        <v>672</v>
      </c>
      <c r="AY251" s="5" t="s">
        <v>69</v>
      </c>
      <c r="AZ251" s="5" t="s">
        <v>80</v>
      </c>
      <c r="BA251" s="19" t="s">
        <v>687</v>
      </c>
      <c r="BB251" s="17" t="s">
        <v>69</v>
      </c>
      <c r="BC251" s="5" t="s">
        <v>674</v>
      </c>
      <c r="BD251" s="5" t="s">
        <v>688</v>
      </c>
    </row>
    <row r="252" spans="1:56" ht="168" hidden="1" x14ac:dyDescent="0.25">
      <c r="A252" s="78" t="s">
        <v>661</v>
      </c>
      <c r="B252" s="5" t="s">
        <v>662</v>
      </c>
      <c r="C252" s="5" t="s">
        <v>290</v>
      </c>
      <c r="D252" s="5" t="s">
        <v>252</v>
      </c>
      <c r="E252" s="99" t="str">
        <f>VLOOKUP(D252,'Dropdown List'!$F$26:$G$40,2,0)</f>
        <v>India</v>
      </c>
      <c r="F252" s="8" t="s">
        <v>663</v>
      </c>
      <c r="G252" s="96">
        <v>12</v>
      </c>
      <c r="H252" s="5" t="s">
        <v>57</v>
      </c>
      <c r="I252" s="8" t="s">
        <v>480</v>
      </c>
      <c r="J252" s="8" t="s">
        <v>481</v>
      </c>
      <c r="K252" s="8" t="s">
        <v>2736</v>
      </c>
      <c r="L252" s="8" t="s">
        <v>676</v>
      </c>
      <c r="M252" s="8" t="s">
        <v>677</v>
      </c>
      <c r="N252" s="5" t="s">
        <v>319</v>
      </c>
      <c r="O252" s="5" t="s">
        <v>61</v>
      </c>
      <c r="P252" s="5" t="s">
        <v>678</v>
      </c>
      <c r="Q252" s="9" t="s">
        <v>62</v>
      </c>
      <c r="R252" s="5" t="s">
        <v>76</v>
      </c>
      <c r="S252" s="5" t="s">
        <v>64</v>
      </c>
      <c r="T252" s="96">
        <v>1</v>
      </c>
      <c r="U252" s="96">
        <v>4</v>
      </c>
      <c r="V252" s="96">
        <v>8</v>
      </c>
      <c r="W252" s="5" t="s">
        <v>91</v>
      </c>
      <c r="X252" s="10" t="s">
        <v>321</v>
      </c>
      <c r="Y252" s="11">
        <v>19728.674435945301</v>
      </c>
      <c r="Z252" s="12">
        <v>22</v>
      </c>
      <c r="AA252" s="12">
        <v>0</v>
      </c>
      <c r="AB252" s="12">
        <v>1</v>
      </c>
      <c r="AC252" s="13">
        <v>4</v>
      </c>
      <c r="AD252" s="14">
        <f t="shared" si="8"/>
        <v>27</v>
      </c>
      <c r="AE252" s="15">
        <f t="shared" si="9"/>
        <v>0.14814814814814814</v>
      </c>
      <c r="AF252" s="16">
        <v>24110</v>
      </c>
      <c r="AG252" s="16" t="s">
        <v>3509</v>
      </c>
      <c r="AH252" s="17" t="s">
        <v>679</v>
      </c>
      <c r="AI252" s="18" t="s">
        <v>680</v>
      </c>
      <c r="AJ252" s="19" t="s">
        <v>681</v>
      </c>
      <c r="AK252" s="20">
        <v>0.95</v>
      </c>
      <c r="AL252" s="17" t="s">
        <v>261</v>
      </c>
      <c r="AM252" s="5" t="s">
        <v>682</v>
      </c>
      <c r="AN252" s="5" t="s">
        <v>683</v>
      </c>
      <c r="AO252" s="5" t="s">
        <v>66</v>
      </c>
      <c r="AP252" s="5" t="s">
        <v>66</v>
      </c>
      <c r="AQ252" s="5" t="s">
        <v>678</v>
      </c>
      <c r="AR252" s="5" t="s">
        <v>684</v>
      </c>
      <c r="AS252" s="5" t="s">
        <v>685</v>
      </c>
      <c r="AT252" s="5" t="s">
        <v>66</v>
      </c>
      <c r="AU252" s="5" t="s">
        <v>66</v>
      </c>
      <c r="AV252" s="5" t="s">
        <v>66</v>
      </c>
      <c r="AW252" s="5" t="s">
        <v>686</v>
      </c>
      <c r="AX252" s="5" t="s">
        <v>672</v>
      </c>
      <c r="AY252" s="5" t="s">
        <v>69</v>
      </c>
      <c r="AZ252" s="5" t="s">
        <v>80</v>
      </c>
      <c r="BA252" s="19" t="s">
        <v>687</v>
      </c>
      <c r="BB252" s="17" t="s">
        <v>69</v>
      </c>
      <c r="BC252" s="5" t="s">
        <v>674</v>
      </c>
      <c r="BD252" s="5" t="s">
        <v>688</v>
      </c>
    </row>
    <row r="253" spans="1:56" ht="60" hidden="1" x14ac:dyDescent="0.25">
      <c r="A253" s="78" t="s">
        <v>661</v>
      </c>
      <c r="B253" s="5" t="s">
        <v>662</v>
      </c>
      <c r="C253" s="5" t="s">
        <v>290</v>
      </c>
      <c r="D253" s="5" t="s">
        <v>56</v>
      </c>
      <c r="E253" s="99" t="str">
        <f>VLOOKUP(D253,'Dropdown List'!$F$26:$G$40,2,0)</f>
        <v>India</v>
      </c>
      <c r="F253" s="8" t="s">
        <v>663</v>
      </c>
      <c r="G253" s="96">
        <v>12</v>
      </c>
      <c r="H253" s="5" t="s">
        <v>57</v>
      </c>
      <c r="I253" s="8" t="s">
        <v>480</v>
      </c>
      <c r="J253" s="8" t="s">
        <v>481</v>
      </c>
      <c r="K253" s="8" t="s">
        <v>485</v>
      </c>
      <c r="L253" s="8" t="s">
        <v>689</v>
      </c>
      <c r="M253" s="8" t="s">
        <v>690</v>
      </c>
      <c r="N253" s="5" t="s">
        <v>319</v>
      </c>
      <c r="O253" s="5" t="s">
        <v>61</v>
      </c>
      <c r="P253" s="5" t="s">
        <v>691</v>
      </c>
      <c r="Q253" s="9" t="s">
        <v>62</v>
      </c>
      <c r="R253" s="5" t="s">
        <v>63</v>
      </c>
      <c r="S253" s="5" t="s">
        <v>64</v>
      </c>
      <c r="T253" s="96">
        <v>1</v>
      </c>
      <c r="U253" s="96">
        <v>5</v>
      </c>
      <c r="V253" s="96">
        <v>8</v>
      </c>
      <c r="W253" s="5" t="s">
        <v>91</v>
      </c>
      <c r="X253" s="10" t="s">
        <v>321</v>
      </c>
      <c r="Y253" s="11">
        <v>26331.005396191202</v>
      </c>
      <c r="Z253" s="12">
        <v>9</v>
      </c>
      <c r="AA253" s="12">
        <v>0</v>
      </c>
      <c r="AB253" s="12">
        <v>1</v>
      </c>
      <c r="AC253" s="13">
        <v>3</v>
      </c>
      <c r="AD253" s="14">
        <f t="shared" si="8"/>
        <v>13</v>
      </c>
      <c r="AE253" s="15">
        <f t="shared" si="9"/>
        <v>0.23076923076923078</v>
      </c>
      <c r="AF253" s="16">
        <v>6000</v>
      </c>
      <c r="AG253" s="16" t="s">
        <v>281</v>
      </c>
      <c r="AH253" s="17" t="s">
        <v>66</v>
      </c>
      <c r="AI253" s="18" t="s">
        <v>692</v>
      </c>
      <c r="AJ253" s="19" t="s">
        <v>693</v>
      </c>
      <c r="AK253" s="20">
        <v>0.95</v>
      </c>
      <c r="AL253" s="17" t="s">
        <v>65</v>
      </c>
      <c r="AM253" s="5" t="s">
        <v>694</v>
      </c>
      <c r="AN253" s="5" t="s">
        <v>682</v>
      </c>
      <c r="AO253" s="5" t="s">
        <v>66</v>
      </c>
      <c r="AP253" s="5" t="s">
        <v>66</v>
      </c>
      <c r="AQ253" s="5" t="s">
        <v>66</v>
      </c>
      <c r="AR253" s="5" t="s">
        <v>281</v>
      </c>
      <c r="AS253" s="5" t="s">
        <v>281</v>
      </c>
      <c r="AT253" s="5" t="s">
        <v>66</v>
      </c>
      <c r="AU253" s="5" t="s">
        <v>66</v>
      </c>
      <c r="AV253" s="5" t="s">
        <v>66</v>
      </c>
      <c r="AW253" s="5" t="s">
        <v>3510</v>
      </c>
      <c r="AX253" s="5" t="s">
        <v>672</v>
      </c>
      <c r="AY253" s="5" t="s">
        <v>69</v>
      </c>
      <c r="AZ253" s="5" t="s">
        <v>80</v>
      </c>
      <c r="BA253" s="19" t="s">
        <v>3511</v>
      </c>
      <c r="BB253" s="17" t="s">
        <v>69</v>
      </c>
      <c r="BC253" s="5" t="s">
        <v>695</v>
      </c>
      <c r="BD253" s="5" t="s">
        <v>696</v>
      </c>
    </row>
    <row r="254" spans="1:56" ht="384" hidden="1" x14ac:dyDescent="0.25">
      <c r="A254" s="78" t="s">
        <v>661</v>
      </c>
      <c r="B254" s="5" t="s">
        <v>662</v>
      </c>
      <c r="C254" s="5" t="s">
        <v>290</v>
      </c>
      <c r="D254" s="5" t="s">
        <v>252</v>
      </c>
      <c r="E254" s="99" t="str">
        <f>VLOOKUP(D254,'Dropdown List'!$F$26:$G$40,2,0)</f>
        <v>India</v>
      </c>
      <c r="F254" s="8" t="s">
        <v>3512</v>
      </c>
      <c r="G254" s="96">
        <v>8</v>
      </c>
      <c r="H254" s="5" t="s">
        <v>57</v>
      </c>
      <c r="I254" s="8" t="s">
        <v>58</v>
      </c>
      <c r="J254" s="8" t="s">
        <v>396</v>
      </c>
      <c r="K254" s="8" t="s">
        <v>397</v>
      </c>
      <c r="L254" s="8" t="s">
        <v>697</v>
      </c>
      <c r="M254" s="8" t="s">
        <v>698</v>
      </c>
      <c r="N254" s="5" t="s">
        <v>1034</v>
      </c>
      <c r="O254" s="5" t="s">
        <v>699</v>
      </c>
      <c r="P254" s="5" t="s">
        <v>699</v>
      </c>
      <c r="Q254" s="9" t="s">
        <v>62</v>
      </c>
      <c r="R254" s="5" t="s">
        <v>63</v>
      </c>
      <c r="S254" s="5" t="s">
        <v>700</v>
      </c>
      <c r="T254" s="96">
        <v>3</v>
      </c>
      <c r="U254" s="96">
        <v>4</v>
      </c>
      <c r="V254" s="96">
        <v>12</v>
      </c>
      <c r="W254" s="5" t="s">
        <v>91</v>
      </c>
      <c r="X254" s="10" t="s">
        <v>321</v>
      </c>
      <c r="Y254" s="11" t="s">
        <v>3513</v>
      </c>
      <c r="Z254" s="12">
        <v>24</v>
      </c>
      <c r="AA254" s="12">
        <v>5</v>
      </c>
      <c r="AB254" s="12">
        <v>2</v>
      </c>
      <c r="AC254" s="13">
        <v>1</v>
      </c>
      <c r="AD254" s="14">
        <f t="shared" si="8"/>
        <v>32</v>
      </c>
      <c r="AE254" s="15">
        <f t="shared" si="9"/>
        <v>3.125E-2</v>
      </c>
      <c r="AF254" s="16">
        <v>27581</v>
      </c>
      <c r="AG254" s="16" t="s">
        <v>701</v>
      </c>
      <c r="AH254" s="17" t="s">
        <v>702</v>
      </c>
      <c r="AI254" s="18">
        <v>10</v>
      </c>
      <c r="AJ254" s="19" t="s">
        <v>703</v>
      </c>
      <c r="AK254" s="20">
        <v>0.95</v>
      </c>
      <c r="AL254" s="17" t="s">
        <v>261</v>
      </c>
      <c r="AM254" s="5" t="s">
        <v>66</v>
      </c>
      <c r="AN254" s="5" t="s">
        <v>66</v>
      </c>
      <c r="AO254" s="5" t="s">
        <v>66</v>
      </c>
      <c r="AP254" s="5" t="s">
        <v>66</v>
      </c>
      <c r="AQ254" s="5" t="s">
        <v>704</v>
      </c>
      <c r="AR254" s="5" t="s">
        <v>705</v>
      </c>
      <c r="AS254" s="5" t="s">
        <v>706</v>
      </c>
      <c r="AT254" s="5" t="s">
        <v>66</v>
      </c>
      <c r="AU254" s="5" t="s">
        <v>66</v>
      </c>
      <c r="AV254" s="5" t="s">
        <v>66</v>
      </c>
      <c r="AW254" s="5" t="s">
        <v>66</v>
      </c>
      <c r="AX254" s="5" t="s">
        <v>707</v>
      </c>
      <c r="AY254" s="5" t="s">
        <v>69</v>
      </c>
      <c r="AZ254" s="5" t="s">
        <v>80</v>
      </c>
      <c r="BA254" s="19" t="s">
        <v>708</v>
      </c>
      <c r="BB254" s="17" t="s">
        <v>69</v>
      </c>
      <c r="BC254" s="5" t="s">
        <v>707</v>
      </c>
      <c r="BD254" s="5" t="s">
        <v>709</v>
      </c>
    </row>
    <row r="255" spans="1:56" ht="276" hidden="1" x14ac:dyDescent="0.25">
      <c r="A255" s="78" t="s">
        <v>661</v>
      </c>
      <c r="B255" s="5" t="s">
        <v>662</v>
      </c>
      <c r="C255" s="5" t="s">
        <v>290</v>
      </c>
      <c r="D255" s="5" t="s">
        <v>56</v>
      </c>
      <c r="E255" s="99" t="str">
        <f>VLOOKUP(D255,'Dropdown List'!$F$26:$G$40,2,0)</f>
        <v>India</v>
      </c>
      <c r="F255" s="8" t="s">
        <v>3512</v>
      </c>
      <c r="G255" s="96">
        <v>14</v>
      </c>
      <c r="H255" s="5" t="s">
        <v>57</v>
      </c>
      <c r="I255" s="8" t="s">
        <v>58</v>
      </c>
      <c r="J255" s="8" t="s">
        <v>146</v>
      </c>
      <c r="K255" s="8" t="s">
        <v>211</v>
      </c>
      <c r="L255" s="8" t="s">
        <v>710</v>
      </c>
      <c r="M255" s="8" t="s">
        <v>711</v>
      </c>
      <c r="N255" s="5" t="s">
        <v>319</v>
      </c>
      <c r="O255" s="5" t="s">
        <v>89</v>
      </c>
      <c r="P255" s="5" t="s">
        <v>666</v>
      </c>
      <c r="Q255" s="9" t="s">
        <v>62</v>
      </c>
      <c r="R255" s="5" t="s">
        <v>63</v>
      </c>
      <c r="S255" s="5" t="s">
        <v>90</v>
      </c>
      <c r="T255" s="96">
        <v>1</v>
      </c>
      <c r="U255" s="96">
        <v>4</v>
      </c>
      <c r="V255" s="96">
        <v>8</v>
      </c>
      <c r="W255" s="5" t="s">
        <v>91</v>
      </c>
      <c r="X255" s="10" t="s">
        <v>321</v>
      </c>
      <c r="Y255" s="11">
        <v>20190</v>
      </c>
      <c r="Z255" s="12">
        <v>45</v>
      </c>
      <c r="AA255" s="12">
        <v>8</v>
      </c>
      <c r="AB255" s="12">
        <v>5</v>
      </c>
      <c r="AC255" s="13">
        <v>8</v>
      </c>
      <c r="AD255" s="14">
        <f t="shared" si="8"/>
        <v>66</v>
      </c>
      <c r="AE255" s="15">
        <f t="shared" si="9"/>
        <v>0.12121212121212122</v>
      </c>
      <c r="AF255" s="16">
        <v>63618</v>
      </c>
      <c r="AG255" s="16" t="s">
        <v>66</v>
      </c>
      <c r="AH255" s="17" t="s">
        <v>712</v>
      </c>
      <c r="AI255" s="18">
        <v>9.06</v>
      </c>
      <c r="AJ255" s="19" t="s">
        <v>703</v>
      </c>
      <c r="AK255" s="20">
        <v>0.99</v>
      </c>
      <c r="AL255" s="17" t="s">
        <v>261</v>
      </c>
      <c r="AM255" s="5" t="s">
        <v>682</v>
      </c>
      <c r="AN255" s="5" t="s">
        <v>66</v>
      </c>
      <c r="AO255" s="5" t="s">
        <v>66</v>
      </c>
      <c r="AP255" s="5" t="s">
        <v>66</v>
      </c>
      <c r="AQ255" s="5" t="s">
        <v>66</v>
      </c>
      <c r="AR255" s="5" t="s">
        <v>281</v>
      </c>
      <c r="AS255" s="5" t="s">
        <v>281</v>
      </c>
      <c r="AT255" s="5" t="s">
        <v>66</v>
      </c>
      <c r="AU255" s="5" t="s">
        <v>66</v>
      </c>
      <c r="AV255" s="5" t="s">
        <v>66</v>
      </c>
      <c r="AW255" s="5" t="s">
        <v>713</v>
      </c>
      <c r="AX255" s="5" t="s">
        <v>672</v>
      </c>
      <c r="AY255" s="5" t="s">
        <v>69</v>
      </c>
      <c r="AZ255" s="5" t="s">
        <v>80</v>
      </c>
      <c r="BA255" s="19" t="s">
        <v>708</v>
      </c>
      <c r="BB255" s="17" t="s">
        <v>69</v>
      </c>
      <c r="BC255" s="5" t="s">
        <v>672</v>
      </c>
      <c r="BD255" s="5" t="s">
        <v>3514</v>
      </c>
    </row>
    <row r="256" spans="1:56" ht="276" hidden="1" x14ac:dyDescent="0.25">
      <c r="A256" s="78" t="s">
        <v>661</v>
      </c>
      <c r="B256" s="5" t="s">
        <v>662</v>
      </c>
      <c r="C256" s="5" t="s">
        <v>290</v>
      </c>
      <c r="D256" s="5" t="s">
        <v>252</v>
      </c>
      <c r="E256" s="99" t="str">
        <f>VLOOKUP(D256,'Dropdown List'!$F$26:$G$40,2,0)</f>
        <v>India</v>
      </c>
      <c r="F256" s="8" t="s">
        <v>3512</v>
      </c>
      <c r="G256" s="96">
        <v>14</v>
      </c>
      <c r="H256" s="5" t="s">
        <v>57</v>
      </c>
      <c r="I256" s="8" t="s">
        <v>58</v>
      </c>
      <c r="J256" s="8" t="s">
        <v>146</v>
      </c>
      <c r="K256" s="8" t="s">
        <v>211</v>
      </c>
      <c r="L256" s="8" t="s">
        <v>710</v>
      </c>
      <c r="M256" s="8" t="s">
        <v>711</v>
      </c>
      <c r="N256" s="5" t="s">
        <v>319</v>
      </c>
      <c r="O256" s="5" t="s">
        <v>89</v>
      </c>
      <c r="P256" s="5" t="s">
        <v>666</v>
      </c>
      <c r="Q256" s="9" t="s">
        <v>62</v>
      </c>
      <c r="R256" s="5" t="s">
        <v>63</v>
      </c>
      <c r="S256" s="5" t="s">
        <v>90</v>
      </c>
      <c r="T256" s="96">
        <v>1</v>
      </c>
      <c r="U256" s="96">
        <v>4</v>
      </c>
      <c r="V256" s="96">
        <v>8</v>
      </c>
      <c r="W256" s="5" t="s">
        <v>91</v>
      </c>
      <c r="X256" s="10" t="s">
        <v>321</v>
      </c>
      <c r="Y256" s="11">
        <v>20190</v>
      </c>
      <c r="Z256" s="12">
        <v>35</v>
      </c>
      <c r="AA256" s="12">
        <v>8</v>
      </c>
      <c r="AB256" s="12">
        <v>5</v>
      </c>
      <c r="AC256" s="13">
        <v>8</v>
      </c>
      <c r="AD256" s="14">
        <f t="shared" si="8"/>
        <v>56</v>
      </c>
      <c r="AE256" s="15">
        <f t="shared" si="9"/>
        <v>0.14285714285714285</v>
      </c>
      <c r="AF256" s="16">
        <v>63618</v>
      </c>
      <c r="AG256" s="16" t="s">
        <v>66</v>
      </c>
      <c r="AH256" s="17" t="s">
        <v>712</v>
      </c>
      <c r="AI256" s="18">
        <v>9.06</v>
      </c>
      <c r="AJ256" s="19" t="s">
        <v>703</v>
      </c>
      <c r="AK256" s="20">
        <v>0.99</v>
      </c>
      <c r="AL256" s="17" t="s">
        <v>261</v>
      </c>
      <c r="AM256" s="5" t="s">
        <v>682</v>
      </c>
      <c r="AN256" s="5" t="s">
        <v>66</v>
      </c>
      <c r="AO256" s="5" t="s">
        <v>66</v>
      </c>
      <c r="AP256" s="5" t="s">
        <v>66</v>
      </c>
      <c r="AQ256" s="5" t="s">
        <v>66</v>
      </c>
      <c r="AR256" s="5" t="s">
        <v>281</v>
      </c>
      <c r="AS256" s="5" t="s">
        <v>281</v>
      </c>
      <c r="AT256" s="5" t="s">
        <v>66</v>
      </c>
      <c r="AU256" s="5" t="s">
        <v>66</v>
      </c>
      <c r="AV256" s="5" t="s">
        <v>66</v>
      </c>
      <c r="AW256" s="5" t="s">
        <v>713</v>
      </c>
      <c r="AX256" s="5" t="s">
        <v>672</v>
      </c>
      <c r="AY256" s="5" t="s">
        <v>69</v>
      </c>
      <c r="AZ256" s="5" t="s">
        <v>80</v>
      </c>
      <c r="BA256" s="19" t="s">
        <v>708</v>
      </c>
      <c r="BB256" s="17" t="s">
        <v>69</v>
      </c>
      <c r="BC256" s="5" t="s">
        <v>672</v>
      </c>
      <c r="BD256" s="5" t="s">
        <v>3514</v>
      </c>
    </row>
    <row r="257" spans="1:56" ht="84" hidden="1" x14ac:dyDescent="0.25">
      <c r="A257" s="78" t="s">
        <v>661</v>
      </c>
      <c r="B257" s="5" t="s">
        <v>662</v>
      </c>
      <c r="C257" s="5" t="s">
        <v>290</v>
      </c>
      <c r="D257" s="5" t="s">
        <v>56</v>
      </c>
      <c r="E257" s="99" t="str">
        <f>VLOOKUP(D257,'Dropdown List'!$F$26:$G$40,2,0)</f>
        <v>India</v>
      </c>
      <c r="F257" s="8" t="s">
        <v>3512</v>
      </c>
      <c r="G257" s="96">
        <v>9.5</v>
      </c>
      <c r="H257" s="5" t="s">
        <v>57</v>
      </c>
      <c r="I257" s="8" t="s">
        <v>58</v>
      </c>
      <c r="J257" s="8" t="s">
        <v>146</v>
      </c>
      <c r="K257" s="8" t="s">
        <v>211</v>
      </c>
      <c r="L257" s="8" t="s">
        <v>714</v>
      </c>
      <c r="M257" s="8" t="s">
        <v>715</v>
      </c>
      <c r="N257" s="5" t="s">
        <v>319</v>
      </c>
      <c r="O257" s="5" t="s">
        <v>89</v>
      </c>
      <c r="P257" s="5" t="s">
        <v>89</v>
      </c>
      <c r="Q257" s="9" t="s">
        <v>62</v>
      </c>
      <c r="R257" s="5" t="s">
        <v>132</v>
      </c>
      <c r="S257" s="5" t="s">
        <v>64</v>
      </c>
      <c r="T257" s="96">
        <v>2</v>
      </c>
      <c r="U257" s="96">
        <v>4</v>
      </c>
      <c r="V257" s="96">
        <v>8</v>
      </c>
      <c r="W257" s="5" t="s">
        <v>91</v>
      </c>
      <c r="X257" s="10" t="s">
        <v>321</v>
      </c>
      <c r="Y257" s="11">
        <v>26300</v>
      </c>
      <c r="Z257" s="12">
        <v>89</v>
      </c>
      <c r="AA257" s="12">
        <v>30</v>
      </c>
      <c r="AB257" s="12">
        <v>23</v>
      </c>
      <c r="AC257" s="13">
        <v>20</v>
      </c>
      <c r="AD257" s="14">
        <f t="shared" si="8"/>
        <v>162</v>
      </c>
      <c r="AE257" s="15">
        <f t="shared" si="9"/>
        <v>0.12345679012345678</v>
      </c>
      <c r="AF257" s="16">
        <v>28000</v>
      </c>
      <c r="AG257" s="16" t="s">
        <v>66</v>
      </c>
      <c r="AH257" s="17" t="s">
        <v>66</v>
      </c>
      <c r="AI257" s="18">
        <v>14</v>
      </c>
      <c r="AJ257" s="19" t="s">
        <v>716</v>
      </c>
      <c r="AK257" s="20">
        <v>0.95</v>
      </c>
      <c r="AL257" s="17" t="s">
        <v>261</v>
      </c>
      <c r="AM257" s="5" t="s">
        <v>717</v>
      </c>
      <c r="AN257" s="5" t="s">
        <v>718</v>
      </c>
      <c r="AO257" s="5" t="s">
        <v>719</v>
      </c>
      <c r="AP257" s="5" t="s">
        <v>720</v>
      </c>
      <c r="AQ257" s="5" t="s">
        <v>66</v>
      </c>
      <c r="AR257" s="5" t="s">
        <v>66</v>
      </c>
      <c r="AS257" s="5" t="s">
        <v>281</v>
      </c>
      <c r="AT257" s="5" t="s">
        <v>61</v>
      </c>
      <c r="AU257" s="5" t="s">
        <v>721</v>
      </c>
      <c r="AV257" s="5" t="s">
        <v>722</v>
      </c>
      <c r="AW257" s="5" t="s">
        <v>723</v>
      </c>
      <c r="AX257" s="5" t="s">
        <v>672</v>
      </c>
      <c r="AY257" s="5" t="s">
        <v>69</v>
      </c>
      <c r="AZ257" s="5" t="s">
        <v>145</v>
      </c>
      <c r="BA257" s="19">
        <v>1</v>
      </c>
      <c r="BB257" s="17" t="s">
        <v>69</v>
      </c>
      <c r="BC257" s="5" t="s">
        <v>724</v>
      </c>
      <c r="BD257" s="5" t="s">
        <v>725</v>
      </c>
    </row>
    <row r="258" spans="1:56" ht="84" hidden="1" x14ac:dyDescent="0.25">
      <c r="A258" s="78" t="s">
        <v>661</v>
      </c>
      <c r="B258" s="5" t="s">
        <v>662</v>
      </c>
      <c r="C258" s="5" t="s">
        <v>290</v>
      </c>
      <c r="D258" s="5" t="s">
        <v>252</v>
      </c>
      <c r="E258" s="99" t="str">
        <f>VLOOKUP(D258,'Dropdown List'!$F$26:$G$40,2,0)</f>
        <v>India</v>
      </c>
      <c r="F258" s="8" t="s">
        <v>3512</v>
      </c>
      <c r="G258" s="96">
        <v>9.5</v>
      </c>
      <c r="H258" s="5" t="s">
        <v>57</v>
      </c>
      <c r="I258" s="8" t="s">
        <v>58</v>
      </c>
      <c r="J258" s="8" t="s">
        <v>146</v>
      </c>
      <c r="K258" s="8" t="s">
        <v>211</v>
      </c>
      <c r="L258" s="8" t="s">
        <v>714</v>
      </c>
      <c r="M258" s="8" t="s">
        <v>715</v>
      </c>
      <c r="N258" s="5" t="s">
        <v>319</v>
      </c>
      <c r="O258" s="5" t="s">
        <v>89</v>
      </c>
      <c r="P258" s="5" t="s">
        <v>89</v>
      </c>
      <c r="Q258" s="9" t="s">
        <v>62</v>
      </c>
      <c r="R258" s="5" t="s">
        <v>132</v>
      </c>
      <c r="S258" s="5" t="s">
        <v>64</v>
      </c>
      <c r="T258" s="96">
        <v>2</v>
      </c>
      <c r="U258" s="96">
        <v>4</v>
      </c>
      <c r="V258" s="96">
        <v>8</v>
      </c>
      <c r="W258" s="5" t="s">
        <v>91</v>
      </c>
      <c r="X258" s="10" t="s">
        <v>321</v>
      </c>
      <c r="Y258" s="11">
        <v>26300</v>
      </c>
      <c r="Z258" s="12">
        <v>88</v>
      </c>
      <c r="AA258" s="12">
        <v>30</v>
      </c>
      <c r="AB258" s="12">
        <v>23</v>
      </c>
      <c r="AC258" s="13">
        <v>20</v>
      </c>
      <c r="AD258" s="14">
        <f t="shared" si="8"/>
        <v>161</v>
      </c>
      <c r="AE258" s="15">
        <f t="shared" si="9"/>
        <v>0.12422360248447205</v>
      </c>
      <c r="AF258" s="16">
        <v>28000</v>
      </c>
      <c r="AG258" s="16" t="s">
        <v>66</v>
      </c>
      <c r="AH258" s="17" t="s">
        <v>66</v>
      </c>
      <c r="AI258" s="18">
        <v>14</v>
      </c>
      <c r="AJ258" s="19" t="s">
        <v>716</v>
      </c>
      <c r="AK258" s="20">
        <v>0.95</v>
      </c>
      <c r="AL258" s="17" t="s">
        <v>261</v>
      </c>
      <c r="AM258" s="5" t="s">
        <v>717</v>
      </c>
      <c r="AN258" s="5" t="s">
        <v>718</v>
      </c>
      <c r="AO258" s="5" t="s">
        <v>719</v>
      </c>
      <c r="AP258" s="5" t="s">
        <v>720</v>
      </c>
      <c r="AQ258" s="5" t="s">
        <v>66</v>
      </c>
      <c r="AR258" s="5" t="s">
        <v>66</v>
      </c>
      <c r="AS258" s="5" t="s">
        <v>281</v>
      </c>
      <c r="AT258" s="5" t="s">
        <v>61</v>
      </c>
      <c r="AU258" s="5" t="s">
        <v>721</v>
      </c>
      <c r="AV258" s="5" t="s">
        <v>722</v>
      </c>
      <c r="AW258" s="5" t="s">
        <v>723</v>
      </c>
      <c r="AX258" s="5" t="s">
        <v>672</v>
      </c>
      <c r="AY258" s="5" t="s">
        <v>69</v>
      </c>
      <c r="AZ258" s="5" t="s">
        <v>145</v>
      </c>
      <c r="BA258" s="19">
        <v>1</v>
      </c>
      <c r="BB258" s="17" t="s">
        <v>69</v>
      </c>
      <c r="BC258" s="5" t="s">
        <v>724</v>
      </c>
      <c r="BD258" s="5" t="s">
        <v>725</v>
      </c>
    </row>
    <row r="259" spans="1:56" ht="96" hidden="1" x14ac:dyDescent="0.25">
      <c r="A259" s="78" t="s">
        <v>661</v>
      </c>
      <c r="B259" s="5" t="s">
        <v>662</v>
      </c>
      <c r="C259" s="5" t="s">
        <v>290</v>
      </c>
      <c r="D259" s="5" t="s">
        <v>56</v>
      </c>
      <c r="E259" s="99" t="str">
        <f>VLOOKUP(D259,'Dropdown List'!$F$26:$G$40,2,0)</f>
        <v>India</v>
      </c>
      <c r="F259" s="8" t="s">
        <v>3512</v>
      </c>
      <c r="G259" s="96">
        <v>12.1</v>
      </c>
      <c r="H259" s="5" t="s">
        <v>57</v>
      </c>
      <c r="I259" s="8" t="s">
        <v>58</v>
      </c>
      <c r="J259" s="8" t="s">
        <v>146</v>
      </c>
      <c r="K259" s="8" t="s">
        <v>190</v>
      </c>
      <c r="L259" s="8" t="s">
        <v>190</v>
      </c>
      <c r="M259" s="8" t="s">
        <v>726</v>
      </c>
      <c r="N259" s="5" t="s">
        <v>319</v>
      </c>
      <c r="O259" s="5" t="s">
        <v>89</v>
      </c>
      <c r="P259" s="5" t="s">
        <v>89</v>
      </c>
      <c r="Q259" s="9" t="s">
        <v>62</v>
      </c>
      <c r="R259" s="5" t="s">
        <v>76</v>
      </c>
      <c r="S259" s="5" t="s">
        <v>727</v>
      </c>
      <c r="T259" s="96">
        <v>2</v>
      </c>
      <c r="U259" s="96">
        <v>1</v>
      </c>
      <c r="V259" s="96">
        <v>4</v>
      </c>
      <c r="W259" s="5" t="s">
        <v>91</v>
      </c>
      <c r="X259" s="10" t="s">
        <v>321</v>
      </c>
      <c r="Y259" s="11" t="s">
        <v>3515</v>
      </c>
      <c r="Z259" s="12">
        <v>13</v>
      </c>
      <c r="AA259" s="12">
        <v>3</v>
      </c>
      <c r="AB259" s="12">
        <v>2</v>
      </c>
      <c r="AC259" s="13">
        <v>2</v>
      </c>
      <c r="AD259" s="14">
        <f t="shared" si="8"/>
        <v>20</v>
      </c>
      <c r="AE259" s="15">
        <f t="shared" si="9"/>
        <v>0.1</v>
      </c>
      <c r="AF259" s="16">
        <v>183000</v>
      </c>
      <c r="AG259" s="16" t="s">
        <v>66</v>
      </c>
      <c r="AH259" s="17" t="s">
        <v>728</v>
      </c>
      <c r="AI259" s="18">
        <v>1.5</v>
      </c>
      <c r="AJ259" s="19" t="s">
        <v>66</v>
      </c>
      <c r="AK259" s="20">
        <v>0.99</v>
      </c>
      <c r="AL259" s="17" t="s">
        <v>261</v>
      </c>
      <c r="AM259" s="5" t="s">
        <v>66</v>
      </c>
      <c r="AN259" s="5" t="s">
        <v>66</v>
      </c>
      <c r="AO259" s="5" t="s">
        <v>729</v>
      </c>
      <c r="AP259" s="5" t="s">
        <v>730</v>
      </c>
      <c r="AQ259" s="5" t="s">
        <v>731</v>
      </c>
      <c r="AR259" s="5" t="s">
        <v>66</v>
      </c>
      <c r="AS259" s="5" t="s">
        <v>66</v>
      </c>
      <c r="AT259" s="5" t="s">
        <v>66</v>
      </c>
      <c r="AU259" s="5" t="s">
        <v>66</v>
      </c>
      <c r="AV259" s="5" t="s">
        <v>66</v>
      </c>
      <c r="AW259" s="5" t="s">
        <v>66</v>
      </c>
      <c r="AX259" s="5" t="s">
        <v>672</v>
      </c>
      <c r="AY259" s="5" t="s">
        <v>69</v>
      </c>
      <c r="AZ259" s="5" t="s">
        <v>145</v>
      </c>
      <c r="BA259" s="19">
        <v>0.5</v>
      </c>
      <c r="BB259" s="17" t="s">
        <v>94</v>
      </c>
      <c r="BC259" s="5" t="s">
        <v>732</v>
      </c>
      <c r="BD259" s="5" t="s">
        <v>733</v>
      </c>
    </row>
    <row r="260" spans="1:56" ht="108" hidden="1" x14ac:dyDescent="0.25">
      <c r="A260" s="78" t="s">
        <v>661</v>
      </c>
      <c r="B260" s="5" t="s">
        <v>662</v>
      </c>
      <c r="C260" s="5" t="s">
        <v>290</v>
      </c>
      <c r="D260" s="5" t="s">
        <v>56</v>
      </c>
      <c r="E260" s="99" t="str">
        <f>VLOOKUP(D260,'Dropdown List'!$F$26:$G$40,2,0)</f>
        <v>India</v>
      </c>
      <c r="F260" s="8" t="s">
        <v>3512</v>
      </c>
      <c r="G260" s="96">
        <v>12.2</v>
      </c>
      <c r="H260" s="5" t="s">
        <v>57</v>
      </c>
      <c r="I260" s="8" t="s">
        <v>58</v>
      </c>
      <c r="J260" s="8" t="s">
        <v>396</v>
      </c>
      <c r="K260" s="8" t="s">
        <v>397</v>
      </c>
      <c r="L260" s="8" t="s">
        <v>735</v>
      </c>
      <c r="M260" s="8" t="s">
        <v>736</v>
      </c>
      <c r="N260" s="5" t="s">
        <v>319</v>
      </c>
      <c r="O260" s="5" t="s">
        <v>74</v>
      </c>
      <c r="P260" s="5" t="s">
        <v>74</v>
      </c>
      <c r="Q260" s="9" t="s">
        <v>418</v>
      </c>
      <c r="R260" s="5" t="s">
        <v>63</v>
      </c>
      <c r="S260" s="5" t="s">
        <v>90</v>
      </c>
      <c r="T260" s="96">
        <v>1</v>
      </c>
      <c r="U260" s="96">
        <v>3</v>
      </c>
      <c r="V260" s="96">
        <v>8</v>
      </c>
      <c r="W260" s="5" t="s">
        <v>91</v>
      </c>
      <c r="X260" s="10" t="s">
        <v>737</v>
      </c>
      <c r="Y260" s="11" t="s">
        <v>3516</v>
      </c>
      <c r="Z260" s="12">
        <v>5</v>
      </c>
      <c r="AA260" s="12">
        <v>0.5</v>
      </c>
      <c r="AB260" s="12">
        <v>0.5</v>
      </c>
      <c r="AC260" s="13">
        <v>2</v>
      </c>
      <c r="AD260" s="14">
        <f t="shared" si="8"/>
        <v>8</v>
      </c>
      <c r="AE260" s="15">
        <f t="shared" si="9"/>
        <v>0.25</v>
      </c>
      <c r="AF260" s="16">
        <v>7958</v>
      </c>
      <c r="AG260" s="16" t="s">
        <v>66</v>
      </c>
      <c r="AH260" s="17" t="s">
        <v>738</v>
      </c>
      <c r="AI260" s="18">
        <v>5.95</v>
      </c>
      <c r="AJ260" s="19">
        <v>0.99</v>
      </c>
      <c r="AK260" s="20">
        <v>0.95</v>
      </c>
      <c r="AL260" s="17" t="s">
        <v>261</v>
      </c>
      <c r="AM260" s="5" t="s">
        <v>66</v>
      </c>
      <c r="AN260" s="5" t="s">
        <v>66</v>
      </c>
      <c r="AO260" s="5" t="s">
        <v>734</v>
      </c>
      <c r="AP260" s="5" t="s">
        <v>595</v>
      </c>
      <c r="AQ260" s="5" t="s">
        <v>595</v>
      </c>
      <c r="AR260" s="5" t="s">
        <v>66</v>
      </c>
      <c r="AS260" s="5" t="s">
        <v>66</v>
      </c>
      <c r="AT260" s="5" t="s">
        <v>595</v>
      </c>
      <c r="AU260" s="5" t="s">
        <v>66</v>
      </c>
      <c r="AV260" s="5" t="s">
        <v>66</v>
      </c>
      <c r="AW260" s="5" t="s">
        <v>66</v>
      </c>
      <c r="AX260" s="5" t="s">
        <v>672</v>
      </c>
      <c r="AY260" s="5" t="s">
        <v>739</v>
      </c>
      <c r="AZ260" s="5" t="s">
        <v>80</v>
      </c>
      <c r="BA260" s="19" t="s">
        <v>740</v>
      </c>
      <c r="BB260" s="17" t="s">
        <v>65</v>
      </c>
      <c r="BC260" s="5" t="s">
        <v>48</v>
      </c>
      <c r="BD260" s="5" t="s">
        <v>741</v>
      </c>
    </row>
    <row r="261" spans="1:56" ht="180" hidden="1" x14ac:dyDescent="0.25">
      <c r="A261" s="78" t="s">
        <v>661</v>
      </c>
      <c r="B261" s="5" t="s">
        <v>662</v>
      </c>
      <c r="C261" s="5" t="s">
        <v>290</v>
      </c>
      <c r="D261" s="5" t="s">
        <v>56</v>
      </c>
      <c r="E261" s="99" t="str">
        <f>VLOOKUP(D261,'Dropdown List'!$F$26:$G$40,2,0)</f>
        <v>India</v>
      </c>
      <c r="F261" s="8" t="s">
        <v>3512</v>
      </c>
      <c r="G261" s="96">
        <v>11</v>
      </c>
      <c r="H261" s="5" t="s">
        <v>57</v>
      </c>
      <c r="I261" s="8" t="s">
        <v>58</v>
      </c>
      <c r="J261" s="8" t="s">
        <v>59</v>
      </c>
      <c r="K261" s="8" t="s">
        <v>86</v>
      </c>
      <c r="L261" s="8" t="s">
        <v>742</v>
      </c>
      <c r="M261" s="8" t="s">
        <v>743</v>
      </c>
      <c r="N261" s="5" t="s">
        <v>319</v>
      </c>
      <c r="O261" s="5" t="s">
        <v>74</v>
      </c>
      <c r="P261" s="5" t="s">
        <v>74</v>
      </c>
      <c r="Q261" s="9" t="s">
        <v>418</v>
      </c>
      <c r="R261" s="5" t="s">
        <v>63</v>
      </c>
      <c r="S261" s="5" t="s">
        <v>90</v>
      </c>
      <c r="T261" s="96">
        <v>1</v>
      </c>
      <c r="U261" s="96">
        <v>2</v>
      </c>
      <c r="V261" s="96">
        <v>8</v>
      </c>
      <c r="W261" s="5" t="s">
        <v>91</v>
      </c>
      <c r="X261" s="10" t="s">
        <v>321</v>
      </c>
      <c r="Y261" s="11">
        <v>19700</v>
      </c>
      <c r="Z261" s="12">
        <v>5</v>
      </c>
      <c r="AA261" s="12">
        <v>0.5</v>
      </c>
      <c r="AB261" s="12">
        <v>0.5</v>
      </c>
      <c r="AC261" s="13">
        <v>2</v>
      </c>
      <c r="AD261" s="14">
        <f t="shared" ref="AD261:AD324" si="10">SUM(Z261:AC261)</f>
        <v>8</v>
      </c>
      <c r="AE261" s="15">
        <f t="shared" ref="AE261:AE324" si="11">AC261/AD261</f>
        <v>0.25</v>
      </c>
      <c r="AF261" s="16">
        <v>3915</v>
      </c>
      <c r="AG261" s="16" t="s">
        <v>66</v>
      </c>
      <c r="AH261" s="17" t="s">
        <v>738</v>
      </c>
      <c r="AI261" s="18">
        <v>13.53</v>
      </c>
      <c r="AJ261" s="19">
        <v>0.99</v>
      </c>
      <c r="AK261" s="20">
        <v>0.95</v>
      </c>
      <c r="AL261" s="17" t="s">
        <v>261</v>
      </c>
      <c r="AM261" s="5" t="s">
        <v>66</v>
      </c>
      <c r="AN261" s="5" t="s">
        <v>66</v>
      </c>
      <c r="AO261" s="5" t="s">
        <v>734</v>
      </c>
      <c r="AP261" s="5" t="s">
        <v>595</v>
      </c>
      <c r="AQ261" s="5" t="s">
        <v>595</v>
      </c>
      <c r="AR261" s="5" t="s">
        <v>66</v>
      </c>
      <c r="AS261" s="5" t="s">
        <v>66</v>
      </c>
      <c r="AT261" s="5" t="s">
        <v>595</v>
      </c>
      <c r="AU261" s="5" t="s">
        <v>66</v>
      </c>
      <c r="AV261" s="5" t="s">
        <v>66</v>
      </c>
      <c r="AW261" s="5" t="s">
        <v>595</v>
      </c>
      <c r="AX261" s="5" t="s">
        <v>672</v>
      </c>
      <c r="AY261" s="5" t="s">
        <v>110</v>
      </c>
      <c r="AZ261" s="5" t="s">
        <v>80</v>
      </c>
      <c r="BA261" s="19" t="s">
        <v>744</v>
      </c>
      <c r="BB261" s="17" t="s">
        <v>65</v>
      </c>
      <c r="BC261" s="5" t="s">
        <v>745</v>
      </c>
      <c r="BD261" s="5" t="s">
        <v>746</v>
      </c>
    </row>
    <row r="262" spans="1:56" ht="48" hidden="1" x14ac:dyDescent="0.25">
      <c r="A262" s="78" t="s">
        <v>661</v>
      </c>
      <c r="B262" s="5" t="s">
        <v>662</v>
      </c>
      <c r="C262" s="5" t="s">
        <v>290</v>
      </c>
      <c r="D262" s="5" t="s">
        <v>56</v>
      </c>
      <c r="E262" s="99" t="str">
        <f>VLOOKUP(D262,'Dropdown List'!$F$26:$G$40,2,0)</f>
        <v>India</v>
      </c>
      <c r="F262" s="8" t="s">
        <v>3512</v>
      </c>
      <c r="G262" s="96">
        <v>12.3</v>
      </c>
      <c r="H262" s="5" t="s">
        <v>57</v>
      </c>
      <c r="I262" s="8" t="s">
        <v>58</v>
      </c>
      <c r="J262" s="8" t="s">
        <v>396</v>
      </c>
      <c r="K262" s="8" t="s">
        <v>397</v>
      </c>
      <c r="L262" s="8" t="s">
        <v>747</v>
      </c>
      <c r="M262" s="8" t="s">
        <v>748</v>
      </c>
      <c r="N262" s="5" t="s">
        <v>319</v>
      </c>
      <c r="O262" s="5" t="s">
        <v>89</v>
      </c>
      <c r="P262" s="5" t="s">
        <v>89</v>
      </c>
      <c r="Q262" s="9" t="s">
        <v>62</v>
      </c>
      <c r="R262" s="5" t="s">
        <v>63</v>
      </c>
      <c r="S262" s="5" t="s">
        <v>90</v>
      </c>
      <c r="T262" s="96">
        <v>1</v>
      </c>
      <c r="U262" s="96">
        <v>1.6</v>
      </c>
      <c r="V262" s="96">
        <v>4</v>
      </c>
      <c r="W262" s="5" t="s">
        <v>91</v>
      </c>
      <c r="X262" s="10" t="s">
        <v>321</v>
      </c>
      <c r="Y262" s="11" t="s">
        <v>3517</v>
      </c>
      <c r="Z262" s="12">
        <v>42</v>
      </c>
      <c r="AA262" s="12">
        <v>2.5</v>
      </c>
      <c r="AB262" s="12">
        <v>2.5</v>
      </c>
      <c r="AC262" s="13">
        <v>4</v>
      </c>
      <c r="AD262" s="14">
        <f t="shared" si="10"/>
        <v>51</v>
      </c>
      <c r="AE262" s="15">
        <f t="shared" si="11"/>
        <v>7.8431372549019607E-2</v>
      </c>
      <c r="AF262" s="16">
        <v>71213</v>
      </c>
      <c r="AG262" s="16" t="s">
        <v>281</v>
      </c>
      <c r="AH262" s="17" t="s">
        <v>281</v>
      </c>
      <c r="AI262" s="18">
        <v>6.38</v>
      </c>
      <c r="AJ262" s="19">
        <v>0.99</v>
      </c>
      <c r="AK262" s="20" t="s">
        <v>749</v>
      </c>
      <c r="AL262" s="17" t="s">
        <v>261</v>
      </c>
      <c r="AM262" s="5" t="s">
        <v>66</v>
      </c>
      <c r="AN262" s="5" t="s">
        <v>66</v>
      </c>
      <c r="AO262" s="5" t="s">
        <v>281</v>
      </c>
      <c r="AP262" s="5" t="s">
        <v>750</v>
      </c>
      <c r="AQ262" s="5" t="s">
        <v>66</v>
      </c>
      <c r="AR262" s="5" t="s">
        <v>66</v>
      </c>
      <c r="AS262" s="5" t="s">
        <v>66</v>
      </c>
      <c r="AT262" s="5" t="s">
        <v>66</v>
      </c>
      <c r="AU262" s="5" t="s">
        <v>66</v>
      </c>
      <c r="AV262" s="5" t="s">
        <v>66</v>
      </c>
      <c r="AW262" s="5" t="s">
        <v>751</v>
      </c>
      <c r="AX262" s="5" t="s">
        <v>672</v>
      </c>
      <c r="AY262" s="5" t="s">
        <v>69</v>
      </c>
      <c r="AZ262" s="5" t="s">
        <v>145</v>
      </c>
      <c r="BA262" s="19" t="s">
        <v>752</v>
      </c>
      <c r="BB262" s="17" t="s">
        <v>94</v>
      </c>
      <c r="BC262" s="5" t="s">
        <v>753</v>
      </c>
      <c r="BD262" s="5" t="s">
        <v>725</v>
      </c>
    </row>
    <row r="263" spans="1:56" ht="48" hidden="1" x14ac:dyDescent="0.25">
      <c r="A263" s="78" t="s">
        <v>661</v>
      </c>
      <c r="B263" s="5" t="s">
        <v>662</v>
      </c>
      <c r="C263" s="5" t="s">
        <v>290</v>
      </c>
      <c r="D263" s="5" t="s">
        <v>56</v>
      </c>
      <c r="E263" s="99" t="str">
        <f>VLOOKUP(D263,'Dropdown List'!$F$26:$G$40,2,0)</f>
        <v>India</v>
      </c>
      <c r="F263" s="8" t="s">
        <v>3512</v>
      </c>
      <c r="G263" s="96">
        <v>14</v>
      </c>
      <c r="H263" s="5" t="s">
        <v>57</v>
      </c>
      <c r="I263" s="8" t="s">
        <v>58</v>
      </c>
      <c r="J263" s="8" t="s">
        <v>396</v>
      </c>
      <c r="K263" s="8" t="s">
        <v>397</v>
      </c>
      <c r="L263" s="8" t="s">
        <v>754</v>
      </c>
      <c r="M263" s="8" t="s">
        <v>755</v>
      </c>
      <c r="N263" s="5" t="s">
        <v>319</v>
      </c>
      <c r="O263" s="5" t="s">
        <v>89</v>
      </c>
      <c r="P263" s="5" t="s">
        <v>89</v>
      </c>
      <c r="Q263" s="9" t="s">
        <v>62</v>
      </c>
      <c r="R263" s="5" t="s">
        <v>76</v>
      </c>
      <c r="S263" s="5" t="s">
        <v>90</v>
      </c>
      <c r="T263" s="96">
        <v>1</v>
      </c>
      <c r="U263" s="96">
        <v>1</v>
      </c>
      <c r="V263" s="96">
        <v>4</v>
      </c>
      <c r="W263" s="5" t="s">
        <v>91</v>
      </c>
      <c r="X263" s="10" t="s">
        <v>321</v>
      </c>
      <c r="Y263" s="11" t="s">
        <v>3518</v>
      </c>
      <c r="Z263" s="12">
        <v>3</v>
      </c>
      <c r="AA263" s="12">
        <v>0.5</v>
      </c>
      <c r="AB263" s="12">
        <v>0.5</v>
      </c>
      <c r="AC263" s="13">
        <v>1</v>
      </c>
      <c r="AD263" s="14">
        <f t="shared" si="10"/>
        <v>5</v>
      </c>
      <c r="AE263" s="15">
        <f t="shared" si="11"/>
        <v>0.2</v>
      </c>
      <c r="AF263" s="16">
        <v>6613</v>
      </c>
      <c r="AG263" s="16" t="s">
        <v>281</v>
      </c>
      <c r="AH263" s="17" t="s">
        <v>281</v>
      </c>
      <c r="AI263" s="18">
        <v>3.18</v>
      </c>
      <c r="AJ263" s="19">
        <v>0.99</v>
      </c>
      <c r="AK263" s="20" t="s">
        <v>749</v>
      </c>
      <c r="AL263" s="17" t="s">
        <v>261</v>
      </c>
      <c r="AM263" s="5" t="s">
        <v>66</v>
      </c>
      <c r="AN263" s="5" t="s">
        <v>66</v>
      </c>
      <c r="AO263" s="5" t="s">
        <v>281</v>
      </c>
      <c r="AP263" s="5" t="s">
        <v>750</v>
      </c>
      <c r="AQ263" s="5" t="s">
        <v>66</v>
      </c>
      <c r="AR263" s="5" t="s">
        <v>66</v>
      </c>
      <c r="AS263" s="5" t="s">
        <v>66</v>
      </c>
      <c r="AT263" s="5" t="s">
        <v>66</v>
      </c>
      <c r="AU263" s="5" t="s">
        <v>66</v>
      </c>
      <c r="AV263" s="5" t="s">
        <v>66</v>
      </c>
      <c r="AW263" s="5" t="s">
        <v>751</v>
      </c>
      <c r="AX263" s="5" t="s">
        <v>672</v>
      </c>
      <c r="AY263" s="5" t="s">
        <v>69</v>
      </c>
      <c r="AZ263" s="5" t="s">
        <v>80</v>
      </c>
      <c r="BA263" s="19" t="s">
        <v>752</v>
      </c>
      <c r="BB263" s="17" t="s">
        <v>94</v>
      </c>
      <c r="BC263" s="5" t="s">
        <v>753</v>
      </c>
      <c r="BD263" s="5" t="s">
        <v>725</v>
      </c>
    </row>
    <row r="264" spans="1:56" ht="96" hidden="1" x14ac:dyDescent="0.25">
      <c r="A264" s="78" t="s">
        <v>661</v>
      </c>
      <c r="B264" s="5" t="s">
        <v>662</v>
      </c>
      <c r="C264" s="5" t="s">
        <v>290</v>
      </c>
      <c r="D264" s="5" t="s">
        <v>252</v>
      </c>
      <c r="E264" s="99" t="str">
        <f>VLOOKUP(D264,'Dropdown List'!$F$26:$G$40,2,0)</f>
        <v>India</v>
      </c>
      <c r="F264" s="8" t="s">
        <v>3512</v>
      </c>
      <c r="G264" s="96">
        <v>12.1</v>
      </c>
      <c r="H264" s="5" t="s">
        <v>57</v>
      </c>
      <c r="I264" s="8" t="s">
        <v>58</v>
      </c>
      <c r="J264" s="8" t="s">
        <v>146</v>
      </c>
      <c r="K264" s="8" t="s">
        <v>190</v>
      </c>
      <c r="L264" s="8" t="s">
        <v>190</v>
      </c>
      <c r="M264" s="8" t="s">
        <v>726</v>
      </c>
      <c r="N264" s="5" t="s">
        <v>319</v>
      </c>
      <c r="O264" s="5" t="s">
        <v>89</v>
      </c>
      <c r="P264" s="5" t="s">
        <v>89</v>
      </c>
      <c r="Q264" s="9" t="s">
        <v>62</v>
      </c>
      <c r="R264" s="5" t="s">
        <v>76</v>
      </c>
      <c r="S264" s="5" t="s">
        <v>727</v>
      </c>
      <c r="T264" s="96">
        <v>2</v>
      </c>
      <c r="U264" s="96">
        <v>1</v>
      </c>
      <c r="V264" s="96">
        <v>4</v>
      </c>
      <c r="W264" s="5" t="s">
        <v>91</v>
      </c>
      <c r="X264" s="10" t="s">
        <v>321</v>
      </c>
      <c r="Y264" s="11" t="s">
        <v>3515</v>
      </c>
      <c r="Z264" s="12">
        <v>14</v>
      </c>
      <c r="AA264" s="12">
        <v>3</v>
      </c>
      <c r="AB264" s="12">
        <v>2</v>
      </c>
      <c r="AC264" s="13">
        <v>2</v>
      </c>
      <c r="AD264" s="14">
        <f t="shared" si="10"/>
        <v>21</v>
      </c>
      <c r="AE264" s="15">
        <f t="shared" si="11"/>
        <v>9.5238095238095233E-2</v>
      </c>
      <c r="AF264" s="16">
        <v>183000</v>
      </c>
      <c r="AG264" s="16" t="s">
        <v>66</v>
      </c>
      <c r="AH264" s="17" t="s">
        <v>728</v>
      </c>
      <c r="AI264" s="18">
        <v>1.5</v>
      </c>
      <c r="AJ264" s="19" t="s">
        <v>66</v>
      </c>
      <c r="AK264" s="20">
        <v>0.99</v>
      </c>
      <c r="AL264" s="17" t="s">
        <v>261</v>
      </c>
      <c r="AM264" s="5" t="s">
        <v>66</v>
      </c>
      <c r="AN264" s="5" t="s">
        <v>66</v>
      </c>
      <c r="AO264" s="5" t="s">
        <v>729</v>
      </c>
      <c r="AP264" s="5" t="s">
        <v>730</v>
      </c>
      <c r="AQ264" s="5" t="s">
        <v>731</v>
      </c>
      <c r="AR264" s="5" t="s">
        <v>66</v>
      </c>
      <c r="AS264" s="5" t="s">
        <v>66</v>
      </c>
      <c r="AT264" s="5" t="s">
        <v>66</v>
      </c>
      <c r="AU264" s="5" t="s">
        <v>66</v>
      </c>
      <c r="AV264" s="5" t="s">
        <v>66</v>
      </c>
      <c r="AW264" s="5" t="s">
        <v>66</v>
      </c>
      <c r="AX264" s="5" t="s">
        <v>672</v>
      </c>
      <c r="AY264" s="5" t="s">
        <v>69</v>
      </c>
      <c r="AZ264" s="5" t="s">
        <v>145</v>
      </c>
      <c r="BA264" s="19">
        <v>0.5</v>
      </c>
      <c r="BB264" s="17" t="s">
        <v>94</v>
      </c>
      <c r="BC264" s="5" t="s">
        <v>732</v>
      </c>
      <c r="BD264" s="5" t="s">
        <v>733</v>
      </c>
    </row>
    <row r="265" spans="1:56" ht="216" hidden="1" x14ac:dyDescent="0.25">
      <c r="A265" s="78" t="s">
        <v>661</v>
      </c>
      <c r="B265" s="5" t="s">
        <v>662</v>
      </c>
      <c r="C265" s="5" t="s">
        <v>290</v>
      </c>
      <c r="D265" s="5" t="s">
        <v>56</v>
      </c>
      <c r="E265" s="99" t="str">
        <f>VLOOKUP(D265,'Dropdown List'!$F$26:$G$40,2,0)</f>
        <v>India</v>
      </c>
      <c r="F265" s="8" t="s">
        <v>3512</v>
      </c>
      <c r="G265" s="96">
        <v>2.4</v>
      </c>
      <c r="H265" s="5" t="s">
        <v>57</v>
      </c>
      <c r="I265" s="8" t="s">
        <v>58</v>
      </c>
      <c r="J265" s="8" t="s">
        <v>146</v>
      </c>
      <c r="K265" s="8" t="s">
        <v>147</v>
      </c>
      <c r="L265" s="8" t="s">
        <v>756</v>
      </c>
      <c r="M265" s="8" t="s">
        <v>757</v>
      </c>
      <c r="N265" s="5" t="s">
        <v>319</v>
      </c>
      <c r="O265" s="5" t="s">
        <v>89</v>
      </c>
      <c r="P265" s="5" t="s">
        <v>89</v>
      </c>
      <c r="Q265" s="9" t="s">
        <v>62</v>
      </c>
      <c r="R265" s="5" t="s">
        <v>63</v>
      </c>
      <c r="S265" s="5" t="s">
        <v>64</v>
      </c>
      <c r="T265" s="96">
        <v>2</v>
      </c>
      <c r="U265" s="96">
        <v>3</v>
      </c>
      <c r="V265" s="96">
        <v>8</v>
      </c>
      <c r="W265" s="5" t="s">
        <v>91</v>
      </c>
      <c r="X265" s="10" t="s">
        <v>321</v>
      </c>
      <c r="Y265" s="11">
        <v>21300</v>
      </c>
      <c r="Z265" s="12">
        <v>8</v>
      </c>
      <c r="AA265" s="12">
        <v>3</v>
      </c>
      <c r="AB265" s="12">
        <v>3</v>
      </c>
      <c r="AC265" s="13">
        <v>3</v>
      </c>
      <c r="AD265" s="14">
        <f t="shared" si="10"/>
        <v>17</v>
      </c>
      <c r="AE265" s="15">
        <f t="shared" si="11"/>
        <v>0.17647058823529413</v>
      </c>
      <c r="AF265" s="16">
        <v>7800</v>
      </c>
      <c r="AG265" s="16" t="s">
        <v>66</v>
      </c>
      <c r="AH265" s="17" t="s">
        <v>758</v>
      </c>
      <c r="AI265" s="18">
        <v>24.96</v>
      </c>
      <c r="AJ265" s="19">
        <v>0.95</v>
      </c>
      <c r="AK265" s="20">
        <v>0.95</v>
      </c>
      <c r="AL265" s="17" t="s">
        <v>261</v>
      </c>
      <c r="AM265" s="5" t="s">
        <v>66</v>
      </c>
      <c r="AN265" s="5" t="s">
        <v>66</v>
      </c>
      <c r="AO265" s="5" t="s">
        <v>281</v>
      </c>
      <c r="AP265" s="5" t="s">
        <v>759</v>
      </c>
      <c r="AQ265" s="5" t="s">
        <v>66</v>
      </c>
      <c r="AR265" s="5" t="s">
        <v>66</v>
      </c>
      <c r="AS265" s="5" t="s">
        <v>66</v>
      </c>
      <c r="AT265" s="5" t="s">
        <v>66</v>
      </c>
      <c r="AU265" s="5" t="s">
        <v>66</v>
      </c>
      <c r="AV265" s="5" t="s">
        <v>66</v>
      </c>
      <c r="AW265" s="5" t="s">
        <v>66</v>
      </c>
      <c r="AX265" s="5" t="s">
        <v>672</v>
      </c>
      <c r="AY265" s="5" t="s">
        <v>760</v>
      </c>
      <c r="AZ265" s="5" t="s">
        <v>80</v>
      </c>
      <c r="BA265" s="19" t="s">
        <v>752</v>
      </c>
      <c r="BB265" s="17" t="s">
        <v>69</v>
      </c>
      <c r="BC265" s="5" t="s">
        <v>761</v>
      </c>
      <c r="BD265" s="5" t="s">
        <v>3519</v>
      </c>
    </row>
    <row r="266" spans="1:56" ht="168" hidden="1" x14ac:dyDescent="0.25">
      <c r="A266" s="78" t="s">
        <v>661</v>
      </c>
      <c r="B266" s="5" t="s">
        <v>662</v>
      </c>
      <c r="C266" s="5" t="s">
        <v>290</v>
      </c>
      <c r="D266" s="5" t="s">
        <v>252</v>
      </c>
      <c r="E266" s="99" t="str">
        <f>VLOOKUP(D266,'Dropdown List'!$F$26:$G$40,2,0)</f>
        <v>India</v>
      </c>
      <c r="F266" s="8" t="s">
        <v>3512</v>
      </c>
      <c r="G266" s="96">
        <v>1.7</v>
      </c>
      <c r="H266" s="5" t="s">
        <v>57</v>
      </c>
      <c r="I266" s="8" t="s">
        <v>58</v>
      </c>
      <c r="J266" s="8" t="s">
        <v>163</v>
      </c>
      <c r="K266" s="8" t="s">
        <v>762</v>
      </c>
      <c r="L266" s="8" t="s">
        <v>763</v>
      </c>
      <c r="M266" s="8" t="s">
        <v>764</v>
      </c>
      <c r="N266" s="5" t="s">
        <v>319</v>
      </c>
      <c r="O266" s="5" t="s">
        <v>89</v>
      </c>
      <c r="P266" s="5" t="s">
        <v>89</v>
      </c>
      <c r="Q266" s="9" t="s">
        <v>62</v>
      </c>
      <c r="R266" s="5" t="s">
        <v>63</v>
      </c>
      <c r="S266" s="5" t="s">
        <v>64</v>
      </c>
      <c r="T266" s="96">
        <v>2</v>
      </c>
      <c r="U266" s="96">
        <v>3</v>
      </c>
      <c r="V266" s="96">
        <v>8</v>
      </c>
      <c r="W266" s="5" t="s">
        <v>91</v>
      </c>
      <c r="X266" s="10" t="s">
        <v>321</v>
      </c>
      <c r="Y266" s="11">
        <v>21300</v>
      </c>
      <c r="Z266" s="12">
        <v>10</v>
      </c>
      <c r="AA266" s="12">
        <v>1</v>
      </c>
      <c r="AB266" s="12">
        <v>1</v>
      </c>
      <c r="AC266" s="13">
        <v>1</v>
      </c>
      <c r="AD266" s="14">
        <f t="shared" si="10"/>
        <v>13</v>
      </c>
      <c r="AE266" s="15">
        <f t="shared" si="11"/>
        <v>7.6923076923076927E-2</v>
      </c>
      <c r="AF266" s="16">
        <v>5500</v>
      </c>
      <c r="AG266" s="16" t="s">
        <v>66</v>
      </c>
      <c r="AH266" s="17" t="s">
        <v>765</v>
      </c>
      <c r="AI266" s="18" t="s">
        <v>766</v>
      </c>
      <c r="AJ266" s="19" t="s">
        <v>767</v>
      </c>
      <c r="AK266" s="20">
        <v>0.95</v>
      </c>
      <c r="AL266" s="17" t="s">
        <v>261</v>
      </c>
      <c r="AM266" s="5" t="s">
        <v>66</v>
      </c>
      <c r="AN266" s="5" t="s">
        <v>66</v>
      </c>
      <c r="AO266" s="5" t="s">
        <v>281</v>
      </c>
      <c r="AP266" s="5" t="s">
        <v>66</v>
      </c>
      <c r="AQ266" s="5" t="s">
        <v>66</v>
      </c>
      <c r="AR266" s="5" t="s">
        <v>66</v>
      </c>
      <c r="AS266" s="5" t="s">
        <v>66</v>
      </c>
      <c r="AT266" s="5" t="s">
        <v>66</v>
      </c>
      <c r="AU266" s="5" t="s">
        <v>66</v>
      </c>
      <c r="AV266" s="5" t="s">
        <v>66</v>
      </c>
      <c r="AW266" s="5" t="s">
        <v>66</v>
      </c>
      <c r="AX266" s="5" t="s">
        <v>672</v>
      </c>
      <c r="AY266" s="5" t="s">
        <v>768</v>
      </c>
      <c r="AZ266" s="5" t="s">
        <v>80</v>
      </c>
      <c r="BA266" s="19" t="s">
        <v>769</v>
      </c>
      <c r="BB266" s="17" t="s">
        <v>69</v>
      </c>
      <c r="BC266" s="5" t="s">
        <v>48</v>
      </c>
      <c r="BD266" s="5" t="s">
        <v>770</v>
      </c>
    </row>
    <row r="267" spans="1:56" ht="156" hidden="1" x14ac:dyDescent="0.25">
      <c r="A267" s="78" t="s">
        <v>661</v>
      </c>
      <c r="B267" s="5" t="s">
        <v>662</v>
      </c>
      <c r="C267" s="5" t="s">
        <v>290</v>
      </c>
      <c r="D267" s="5" t="s">
        <v>252</v>
      </c>
      <c r="E267" s="99" t="str">
        <f>VLOOKUP(D267,'Dropdown List'!$F$26:$G$40,2,0)</f>
        <v>India</v>
      </c>
      <c r="F267" s="8" t="s">
        <v>663</v>
      </c>
      <c r="G267" s="96">
        <v>9</v>
      </c>
      <c r="H267" s="5" t="s">
        <v>57</v>
      </c>
      <c r="I267" s="8" t="s">
        <v>71</v>
      </c>
      <c r="J267" s="8" t="s">
        <v>112</v>
      </c>
      <c r="K267" s="8" t="s">
        <v>113</v>
      </c>
      <c r="L267" s="8" t="s">
        <v>771</v>
      </c>
      <c r="M267" s="8" t="s">
        <v>772</v>
      </c>
      <c r="N267" s="5" t="s">
        <v>1034</v>
      </c>
      <c r="O267" s="5" t="s">
        <v>3520</v>
      </c>
      <c r="P267" s="5" t="s">
        <v>773</v>
      </c>
      <c r="Q267" s="9" t="s">
        <v>62</v>
      </c>
      <c r="R267" s="5" t="s">
        <v>76</v>
      </c>
      <c r="S267" s="5" t="s">
        <v>774</v>
      </c>
      <c r="T267" s="96">
        <v>4</v>
      </c>
      <c r="U267" s="96">
        <v>10</v>
      </c>
      <c r="V267" s="96">
        <v>13</v>
      </c>
      <c r="W267" s="5" t="s">
        <v>91</v>
      </c>
      <c r="X267" s="10" t="s">
        <v>321</v>
      </c>
      <c r="Y267" s="11">
        <v>20122.969076575031</v>
      </c>
      <c r="Z267" s="12">
        <v>34</v>
      </c>
      <c r="AA267" s="12"/>
      <c r="AB267" s="12">
        <v>2</v>
      </c>
      <c r="AC267" s="13">
        <v>3</v>
      </c>
      <c r="AD267" s="14">
        <f t="shared" si="10"/>
        <v>39</v>
      </c>
      <c r="AE267" s="15">
        <f t="shared" si="11"/>
        <v>7.6923076923076927E-2</v>
      </c>
      <c r="AF267" s="16">
        <v>65000</v>
      </c>
      <c r="AG267" s="16" t="s">
        <v>3521</v>
      </c>
      <c r="AH267" s="17" t="s">
        <v>667</v>
      </c>
      <c r="AI267" s="18" t="s">
        <v>775</v>
      </c>
      <c r="AJ267" s="19" t="s">
        <v>776</v>
      </c>
      <c r="AK267" s="20">
        <v>0.95</v>
      </c>
      <c r="AL267" s="17" t="s">
        <v>261</v>
      </c>
      <c r="AM267" s="5" t="s">
        <v>682</v>
      </c>
      <c r="AN267" s="5" t="s">
        <v>281</v>
      </c>
      <c r="AO267" s="5" t="s">
        <v>777</v>
      </c>
      <c r="AP267" s="5" t="s">
        <v>281</v>
      </c>
      <c r="AQ267" s="5" t="s">
        <v>281</v>
      </c>
      <c r="AR267" s="5" t="s">
        <v>281</v>
      </c>
      <c r="AS267" s="5" t="s">
        <v>281</v>
      </c>
      <c r="AT267" s="5" t="s">
        <v>66</v>
      </c>
      <c r="AU267" s="5" t="s">
        <v>66</v>
      </c>
      <c r="AV267" s="5" t="s">
        <v>66</v>
      </c>
      <c r="AW267" s="5" t="s">
        <v>66</v>
      </c>
      <c r="AX267" s="5" t="s">
        <v>672</v>
      </c>
      <c r="AY267" s="5" t="s">
        <v>69</v>
      </c>
      <c r="AZ267" s="5" t="s">
        <v>80</v>
      </c>
      <c r="BA267" s="19" t="s">
        <v>778</v>
      </c>
      <c r="BB267" s="17" t="s">
        <v>69</v>
      </c>
      <c r="BC267" s="5" t="s">
        <v>674</v>
      </c>
      <c r="BD267" s="5" t="s">
        <v>779</v>
      </c>
    </row>
    <row r="268" spans="1:56" ht="156" hidden="1" x14ac:dyDescent="0.25">
      <c r="A268" s="78" t="s">
        <v>661</v>
      </c>
      <c r="B268" s="5" t="s">
        <v>662</v>
      </c>
      <c r="C268" s="5" t="s">
        <v>290</v>
      </c>
      <c r="D268" s="5" t="s">
        <v>56</v>
      </c>
      <c r="E268" s="99" t="str">
        <f>VLOOKUP(D268,'Dropdown List'!$F$26:$G$40,2,0)</f>
        <v>India</v>
      </c>
      <c r="F268" s="8" t="s">
        <v>663</v>
      </c>
      <c r="G268" s="96">
        <v>9</v>
      </c>
      <c r="H268" s="5" t="s">
        <v>57</v>
      </c>
      <c r="I268" s="8" t="s">
        <v>71</v>
      </c>
      <c r="J268" s="8" t="s">
        <v>112</v>
      </c>
      <c r="K268" s="8" t="s">
        <v>113</v>
      </c>
      <c r="L268" s="8" t="s">
        <v>771</v>
      </c>
      <c r="M268" s="8" t="s">
        <v>772</v>
      </c>
      <c r="N268" s="5" t="s">
        <v>1034</v>
      </c>
      <c r="O268" s="5" t="s">
        <v>3520</v>
      </c>
      <c r="P268" s="5" t="s">
        <v>773</v>
      </c>
      <c r="Q268" s="9" t="s">
        <v>62</v>
      </c>
      <c r="R268" s="5" t="s">
        <v>76</v>
      </c>
      <c r="S268" s="5" t="s">
        <v>774</v>
      </c>
      <c r="T268" s="96">
        <v>4</v>
      </c>
      <c r="U268" s="96">
        <v>10</v>
      </c>
      <c r="V268" s="96">
        <v>13</v>
      </c>
      <c r="W268" s="5" t="s">
        <v>91</v>
      </c>
      <c r="X268" s="10" t="s">
        <v>321</v>
      </c>
      <c r="Y268" s="11">
        <v>20122.969076575031</v>
      </c>
      <c r="Z268" s="12">
        <v>14</v>
      </c>
      <c r="AA268" s="12"/>
      <c r="AB268" s="12">
        <v>1</v>
      </c>
      <c r="AC268" s="13">
        <v>1</v>
      </c>
      <c r="AD268" s="14">
        <f t="shared" si="10"/>
        <v>16</v>
      </c>
      <c r="AE268" s="15">
        <f t="shared" si="11"/>
        <v>6.25E-2</v>
      </c>
      <c r="AF268" s="16">
        <v>25000</v>
      </c>
      <c r="AG268" s="16" t="s">
        <v>3522</v>
      </c>
      <c r="AH268" s="17" t="s">
        <v>667</v>
      </c>
      <c r="AI268" s="18" t="s">
        <v>775</v>
      </c>
      <c r="AJ268" s="19" t="s">
        <v>776</v>
      </c>
      <c r="AK268" s="20">
        <v>0.95</v>
      </c>
      <c r="AL268" s="17" t="s">
        <v>261</v>
      </c>
      <c r="AM268" s="5" t="s">
        <v>682</v>
      </c>
      <c r="AN268" s="5" t="s">
        <v>281</v>
      </c>
      <c r="AO268" s="5" t="s">
        <v>777</v>
      </c>
      <c r="AP268" s="5" t="s">
        <v>281</v>
      </c>
      <c r="AQ268" s="5" t="s">
        <v>281</v>
      </c>
      <c r="AR268" s="5" t="s">
        <v>281</v>
      </c>
      <c r="AS268" s="5" t="s">
        <v>281</v>
      </c>
      <c r="AT268" s="5" t="s">
        <v>66</v>
      </c>
      <c r="AU268" s="5" t="s">
        <v>66</v>
      </c>
      <c r="AV268" s="5" t="s">
        <v>66</v>
      </c>
      <c r="AW268" s="5" t="s">
        <v>66</v>
      </c>
      <c r="AX268" s="5" t="s">
        <v>672</v>
      </c>
      <c r="AY268" s="5" t="s">
        <v>69</v>
      </c>
      <c r="AZ268" s="5" t="s">
        <v>80</v>
      </c>
      <c r="BA268" s="19" t="s">
        <v>778</v>
      </c>
      <c r="BB268" s="17" t="s">
        <v>69</v>
      </c>
      <c r="BC268" s="5" t="s">
        <v>674</v>
      </c>
      <c r="BD268" s="5" t="s">
        <v>779</v>
      </c>
    </row>
    <row r="269" spans="1:56" ht="120" hidden="1" x14ac:dyDescent="0.25">
      <c r="A269" s="78" t="s">
        <v>661</v>
      </c>
      <c r="B269" s="5" t="s">
        <v>662</v>
      </c>
      <c r="C269" s="5" t="s">
        <v>290</v>
      </c>
      <c r="D269" s="5" t="s">
        <v>252</v>
      </c>
      <c r="E269" s="99" t="str">
        <f>VLOOKUP(D269,'Dropdown List'!$F$26:$G$40,2,0)</f>
        <v>India</v>
      </c>
      <c r="F269" s="8" t="s">
        <v>663</v>
      </c>
      <c r="G269" s="96">
        <v>9</v>
      </c>
      <c r="H269" s="5" t="s">
        <v>57</v>
      </c>
      <c r="I269" s="8" t="s">
        <v>71</v>
      </c>
      <c r="J269" s="8" t="s">
        <v>112</v>
      </c>
      <c r="K269" s="8" t="s">
        <v>130</v>
      </c>
      <c r="L269" s="8" t="s">
        <v>689</v>
      </c>
      <c r="M269" s="8" t="s">
        <v>780</v>
      </c>
      <c r="N269" s="5" t="s">
        <v>1034</v>
      </c>
      <c r="O269" s="5" t="s">
        <v>61</v>
      </c>
      <c r="P269" s="5" t="s">
        <v>773</v>
      </c>
      <c r="Q269" s="9" t="s">
        <v>62</v>
      </c>
      <c r="R269" s="5" t="s">
        <v>132</v>
      </c>
      <c r="S269" s="5" t="s">
        <v>64</v>
      </c>
      <c r="T269" s="96">
        <v>4</v>
      </c>
      <c r="U269" s="96">
        <v>10</v>
      </c>
      <c r="V269" s="96">
        <v>13</v>
      </c>
      <c r="W269" s="5" t="s">
        <v>91</v>
      </c>
      <c r="X269" s="10" t="s">
        <v>321</v>
      </c>
      <c r="Y269" s="11">
        <v>26331.00539619122</v>
      </c>
      <c r="Z269" s="12">
        <v>6</v>
      </c>
      <c r="AA269" s="12">
        <v>0</v>
      </c>
      <c r="AB269" s="12">
        <v>1</v>
      </c>
      <c r="AC269" s="13">
        <v>3</v>
      </c>
      <c r="AD269" s="14">
        <f t="shared" si="10"/>
        <v>10</v>
      </c>
      <c r="AE269" s="15">
        <f t="shared" si="11"/>
        <v>0.3</v>
      </c>
      <c r="AF269" s="16">
        <v>640</v>
      </c>
      <c r="AG269" s="16" t="s">
        <v>3523</v>
      </c>
      <c r="AH269" s="17" t="s">
        <v>667</v>
      </c>
      <c r="AI269" s="18" t="s">
        <v>781</v>
      </c>
      <c r="AJ269" s="19" t="s">
        <v>782</v>
      </c>
      <c r="AK269" s="20">
        <v>0.95</v>
      </c>
      <c r="AL269" s="17" t="s">
        <v>65</v>
      </c>
      <c r="AM269" s="5" t="s">
        <v>682</v>
      </c>
      <c r="AN269" s="5" t="s">
        <v>281</v>
      </c>
      <c r="AO269" s="5" t="s">
        <v>783</v>
      </c>
      <c r="AP269" s="5" t="s">
        <v>281</v>
      </c>
      <c r="AQ269" s="5" t="s">
        <v>281</v>
      </c>
      <c r="AR269" s="5" t="s">
        <v>281</v>
      </c>
      <c r="AS269" s="5" t="s">
        <v>281</v>
      </c>
      <c r="AT269" s="5" t="s">
        <v>66</v>
      </c>
      <c r="AU269" s="5" t="s">
        <v>66</v>
      </c>
      <c r="AV269" s="5" t="s">
        <v>66</v>
      </c>
      <c r="AW269" s="5" t="s">
        <v>66</v>
      </c>
      <c r="AX269" s="5" t="s">
        <v>672</v>
      </c>
      <c r="AY269" s="5" t="s">
        <v>673</v>
      </c>
      <c r="AZ269" s="5" t="s">
        <v>80</v>
      </c>
      <c r="BA269" s="19">
        <v>1</v>
      </c>
      <c r="BB269" s="17" t="s">
        <v>784</v>
      </c>
      <c r="BC269" s="5" t="s">
        <v>695</v>
      </c>
      <c r="BD269" s="5" t="s">
        <v>785</v>
      </c>
    </row>
    <row r="270" spans="1:56" ht="60" hidden="1" x14ac:dyDescent="0.25">
      <c r="A270" s="78" t="s">
        <v>661</v>
      </c>
      <c r="B270" s="5" t="s">
        <v>662</v>
      </c>
      <c r="C270" s="5" t="s">
        <v>290</v>
      </c>
      <c r="D270" s="5" t="s">
        <v>252</v>
      </c>
      <c r="E270" s="99" t="str">
        <f>VLOOKUP(D270,'Dropdown List'!$F$26:$G$40,2,0)</f>
        <v>India</v>
      </c>
      <c r="F270" s="8" t="s">
        <v>663</v>
      </c>
      <c r="G270" s="96" t="s">
        <v>786</v>
      </c>
      <c r="H270" s="5" t="s">
        <v>57</v>
      </c>
      <c r="I270" s="8" t="s">
        <v>71</v>
      </c>
      <c r="J270" s="8" t="s">
        <v>435</v>
      </c>
      <c r="K270" s="8" t="s">
        <v>787</v>
      </c>
      <c r="L270" s="8" t="s">
        <v>788</v>
      </c>
      <c r="M270" s="8" t="s">
        <v>789</v>
      </c>
      <c r="N270" s="5" t="s">
        <v>1034</v>
      </c>
      <c r="O270" s="5" t="s">
        <v>3520</v>
      </c>
      <c r="P270" s="5" t="s">
        <v>790</v>
      </c>
      <c r="Q270" s="9" t="s">
        <v>62</v>
      </c>
      <c r="R270" s="5" t="s">
        <v>76</v>
      </c>
      <c r="S270" s="5" t="s">
        <v>120</v>
      </c>
      <c r="T270" s="96">
        <v>4</v>
      </c>
      <c r="U270" s="96">
        <v>9</v>
      </c>
      <c r="V270" s="96">
        <v>12</v>
      </c>
      <c r="W270" s="5" t="s">
        <v>91</v>
      </c>
      <c r="X270" s="10" t="s">
        <v>321</v>
      </c>
      <c r="Y270" s="11">
        <v>22734.691262692486</v>
      </c>
      <c r="Z270" s="12">
        <v>1</v>
      </c>
      <c r="AA270" s="12">
        <v>0</v>
      </c>
      <c r="AB270" s="12">
        <v>0</v>
      </c>
      <c r="AC270" s="13">
        <v>1</v>
      </c>
      <c r="AD270" s="14">
        <f t="shared" si="10"/>
        <v>2</v>
      </c>
      <c r="AE270" s="15">
        <f t="shared" si="11"/>
        <v>0.5</v>
      </c>
      <c r="AF270" s="16">
        <v>800</v>
      </c>
      <c r="AG270" s="16">
        <v>800</v>
      </c>
      <c r="AH270" s="17" t="s">
        <v>667</v>
      </c>
      <c r="AI270" s="18" t="s">
        <v>792</v>
      </c>
      <c r="AJ270" s="19" t="s">
        <v>793</v>
      </c>
      <c r="AK270" s="20" t="s">
        <v>281</v>
      </c>
      <c r="AL270" s="17" t="s">
        <v>65</v>
      </c>
      <c r="AM270" s="5" t="s">
        <v>281</v>
      </c>
      <c r="AN270" s="5" t="s">
        <v>281</v>
      </c>
      <c r="AO270" s="5" t="s">
        <v>794</v>
      </c>
      <c r="AP270" s="5" t="s">
        <v>281</v>
      </c>
      <c r="AQ270" s="5" t="s">
        <v>281</v>
      </c>
      <c r="AR270" s="5" t="s">
        <v>281</v>
      </c>
      <c r="AS270" s="5" t="s">
        <v>281</v>
      </c>
      <c r="AT270" s="5" t="s">
        <v>66</v>
      </c>
      <c r="AU270" s="5" t="s">
        <v>66</v>
      </c>
      <c r="AV270" s="5" t="s">
        <v>66</v>
      </c>
      <c r="AW270" s="5" t="s">
        <v>66</v>
      </c>
      <c r="AX270" s="5" t="s">
        <v>66</v>
      </c>
      <c r="AY270" s="5" t="s">
        <v>110</v>
      </c>
      <c r="AZ270" s="5" t="s">
        <v>80</v>
      </c>
      <c r="BA270" s="19">
        <v>1</v>
      </c>
      <c r="BB270" s="17" t="s">
        <v>795</v>
      </c>
      <c r="BC270" s="5" t="s">
        <v>796</v>
      </c>
      <c r="BD270" s="5" t="s">
        <v>797</v>
      </c>
    </row>
    <row r="271" spans="1:56" ht="60" hidden="1" x14ac:dyDescent="0.25">
      <c r="A271" s="78" t="s">
        <v>661</v>
      </c>
      <c r="B271" s="5" t="s">
        <v>662</v>
      </c>
      <c r="C271" s="5" t="s">
        <v>290</v>
      </c>
      <c r="D271" s="5" t="s">
        <v>275</v>
      </c>
      <c r="E271" s="99" t="str">
        <f>VLOOKUP(D271,'Dropdown List'!$F$26:$G$40,2,0)</f>
        <v>South Africa</v>
      </c>
      <c r="F271" s="8" t="s">
        <v>3524</v>
      </c>
      <c r="G271" s="96">
        <v>9</v>
      </c>
      <c r="H271" s="5" t="s">
        <v>57</v>
      </c>
      <c r="I271" s="8" t="s">
        <v>58</v>
      </c>
      <c r="J271" s="8" t="s">
        <v>146</v>
      </c>
      <c r="K271" s="8" t="s">
        <v>147</v>
      </c>
      <c r="L271" s="8" t="s">
        <v>222</v>
      </c>
      <c r="M271" s="8" t="s">
        <v>798</v>
      </c>
      <c r="N271" s="5" t="s">
        <v>319</v>
      </c>
      <c r="O271" s="5" t="s">
        <v>3520</v>
      </c>
      <c r="P271" s="5" t="s">
        <v>731</v>
      </c>
      <c r="Q271" s="9" t="s">
        <v>62</v>
      </c>
      <c r="R271" s="5" t="s">
        <v>132</v>
      </c>
      <c r="S271" s="5" t="s">
        <v>90</v>
      </c>
      <c r="T271" s="96">
        <v>1</v>
      </c>
      <c r="U271" s="96">
        <v>5</v>
      </c>
      <c r="V271" s="96">
        <v>12</v>
      </c>
      <c r="W271" s="5" t="s">
        <v>91</v>
      </c>
      <c r="X271" s="10" t="s">
        <v>321</v>
      </c>
      <c r="Y271" s="11" t="s">
        <v>3525</v>
      </c>
      <c r="Z271" s="12">
        <v>65</v>
      </c>
      <c r="AA271" s="12">
        <v>9</v>
      </c>
      <c r="AB271" s="12">
        <v>10</v>
      </c>
      <c r="AC271" s="13">
        <v>20</v>
      </c>
      <c r="AD271" s="14">
        <f t="shared" si="10"/>
        <v>104</v>
      </c>
      <c r="AE271" s="15">
        <f t="shared" si="11"/>
        <v>0.19230769230769232</v>
      </c>
      <c r="AF271" s="16">
        <v>19184</v>
      </c>
      <c r="AG271" s="16" t="s">
        <v>66</v>
      </c>
      <c r="AH271" s="17" t="s">
        <v>799</v>
      </c>
      <c r="AI271" s="18">
        <v>1163</v>
      </c>
      <c r="AJ271" s="19" t="s">
        <v>716</v>
      </c>
      <c r="AK271" s="20">
        <v>0.95</v>
      </c>
      <c r="AL271" s="17" t="s">
        <v>338</v>
      </c>
      <c r="AM271" s="5" t="s">
        <v>800</v>
      </c>
      <c r="AN271" s="5" t="s">
        <v>801</v>
      </c>
      <c r="AO271" s="5" t="s">
        <v>802</v>
      </c>
      <c r="AP271" s="5" t="s">
        <v>803</v>
      </c>
      <c r="AQ271" s="5" t="s">
        <v>66</v>
      </c>
      <c r="AR271" s="5" t="s">
        <v>66</v>
      </c>
      <c r="AS271" s="5" t="s">
        <v>66</v>
      </c>
      <c r="AT271" s="5" t="s">
        <v>66</v>
      </c>
      <c r="AU271" s="5" t="s">
        <v>66</v>
      </c>
      <c r="AV271" s="5" t="s">
        <v>66</v>
      </c>
      <c r="AW271" s="5" t="s">
        <v>804</v>
      </c>
      <c r="AX271" s="5" t="s">
        <v>672</v>
      </c>
      <c r="AY271" s="5" t="s">
        <v>69</v>
      </c>
      <c r="AZ271" s="5" t="s">
        <v>80</v>
      </c>
      <c r="BA271" s="19">
        <v>100</v>
      </c>
      <c r="BB271" s="17" t="s">
        <v>673</v>
      </c>
      <c r="BC271" s="5" t="s">
        <v>674</v>
      </c>
      <c r="BD271" s="5" t="s">
        <v>805</v>
      </c>
    </row>
    <row r="272" spans="1:56" ht="48" hidden="1" x14ac:dyDescent="0.25">
      <c r="A272" s="78" t="s">
        <v>661</v>
      </c>
      <c r="B272" s="5" t="s">
        <v>662</v>
      </c>
      <c r="C272" s="5" t="s">
        <v>290</v>
      </c>
      <c r="D272" s="5" t="s">
        <v>275</v>
      </c>
      <c r="E272" s="99" t="str">
        <f>VLOOKUP(D272,'Dropdown List'!$F$26:$G$40,2,0)</f>
        <v>South Africa</v>
      </c>
      <c r="F272" s="8" t="s">
        <v>806</v>
      </c>
      <c r="G272" s="96">
        <v>10</v>
      </c>
      <c r="H272" s="5" t="s">
        <v>57</v>
      </c>
      <c r="I272" s="8" t="s">
        <v>480</v>
      </c>
      <c r="J272" s="8" t="s">
        <v>807</v>
      </c>
      <c r="K272" s="8" t="s">
        <v>485</v>
      </c>
      <c r="L272" s="8" t="s">
        <v>808</v>
      </c>
      <c r="M272" s="8" t="s">
        <v>3526</v>
      </c>
      <c r="N272" s="5" t="s">
        <v>319</v>
      </c>
      <c r="O272" s="5" t="s">
        <v>3520</v>
      </c>
      <c r="P272" s="5" t="s">
        <v>731</v>
      </c>
      <c r="Q272" s="9" t="s">
        <v>62</v>
      </c>
      <c r="R272" s="5" t="s">
        <v>132</v>
      </c>
      <c r="S272" s="5" t="s">
        <v>90</v>
      </c>
      <c r="T272" s="96">
        <v>1</v>
      </c>
      <c r="U272" s="96">
        <v>6</v>
      </c>
      <c r="V272" s="96">
        <v>12</v>
      </c>
      <c r="W272" s="5" t="s">
        <v>91</v>
      </c>
      <c r="X272" s="10" t="s">
        <v>321</v>
      </c>
      <c r="Y272" s="11" t="s">
        <v>3527</v>
      </c>
      <c r="Z272" s="12">
        <v>250</v>
      </c>
      <c r="AA272" s="12">
        <v>22</v>
      </c>
      <c r="AB272" s="12">
        <v>30</v>
      </c>
      <c r="AC272" s="13">
        <v>30</v>
      </c>
      <c r="AD272" s="14">
        <f t="shared" si="10"/>
        <v>332</v>
      </c>
      <c r="AE272" s="15">
        <f t="shared" si="11"/>
        <v>9.036144578313253E-2</v>
      </c>
      <c r="AF272" s="16">
        <v>184844</v>
      </c>
      <c r="AG272" s="16" t="s">
        <v>66</v>
      </c>
      <c r="AH272" s="17" t="s">
        <v>809</v>
      </c>
      <c r="AI272" s="18">
        <v>420</v>
      </c>
      <c r="AJ272" s="19" t="s">
        <v>716</v>
      </c>
      <c r="AK272" s="20">
        <v>0.95</v>
      </c>
      <c r="AL272" s="17" t="s">
        <v>338</v>
      </c>
      <c r="AM272" s="5" t="s">
        <v>800</v>
      </c>
      <c r="AN272" s="5" t="s">
        <v>810</v>
      </c>
      <c r="AO272" s="5" t="s">
        <v>811</v>
      </c>
      <c r="AP272" s="5" t="s">
        <v>800</v>
      </c>
      <c r="AQ272" s="5" t="s">
        <v>66</v>
      </c>
      <c r="AR272" s="5" t="s">
        <v>66</v>
      </c>
      <c r="AS272" s="5" t="s">
        <v>66</v>
      </c>
      <c r="AT272" s="5" t="s">
        <v>66</v>
      </c>
      <c r="AU272" s="5" t="s">
        <v>66</v>
      </c>
      <c r="AV272" s="5" t="s">
        <v>66</v>
      </c>
      <c r="AW272" s="5" t="s">
        <v>804</v>
      </c>
      <c r="AX272" s="5" t="s">
        <v>672</v>
      </c>
      <c r="AY272" s="5" t="s">
        <v>69</v>
      </c>
      <c r="AZ272" s="5" t="s">
        <v>80</v>
      </c>
      <c r="BA272" s="19">
        <v>100</v>
      </c>
      <c r="BB272" s="17" t="s">
        <v>673</v>
      </c>
      <c r="BC272" s="5" t="s">
        <v>674</v>
      </c>
      <c r="BD272" s="5" t="s">
        <v>812</v>
      </c>
    </row>
    <row r="273" spans="1:56" ht="216" hidden="1" x14ac:dyDescent="0.25">
      <c r="A273" s="78" t="s">
        <v>661</v>
      </c>
      <c r="B273" s="5" t="s">
        <v>662</v>
      </c>
      <c r="C273" s="5" t="s">
        <v>290</v>
      </c>
      <c r="D273" s="5" t="s">
        <v>252</v>
      </c>
      <c r="E273" s="99" t="str">
        <f>VLOOKUP(D273,'Dropdown List'!$F$26:$G$40,2,0)</f>
        <v>India</v>
      </c>
      <c r="F273" s="8" t="s">
        <v>3512</v>
      </c>
      <c r="G273" s="96">
        <v>2.4</v>
      </c>
      <c r="H273" s="5" t="s">
        <v>57</v>
      </c>
      <c r="I273" s="8" t="s">
        <v>58</v>
      </c>
      <c r="J273" s="8" t="s">
        <v>146</v>
      </c>
      <c r="K273" s="8" t="s">
        <v>147</v>
      </c>
      <c r="L273" s="8" t="s">
        <v>756</v>
      </c>
      <c r="M273" s="8" t="s">
        <v>757</v>
      </c>
      <c r="N273" s="5" t="s">
        <v>319</v>
      </c>
      <c r="O273" s="5" t="s">
        <v>89</v>
      </c>
      <c r="P273" s="5" t="s">
        <v>89</v>
      </c>
      <c r="Q273" s="9" t="s">
        <v>62</v>
      </c>
      <c r="R273" s="5" t="s">
        <v>63</v>
      </c>
      <c r="S273" s="5" t="s">
        <v>64</v>
      </c>
      <c r="T273" s="96">
        <v>2</v>
      </c>
      <c r="U273" s="96">
        <v>3</v>
      </c>
      <c r="V273" s="96">
        <v>8</v>
      </c>
      <c r="W273" s="5" t="s">
        <v>91</v>
      </c>
      <c r="X273" s="10" t="s">
        <v>321</v>
      </c>
      <c r="Y273" s="11">
        <v>21300</v>
      </c>
      <c r="Z273" s="12">
        <v>12</v>
      </c>
      <c r="AA273" s="12">
        <v>3</v>
      </c>
      <c r="AB273" s="12">
        <v>3</v>
      </c>
      <c r="AC273" s="13">
        <v>3</v>
      </c>
      <c r="AD273" s="14">
        <f t="shared" si="10"/>
        <v>21</v>
      </c>
      <c r="AE273" s="15">
        <f t="shared" si="11"/>
        <v>0.14285714285714285</v>
      </c>
      <c r="AF273" s="16">
        <v>7800</v>
      </c>
      <c r="AG273" s="16" t="s">
        <v>66</v>
      </c>
      <c r="AH273" s="17" t="s">
        <v>758</v>
      </c>
      <c r="AI273" s="18">
        <v>24.96</v>
      </c>
      <c r="AJ273" s="19">
        <v>0.95</v>
      </c>
      <c r="AK273" s="20">
        <v>0.95</v>
      </c>
      <c r="AL273" s="17" t="s">
        <v>261</v>
      </c>
      <c r="AM273" s="5" t="s">
        <v>66</v>
      </c>
      <c r="AN273" s="5" t="s">
        <v>66</v>
      </c>
      <c r="AO273" s="5" t="s">
        <v>281</v>
      </c>
      <c r="AP273" s="5" t="s">
        <v>759</v>
      </c>
      <c r="AQ273" s="5" t="s">
        <v>66</v>
      </c>
      <c r="AR273" s="5" t="s">
        <v>66</v>
      </c>
      <c r="AS273" s="5" t="s">
        <v>66</v>
      </c>
      <c r="AT273" s="5" t="s">
        <v>66</v>
      </c>
      <c r="AU273" s="5" t="s">
        <v>66</v>
      </c>
      <c r="AV273" s="5" t="s">
        <v>66</v>
      </c>
      <c r="AW273" s="5" t="s">
        <v>66</v>
      </c>
      <c r="AX273" s="5" t="s">
        <v>672</v>
      </c>
      <c r="AY273" s="5" t="s">
        <v>760</v>
      </c>
      <c r="AZ273" s="5" t="s">
        <v>80</v>
      </c>
      <c r="BA273" s="19" t="s">
        <v>752</v>
      </c>
      <c r="BB273" s="17" t="s">
        <v>69</v>
      </c>
      <c r="BC273" s="5" t="s">
        <v>761</v>
      </c>
      <c r="BD273" s="5" t="s">
        <v>3519</v>
      </c>
    </row>
    <row r="274" spans="1:56" ht="48" hidden="1" x14ac:dyDescent="0.25">
      <c r="A274" s="78" t="s">
        <v>330</v>
      </c>
      <c r="B274" s="5" t="s">
        <v>331</v>
      </c>
      <c r="C274" s="5" t="s">
        <v>3293</v>
      </c>
      <c r="D274" s="5" t="s">
        <v>275</v>
      </c>
      <c r="E274" s="99" t="str">
        <f>VLOOKUP(D274,'Dropdown List'!$F$26:$G$40,2,0)</f>
        <v>South Africa</v>
      </c>
      <c r="F274" s="8" t="s">
        <v>276</v>
      </c>
      <c r="G274" s="96">
        <v>4</v>
      </c>
      <c r="H274" s="5" t="s">
        <v>57</v>
      </c>
      <c r="I274" s="8" t="s">
        <v>58</v>
      </c>
      <c r="J274" s="8" t="s">
        <v>146</v>
      </c>
      <c r="K274" s="8" t="s">
        <v>147</v>
      </c>
      <c r="L274" s="8" t="s">
        <v>222</v>
      </c>
      <c r="M274" s="8" t="s">
        <v>332</v>
      </c>
      <c r="N274" s="5" t="s">
        <v>1034</v>
      </c>
      <c r="O274" s="5" t="s">
        <v>61</v>
      </c>
      <c r="P274" s="5" t="s">
        <v>333</v>
      </c>
      <c r="Q274" s="9" t="s">
        <v>75</v>
      </c>
      <c r="R274" s="5" t="s">
        <v>132</v>
      </c>
      <c r="S274" s="5" t="s">
        <v>334</v>
      </c>
      <c r="T274" s="96">
        <v>4</v>
      </c>
      <c r="U274" s="96">
        <v>2</v>
      </c>
      <c r="V274" s="96">
        <v>8</v>
      </c>
      <c r="W274" s="5" t="s">
        <v>91</v>
      </c>
      <c r="X274" s="10" t="s">
        <v>79</v>
      </c>
      <c r="Y274" s="11">
        <v>37648.21</v>
      </c>
      <c r="Z274" s="12">
        <v>8</v>
      </c>
      <c r="AA274" s="12">
        <v>1</v>
      </c>
      <c r="AB274" s="12">
        <v>1</v>
      </c>
      <c r="AC274" s="13">
        <v>4</v>
      </c>
      <c r="AD274" s="14">
        <f t="shared" si="10"/>
        <v>14</v>
      </c>
      <c r="AE274" s="15">
        <f t="shared" si="11"/>
        <v>0.2857142857142857</v>
      </c>
      <c r="AF274" s="16">
        <v>400</v>
      </c>
      <c r="AG274" s="16" t="s">
        <v>66</v>
      </c>
      <c r="AH274" s="17" t="s">
        <v>335</v>
      </c>
      <c r="AI274" s="18" t="s">
        <v>336</v>
      </c>
      <c r="AJ274" s="19" t="s">
        <v>337</v>
      </c>
      <c r="AK274" s="20">
        <v>0.9</v>
      </c>
      <c r="AL274" s="17" t="s">
        <v>338</v>
      </c>
      <c r="AM274" s="5" t="s">
        <v>339</v>
      </c>
      <c r="AN274" s="5" t="s">
        <v>340</v>
      </c>
      <c r="AO274" s="5" t="s">
        <v>66</v>
      </c>
      <c r="AP274" s="5" t="s">
        <v>66</v>
      </c>
      <c r="AQ274" s="5" t="s">
        <v>66</v>
      </c>
      <c r="AR274" s="5" t="s">
        <v>66</v>
      </c>
      <c r="AS274" s="5" t="s">
        <v>66</v>
      </c>
      <c r="AT274" s="5" t="s">
        <v>66</v>
      </c>
      <c r="AU274" s="5" t="s">
        <v>66</v>
      </c>
      <c r="AV274" s="5" t="s">
        <v>66</v>
      </c>
      <c r="AW274" s="5" t="s">
        <v>66</v>
      </c>
      <c r="AX274" s="5" t="s">
        <v>341</v>
      </c>
      <c r="AY274" s="5" t="s">
        <v>342</v>
      </c>
      <c r="AZ274" s="5" t="s">
        <v>145</v>
      </c>
      <c r="BA274" s="19">
        <v>1</v>
      </c>
      <c r="BB274" s="17" t="s">
        <v>94</v>
      </c>
      <c r="BC274" s="5" t="s">
        <v>343</v>
      </c>
      <c r="BD274" s="5" t="s">
        <v>344</v>
      </c>
    </row>
    <row r="275" spans="1:56" ht="60" x14ac:dyDescent="0.25">
      <c r="A275" s="78" t="s">
        <v>330</v>
      </c>
      <c r="B275" s="5" t="s">
        <v>331</v>
      </c>
      <c r="C275" s="5" t="s">
        <v>3293</v>
      </c>
      <c r="D275" s="5" t="s">
        <v>56</v>
      </c>
      <c r="E275" s="99" t="str">
        <f>VLOOKUP(D275,'Dropdown List'!$F$26:$G$40,2,0)</f>
        <v>India</v>
      </c>
      <c r="F275" s="8" t="s">
        <v>345</v>
      </c>
      <c r="G275" s="96">
        <v>5</v>
      </c>
      <c r="H275" s="5" t="s">
        <v>57</v>
      </c>
      <c r="I275" s="8" t="s">
        <v>71</v>
      </c>
      <c r="J275" s="8" t="s">
        <v>112</v>
      </c>
      <c r="K275" s="8" t="s">
        <v>113</v>
      </c>
      <c r="L275" s="8" t="s">
        <v>346</v>
      </c>
      <c r="M275" s="8" t="s">
        <v>347</v>
      </c>
      <c r="N275" s="5" t="s">
        <v>1034</v>
      </c>
      <c r="O275" s="5" t="s">
        <v>61</v>
      </c>
      <c r="P275" s="5" t="s">
        <v>348</v>
      </c>
      <c r="Q275" s="9" t="s">
        <v>75</v>
      </c>
      <c r="R275" s="5" t="s">
        <v>76</v>
      </c>
      <c r="S275" s="5" t="s">
        <v>64</v>
      </c>
      <c r="T275" s="96">
        <v>2</v>
      </c>
      <c r="U275" s="96" t="s">
        <v>77</v>
      </c>
      <c r="V275" s="96" t="s">
        <v>349</v>
      </c>
      <c r="W275" s="5" t="s">
        <v>91</v>
      </c>
      <c r="X275" s="10" t="s">
        <v>79</v>
      </c>
      <c r="Y275" s="11">
        <v>29608</v>
      </c>
      <c r="Z275" s="12">
        <v>18</v>
      </c>
      <c r="AA275" s="12">
        <v>1</v>
      </c>
      <c r="AB275" s="12">
        <v>1</v>
      </c>
      <c r="AC275" s="13">
        <v>2</v>
      </c>
      <c r="AD275" s="14">
        <f t="shared" si="10"/>
        <v>22</v>
      </c>
      <c r="AE275" s="15">
        <f t="shared" si="11"/>
        <v>9.0909090909090912E-2</v>
      </c>
      <c r="AF275" s="16">
        <v>1755</v>
      </c>
      <c r="AG275" s="16" t="s">
        <v>66</v>
      </c>
      <c r="AH275" s="17">
        <v>0</v>
      </c>
      <c r="AI275" s="18">
        <v>30</v>
      </c>
      <c r="AJ275" s="19" t="s">
        <v>350</v>
      </c>
      <c r="AK275" s="20">
        <v>0.9</v>
      </c>
      <c r="AL275" s="17" t="s">
        <v>338</v>
      </c>
      <c r="AM275" s="5" t="s">
        <v>66</v>
      </c>
      <c r="AN275" s="5" t="s">
        <v>66</v>
      </c>
      <c r="AO275" s="5" t="s">
        <v>66</v>
      </c>
      <c r="AP275" s="5" t="s">
        <v>66</v>
      </c>
      <c r="AQ275" s="5" t="s">
        <v>66</v>
      </c>
      <c r="AR275" s="5" t="s">
        <v>66</v>
      </c>
      <c r="AS275" s="5" t="s">
        <v>66</v>
      </c>
      <c r="AT275" s="5" t="s">
        <v>66</v>
      </c>
      <c r="AU275" s="5" t="s">
        <v>66</v>
      </c>
      <c r="AV275" s="5" t="s">
        <v>66</v>
      </c>
      <c r="AW275" s="5" t="s">
        <v>66</v>
      </c>
      <c r="AX275" s="5" t="s">
        <v>351</v>
      </c>
      <c r="AY275" s="5" t="s">
        <v>69</v>
      </c>
      <c r="AZ275" s="5" t="s">
        <v>145</v>
      </c>
      <c r="BA275" s="19" t="s">
        <v>352</v>
      </c>
      <c r="BB275" s="17" t="s">
        <v>353</v>
      </c>
      <c r="BC275" s="5" t="s">
        <v>354</v>
      </c>
      <c r="BD275" s="5" t="s">
        <v>355</v>
      </c>
    </row>
    <row r="276" spans="1:56" ht="60" x14ac:dyDescent="0.25">
      <c r="A276" s="78" t="s">
        <v>330</v>
      </c>
      <c r="B276" s="5" t="s">
        <v>331</v>
      </c>
      <c r="C276" s="5" t="s">
        <v>3293</v>
      </c>
      <c r="D276" s="5" t="s">
        <v>56</v>
      </c>
      <c r="E276" s="99" t="str">
        <f>VLOOKUP(D276,'Dropdown List'!$F$26:$G$40,2,0)</f>
        <v>India</v>
      </c>
      <c r="F276" s="8" t="s">
        <v>345</v>
      </c>
      <c r="G276" s="96">
        <v>5</v>
      </c>
      <c r="H276" s="5" t="s">
        <v>57</v>
      </c>
      <c r="I276" s="8" t="s">
        <v>71</v>
      </c>
      <c r="J276" s="8" t="s">
        <v>292</v>
      </c>
      <c r="K276" s="8" t="s">
        <v>787</v>
      </c>
      <c r="L276" s="8" t="s">
        <v>3295</v>
      </c>
      <c r="M276" s="8" t="s">
        <v>3296</v>
      </c>
      <c r="N276" s="5" t="s">
        <v>1034</v>
      </c>
      <c r="O276" s="5" t="s">
        <v>61</v>
      </c>
      <c r="P276" s="5" t="s">
        <v>348</v>
      </c>
      <c r="Q276" s="9" t="s">
        <v>75</v>
      </c>
      <c r="R276" s="5" t="s">
        <v>76</v>
      </c>
      <c r="S276" s="5" t="s">
        <v>64</v>
      </c>
      <c r="T276" s="96">
        <v>2</v>
      </c>
      <c r="U276" s="96" t="s">
        <v>77</v>
      </c>
      <c r="V276" s="96" t="s">
        <v>349</v>
      </c>
      <c r="W276" s="5" t="s">
        <v>91</v>
      </c>
      <c r="X276" s="10" t="s">
        <v>79</v>
      </c>
      <c r="Y276" s="11">
        <v>29608</v>
      </c>
      <c r="Z276" s="12">
        <v>1</v>
      </c>
      <c r="AA276" s="12">
        <v>0</v>
      </c>
      <c r="AB276" s="12">
        <v>0</v>
      </c>
      <c r="AC276" s="13">
        <v>1</v>
      </c>
      <c r="AD276" s="14">
        <f t="shared" si="10"/>
        <v>2</v>
      </c>
      <c r="AE276" s="15">
        <f t="shared" si="11"/>
        <v>0.5</v>
      </c>
      <c r="AF276" s="16">
        <v>15</v>
      </c>
      <c r="AG276" s="16" t="s">
        <v>66</v>
      </c>
      <c r="AH276" s="17" t="s">
        <v>66</v>
      </c>
      <c r="AI276" s="18">
        <v>60</v>
      </c>
      <c r="AJ276" s="19" t="s">
        <v>869</v>
      </c>
      <c r="AK276" s="20">
        <v>0.9</v>
      </c>
      <c r="AL276" s="17" t="s">
        <v>338</v>
      </c>
      <c r="AM276" s="5" t="s">
        <v>66</v>
      </c>
      <c r="AN276" s="5" t="s">
        <v>66</v>
      </c>
      <c r="AO276" s="5" t="s">
        <v>66</v>
      </c>
      <c r="AP276" s="5" t="s">
        <v>66</v>
      </c>
      <c r="AQ276" s="5" t="s">
        <v>66</v>
      </c>
      <c r="AR276" s="5" t="s">
        <v>66</v>
      </c>
      <c r="AS276" s="5" t="s">
        <v>66</v>
      </c>
      <c r="AT276" s="5" t="s">
        <v>66</v>
      </c>
      <c r="AU276" s="5" t="s">
        <v>66</v>
      </c>
      <c r="AV276" s="5" t="s">
        <v>66</v>
      </c>
      <c r="AW276" s="5" t="s">
        <v>66</v>
      </c>
      <c r="AX276" s="5" t="s">
        <v>351</v>
      </c>
      <c r="AY276" s="5" t="s">
        <v>69</v>
      </c>
      <c r="AZ276" s="5" t="s">
        <v>145</v>
      </c>
      <c r="BA276" s="19" t="s">
        <v>352</v>
      </c>
      <c r="BB276" s="17" t="s">
        <v>353</v>
      </c>
      <c r="BC276" s="5" t="s">
        <v>354</v>
      </c>
      <c r="BD276" s="5" t="s">
        <v>355</v>
      </c>
    </row>
    <row r="277" spans="1:56" ht="60" x14ac:dyDescent="0.25">
      <c r="A277" s="78" t="s">
        <v>330</v>
      </c>
      <c r="B277" s="5" t="s">
        <v>331</v>
      </c>
      <c r="C277" s="5" t="s">
        <v>3293</v>
      </c>
      <c r="D277" s="5" t="s">
        <v>56</v>
      </c>
      <c r="E277" s="99" t="str">
        <f>VLOOKUP(D277,'Dropdown List'!$F$26:$G$40,2,0)</f>
        <v>India</v>
      </c>
      <c r="F277" s="8" t="s">
        <v>345</v>
      </c>
      <c r="G277" s="96">
        <v>5</v>
      </c>
      <c r="H277" s="5" t="s">
        <v>57</v>
      </c>
      <c r="I277" s="8" t="s">
        <v>71</v>
      </c>
      <c r="J277" s="8" t="s">
        <v>167</v>
      </c>
      <c r="K277" s="8" t="s">
        <v>2794</v>
      </c>
      <c r="L277" s="8" t="s">
        <v>3297</v>
      </c>
      <c r="M277" s="8" t="s">
        <v>3298</v>
      </c>
      <c r="N277" s="5" t="s">
        <v>1034</v>
      </c>
      <c r="O277" s="5" t="s">
        <v>61</v>
      </c>
      <c r="P277" s="5" t="s">
        <v>348</v>
      </c>
      <c r="Q277" s="9" t="s">
        <v>75</v>
      </c>
      <c r="R277" s="5" t="s">
        <v>76</v>
      </c>
      <c r="S277" s="5" t="s">
        <v>64</v>
      </c>
      <c r="T277" s="96">
        <v>2</v>
      </c>
      <c r="U277" s="96" t="s">
        <v>77</v>
      </c>
      <c r="V277" s="96" t="s">
        <v>349</v>
      </c>
      <c r="W277" s="5" t="s">
        <v>91</v>
      </c>
      <c r="X277" s="10" t="s">
        <v>79</v>
      </c>
      <c r="Y277" s="11">
        <v>29608</v>
      </c>
      <c r="Z277" s="12">
        <v>2</v>
      </c>
      <c r="AA277" s="12">
        <v>0</v>
      </c>
      <c r="AB277" s="12">
        <v>0</v>
      </c>
      <c r="AC277" s="13">
        <v>0</v>
      </c>
      <c r="AD277" s="14">
        <f t="shared" si="10"/>
        <v>2</v>
      </c>
      <c r="AE277" s="15">
        <f t="shared" si="11"/>
        <v>0</v>
      </c>
      <c r="AF277" s="16">
        <v>400</v>
      </c>
      <c r="AG277" s="16" t="s">
        <v>66</v>
      </c>
      <c r="AH277" s="17" t="s">
        <v>66</v>
      </c>
      <c r="AI277" s="18">
        <v>15</v>
      </c>
      <c r="AJ277" s="19" t="s">
        <v>3299</v>
      </c>
      <c r="AK277" s="20">
        <v>0.9</v>
      </c>
      <c r="AL277" s="17" t="s">
        <v>338</v>
      </c>
      <c r="AM277" s="5" t="s">
        <v>66</v>
      </c>
      <c r="AN277" s="5" t="s">
        <v>66</v>
      </c>
      <c r="AO277" s="5" t="s">
        <v>66</v>
      </c>
      <c r="AP277" s="5" t="s">
        <v>66</v>
      </c>
      <c r="AQ277" s="5" t="s">
        <v>66</v>
      </c>
      <c r="AR277" s="5" t="s">
        <v>66</v>
      </c>
      <c r="AS277" s="5" t="s">
        <v>66</v>
      </c>
      <c r="AT277" s="5" t="s">
        <v>66</v>
      </c>
      <c r="AU277" s="5" t="s">
        <v>66</v>
      </c>
      <c r="AV277" s="5" t="s">
        <v>66</v>
      </c>
      <c r="AW277" s="5" t="s">
        <v>66</v>
      </c>
      <c r="AX277" s="5" t="s">
        <v>351</v>
      </c>
      <c r="AY277" s="5" t="s">
        <v>69</v>
      </c>
      <c r="AZ277" s="5" t="s">
        <v>145</v>
      </c>
      <c r="BA277" s="19" t="s">
        <v>352</v>
      </c>
      <c r="BB277" s="17" t="s">
        <v>353</v>
      </c>
      <c r="BC277" s="5" t="s">
        <v>354</v>
      </c>
      <c r="BD277" s="5" t="s">
        <v>355</v>
      </c>
    </row>
    <row r="278" spans="1:56" ht="60" x14ac:dyDescent="0.25">
      <c r="A278" s="78" t="s">
        <v>330</v>
      </c>
      <c r="B278" s="5" t="s">
        <v>331</v>
      </c>
      <c r="C278" s="5" t="s">
        <v>3293</v>
      </c>
      <c r="D278" s="5" t="s">
        <v>56</v>
      </c>
      <c r="E278" s="99" t="str">
        <f>VLOOKUP(D278,'Dropdown List'!$F$26:$G$40,2,0)</f>
        <v>India</v>
      </c>
      <c r="F278" s="8" t="s">
        <v>345</v>
      </c>
      <c r="G278" s="96">
        <v>5</v>
      </c>
      <c r="H278" s="5" t="s">
        <v>57</v>
      </c>
      <c r="I278" s="8" t="s">
        <v>71</v>
      </c>
      <c r="J278" s="8" t="s">
        <v>112</v>
      </c>
      <c r="K278" s="8" t="s">
        <v>356</v>
      </c>
      <c r="L278" s="8" t="s">
        <v>357</v>
      </c>
      <c r="M278" s="8" t="s">
        <v>358</v>
      </c>
      <c r="N278" s="5" t="s">
        <v>1034</v>
      </c>
      <c r="O278" s="5" t="s">
        <v>61</v>
      </c>
      <c r="P278" s="5" t="s">
        <v>348</v>
      </c>
      <c r="Q278" s="9" t="s">
        <v>75</v>
      </c>
      <c r="R278" s="5" t="s">
        <v>76</v>
      </c>
      <c r="S278" s="5" t="s">
        <v>64</v>
      </c>
      <c r="T278" s="96">
        <v>2</v>
      </c>
      <c r="U278" s="96" t="s">
        <v>77</v>
      </c>
      <c r="V278" s="96" t="s">
        <v>349</v>
      </c>
      <c r="W278" s="5" t="s">
        <v>91</v>
      </c>
      <c r="X278" s="10" t="s">
        <v>79</v>
      </c>
      <c r="Y278" s="11">
        <v>29608</v>
      </c>
      <c r="Z278" s="12">
        <v>3</v>
      </c>
      <c r="AA278" s="12">
        <v>0</v>
      </c>
      <c r="AB278" s="12">
        <v>0</v>
      </c>
      <c r="AC278" s="13">
        <v>1</v>
      </c>
      <c r="AD278" s="14">
        <f t="shared" si="10"/>
        <v>4</v>
      </c>
      <c r="AE278" s="15">
        <f t="shared" si="11"/>
        <v>0.25</v>
      </c>
      <c r="AF278" s="16">
        <v>550</v>
      </c>
      <c r="AG278" s="16" t="s">
        <v>66</v>
      </c>
      <c r="AH278" s="17" t="s">
        <v>66</v>
      </c>
      <c r="AI278" s="18">
        <v>20</v>
      </c>
      <c r="AJ278" s="19" t="s">
        <v>359</v>
      </c>
      <c r="AK278" s="20">
        <v>0.9</v>
      </c>
      <c r="AL278" s="17" t="s">
        <v>338</v>
      </c>
      <c r="AM278" s="5" t="s">
        <v>66</v>
      </c>
      <c r="AN278" s="5" t="s">
        <v>66</v>
      </c>
      <c r="AO278" s="5" t="s">
        <v>66</v>
      </c>
      <c r="AP278" s="5" t="s">
        <v>66</v>
      </c>
      <c r="AQ278" s="5" t="s">
        <v>66</v>
      </c>
      <c r="AR278" s="5" t="s">
        <v>66</v>
      </c>
      <c r="AS278" s="5" t="s">
        <v>66</v>
      </c>
      <c r="AT278" s="5" t="s">
        <v>66</v>
      </c>
      <c r="AU278" s="5" t="s">
        <v>66</v>
      </c>
      <c r="AV278" s="5" t="s">
        <v>66</v>
      </c>
      <c r="AW278" s="5" t="s">
        <v>66</v>
      </c>
      <c r="AX278" s="5" t="s">
        <v>351</v>
      </c>
      <c r="AY278" s="5" t="s">
        <v>69</v>
      </c>
      <c r="AZ278" s="5" t="s">
        <v>145</v>
      </c>
      <c r="BA278" s="19" t="s">
        <v>352</v>
      </c>
      <c r="BB278" s="17" t="s">
        <v>65</v>
      </c>
      <c r="BC278" s="5" t="s">
        <v>360</v>
      </c>
      <c r="BD278" s="5" t="s">
        <v>355</v>
      </c>
    </row>
    <row r="279" spans="1:56" ht="60" x14ac:dyDescent="0.25">
      <c r="A279" s="78" t="s">
        <v>330</v>
      </c>
      <c r="B279" s="5" t="s">
        <v>331</v>
      </c>
      <c r="C279" s="5" t="s">
        <v>3293</v>
      </c>
      <c r="D279" s="5" t="s">
        <v>56</v>
      </c>
      <c r="E279" s="99" t="str">
        <f>VLOOKUP(D279,'Dropdown List'!$F$26:$G$40,2,0)</f>
        <v>India</v>
      </c>
      <c r="F279" s="8" t="s">
        <v>345</v>
      </c>
      <c r="G279" s="96">
        <v>5</v>
      </c>
      <c r="H279" s="5" t="s">
        <v>57</v>
      </c>
      <c r="I279" s="8" t="s">
        <v>71</v>
      </c>
      <c r="J279" s="8" t="s">
        <v>112</v>
      </c>
      <c r="K279" s="8" t="s">
        <v>361</v>
      </c>
      <c r="L279" s="8" t="s">
        <v>362</v>
      </c>
      <c r="M279" s="8" t="s">
        <v>363</v>
      </c>
      <c r="N279" s="5" t="s">
        <v>1034</v>
      </c>
      <c r="O279" s="5" t="s">
        <v>61</v>
      </c>
      <c r="P279" s="5" t="s">
        <v>348</v>
      </c>
      <c r="Q279" s="9" t="s">
        <v>75</v>
      </c>
      <c r="R279" s="5" t="s">
        <v>76</v>
      </c>
      <c r="S279" s="5" t="s">
        <v>64</v>
      </c>
      <c r="T279" s="96">
        <v>2</v>
      </c>
      <c r="U279" s="96" t="s">
        <v>77</v>
      </c>
      <c r="V279" s="96" t="s">
        <v>349</v>
      </c>
      <c r="W279" s="5" t="s">
        <v>91</v>
      </c>
      <c r="X279" s="10" t="s">
        <v>79</v>
      </c>
      <c r="Y279" s="11">
        <v>29608</v>
      </c>
      <c r="Z279" s="12">
        <v>1</v>
      </c>
      <c r="AA279" s="12">
        <v>0</v>
      </c>
      <c r="AB279" s="12">
        <v>0</v>
      </c>
      <c r="AC279" s="13">
        <v>0</v>
      </c>
      <c r="AD279" s="14">
        <f t="shared" si="10"/>
        <v>1</v>
      </c>
      <c r="AE279" s="15">
        <f t="shared" si="11"/>
        <v>0</v>
      </c>
      <c r="AF279" s="16">
        <v>40</v>
      </c>
      <c r="AG279" s="16" t="s">
        <v>66</v>
      </c>
      <c r="AH279" s="17" t="s">
        <v>66</v>
      </c>
      <c r="AI279" s="18">
        <v>15</v>
      </c>
      <c r="AJ279" s="19" t="s">
        <v>364</v>
      </c>
      <c r="AK279" s="20">
        <v>0.9</v>
      </c>
      <c r="AL279" s="17" t="s">
        <v>338</v>
      </c>
      <c r="AM279" s="5" t="s">
        <v>66</v>
      </c>
      <c r="AN279" s="5" t="s">
        <v>66</v>
      </c>
      <c r="AO279" s="5" t="s">
        <v>66</v>
      </c>
      <c r="AP279" s="5" t="s">
        <v>66</v>
      </c>
      <c r="AQ279" s="5" t="s">
        <v>66</v>
      </c>
      <c r="AR279" s="5" t="s">
        <v>66</v>
      </c>
      <c r="AS279" s="5" t="s">
        <v>66</v>
      </c>
      <c r="AT279" s="5" t="s">
        <v>66</v>
      </c>
      <c r="AU279" s="5" t="s">
        <v>66</v>
      </c>
      <c r="AV279" s="5" t="s">
        <v>66</v>
      </c>
      <c r="AW279" s="5" t="s">
        <v>66</v>
      </c>
      <c r="AX279" s="5" t="s">
        <v>351</v>
      </c>
      <c r="AY279" s="5" t="s">
        <v>69</v>
      </c>
      <c r="AZ279" s="5" t="s">
        <v>145</v>
      </c>
      <c r="BA279" s="19" t="s">
        <v>352</v>
      </c>
      <c r="BB279" s="17" t="s">
        <v>65</v>
      </c>
      <c r="BC279" s="5" t="s">
        <v>360</v>
      </c>
      <c r="BD279" s="5" t="s">
        <v>355</v>
      </c>
    </row>
    <row r="280" spans="1:56" ht="72" x14ac:dyDescent="0.25">
      <c r="A280" s="78" t="s">
        <v>330</v>
      </c>
      <c r="B280" s="5" t="s">
        <v>331</v>
      </c>
      <c r="C280" s="5" t="s">
        <v>3293</v>
      </c>
      <c r="D280" s="5" t="s">
        <v>56</v>
      </c>
      <c r="E280" s="99" t="str">
        <f>VLOOKUP(D280,'Dropdown List'!$F$26:$G$40,2,0)</f>
        <v>India</v>
      </c>
      <c r="F280" s="8" t="s">
        <v>345</v>
      </c>
      <c r="G280" s="96">
        <v>5</v>
      </c>
      <c r="H280" s="5" t="s">
        <v>57</v>
      </c>
      <c r="I280" s="8" t="s">
        <v>71</v>
      </c>
      <c r="J280" s="8" t="s">
        <v>292</v>
      </c>
      <c r="K280" s="8" t="s">
        <v>365</v>
      </c>
      <c r="L280" s="8" t="s">
        <v>366</v>
      </c>
      <c r="M280" s="8" t="s">
        <v>367</v>
      </c>
      <c r="N280" s="5" t="s">
        <v>1034</v>
      </c>
      <c r="O280" s="5" t="s">
        <v>61</v>
      </c>
      <c r="P280" s="5" t="s">
        <v>348</v>
      </c>
      <c r="Q280" s="9" t="s">
        <v>75</v>
      </c>
      <c r="R280" s="5" t="s">
        <v>76</v>
      </c>
      <c r="S280" s="5" t="s">
        <v>64</v>
      </c>
      <c r="T280" s="96">
        <v>2</v>
      </c>
      <c r="U280" s="96" t="s">
        <v>77</v>
      </c>
      <c r="V280" s="96" t="s">
        <v>349</v>
      </c>
      <c r="W280" s="5" t="s">
        <v>91</v>
      </c>
      <c r="X280" s="10" t="s">
        <v>79</v>
      </c>
      <c r="Y280" s="11">
        <v>29608</v>
      </c>
      <c r="Z280" s="12">
        <v>7</v>
      </c>
      <c r="AA280" s="12">
        <v>1</v>
      </c>
      <c r="AB280" s="12">
        <v>1</v>
      </c>
      <c r="AC280" s="13">
        <v>0</v>
      </c>
      <c r="AD280" s="14">
        <f t="shared" si="10"/>
        <v>9</v>
      </c>
      <c r="AE280" s="15">
        <f t="shared" si="11"/>
        <v>0</v>
      </c>
      <c r="AF280" s="16">
        <v>412</v>
      </c>
      <c r="AG280" s="16" t="s">
        <v>66</v>
      </c>
      <c r="AH280" s="17" t="s">
        <v>66</v>
      </c>
      <c r="AI280" s="18">
        <v>61</v>
      </c>
      <c r="AJ280" s="19" t="s">
        <v>368</v>
      </c>
      <c r="AK280" s="20">
        <v>0.9</v>
      </c>
      <c r="AL280" s="17" t="s">
        <v>338</v>
      </c>
      <c r="AM280" s="5" t="s">
        <v>66</v>
      </c>
      <c r="AN280" s="5" t="s">
        <v>66</v>
      </c>
      <c r="AO280" s="5" t="s">
        <v>66</v>
      </c>
      <c r="AP280" s="5" t="s">
        <v>66</v>
      </c>
      <c r="AQ280" s="5" t="s">
        <v>66</v>
      </c>
      <c r="AR280" s="5" t="s">
        <v>66</v>
      </c>
      <c r="AS280" s="5" t="s">
        <v>66</v>
      </c>
      <c r="AT280" s="5" t="s">
        <v>66</v>
      </c>
      <c r="AU280" s="5" t="s">
        <v>66</v>
      </c>
      <c r="AV280" s="5" t="s">
        <v>66</v>
      </c>
      <c r="AW280" s="5" t="s">
        <v>66</v>
      </c>
      <c r="AX280" s="5" t="s">
        <v>351</v>
      </c>
      <c r="AY280" s="5" t="s">
        <v>69</v>
      </c>
      <c r="AZ280" s="5" t="s">
        <v>145</v>
      </c>
      <c r="BA280" s="19" t="s">
        <v>352</v>
      </c>
      <c r="BB280" s="17" t="s">
        <v>65</v>
      </c>
      <c r="BC280" s="5" t="s">
        <v>360</v>
      </c>
      <c r="BD280" s="5" t="s">
        <v>355</v>
      </c>
    </row>
    <row r="281" spans="1:56" ht="60" x14ac:dyDescent="0.25">
      <c r="A281" s="78" t="s">
        <v>330</v>
      </c>
      <c r="B281" s="5" t="s">
        <v>331</v>
      </c>
      <c r="C281" s="5" t="s">
        <v>3293</v>
      </c>
      <c r="D281" s="5" t="s">
        <v>56</v>
      </c>
      <c r="E281" s="99" t="str">
        <f>VLOOKUP(D281,'Dropdown List'!$F$26:$G$40,2,0)</f>
        <v>India</v>
      </c>
      <c r="F281" s="8" t="s">
        <v>345</v>
      </c>
      <c r="G281" s="96">
        <v>5</v>
      </c>
      <c r="H281" s="5" t="s">
        <v>57</v>
      </c>
      <c r="I281" s="8" t="s">
        <v>71</v>
      </c>
      <c r="J281" s="8" t="s">
        <v>102</v>
      </c>
      <c r="K281" s="8" t="s">
        <v>369</v>
      </c>
      <c r="L281" s="8" t="s">
        <v>370</v>
      </c>
      <c r="M281" s="8" t="s">
        <v>371</v>
      </c>
      <c r="N281" s="5" t="s">
        <v>1034</v>
      </c>
      <c r="O281" s="5" t="s">
        <v>61</v>
      </c>
      <c r="P281" s="5" t="s">
        <v>348</v>
      </c>
      <c r="Q281" s="9" t="s">
        <v>75</v>
      </c>
      <c r="R281" s="5" t="s">
        <v>76</v>
      </c>
      <c r="S281" s="5" t="s">
        <v>64</v>
      </c>
      <c r="T281" s="96">
        <v>2</v>
      </c>
      <c r="U281" s="96" t="s">
        <v>77</v>
      </c>
      <c r="V281" s="96" t="s">
        <v>349</v>
      </c>
      <c r="W281" s="5" t="s">
        <v>91</v>
      </c>
      <c r="X281" s="10" t="s">
        <v>79</v>
      </c>
      <c r="Y281" s="11">
        <v>29608</v>
      </c>
      <c r="Z281" s="12">
        <v>11</v>
      </c>
      <c r="AA281" s="12">
        <v>1</v>
      </c>
      <c r="AB281" s="12">
        <v>1</v>
      </c>
      <c r="AC281" s="13">
        <v>1</v>
      </c>
      <c r="AD281" s="14">
        <f t="shared" si="10"/>
        <v>14</v>
      </c>
      <c r="AE281" s="15">
        <f t="shared" si="11"/>
        <v>7.1428571428571425E-2</v>
      </c>
      <c r="AF281" s="16">
        <v>657</v>
      </c>
      <c r="AG281" s="16" t="s">
        <v>66</v>
      </c>
      <c r="AH281" s="17" t="s">
        <v>66</v>
      </c>
      <c r="AI281" s="18">
        <v>69</v>
      </c>
      <c r="AJ281" s="19" t="s">
        <v>3300</v>
      </c>
      <c r="AK281" s="20">
        <v>0.9</v>
      </c>
      <c r="AL281" s="17" t="s">
        <v>338</v>
      </c>
      <c r="AM281" s="5" t="s">
        <v>66</v>
      </c>
      <c r="AN281" s="5" t="s">
        <v>66</v>
      </c>
      <c r="AO281" s="5" t="s">
        <v>66</v>
      </c>
      <c r="AP281" s="5" t="s">
        <v>66</v>
      </c>
      <c r="AQ281" s="5" t="s">
        <v>66</v>
      </c>
      <c r="AR281" s="5" t="s">
        <v>66</v>
      </c>
      <c r="AS281" s="5" t="s">
        <v>66</v>
      </c>
      <c r="AT281" s="5" t="s">
        <v>66</v>
      </c>
      <c r="AU281" s="5" t="s">
        <v>66</v>
      </c>
      <c r="AV281" s="5" t="s">
        <v>66</v>
      </c>
      <c r="AW281" s="5" t="s">
        <v>66</v>
      </c>
      <c r="AX281" s="5" t="s">
        <v>351</v>
      </c>
      <c r="AY281" s="5" t="s">
        <v>69</v>
      </c>
      <c r="AZ281" s="5" t="s">
        <v>145</v>
      </c>
      <c r="BA281" s="19" t="s">
        <v>352</v>
      </c>
      <c r="BB281" s="17" t="s">
        <v>353</v>
      </c>
      <c r="BC281" s="5" t="s">
        <v>360</v>
      </c>
      <c r="BD281" s="5" t="s">
        <v>355</v>
      </c>
    </row>
    <row r="282" spans="1:56" ht="120" x14ac:dyDescent="0.25">
      <c r="A282" s="78" t="s">
        <v>330</v>
      </c>
      <c r="B282" s="5" t="s">
        <v>331</v>
      </c>
      <c r="C282" s="5" t="s">
        <v>3293</v>
      </c>
      <c r="D282" s="5" t="s">
        <v>56</v>
      </c>
      <c r="E282" s="99" t="str">
        <f>VLOOKUP(D282,'Dropdown List'!$F$26:$G$40,2,0)</f>
        <v>India</v>
      </c>
      <c r="F282" s="8" t="s">
        <v>345</v>
      </c>
      <c r="G282" s="96">
        <v>5</v>
      </c>
      <c r="H282" s="5" t="s">
        <v>57</v>
      </c>
      <c r="I282" s="8" t="s">
        <v>71</v>
      </c>
      <c r="J282" s="8" t="s">
        <v>2702</v>
      </c>
      <c r="K282" s="8" t="s">
        <v>372</v>
      </c>
      <c r="L282" s="8" t="s">
        <v>373</v>
      </c>
      <c r="M282" s="8" t="s">
        <v>374</v>
      </c>
      <c r="N282" s="5" t="s">
        <v>1034</v>
      </c>
      <c r="O282" s="5" t="s">
        <v>61</v>
      </c>
      <c r="P282" s="5" t="s">
        <v>348</v>
      </c>
      <c r="Q282" s="9" t="s">
        <v>75</v>
      </c>
      <c r="R282" s="5" t="s">
        <v>76</v>
      </c>
      <c r="S282" s="5" t="s">
        <v>64</v>
      </c>
      <c r="T282" s="96">
        <v>2</v>
      </c>
      <c r="U282" s="96" t="s">
        <v>77</v>
      </c>
      <c r="V282" s="96" t="s">
        <v>349</v>
      </c>
      <c r="W282" s="5" t="s">
        <v>91</v>
      </c>
      <c r="X282" s="10" t="s">
        <v>79</v>
      </c>
      <c r="Y282" s="11">
        <v>29608</v>
      </c>
      <c r="Z282" s="12">
        <v>17</v>
      </c>
      <c r="AA282" s="12">
        <v>1</v>
      </c>
      <c r="AB282" s="12">
        <v>0</v>
      </c>
      <c r="AC282" s="13">
        <v>3</v>
      </c>
      <c r="AD282" s="14">
        <f t="shared" si="10"/>
        <v>21</v>
      </c>
      <c r="AE282" s="15">
        <f t="shared" si="11"/>
        <v>0.14285714285714285</v>
      </c>
      <c r="AF282" s="16">
        <v>746</v>
      </c>
      <c r="AG282" s="16" t="s">
        <v>66</v>
      </c>
      <c r="AH282" s="17" t="s">
        <v>66</v>
      </c>
      <c r="AI282" s="18">
        <v>82</v>
      </c>
      <c r="AJ282" s="19" t="s">
        <v>375</v>
      </c>
      <c r="AK282" s="20">
        <v>0.9</v>
      </c>
      <c r="AL282" s="17" t="s">
        <v>338</v>
      </c>
      <c r="AM282" s="5" t="s">
        <v>66</v>
      </c>
      <c r="AN282" s="5" t="s">
        <v>66</v>
      </c>
      <c r="AO282" s="5" t="s">
        <v>66</v>
      </c>
      <c r="AP282" s="5" t="s">
        <v>66</v>
      </c>
      <c r="AQ282" s="5" t="s">
        <v>66</v>
      </c>
      <c r="AR282" s="5" t="s">
        <v>66</v>
      </c>
      <c r="AS282" s="5" t="s">
        <v>66</v>
      </c>
      <c r="AT282" s="5" t="s">
        <v>66</v>
      </c>
      <c r="AU282" s="5" t="s">
        <v>66</v>
      </c>
      <c r="AV282" s="5" t="s">
        <v>66</v>
      </c>
      <c r="AW282" s="5" t="s">
        <v>66</v>
      </c>
      <c r="AX282" s="5" t="s">
        <v>351</v>
      </c>
      <c r="AY282" s="5" t="s">
        <v>69</v>
      </c>
      <c r="AZ282" s="5" t="s">
        <v>145</v>
      </c>
      <c r="BA282" s="19" t="s">
        <v>352</v>
      </c>
      <c r="BB282" s="17" t="s">
        <v>353</v>
      </c>
      <c r="BC282" s="5" t="s">
        <v>360</v>
      </c>
      <c r="BD282" s="5" t="s">
        <v>355</v>
      </c>
    </row>
    <row r="283" spans="1:56" ht="60" x14ac:dyDescent="0.25">
      <c r="A283" s="78" t="s">
        <v>330</v>
      </c>
      <c r="B283" s="5" t="s">
        <v>331</v>
      </c>
      <c r="C283" s="5" t="s">
        <v>3293</v>
      </c>
      <c r="D283" s="5" t="s">
        <v>56</v>
      </c>
      <c r="E283" s="99" t="str">
        <f>VLOOKUP(D283,'Dropdown List'!$F$26:$G$40,2,0)</f>
        <v>India</v>
      </c>
      <c r="F283" s="8" t="s">
        <v>345</v>
      </c>
      <c r="G283" s="96">
        <v>5</v>
      </c>
      <c r="H283" s="5" t="s">
        <v>57</v>
      </c>
      <c r="I283" s="8" t="s">
        <v>71</v>
      </c>
      <c r="J283" s="8" t="s">
        <v>2702</v>
      </c>
      <c r="K283" s="8" t="s">
        <v>376</v>
      </c>
      <c r="L283" s="8" t="s">
        <v>377</v>
      </c>
      <c r="M283" s="8" t="s">
        <v>378</v>
      </c>
      <c r="N283" s="5" t="s">
        <v>1034</v>
      </c>
      <c r="O283" s="5" t="s">
        <v>61</v>
      </c>
      <c r="P283" s="5" t="s">
        <v>348</v>
      </c>
      <c r="Q283" s="9" t="s">
        <v>75</v>
      </c>
      <c r="R283" s="5" t="s">
        <v>76</v>
      </c>
      <c r="S283" s="5" t="s">
        <v>64</v>
      </c>
      <c r="T283" s="96">
        <v>2</v>
      </c>
      <c r="U283" s="96" t="s">
        <v>77</v>
      </c>
      <c r="V283" s="96" t="s">
        <v>349</v>
      </c>
      <c r="W283" s="5" t="s">
        <v>91</v>
      </c>
      <c r="X283" s="10" t="s">
        <v>79</v>
      </c>
      <c r="Y283" s="11">
        <v>27255</v>
      </c>
      <c r="Z283" s="12">
        <v>53</v>
      </c>
      <c r="AA283" s="12">
        <v>1</v>
      </c>
      <c r="AB283" s="12">
        <v>3</v>
      </c>
      <c r="AC283" s="13">
        <v>2</v>
      </c>
      <c r="AD283" s="14">
        <f t="shared" si="10"/>
        <v>59</v>
      </c>
      <c r="AE283" s="15">
        <f t="shared" si="11"/>
        <v>3.3898305084745763E-2</v>
      </c>
      <c r="AF283" s="16">
        <v>11718</v>
      </c>
      <c r="AG283" s="16" t="s">
        <v>66</v>
      </c>
      <c r="AH283" s="17" t="s">
        <v>379</v>
      </c>
      <c r="AI283" s="18">
        <v>22</v>
      </c>
      <c r="AJ283" s="19" t="s">
        <v>380</v>
      </c>
      <c r="AK283" s="20">
        <v>0.9</v>
      </c>
      <c r="AL283" s="17" t="s">
        <v>338</v>
      </c>
      <c r="AM283" s="5" t="s">
        <v>66</v>
      </c>
      <c r="AN283" s="5" t="s">
        <v>66</v>
      </c>
      <c r="AO283" s="5" t="s">
        <v>381</v>
      </c>
      <c r="AP283" s="5" t="s">
        <v>66</v>
      </c>
      <c r="AQ283" s="5" t="s">
        <v>66</v>
      </c>
      <c r="AR283" s="5" t="s">
        <v>382</v>
      </c>
      <c r="AS283" s="5" t="s">
        <v>383</v>
      </c>
      <c r="AT283" s="5" t="s">
        <v>66</v>
      </c>
      <c r="AU283" s="5" t="s">
        <v>66</v>
      </c>
      <c r="AV283" s="5" t="s">
        <v>66</v>
      </c>
      <c r="AW283" s="5" t="s">
        <v>66</v>
      </c>
      <c r="AX283" s="5" t="s">
        <v>384</v>
      </c>
      <c r="AY283" s="5" t="s">
        <v>69</v>
      </c>
      <c r="AZ283" s="5" t="s">
        <v>145</v>
      </c>
      <c r="BA283" s="19" t="s">
        <v>352</v>
      </c>
      <c r="BB283" s="17" t="s">
        <v>353</v>
      </c>
      <c r="BC283" s="5" t="s">
        <v>360</v>
      </c>
      <c r="BD283" s="5" t="s">
        <v>385</v>
      </c>
    </row>
    <row r="284" spans="1:56" ht="60" hidden="1" x14ac:dyDescent="0.25">
      <c r="A284" s="78" t="s">
        <v>330</v>
      </c>
      <c r="B284" s="5" t="s">
        <v>331</v>
      </c>
      <c r="C284" s="5" t="s">
        <v>3293</v>
      </c>
      <c r="D284" s="5" t="s">
        <v>56</v>
      </c>
      <c r="E284" s="99" t="str">
        <f>VLOOKUP(D284,'Dropdown List'!$F$26:$G$40,2,0)</f>
        <v>India</v>
      </c>
      <c r="F284" s="8" t="s">
        <v>345</v>
      </c>
      <c r="G284" s="96">
        <v>5</v>
      </c>
      <c r="H284" s="5" t="s">
        <v>57</v>
      </c>
      <c r="I284" s="8" t="s">
        <v>58</v>
      </c>
      <c r="J284" s="8" t="s">
        <v>146</v>
      </c>
      <c r="K284" s="8" t="s">
        <v>147</v>
      </c>
      <c r="L284" s="8" t="s">
        <v>386</v>
      </c>
      <c r="M284" s="8" t="s">
        <v>387</v>
      </c>
      <c r="N284" s="5" t="s">
        <v>1034</v>
      </c>
      <c r="O284" s="5" t="s">
        <v>61</v>
      </c>
      <c r="P284" s="5" t="s">
        <v>388</v>
      </c>
      <c r="Q284" s="9" t="s">
        <v>75</v>
      </c>
      <c r="R284" s="5" t="s">
        <v>76</v>
      </c>
      <c r="S284" s="5" t="s">
        <v>64</v>
      </c>
      <c r="T284" s="96">
        <v>2</v>
      </c>
      <c r="U284" s="96" t="s">
        <v>77</v>
      </c>
      <c r="V284" s="96" t="s">
        <v>349</v>
      </c>
      <c r="W284" s="5" t="s">
        <v>91</v>
      </c>
      <c r="X284" s="10" t="s">
        <v>79</v>
      </c>
      <c r="Y284" s="11">
        <v>35028.25</v>
      </c>
      <c r="Z284" s="12">
        <v>11</v>
      </c>
      <c r="AA284" s="12">
        <v>1</v>
      </c>
      <c r="AB284" s="12">
        <v>1</v>
      </c>
      <c r="AC284" s="13">
        <v>2</v>
      </c>
      <c r="AD284" s="14">
        <f t="shared" si="10"/>
        <v>15</v>
      </c>
      <c r="AE284" s="15">
        <f t="shared" si="11"/>
        <v>0.13333333333333333</v>
      </c>
      <c r="AF284" s="16">
        <v>2050</v>
      </c>
      <c r="AG284" s="16" t="s">
        <v>66</v>
      </c>
      <c r="AH284" s="17" t="s">
        <v>389</v>
      </c>
      <c r="AI284" s="18">
        <v>20</v>
      </c>
      <c r="AJ284" s="19" t="s">
        <v>380</v>
      </c>
      <c r="AK284" s="20">
        <v>0.9</v>
      </c>
      <c r="AL284" s="17" t="s">
        <v>1276</v>
      </c>
      <c r="AM284" s="5" t="s">
        <v>66</v>
      </c>
      <c r="AN284" s="5" t="s">
        <v>66</v>
      </c>
      <c r="AO284" s="5" t="s">
        <v>66</v>
      </c>
      <c r="AP284" s="5" t="s">
        <v>66</v>
      </c>
      <c r="AQ284" s="5" t="s">
        <v>66</v>
      </c>
      <c r="AR284" s="5" t="s">
        <v>66</v>
      </c>
      <c r="AS284" s="5" t="s">
        <v>66</v>
      </c>
      <c r="AT284" s="5" t="s">
        <v>390</v>
      </c>
      <c r="AU284" s="5" t="s">
        <v>391</v>
      </c>
      <c r="AV284" s="5" t="s">
        <v>392</v>
      </c>
      <c r="AW284" s="5" t="s">
        <v>66</v>
      </c>
      <c r="AX284" s="5" t="s">
        <v>393</v>
      </c>
      <c r="AY284" s="5" t="s">
        <v>69</v>
      </c>
      <c r="AZ284" s="5" t="s">
        <v>145</v>
      </c>
      <c r="BA284" s="19" t="s">
        <v>352</v>
      </c>
      <c r="BB284" s="17" t="s">
        <v>65</v>
      </c>
      <c r="BC284" s="5" t="s">
        <v>394</v>
      </c>
      <c r="BD284" s="5" t="s">
        <v>395</v>
      </c>
    </row>
    <row r="285" spans="1:56" ht="60" hidden="1" x14ac:dyDescent="0.25">
      <c r="A285" s="78" t="s">
        <v>330</v>
      </c>
      <c r="B285" s="5" t="s">
        <v>331</v>
      </c>
      <c r="C285" s="5" t="s">
        <v>3293</v>
      </c>
      <c r="D285" s="5" t="s">
        <v>56</v>
      </c>
      <c r="E285" s="99" t="str">
        <f>VLOOKUP(D285,'Dropdown List'!$F$26:$G$40,2,0)</f>
        <v>India</v>
      </c>
      <c r="F285" s="8" t="s">
        <v>345</v>
      </c>
      <c r="G285" s="96">
        <v>5</v>
      </c>
      <c r="H285" s="5" t="s">
        <v>57</v>
      </c>
      <c r="I285" s="8" t="s">
        <v>58</v>
      </c>
      <c r="J285" s="8" t="s">
        <v>396</v>
      </c>
      <c r="K285" s="8" t="s">
        <v>397</v>
      </c>
      <c r="L285" s="8" t="s">
        <v>222</v>
      </c>
      <c r="M285" s="8" t="s">
        <v>398</v>
      </c>
      <c r="N285" s="5" t="s">
        <v>1034</v>
      </c>
      <c r="O285" s="5" t="s">
        <v>61</v>
      </c>
      <c r="P285" s="5" t="s">
        <v>388</v>
      </c>
      <c r="Q285" s="9" t="s">
        <v>75</v>
      </c>
      <c r="R285" s="5" t="s">
        <v>76</v>
      </c>
      <c r="S285" s="5" t="s">
        <v>64</v>
      </c>
      <c r="T285" s="96">
        <v>2</v>
      </c>
      <c r="U285" s="96">
        <v>2</v>
      </c>
      <c r="V285" s="96">
        <v>2</v>
      </c>
      <c r="W285" s="5" t="s">
        <v>91</v>
      </c>
      <c r="X285" s="10" t="s">
        <v>79</v>
      </c>
      <c r="Y285" s="11">
        <v>35028</v>
      </c>
      <c r="Z285" s="12">
        <v>2</v>
      </c>
      <c r="AA285" s="12">
        <v>0</v>
      </c>
      <c r="AB285" s="12">
        <v>1</v>
      </c>
      <c r="AC285" s="13">
        <v>1</v>
      </c>
      <c r="AD285" s="14">
        <f t="shared" si="10"/>
        <v>4</v>
      </c>
      <c r="AE285" s="15">
        <f t="shared" si="11"/>
        <v>0.25</v>
      </c>
      <c r="AF285" s="16">
        <v>1400</v>
      </c>
      <c r="AG285" s="16" t="s">
        <v>66</v>
      </c>
      <c r="AH285" s="17" t="s">
        <v>66</v>
      </c>
      <c r="AI285" s="18">
        <v>20</v>
      </c>
      <c r="AJ285" s="19" t="s">
        <v>399</v>
      </c>
      <c r="AK285" s="20">
        <v>0.9</v>
      </c>
      <c r="AL285" s="17" t="s">
        <v>1276</v>
      </c>
      <c r="AM285" s="5" t="s">
        <v>66</v>
      </c>
      <c r="AN285" s="5" t="s">
        <v>66</v>
      </c>
      <c r="AO285" s="5" t="s">
        <v>66</v>
      </c>
      <c r="AP285" s="5" t="s">
        <v>66</v>
      </c>
      <c r="AQ285" s="5" t="s">
        <v>66</v>
      </c>
      <c r="AR285" s="5" t="s">
        <v>66</v>
      </c>
      <c r="AS285" s="5" t="s">
        <v>66</v>
      </c>
      <c r="AT285" s="5" t="s">
        <v>66</v>
      </c>
      <c r="AU285" s="5" t="s">
        <v>66</v>
      </c>
      <c r="AV285" s="5" t="s">
        <v>392</v>
      </c>
      <c r="AW285" s="5" t="s">
        <v>66</v>
      </c>
      <c r="AX285" s="5" t="s">
        <v>393</v>
      </c>
      <c r="AY285" s="5" t="s">
        <v>69</v>
      </c>
      <c r="AZ285" s="5" t="s">
        <v>145</v>
      </c>
      <c r="BA285" s="19" t="s">
        <v>352</v>
      </c>
      <c r="BB285" s="17" t="s">
        <v>65</v>
      </c>
      <c r="BC285" s="5" t="s">
        <v>394</v>
      </c>
      <c r="BD285" s="5" t="s">
        <v>400</v>
      </c>
    </row>
    <row r="286" spans="1:56" ht="96" hidden="1" x14ac:dyDescent="0.25">
      <c r="A286" s="78" t="s">
        <v>813</v>
      </c>
      <c r="B286" s="5" t="s">
        <v>814</v>
      </c>
      <c r="C286" s="5" t="s">
        <v>3293</v>
      </c>
      <c r="D286" s="5" t="s">
        <v>56</v>
      </c>
      <c r="E286" s="99" t="str">
        <f>VLOOKUP(D286,'Dropdown List'!$F$26:$G$40,2,0)</f>
        <v>India</v>
      </c>
      <c r="F286" s="8" t="s">
        <v>826</v>
      </c>
      <c r="G286" s="96">
        <v>12</v>
      </c>
      <c r="H286" s="5" t="s">
        <v>57</v>
      </c>
      <c r="I286" s="8" t="s">
        <v>71</v>
      </c>
      <c r="J286" s="8" t="s">
        <v>112</v>
      </c>
      <c r="K286" s="8" t="s">
        <v>190</v>
      </c>
      <c r="L286" s="8" t="s">
        <v>3452</v>
      </c>
      <c r="M286" s="8" t="s">
        <v>3453</v>
      </c>
      <c r="N286" s="5" t="s">
        <v>1034</v>
      </c>
      <c r="O286" s="5" t="s">
        <v>61</v>
      </c>
      <c r="P286" s="5" t="s">
        <v>827</v>
      </c>
      <c r="Q286" s="9" t="s">
        <v>172</v>
      </c>
      <c r="R286" s="5" t="s">
        <v>76</v>
      </c>
      <c r="S286" s="5" t="s">
        <v>334</v>
      </c>
      <c r="T286" s="96">
        <v>1</v>
      </c>
      <c r="U286" s="96" t="s">
        <v>271</v>
      </c>
      <c r="V286" s="96">
        <v>4</v>
      </c>
      <c r="W286" s="5" t="s">
        <v>91</v>
      </c>
      <c r="X286" s="10" t="s">
        <v>79</v>
      </c>
      <c r="Y286" s="11">
        <v>31000</v>
      </c>
      <c r="Z286" s="12">
        <v>20</v>
      </c>
      <c r="AA286" s="12">
        <v>1</v>
      </c>
      <c r="AB286" s="12">
        <v>1</v>
      </c>
      <c r="AC286" s="13">
        <v>1</v>
      </c>
      <c r="AD286" s="14">
        <f t="shared" si="10"/>
        <v>23</v>
      </c>
      <c r="AE286" s="15">
        <f t="shared" si="11"/>
        <v>4.3478260869565216E-2</v>
      </c>
      <c r="AF286" s="16">
        <v>60000</v>
      </c>
      <c r="AG286" s="16" t="s">
        <v>66</v>
      </c>
      <c r="AH286" s="17" t="s">
        <v>3454</v>
      </c>
      <c r="AI286" s="18">
        <v>10</v>
      </c>
      <c r="AJ286" s="19" t="s">
        <v>3455</v>
      </c>
      <c r="AK286" s="20">
        <v>0.92</v>
      </c>
      <c r="AL286" s="17" t="s">
        <v>261</v>
      </c>
      <c r="AM286" s="5" t="s">
        <v>66</v>
      </c>
      <c r="AN286" s="5" t="s">
        <v>66</v>
      </c>
      <c r="AO286" s="5" t="s">
        <v>66</v>
      </c>
      <c r="AP286" s="5" t="s">
        <v>66</v>
      </c>
      <c r="AQ286" s="5" t="s">
        <v>828</v>
      </c>
      <c r="AR286" s="5" t="s">
        <v>3456</v>
      </c>
      <c r="AS286" s="5">
        <v>17</v>
      </c>
      <c r="AT286" s="5" t="s">
        <v>828</v>
      </c>
      <c r="AU286" s="5" t="s">
        <v>66</v>
      </c>
      <c r="AV286" s="5" t="s">
        <v>66</v>
      </c>
      <c r="AW286" s="5" t="s">
        <v>66</v>
      </c>
      <c r="AX286" s="5" t="s">
        <v>829</v>
      </c>
      <c r="AY286" s="5" t="s">
        <v>353</v>
      </c>
      <c r="AZ286" s="5" t="s">
        <v>145</v>
      </c>
      <c r="BA286" s="19" t="s">
        <v>3457</v>
      </c>
      <c r="BB286" s="17" t="s">
        <v>353</v>
      </c>
      <c r="BC286" s="5" t="s">
        <v>830</v>
      </c>
      <c r="BD286" s="5" t="s">
        <v>3458</v>
      </c>
    </row>
    <row r="287" spans="1:56" ht="96" hidden="1" x14ac:dyDescent="0.25">
      <c r="A287" s="78" t="s">
        <v>813</v>
      </c>
      <c r="B287" s="5" t="s">
        <v>814</v>
      </c>
      <c r="C287" s="5" t="s">
        <v>3293</v>
      </c>
      <c r="D287" s="5" t="s">
        <v>252</v>
      </c>
      <c r="E287" s="99" t="str">
        <f>VLOOKUP(D287,'Dropdown List'!$F$26:$G$40,2,0)</f>
        <v>India</v>
      </c>
      <c r="F287" s="8" t="s">
        <v>826</v>
      </c>
      <c r="G287" s="96">
        <v>12</v>
      </c>
      <c r="H287" s="5" t="s">
        <v>57</v>
      </c>
      <c r="I287" s="8" t="s">
        <v>71</v>
      </c>
      <c r="J287" s="8" t="s">
        <v>112</v>
      </c>
      <c r="K287" s="8" t="s">
        <v>190</v>
      </c>
      <c r="L287" s="8" t="s">
        <v>3452</v>
      </c>
      <c r="M287" s="8" t="s">
        <v>3453</v>
      </c>
      <c r="N287" s="5" t="s">
        <v>1034</v>
      </c>
      <c r="O287" s="5" t="s">
        <v>61</v>
      </c>
      <c r="P287" s="5" t="s">
        <v>827</v>
      </c>
      <c r="Q287" s="9" t="s">
        <v>172</v>
      </c>
      <c r="R287" s="5" t="s">
        <v>76</v>
      </c>
      <c r="S287" s="5" t="s">
        <v>334</v>
      </c>
      <c r="T287" s="96">
        <v>1</v>
      </c>
      <c r="U287" s="96" t="s">
        <v>271</v>
      </c>
      <c r="V287" s="96">
        <v>4</v>
      </c>
      <c r="W287" s="5" t="s">
        <v>91</v>
      </c>
      <c r="X287" s="10" t="s">
        <v>79</v>
      </c>
      <c r="Y287" s="11">
        <v>31000</v>
      </c>
      <c r="Z287" s="12">
        <v>20</v>
      </c>
      <c r="AA287" s="12">
        <v>2</v>
      </c>
      <c r="AB287" s="12">
        <v>1</v>
      </c>
      <c r="AC287" s="13">
        <v>1</v>
      </c>
      <c r="AD287" s="14">
        <f t="shared" si="10"/>
        <v>24</v>
      </c>
      <c r="AE287" s="15">
        <f t="shared" si="11"/>
        <v>4.1666666666666664E-2</v>
      </c>
      <c r="AF287" s="16">
        <v>60000</v>
      </c>
      <c r="AG287" s="16" t="s">
        <v>66</v>
      </c>
      <c r="AH287" s="17" t="s">
        <v>3454</v>
      </c>
      <c r="AI287" s="18">
        <v>10</v>
      </c>
      <c r="AJ287" s="19" t="s">
        <v>3455</v>
      </c>
      <c r="AK287" s="20">
        <v>0.92</v>
      </c>
      <c r="AL287" s="17" t="s">
        <v>261</v>
      </c>
      <c r="AM287" s="5" t="s">
        <v>66</v>
      </c>
      <c r="AN287" s="5" t="s">
        <v>66</v>
      </c>
      <c r="AO287" s="5" t="s">
        <v>66</v>
      </c>
      <c r="AP287" s="5" t="s">
        <v>66</v>
      </c>
      <c r="AQ287" s="5" t="s">
        <v>828</v>
      </c>
      <c r="AR287" s="5" t="s">
        <v>3456</v>
      </c>
      <c r="AS287" s="5">
        <v>17</v>
      </c>
      <c r="AT287" s="5" t="s">
        <v>828</v>
      </c>
      <c r="AU287" s="5" t="s">
        <v>66</v>
      </c>
      <c r="AV287" s="5" t="s">
        <v>66</v>
      </c>
      <c r="AW287" s="5" t="s">
        <v>66</v>
      </c>
      <c r="AX287" s="5" t="s">
        <v>829</v>
      </c>
      <c r="AY287" s="5" t="s">
        <v>353</v>
      </c>
      <c r="AZ287" s="5" t="s">
        <v>145</v>
      </c>
      <c r="BA287" s="19" t="s">
        <v>3457</v>
      </c>
      <c r="BB287" s="17" t="s">
        <v>353</v>
      </c>
      <c r="BC287" s="5" t="s">
        <v>830</v>
      </c>
      <c r="BD287" s="5" t="s">
        <v>3458</v>
      </c>
    </row>
    <row r="288" spans="1:56" ht="252" hidden="1" x14ac:dyDescent="0.25">
      <c r="A288" s="78" t="s">
        <v>813</v>
      </c>
      <c r="B288" s="5" t="s">
        <v>814</v>
      </c>
      <c r="C288" s="5" t="s">
        <v>3293</v>
      </c>
      <c r="D288" s="5" t="s">
        <v>56</v>
      </c>
      <c r="E288" s="99" t="str">
        <f>VLOOKUP(D288,'Dropdown List'!$F$26:$G$40,2,0)</f>
        <v>India</v>
      </c>
      <c r="F288" s="8" t="s">
        <v>826</v>
      </c>
      <c r="G288" s="96">
        <v>12</v>
      </c>
      <c r="H288" s="5" t="s">
        <v>57</v>
      </c>
      <c r="I288" s="8" t="s">
        <v>71</v>
      </c>
      <c r="J288" s="8" t="s">
        <v>102</v>
      </c>
      <c r="K288" s="8" t="s">
        <v>611</v>
      </c>
      <c r="L288" s="8" t="s">
        <v>3459</v>
      </c>
      <c r="M288" s="8" t="s">
        <v>3460</v>
      </c>
      <c r="N288" s="5" t="s">
        <v>1034</v>
      </c>
      <c r="O288" s="5" t="s">
        <v>61</v>
      </c>
      <c r="P288" s="5" t="s">
        <v>827</v>
      </c>
      <c r="Q288" s="9" t="s">
        <v>172</v>
      </c>
      <c r="R288" s="5" t="s">
        <v>76</v>
      </c>
      <c r="S288" s="5" t="s">
        <v>64</v>
      </c>
      <c r="T288" s="96">
        <v>1</v>
      </c>
      <c r="U288" s="96" t="s">
        <v>271</v>
      </c>
      <c r="V288" s="96">
        <v>4</v>
      </c>
      <c r="W288" s="5" t="s">
        <v>91</v>
      </c>
      <c r="X288" s="10" t="s">
        <v>79</v>
      </c>
      <c r="Y288" s="11">
        <v>32000</v>
      </c>
      <c r="Z288" s="12">
        <v>67</v>
      </c>
      <c r="AA288" s="12">
        <v>8</v>
      </c>
      <c r="AB288" s="12">
        <v>1</v>
      </c>
      <c r="AC288" s="13">
        <v>20</v>
      </c>
      <c r="AD288" s="14">
        <f t="shared" si="10"/>
        <v>96</v>
      </c>
      <c r="AE288" s="15">
        <f t="shared" si="11"/>
        <v>0.20833333333333334</v>
      </c>
      <c r="AF288" s="16">
        <v>65000</v>
      </c>
      <c r="AG288" s="16" t="s">
        <v>66</v>
      </c>
      <c r="AH288" s="17" t="s">
        <v>831</v>
      </c>
      <c r="AI288" s="18">
        <v>10</v>
      </c>
      <c r="AJ288" s="19" t="s">
        <v>832</v>
      </c>
      <c r="AK288" s="20">
        <v>0.92</v>
      </c>
      <c r="AL288" s="17" t="s">
        <v>261</v>
      </c>
      <c r="AM288" s="5" t="s">
        <v>66</v>
      </c>
      <c r="AN288" s="5" t="s">
        <v>66</v>
      </c>
      <c r="AO288" s="5" t="s">
        <v>66</v>
      </c>
      <c r="AP288" s="5" t="s">
        <v>66</v>
      </c>
      <c r="AQ288" s="5" t="s">
        <v>828</v>
      </c>
      <c r="AR288" s="5" t="s">
        <v>3461</v>
      </c>
      <c r="AS288" s="5">
        <v>16</v>
      </c>
      <c r="AT288" s="5" t="s">
        <v>828</v>
      </c>
      <c r="AU288" s="5" t="s">
        <v>66</v>
      </c>
      <c r="AV288" s="5" t="s">
        <v>66</v>
      </c>
      <c r="AW288" s="5" t="s">
        <v>66</v>
      </c>
      <c r="AX288" s="5" t="s">
        <v>829</v>
      </c>
      <c r="AY288" s="5" t="s">
        <v>69</v>
      </c>
      <c r="AZ288" s="5" t="s">
        <v>145</v>
      </c>
      <c r="BA288" s="19" t="s">
        <v>66</v>
      </c>
      <c r="BB288" s="17" t="s">
        <v>65</v>
      </c>
      <c r="BC288" s="5" t="s">
        <v>830</v>
      </c>
      <c r="BD288" s="5" t="s">
        <v>833</v>
      </c>
    </row>
    <row r="289" spans="1:56" ht="36" hidden="1" x14ac:dyDescent="0.25">
      <c r="A289" s="78" t="s">
        <v>813</v>
      </c>
      <c r="B289" s="5" t="s">
        <v>814</v>
      </c>
      <c r="C289" s="5" t="s">
        <v>3293</v>
      </c>
      <c r="D289" s="5" t="s">
        <v>56</v>
      </c>
      <c r="E289" s="99" t="str">
        <f>VLOOKUP(D289,'Dropdown List'!$F$26:$G$40,2,0)</f>
        <v>India</v>
      </c>
      <c r="F289" s="8" t="s">
        <v>826</v>
      </c>
      <c r="G289" s="96">
        <v>12</v>
      </c>
      <c r="H289" s="5" t="s">
        <v>57</v>
      </c>
      <c r="I289" s="8" t="s">
        <v>71</v>
      </c>
      <c r="J289" s="8" t="s">
        <v>112</v>
      </c>
      <c r="K289" s="8" t="s">
        <v>130</v>
      </c>
      <c r="L289" s="8" t="s">
        <v>834</v>
      </c>
      <c r="M289" s="8" t="s">
        <v>835</v>
      </c>
      <c r="N289" s="5" t="s">
        <v>1034</v>
      </c>
      <c r="O289" s="5" t="s">
        <v>61</v>
      </c>
      <c r="P289" s="5" t="s">
        <v>834</v>
      </c>
      <c r="Q289" s="9" t="s">
        <v>75</v>
      </c>
      <c r="R289" s="5" t="s">
        <v>76</v>
      </c>
      <c r="S289" s="5" t="s">
        <v>334</v>
      </c>
      <c r="T289" s="96">
        <v>1</v>
      </c>
      <c r="U289" s="96" t="s">
        <v>271</v>
      </c>
      <c r="V289" s="96">
        <v>4</v>
      </c>
      <c r="W289" s="5" t="s">
        <v>91</v>
      </c>
      <c r="X289" s="10" t="s">
        <v>79</v>
      </c>
      <c r="Y289" s="11">
        <v>33000</v>
      </c>
      <c r="Z289" s="12">
        <v>2</v>
      </c>
      <c r="AA289" s="12">
        <v>1</v>
      </c>
      <c r="AB289" s="12">
        <v>0</v>
      </c>
      <c r="AC289" s="13">
        <v>1</v>
      </c>
      <c r="AD289" s="14">
        <f t="shared" si="10"/>
        <v>4</v>
      </c>
      <c r="AE289" s="15">
        <f t="shared" si="11"/>
        <v>0.25</v>
      </c>
      <c r="AF289" s="16">
        <v>250</v>
      </c>
      <c r="AG289" s="16" t="s">
        <v>66</v>
      </c>
      <c r="AH289" s="17" t="s">
        <v>831</v>
      </c>
      <c r="AI289" s="18">
        <v>6</v>
      </c>
      <c r="AJ289" s="19" t="s">
        <v>832</v>
      </c>
      <c r="AK289" s="20">
        <v>0.92</v>
      </c>
      <c r="AL289" s="17" t="s">
        <v>261</v>
      </c>
      <c r="AM289" s="5" t="s">
        <v>66</v>
      </c>
      <c r="AN289" s="5" t="s">
        <v>66</v>
      </c>
      <c r="AO289" s="5" t="s">
        <v>66</v>
      </c>
      <c r="AP289" s="5" t="s">
        <v>66</v>
      </c>
      <c r="AQ289" s="5" t="s">
        <v>66</v>
      </c>
      <c r="AR289" s="5" t="s">
        <v>66</v>
      </c>
      <c r="AS289" s="5" t="s">
        <v>66</v>
      </c>
      <c r="AT289" s="5" t="s">
        <v>66</v>
      </c>
      <c r="AU289" s="5" t="s">
        <v>66</v>
      </c>
      <c r="AV289" s="5" t="s">
        <v>66</v>
      </c>
      <c r="AW289" s="5" t="s">
        <v>66</v>
      </c>
      <c r="AX289" s="5" t="s">
        <v>829</v>
      </c>
      <c r="AY289" s="5" t="s">
        <v>69</v>
      </c>
      <c r="AZ289" s="5" t="s">
        <v>145</v>
      </c>
      <c r="BA289" s="19" t="s">
        <v>66</v>
      </c>
      <c r="BB289" s="17" t="s">
        <v>65</v>
      </c>
      <c r="BC289" s="5" t="s">
        <v>830</v>
      </c>
      <c r="BD289" s="5" t="s">
        <v>833</v>
      </c>
    </row>
    <row r="290" spans="1:56" ht="84" hidden="1" x14ac:dyDescent="0.25">
      <c r="A290" s="78" t="s">
        <v>813</v>
      </c>
      <c r="B290" s="5" t="s">
        <v>814</v>
      </c>
      <c r="C290" s="5" t="s">
        <v>3293</v>
      </c>
      <c r="D290" s="5" t="s">
        <v>252</v>
      </c>
      <c r="E290" s="99" t="str">
        <f>VLOOKUP(D290,'Dropdown List'!$F$26:$G$40,2,0)</f>
        <v>India</v>
      </c>
      <c r="F290" s="8" t="s">
        <v>826</v>
      </c>
      <c r="G290" s="96">
        <v>13</v>
      </c>
      <c r="H290" s="5" t="s">
        <v>57</v>
      </c>
      <c r="I290" s="8" t="s">
        <v>71</v>
      </c>
      <c r="J290" s="8" t="s">
        <v>102</v>
      </c>
      <c r="K290" s="8" t="s">
        <v>369</v>
      </c>
      <c r="L290" s="8" t="s">
        <v>836</v>
      </c>
      <c r="M290" s="8" t="s">
        <v>837</v>
      </c>
      <c r="N290" s="5" t="s">
        <v>268</v>
      </c>
      <c r="O290" s="5" t="s">
        <v>61</v>
      </c>
      <c r="P290" s="5" t="s">
        <v>838</v>
      </c>
      <c r="Q290" s="9" t="s">
        <v>75</v>
      </c>
      <c r="R290" s="5" t="s">
        <v>76</v>
      </c>
      <c r="S290" s="5" t="s">
        <v>64</v>
      </c>
      <c r="T290" s="96">
        <v>2</v>
      </c>
      <c r="U290" s="96">
        <v>4</v>
      </c>
      <c r="V290" s="96">
        <v>4</v>
      </c>
      <c r="W290" s="5" t="s">
        <v>91</v>
      </c>
      <c r="X290" s="10" t="s">
        <v>79</v>
      </c>
      <c r="Y290" s="11">
        <v>33000</v>
      </c>
      <c r="Z290" s="12">
        <v>45</v>
      </c>
      <c r="AA290" s="12">
        <v>12</v>
      </c>
      <c r="AB290" s="12">
        <v>8</v>
      </c>
      <c r="AC290" s="13">
        <v>7</v>
      </c>
      <c r="AD290" s="14">
        <f t="shared" si="10"/>
        <v>72</v>
      </c>
      <c r="AE290" s="15">
        <f t="shared" si="11"/>
        <v>9.7222222222222224E-2</v>
      </c>
      <c r="AF290" s="16">
        <v>14084.916666666666</v>
      </c>
      <c r="AG290" s="16" t="s">
        <v>839</v>
      </c>
      <c r="AH290" s="17" t="s">
        <v>66</v>
      </c>
      <c r="AI290" s="18">
        <v>40</v>
      </c>
      <c r="AJ290" s="19" t="s">
        <v>840</v>
      </c>
      <c r="AK290" s="20">
        <v>0.92</v>
      </c>
      <c r="AL290" s="17" t="s">
        <v>261</v>
      </c>
      <c r="AM290" s="5" t="s">
        <v>66</v>
      </c>
      <c r="AN290" s="5" t="s">
        <v>66</v>
      </c>
      <c r="AO290" s="5" t="s">
        <v>66</v>
      </c>
      <c r="AP290" s="5" t="s">
        <v>66</v>
      </c>
      <c r="AQ290" s="5" t="s">
        <v>66</v>
      </c>
      <c r="AR290" s="5" t="s">
        <v>66</v>
      </c>
      <c r="AS290" s="5" t="s">
        <v>66</v>
      </c>
      <c r="AT290" s="5" t="s">
        <v>66</v>
      </c>
      <c r="AU290" s="5" t="s">
        <v>66</v>
      </c>
      <c r="AV290" s="5" t="s">
        <v>66</v>
      </c>
      <c r="AW290" s="5" t="s">
        <v>66</v>
      </c>
      <c r="AX290" s="5" t="s">
        <v>829</v>
      </c>
      <c r="AY290" s="5" t="s">
        <v>69</v>
      </c>
      <c r="AZ290" s="5" t="s">
        <v>145</v>
      </c>
      <c r="BA290" s="19" t="s">
        <v>66</v>
      </c>
      <c r="BB290" s="17" t="s">
        <v>66</v>
      </c>
      <c r="BC290" s="5" t="s">
        <v>830</v>
      </c>
      <c r="BD290" s="5" t="s">
        <v>833</v>
      </c>
    </row>
    <row r="291" spans="1:56" ht="84" hidden="1" x14ac:dyDescent="0.25">
      <c r="A291" s="78" t="s">
        <v>813</v>
      </c>
      <c r="B291" s="5" t="s">
        <v>814</v>
      </c>
      <c r="C291" s="5" t="s">
        <v>3293</v>
      </c>
      <c r="D291" s="5" t="s">
        <v>252</v>
      </c>
      <c r="E291" s="99" t="str">
        <f>VLOOKUP(D291,'Dropdown List'!$F$26:$G$40,2,0)</f>
        <v>India</v>
      </c>
      <c r="F291" s="8" t="s">
        <v>826</v>
      </c>
      <c r="G291" s="96">
        <v>14</v>
      </c>
      <c r="H291" s="5" t="s">
        <v>57</v>
      </c>
      <c r="I291" s="8" t="s">
        <v>71</v>
      </c>
      <c r="J291" s="8" t="s">
        <v>112</v>
      </c>
      <c r="K291" s="8" t="s">
        <v>113</v>
      </c>
      <c r="L291" s="8" t="s">
        <v>841</v>
      </c>
      <c r="M291" s="8" t="s">
        <v>842</v>
      </c>
      <c r="N291" s="5" t="s">
        <v>268</v>
      </c>
      <c r="O291" s="5" t="s">
        <v>61</v>
      </c>
      <c r="P291" s="5" t="s">
        <v>838</v>
      </c>
      <c r="Q291" s="9" t="s">
        <v>438</v>
      </c>
      <c r="R291" s="5" t="s">
        <v>76</v>
      </c>
      <c r="S291" s="5" t="s">
        <v>64</v>
      </c>
      <c r="T291" s="96">
        <v>2</v>
      </c>
      <c r="U291" s="96">
        <v>4</v>
      </c>
      <c r="V291" s="96">
        <v>4</v>
      </c>
      <c r="W291" s="5" t="s">
        <v>91</v>
      </c>
      <c r="X291" s="10" t="s">
        <v>79</v>
      </c>
      <c r="Y291" s="11">
        <v>33000</v>
      </c>
      <c r="Z291" s="12">
        <v>45</v>
      </c>
      <c r="AA291" s="12">
        <v>12</v>
      </c>
      <c r="AB291" s="12">
        <v>8</v>
      </c>
      <c r="AC291" s="13">
        <v>7</v>
      </c>
      <c r="AD291" s="14">
        <f t="shared" si="10"/>
        <v>72</v>
      </c>
      <c r="AE291" s="15">
        <f t="shared" si="11"/>
        <v>9.7222222222222224E-2</v>
      </c>
      <c r="AF291" s="16">
        <v>26600.75</v>
      </c>
      <c r="AG291" s="16" t="s">
        <v>839</v>
      </c>
      <c r="AH291" s="17" t="s">
        <v>66</v>
      </c>
      <c r="AI291" s="18">
        <v>10</v>
      </c>
      <c r="AJ291" s="19" t="s">
        <v>843</v>
      </c>
      <c r="AK291" s="20">
        <v>0.92</v>
      </c>
      <c r="AL291" s="17" t="s">
        <v>261</v>
      </c>
      <c r="AM291" s="5" t="s">
        <v>66</v>
      </c>
      <c r="AN291" s="5" t="s">
        <v>66</v>
      </c>
      <c r="AO291" s="5" t="s">
        <v>66</v>
      </c>
      <c r="AP291" s="5" t="s">
        <v>66</v>
      </c>
      <c r="AQ291" s="5" t="s">
        <v>66</v>
      </c>
      <c r="AR291" s="5" t="s">
        <v>66</v>
      </c>
      <c r="AS291" s="5" t="s">
        <v>66</v>
      </c>
      <c r="AT291" s="5" t="s">
        <v>66</v>
      </c>
      <c r="AU291" s="5" t="s">
        <v>66</v>
      </c>
      <c r="AV291" s="5" t="s">
        <v>66</v>
      </c>
      <c r="AW291" s="5" t="s">
        <v>66</v>
      </c>
      <c r="AX291" s="5" t="s">
        <v>844</v>
      </c>
      <c r="AY291" s="5" t="s">
        <v>69</v>
      </c>
      <c r="AZ291" s="5" t="s">
        <v>145</v>
      </c>
      <c r="BA291" s="19" t="s">
        <v>66</v>
      </c>
      <c r="BB291" s="17" t="s">
        <v>66</v>
      </c>
      <c r="BC291" s="5" t="s">
        <v>844</v>
      </c>
      <c r="BD291" s="5" t="s">
        <v>833</v>
      </c>
    </row>
    <row r="292" spans="1:56" ht="84" hidden="1" x14ac:dyDescent="0.25">
      <c r="A292" s="78" t="s">
        <v>813</v>
      </c>
      <c r="B292" s="5" t="s">
        <v>814</v>
      </c>
      <c r="C292" s="5" t="s">
        <v>3293</v>
      </c>
      <c r="D292" s="5" t="s">
        <v>252</v>
      </c>
      <c r="E292" s="99" t="str">
        <f>VLOOKUP(D292,'Dropdown List'!$F$26:$G$40,2,0)</f>
        <v>India</v>
      </c>
      <c r="F292" s="8" t="s">
        <v>826</v>
      </c>
      <c r="G292" s="96">
        <v>14</v>
      </c>
      <c r="H292" s="5" t="s">
        <v>57</v>
      </c>
      <c r="I292" s="8" t="s">
        <v>71</v>
      </c>
      <c r="J292" s="8" t="s">
        <v>102</v>
      </c>
      <c r="K292" s="8" t="s">
        <v>516</v>
      </c>
      <c r="L292" s="8" t="s">
        <v>845</v>
      </c>
      <c r="M292" s="8" t="s">
        <v>846</v>
      </c>
      <c r="N292" s="5" t="s">
        <v>268</v>
      </c>
      <c r="O292" s="5" t="s">
        <v>61</v>
      </c>
      <c r="P292" s="5" t="s">
        <v>847</v>
      </c>
      <c r="Q292" s="9" t="s">
        <v>438</v>
      </c>
      <c r="R292" s="5" t="s">
        <v>76</v>
      </c>
      <c r="S292" s="5" t="s">
        <v>64</v>
      </c>
      <c r="T292" s="96">
        <v>2</v>
      </c>
      <c r="U292" s="96">
        <v>4</v>
      </c>
      <c r="V292" s="96">
        <v>4</v>
      </c>
      <c r="W292" s="5" t="s">
        <v>91</v>
      </c>
      <c r="X292" s="10" t="s">
        <v>79</v>
      </c>
      <c r="Y292" s="11">
        <v>33000</v>
      </c>
      <c r="Z292" s="12">
        <v>13</v>
      </c>
      <c r="AA292" s="12">
        <v>10</v>
      </c>
      <c r="AB292" s="12">
        <v>1</v>
      </c>
      <c r="AC292" s="13">
        <v>5</v>
      </c>
      <c r="AD292" s="14">
        <f t="shared" si="10"/>
        <v>29</v>
      </c>
      <c r="AE292" s="15">
        <f t="shared" si="11"/>
        <v>0.17241379310344829</v>
      </c>
      <c r="AF292" s="16">
        <v>3154.3333333333335</v>
      </c>
      <c r="AG292" s="16" t="s">
        <v>839</v>
      </c>
      <c r="AH292" s="17" t="s">
        <v>66</v>
      </c>
      <c r="AI292" s="18">
        <v>30</v>
      </c>
      <c r="AJ292" s="19" t="s">
        <v>848</v>
      </c>
      <c r="AK292" s="20">
        <v>0.92</v>
      </c>
      <c r="AL292" s="17" t="s">
        <v>261</v>
      </c>
      <c r="AM292" s="5" t="s">
        <v>66</v>
      </c>
      <c r="AN292" s="5" t="s">
        <v>66</v>
      </c>
      <c r="AO292" s="5" t="s">
        <v>66</v>
      </c>
      <c r="AP292" s="5" t="s">
        <v>66</v>
      </c>
      <c r="AQ292" s="5" t="s">
        <v>66</v>
      </c>
      <c r="AR292" s="5" t="s">
        <v>66</v>
      </c>
      <c r="AS292" s="5" t="s">
        <v>66</v>
      </c>
      <c r="AT292" s="5" t="s">
        <v>66</v>
      </c>
      <c r="AU292" s="5" t="s">
        <v>66</v>
      </c>
      <c r="AV292" s="5" t="s">
        <v>66</v>
      </c>
      <c r="AW292" s="5" t="s">
        <v>66</v>
      </c>
      <c r="AX292" s="5" t="s">
        <v>844</v>
      </c>
      <c r="AY292" s="5" t="s">
        <v>69</v>
      </c>
      <c r="AZ292" s="5" t="s">
        <v>145</v>
      </c>
      <c r="BA292" s="19" t="s">
        <v>66</v>
      </c>
      <c r="BB292" s="17" t="s">
        <v>66</v>
      </c>
      <c r="BC292" s="5" t="s">
        <v>844</v>
      </c>
      <c r="BD292" s="5" t="s">
        <v>833</v>
      </c>
    </row>
    <row r="293" spans="1:56" ht="108" hidden="1" x14ac:dyDescent="0.25">
      <c r="A293" s="78" t="s">
        <v>813</v>
      </c>
      <c r="B293" s="5" t="s">
        <v>814</v>
      </c>
      <c r="C293" s="5" t="s">
        <v>3293</v>
      </c>
      <c r="D293" s="5" t="s">
        <v>252</v>
      </c>
      <c r="E293" s="99" t="str">
        <f>VLOOKUP(D293,'Dropdown List'!$F$26:$G$40,2,0)</f>
        <v>India</v>
      </c>
      <c r="F293" s="8" t="s">
        <v>826</v>
      </c>
      <c r="G293" s="96">
        <v>14</v>
      </c>
      <c r="H293" s="5" t="s">
        <v>57</v>
      </c>
      <c r="I293" s="8" t="s">
        <v>71</v>
      </c>
      <c r="J293" s="8" t="s">
        <v>435</v>
      </c>
      <c r="K293" s="8" t="s">
        <v>293</v>
      </c>
      <c r="L293" s="8" t="s">
        <v>849</v>
      </c>
      <c r="M293" s="8" t="s">
        <v>850</v>
      </c>
      <c r="N293" s="5" t="s">
        <v>268</v>
      </c>
      <c r="O293" s="5" t="s">
        <v>61</v>
      </c>
      <c r="P293" s="5" t="s">
        <v>847</v>
      </c>
      <c r="Q293" s="9" t="s">
        <v>75</v>
      </c>
      <c r="R293" s="5" t="s">
        <v>76</v>
      </c>
      <c r="S293" s="5" t="s">
        <v>64</v>
      </c>
      <c r="T293" s="96">
        <v>2</v>
      </c>
      <c r="U293" s="96">
        <v>4</v>
      </c>
      <c r="V293" s="96">
        <v>4</v>
      </c>
      <c r="W293" s="5" t="s">
        <v>91</v>
      </c>
      <c r="X293" s="10" t="s">
        <v>79</v>
      </c>
      <c r="Y293" s="11">
        <v>33000</v>
      </c>
      <c r="Z293" s="12">
        <v>13</v>
      </c>
      <c r="AA293" s="12">
        <v>10</v>
      </c>
      <c r="AB293" s="12">
        <v>1</v>
      </c>
      <c r="AC293" s="13">
        <v>5</v>
      </c>
      <c r="AD293" s="14">
        <f t="shared" si="10"/>
        <v>29</v>
      </c>
      <c r="AE293" s="15">
        <f t="shared" si="11"/>
        <v>0.17241379310344829</v>
      </c>
      <c r="AF293" s="16">
        <v>1493.1666666666667</v>
      </c>
      <c r="AG293" s="16" t="s">
        <v>839</v>
      </c>
      <c r="AH293" s="17" t="s">
        <v>66</v>
      </c>
      <c r="AI293" s="18">
        <v>30</v>
      </c>
      <c r="AJ293" s="19" t="s">
        <v>848</v>
      </c>
      <c r="AK293" s="20">
        <v>0.92</v>
      </c>
      <c r="AL293" s="17" t="s">
        <v>261</v>
      </c>
      <c r="AM293" s="5" t="s">
        <v>66</v>
      </c>
      <c r="AN293" s="5" t="s">
        <v>66</v>
      </c>
      <c r="AO293" s="5" t="s">
        <v>66</v>
      </c>
      <c r="AP293" s="5" t="s">
        <v>66</v>
      </c>
      <c r="AQ293" s="5" t="s">
        <v>66</v>
      </c>
      <c r="AR293" s="5" t="s">
        <v>66</v>
      </c>
      <c r="AS293" s="5" t="s">
        <v>66</v>
      </c>
      <c r="AT293" s="5" t="s">
        <v>66</v>
      </c>
      <c r="AU293" s="5" t="s">
        <v>66</v>
      </c>
      <c r="AV293" s="5" t="s">
        <v>66</v>
      </c>
      <c r="AW293" s="5" t="s">
        <v>66</v>
      </c>
      <c r="AX293" s="5" t="s">
        <v>829</v>
      </c>
      <c r="AY293" s="5" t="s">
        <v>69</v>
      </c>
      <c r="AZ293" s="5" t="s">
        <v>145</v>
      </c>
      <c r="BA293" s="19" t="s">
        <v>66</v>
      </c>
      <c r="BB293" s="17" t="s">
        <v>66</v>
      </c>
      <c r="BC293" s="5" t="s">
        <v>830</v>
      </c>
      <c r="BD293" s="5" t="s">
        <v>833</v>
      </c>
    </row>
    <row r="294" spans="1:56" ht="84" hidden="1" x14ac:dyDescent="0.25">
      <c r="A294" s="78" t="s">
        <v>813</v>
      </c>
      <c r="B294" s="5" t="s">
        <v>814</v>
      </c>
      <c r="C294" s="5" t="s">
        <v>3293</v>
      </c>
      <c r="D294" s="5" t="s">
        <v>252</v>
      </c>
      <c r="E294" s="99" t="str">
        <f>VLOOKUP(D294,'Dropdown List'!$F$26:$G$40,2,0)</f>
        <v>India</v>
      </c>
      <c r="F294" s="8" t="s">
        <v>826</v>
      </c>
      <c r="G294" s="96">
        <v>13</v>
      </c>
      <c r="H294" s="5" t="s">
        <v>57</v>
      </c>
      <c r="I294" s="8" t="s">
        <v>71</v>
      </c>
      <c r="J294" s="8" t="s">
        <v>2702</v>
      </c>
      <c r="K294" s="8" t="s">
        <v>851</v>
      </c>
      <c r="L294" s="8" t="s">
        <v>852</v>
      </c>
      <c r="M294" s="8" t="s">
        <v>853</v>
      </c>
      <c r="N294" s="5" t="s">
        <v>268</v>
      </c>
      <c r="O294" s="5" t="s">
        <v>61</v>
      </c>
      <c r="P294" s="5" t="s">
        <v>854</v>
      </c>
      <c r="Q294" s="9" t="s">
        <v>75</v>
      </c>
      <c r="R294" s="5" t="s">
        <v>76</v>
      </c>
      <c r="S294" s="5" t="s">
        <v>120</v>
      </c>
      <c r="T294" s="96">
        <v>2</v>
      </c>
      <c r="U294" s="96">
        <v>4</v>
      </c>
      <c r="V294" s="96">
        <v>4</v>
      </c>
      <c r="W294" s="5" t="s">
        <v>91</v>
      </c>
      <c r="X294" s="10" t="s">
        <v>79</v>
      </c>
      <c r="Y294" s="11">
        <v>36000</v>
      </c>
      <c r="Z294" s="12">
        <v>6</v>
      </c>
      <c r="AA294" s="12">
        <v>2</v>
      </c>
      <c r="AB294" s="12">
        <v>1</v>
      </c>
      <c r="AC294" s="13">
        <v>1</v>
      </c>
      <c r="AD294" s="14">
        <f t="shared" si="10"/>
        <v>10</v>
      </c>
      <c r="AE294" s="15">
        <f t="shared" si="11"/>
        <v>0.1</v>
      </c>
      <c r="AF294" s="16">
        <v>1050.5</v>
      </c>
      <c r="AG294" s="16" t="s">
        <v>839</v>
      </c>
      <c r="AH294" s="17" t="s">
        <v>66</v>
      </c>
      <c r="AI294" s="18">
        <v>45</v>
      </c>
      <c r="AJ294" s="19" t="s">
        <v>848</v>
      </c>
      <c r="AK294" s="20">
        <v>0.92</v>
      </c>
      <c r="AL294" s="17" t="s">
        <v>261</v>
      </c>
      <c r="AM294" s="5" t="s">
        <v>66</v>
      </c>
      <c r="AN294" s="5" t="s">
        <v>66</v>
      </c>
      <c r="AO294" s="5" t="s">
        <v>66</v>
      </c>
      <c r="AP294" s="5" t="s">
        <v>66</v>
      </c>
      <c r="AQ294" s="5" t="s">
        <v>66</v>
      </c>
      <c r="AR294" s="5" t="s">
        <v>66</v>
      </c>
      <c r="AS294" s="5" t="s">
        <v>66</v>
      </c>
      <c r="AT294" s="5" t="s">
        <v>66</v>
      </c>
      <c r="AU294" s="5" t="s">
        <v>66</v>
      </c>
      <c r="AV294" s="5" t="s">
        <v>66</v>
      </c>
      <c r="AW294" s="5" t="s">
        <v>66</v>
      </c>
      <c r="AX294" s="5" t="s">
        <v>829</v>
      </c>
      <c r="AY294" s="5" t="s">
        <v>69</v>
      </c>
      <c r="AZ294" s="5" t="s">
        <v>145</v>
      </c>
      <c r="BA294" s="19" t="s">
        <v>66</v>
      </c>
      <c r="BB294" s="17" t="s">
        <v>66</v>
      </c>
      <c r="BC294" s="5" t="s">
        <v>830</v>
      </c>
      <c r="BD294" s="5" t="s">
        <v>833</v>
      </c>
    </row>
    <row r="295" spans="1:56" ht="84" hidden="1" x14ac:dyDescent="0.25">
      <c r="A295" s="78" t="s">
        <v>813</v>
      </c>
      <c r="B295" s="5" t="s">
        <v>814</v>
      </c>
      <c r="C295" s="5" t="s">
        <v>3293</v>
      </c>
      <c r="D295" s="5" t="s">
        <v>252</v>
      </c>
      <c r="E295" s="99" t="str">
        <f>VLOOKUP(D295,'Dropdown List'!$F$26:$G$40,2,0)</f>
        <v>India</v>
      </c>
      <c r="F295" s="8" t="s">
        <v>826</v>
      </c>
      <c r="G295" s="96">
        <v>14</v>
      </c>
      <c r="H295" s="5" t="s">
        <v>57</v>
      </c>
      <c r="I295" s="8" t="s">
        <v>71</v>
      </c>
      <c r="J295" s="8" t="s">
        <v>2702</v>
      </c>
      <c r="K295" s="8" t="s">
        <v>855</v>
      </c>
      <c r="L295" s="8" t="s">
        <v>856</v>
      </c>
      <c r="M295" s="8" t="s">
        <v>857</v>
      </c>
      <c r="N295" s="5" t="s">
        <v>268</v>
      </c>
      <c r="O295" s="5" t="s">
        <v>61</v>
      </c>
      <c r="P295" s="5" t="s">
        <v>858</v>
      </c>
      <c r="Q295" s="9" t="s">
        <v>75</v>
      </c>
      <c r="R295" s="5" t="s">
        <v>76</v>
      </c>
      <c r="S295" s="5" t="s">
        <v>120</v>
      </c>
      <c r="T295" s="96">
        <v>2</v>
      </c>
      <c r="U295" s="96">
        <v>4</v>
      </c>
      <c r="V295" s="96">
        <v>4</v>
      </c>
      <c r="W295" s="5" t="s">
        <v>91</v>
      </c>
      <c r="X295" s="10" t="s">
        <v>79</v>
      </c>
      <c r="Y295" s="11">
        <v>36000</v>
      </c>
      <c r="Z295" s="12">
        <v>20</v>
      </c>
      <c r="AA295" s="12">
        <v>2</v>
      </c>
      <c r="AB295" s="12">
        <v>1</v>
      </c>
      <c r="AC295" s="13">
        <v>1</v>
      </c>
      <c r="AD295" s="14">
        <f t="shared" si="10"/>
        <v>24</v>
      </c>
      <c r="AE295" s="15">
        <f t="shared" si="11"/>
        <v>4.1666666666666664E-2</v>
      </c>
      <c r="AF295" s="16">
        <v>247.33333333333334</v>
      </c>
      <c r="AG295" s="16" t="s">
        <v>839</v>
      </c>
      <c r="AH295" s="17" t="s">
        <v>66</v>
      </c>
      <c r="AI295" s="18">
        <v>45</v>
      </c>
      <c r="AJ295" s="19" t="s">
        <v>848</v>
      </c>
      <c r="AK295" s="20">
        <v>0.92</v>
      </c>
      <c r="AL295" s="17" t="s">
        <v>261</v>
      </c>
      <c r="AM295" s="5" t="s">
        <v>66</v>
      </c>
      <c r="AN295" s="5" t="s">
        <v>66</v>
      </c>
      <c r="AO295" s="5" t="s">
        <v>66</v>
      </c>
      <c r="AP295" s="5" t="s">
        <v>66</v>
      </c>
      <c r="AQ295" s="5" t="s">
        <v>66</v>
      </c>
      <c r="AR295" s="5" t="s">
        <v>66</v>
      </c>
      <c r="AS295" s="5" t="s">
        <v>66</v>
      </c>
      <c r="AT295" s="5" t="s">
        <v>66</v>
      </c>
      <c r="AU295" s="5" t="s">
        <v>66</v>
      </c>
      <c r="AV295" s="5" t="s">
        <v>66</v>
      </c>
      <c r="AW295" s="5" t="s">
        <v>66</v>
      </c>
      <c r="AX295" s="5" t="s">
        <v>829</v>
      </c>
      <c r="AY295" s="5" t="s">
        <v>69</v>
      </c>
      <c r="AZ295" s="5" t="s">
        <v>145</v>
      </c>
      <c r="BA295" s="19" t="s">
        <v>66</v>
      </c>
      <c r="BB295" s="17" t="s">
        <v>66</v>
      </c>
      <c r="BC295" s="5" t="s">
        <v>830</v>
      </c>
      <c r="BD295" s="5" t="s">
        <v>833</v>
      </c>
    </row>
    <row r="296" spans="1:56" ht="84" hidden="1" x14ac:dyDescent="0.25">
      <c r="A296" s="78" t="s">
        <v>813</v>
      </c>
      <c r="B296" s="5" t="s">
        <v>814</v>
      </c>
      <c r="C296" s="5" t="s">
        <v>3293</v>
      </c>
      <c r="D296" s="5" t="s">
        <v>252</v>
      </c>
      <c r="E296" s="99" t="str">
        <f>VLOOKUP(D296,'Dropdown List'!$F$26:$G$40,2,0)</f>
        <v>India</v>
      </c>
      <c r="F296" s="8" t="s">
        <v>826</v>
      </c>
      <c r="G296" s="96">
        <v>14</v>
      </c>
      <c r="H296" s="5" t="s">
        <v>57</v>
      </c>
      <c r="I296" s="8" t="s">
        <v>71</v>
      </c>
      <c r="J296" s="8" t="s">
        <v>112</v>
      </c>
      <c r="K296" s="8" t="s">
        <v>859</v>
      </c>
      <c r="L296" s="8" t="s">
        <v>66</v>
      </c>
      <c r="M296" s="8" t="s">
        <v>860</v>
      </c>
      <c r="N296" s="5" t="s">
        <v>268</v>
      </c>
      <c r="O296" s="5" t="s">
        <v>61</v>
      </c>
      <c r="P296" s="5" t="s">
        <v>858</v>
      </c>
      <c r="Q296" s="9" t="s">
        <v>75</v>
      </c>
      <c r="R296" s="5" t="s">
        <v>76</v>
      </c>
      <c r="S296" s="5" t="s">
        <v>120</v>
      </c>
      <c r="T296" s="96">
        <v>2</v>
      </c>
      <c r="U296" s="96">
        <v>4</v>
      </c>
      <c r="V296" s="96">
        <v>4</v>
      </c>
      <c r="W296" s="5" t="s">
        <v>91</v>
      </c>
      <c r="X296" s="10" t="s">
        <v>79</v>
      </c>
      <c r="Y296" s="11">
        <v>45000</v>
      </c>
      <c r="Z296" s="12">
        <v>13</v>
      </c>
      <c r="AA296" s="12">
        <v>0</v>
      </c>
      <c r="AB296" s="12">
        <v>1</v>
      </c>
      <c r="AC296" s="13">
        <v>1</v>
      </c>
      <c r="AD296" s="14">
        <f t="shared" si="10"/>
        <v>15</v>
      </c>
      <c r="AE296" s="15">
        <f t="shared" si="11"/>
        <v>6.6666666666666666E-2</v>
      </c>
      <c r="AF296" s="16">
        <v>1984.3333333333333</v>
      </c>
      <c r="AG296" s="16" t="s">
        <v>839</v>
      </c>
      <c r="AH296" s="17" t="s">
        <v>66</v>
      </c>
      <c r="AI296" s="18">
        <v>30</v>
      </c>
      <c r="AJ296" s="19" t="s">
        <v>66</v>
      </c>
      <c r="AK296" s="20">
        <v>0.92</v>
      </c>
      <c r="AL296" s="17" t="s">
        <v>261</v>
      </c>
      <c r="AM296" s="5" t="s">
        <v>66</v>
      </c>
      <c r="AN296" s="5" t="s">
        <v>66</v>
      </c>
      <c r="AO296" s="5" t="s">
        <v>66</v>
      </c>
      <c r="AP296" s="5" t="s">
        <v>66</v>
      </c>
      <c r="AQ296" s="5" t="s">
        <v>66</v>
      </c>
      <c r="AR296" s="5" t="s">
        <v>66</v>
      </c>
      <c r="AS296" s="5" t="s">
        <v>66</v>
      </c>
      <c r="AT296" s="5" t="s">
        <v>66</v>
      </c>
      <c r="AU296" s="5" t="s">
        <v>66</v>
      </c>
      <c r="AV296" s="5" t="s">
        <v>66</v>
      </c>
      <c r="AW296" s="5" t="s">
        <v>66</v>
      </c>
      <c r="AX296" s="5" t="s">
        <v>813</v>
      </c>
      <c r="AY296" s="5" t="s">
        <v>69</v>
      </c>
      <c r="AZ296" s="5" t="s">
        <v>145</v>
      </c>
      <c r="BA296" s="19" t="s">
        <v>66</v>
      </c>
      <c r="BB296" s="17" t="s">
        <v>66</v>
      </c>
      <c r="BC296" s="5" t="s">
        <v>861</v>
      </c>
      <c r="BD296" s="5" t="s">
        <v>833</v>
      </c>
    </row>
    <row r="297" spans="1:56" ht="48" hidden="1" x14ac:dyDescent="0.25">
      <c r="A297" s="78" t="s">
        <v>813</v>
      </c>
      <c r="B297" s="5" t="s">
        <v>814</v>
      </c>
      <c r="C297" s="5" t="s">
        <v>3293</v>
      </c>
      <c r="D297" s="5" t="s">
        <v>252</v>
      </c>
      <c r="E297" s="99" t="str">
        <f>VLOOKUP(D297,'Dropdown List'!$F$26:$G$40,2,0)</f>
        <v>India</v>
      </c>
      <c r="F297" s="8" t="s">
        <v>826</v>
      </c>
      <c r="G297" s="96">
        <v>14</v>
      </c>
      <c r="H297" s="5" t="s">
        <v>57</v>
      </c>
      <c r="I297" s="8" t="s">
        <v>71</v>
      </c>
      <c r="J297" s="8" t="s">
        <v>435</v>
      </c>
      <c r="K297" s="8" t="s">
        <v>862</v>
      </c>
      <c r="L297" s="8" t="s">
        <v>863</v>
      </c>
      <c r="M297" s="8" t="s">
        <v>864</v>
      </c>
      <c r="N297" s="5" t="s">
        <v>268</v>
      </c>
      <c r="O297" s="5" t="s">
        <v>89</v>
      </c>
      <c r="P297" s="5" t="s">
        <v>666</v>
      </c>
      <c r="Q297" s="9" t="s">
        <v>172</v>
      </c>
      <c r="R297" s="5" t="s">
        <v>76</v>
      </c>
      <c r="S297" s="5" t="s">
        <v>64</v>
      </c>
      <c r="T297" s="96">
        <v>2</v>
      </c>
      <c r="U297" s="96">
        <v>4</v>
      </c>
      <c r="V297" s="96">
        <v>4</v>
      </c>
      <c r="W297" s="5" t="s">
        <v>91</v>
      </c>
      <c r="X297" s="10" t="s">
        <v>79</v>
      </c>
      <c r="Y297" s="11">
        <v>31000</v>
      </c>
      <c r="Z297" s="12">
        <v>3</v>
      </c>
      <c r="AA297" s="12">
        <v>0</v>
      </c>
      <c r="AB297" s="12">
        <v>0</v>
      </c>
      <c r="AC297" s="13">
        <v>2</v>
      </c>
      <c r="AD297" s="14">
        <f t="shared" si="10"/>
        <v>5</v>
      </c>
      <c r="AE297" s="15">
        <f t="shared" si="11"/>
        <v>0.4</v>
      </c>
      <c r="AF297" s="16">
        <v>2625.75</v>
      </c>
      <c r="AG297" s="16" t="s">
        <v>839</v>
      </c>
      <c r="AH297" s="17" t="s">
        <v>66</v>
      </c>
      <c r="AI297" s="18">
        <v>12</v>
      </c>
      <c r="AJ297" s="19" t="s">
        <v>848</v>
      </c>
      <c r="AK297" s="20">
        <v>0.92</v>
      </c>
      <c r="AL297" s="17" t="s">
        <v>261</v>
      </c>
      <c r="AM297" s="5" t="s">
        <v>66</v>
      </c>
      <c r="AN297" s="5" t="s">
        <v>66</v>
      </c>
      <c r="AO297" s="5" t="s">
        <v>66</v>
      </c>
      <c r="AP297" s="5" t="s">
        <v>66</v>
      </c>
      <c r="AQ297" s="5" t="s">
        <v>66</v>
      </c>
      <c r="AR297" s="5" t="s">
        <v>66</v>
      </c>
      <c r="AS297" s="5" t="s">
        <v>66</v>
      </c>
      <c r="AT297" s="5" t="s">
        <v>66</v>
      </c>
      <c r="AU297" s="5" t="s">
        <v>66</v>
      </c>
      <c r="AV297" s="5" t="s">
        <v>66</v>
      </c>
      <c r="AW297" s="5" t="s">
        <v>66</v>
      </c>
      <c r="AX297" s="5" t="s">
        <v>865</v>
      </c>
      <c r="AY297" s="5" t="s">
        <v>69</v>
      </c>
      <c r="AZ297" s="5" t="s">
        <v>145</v>
      </c>
      <c r="BA297" s="19" t="s">
        <v>66</v>
      </c>
      <c r="BB297" s="17" t="s">
        <v>66</v>
      </c>
      <c r="BC297" s="5" t="s">
        <v>866</v>
      </c>
      <c r="BD297" s="5" t="s">
        <v>833</v>
      </c>
    </row>
    <row r="298" spans="1:56" ht="36" hidden="1" x14ac:dyDescent="0.25">
      <c r="A298" s="78" t="s">
        <v>813</v>
      </c>
      <c r="B298" s="5" t="s">
        <v>814</v>
      </c>
      <c r="C298" s="5" t="s">
        <v>3293</v>
      </c>
      <c r="D298" s="5" t="s">
        <v>56</v>
      </c>
      <c r="E298" s="99" t="str">
        <f>VLOOKUP(D298,'Dropdown List'!$F$26:$G$40,2,0)</f>
        <v>India</v>
      </c>
      <c r="F298" s="8" t="s">
        <v>826</v>
      </c>
      <c r="G298" s="96">
        <v>14</v>
      </c>
      <c r="H298" s="5" t="s">
        <v>57</v>
      </c>
      <c r="I298" s="8" t="s">
        <v>71</v>
      </c>
      <c r="J298" s="8" t="s">
        <v>112</v>
      </c>
      <c r="K298" s="8" t="s">
        <v>356</v>
      </c>
      <c r="L298" s="8" t="s">
        <v>875</v>
      </c>
      <c r="M298" s="8" t="s">
        <v>876</v>
      </c>
      <c r="N298" s="5" t="s">
        <v>319</v>
      </c>
      <c r="O298" s="5" t="s">
        <v>61</v>
      </c>
      <c r="P298" s="5" t="s">
        <v>877</v>
      </c>
      <c r="Q298" s="9" t="s">
        <v>144</v>
      </c>
      <c r="R298" s="5" t="s">
        <v>76</v>
      </c>
      <c r="S298" s="5" t="s">
        <v>90</v>
      </c>
      <c r="T298" s="96">
        <v>1</v>
      </c>
      <c r="U298" s="96">
        <v>4</v>
      </c>
      <c r="V298" s="96">
        <v>8</v>
      </c>
      <c r="W298" s="5" t="s">
        <v>91</v>
      </c>
      <c r="X298" s="10" t="s">
        <v>79</v>
      </c>
      <c r="Y298" s="11">
        <v>31773.37</v>
      </c>
      <c r="Z298" s="12">
        <v>0.7126892902754971</v>
      </c>
      <c r="AA298" s="12">
        <v>0</v>
      </c>
      <c r="AB298" s="12">
        <v>0</v>
      </c>
      <c r="AC298" s="13">
        <v>0</v>
      </c>
      <c r="AD298" s="14">
        <f t="shared" si="10"/>
        <v>0.7126892902754971</v>
      </c>
      <c r="AE298" s="15">
        <f t="shared" si="11"/>
        <v>0</v>
      </c>
      <c r="AF298" s="16">
        <v>1250</v>
      </c>
      <c r="AG298" s="16" t="s">
        <v>66</v>
      </c>
      <c r="AH298" s="17" t="s">
        <v>66</v>
      </c>
      <c r="AI298" s="18">
        <v>5</v>
      </c>
      <c r="AJ298" s="19" t="s">
        <v>878</v>
      </c>
      <c r="AK298" s="20">
        <v>0.95</v>
      </c>
      <c r="AL298" s="17" t="s">
        <v>261</v>
      </c>
      <c r="AM298" s="5" t="s">
        <v>66</v>
      </c>
      <c r="AN298" s="5" t="s">
        <v>66</v>
      </c>
      <c r="AO298" s="5" t="s">
        <v>66</v>
      </c>
      <c r="AP298" s="5" t="s">
        <v>66</v>
      </c>
      <c r="AQ298" s="5" t="s">
        <v>66</v>
      </c>
      <c r="AR298" s="5" t="s">
        <v>66</v>
      </c>
      <c r="AS298" s="5" t="s">
        <v>66</v>
      </c>
      <c r="AT298" s="5" t="s">
        <v>66</v>
      </c>
      <c r="AU298" s="5" t="s">
        <v>66</v>
      </c>
      <c r="AV298" s="5" t="s">
        <v>66</v>
      </c>
      <c r="AW298" s="5" t="s">
        <v>66</v>
      </c>
      <c r="AX298" s="5" t="s">
        <v>879</v>
      </c>
      <c r="AY298" s="5" t="s">
        <v>94</v>
      </c>
      <c r="AZ298" s="5" t="s">
        <v>145</v>
      </c>
      <c r="BA298" s="19" t="s">
        <v>66</v>
      </c>
      <c r="BB298" s="17" t="s">
        <v>110</v>
      </c>
      <c r="BC298" s="5" t="s">
        <v>844</v>
      </c>
      <c r="BD298" s="5" t="s">
        <v>880</v>
      </c>
    </row>
    <row r="299" spans="1:56" ht="48" hidden="1" x14ac:dyDescent="0.25">
      <c r="A299" s="78" t="s">
        <v>813</v>
      </c>
      <c r="B299" s="5" t="s">
        <v>814</v>
      </c>
      <c r="C299" s="5" t="s">
        <v>3293</v>
      </c>
      <c r="D299" s="5" t="s">
        <v>56</v>
      </c>
      <c r="E299" s="99" t="str">
        <f>VLOOKUP(D299,'Dropdown List'!$F$26:$G$40,2,0)</f>
        <v>India</v>
      </c>
      <c r="F299" s="8" t="s">
        <v>166</v>
      </c>
      <c r="G299" s="96">
        <v>16</v>
      </c>
      <c r="H299" s="5" t="s">
        <v>57</v>
      </c>
      <c r="I299" s="8" t="s">
        <v>71</v>
      </c>
      <c r="J299" s="8" t="s">
        <v>102</v>
      </c>
      <c r="K299" s="8" t="s">
        <v>516</v>
      </c>
      <c r="L299" s="8" t="s">
        <v>3462</v>
      </c>
      <c r="M299" s="8" t="s">
        <v>3463</v>
      </c>
      <c r="N299" s="5" t="s">
        <v>319</v>
      </c>
      <c r="O299" s="5" t="s">
        <v>279</v>
      </c>
      <c r="P299" s="5" t="s">
        <v>3464</v>
      </c>
      <c r="Q299" s="9" t="s">
        <v>144</v>
      </c>
      <c r="R299" s="5" t="s">
        <v>76</v>
      </c>
      <c r="S299" s="5" t="s">
        <v>90</v>
      </c>
      <c r="T299" s="96">
        <v>1</v>
      </c>
      <c r="U299" s="96">
        <v>4</v>
      </c>
      <c r="V299" s="96">
        <v>12</v>
      </c>
      <c r="W299" s="5" t="s">
        <v>91</v>
      </c>
      <c r="X299" s="10" t="s">
        <v>79</v>
      </c>
      <c r="Y299" s="11">
        <v>33093</v>
      </c>
      <c r="Z299" s="12">
        <v>34</v>
      </c>
      <c r="AA299" s="12">
        <v>1</v>
      </c>
      <c r="AB299" s="12">
        <v>1</v>
      </c>
      <c r="AC299" s="13">
        <v>2</v>
      </c>
      <c r="AD299" s="14">
        <f t="shared" si="10"/>
        <v>38</v>
      </c>
      <c r="AE299" s="15">
        <f t="shared" si="11"/>
        <v>5.2631578947368418E-2</v>
      </c>
      <c r="AF299" s="16">
        <v>10000</v>
      </c>
      <c r="AG299" s="16" t="s">
        <v>66</v>
      </c>
      <c r="AH299" s="17" t="s">
        <v>66</v>
      </c>
      <c r="AI299" s="18">
        <v>22</v>
      </c>
      <c r="AJ299" s="19" t="s">
        <v>3465</v>
      </c>
      <c r="AK299" s="20">
        <v>0.92</v>
      </c>
      <c r="AL299" s="17" t="s">
        <v>261</v>
      </c>
      <c r="AM299" s="5" t="s">
        <v>66</v>
      </c>
      <c r="AN299" s="5" t="s">
        <v>66</v>
      </c>
      <c r="AO299" s="5" t="s">
        <v>66</v>
      </c>
      <c r="AP299" s="5" t="s">
        <v>66</v>
      </c>
      <c r="AQ299" s="5" t="s">
        <v>66</v>
      </c>
      <c r="AR299" s="5" t="s">
        <v>66</v>
      </c>
      <c r="AS299" s="5" t="s">
        <v>66</v>
      </c>
      <c r="AT299" s="5" t="s">
        <v>66</v>
      </c>
      <c r="AU299" s="5" t="s">
        <v>66</v>
      </c>
      <c r="AV299" s="5" t="s">
        <v>66</v>
      </c>
      <c r="AW299" s="5" t="s">
        <v>66</v>
      </c>
      <c r="AX299" s="5" t="s">
        <v>1592</v>
      </c>
      <c r="AY299" s="5" t="s">
        <v>69</v>
      </c>
      <c r="AZ299" s="5" t="s">
        <v>70</v>
      </c>
      <c r="BA299" s="19">
        <v>1</v>
      </c>
      <c r="BB299" s="17" t="s">
        <v>353</v>
      </c>
      <c r="BC299" s="5" t="s">
        <v>3466</v>
      </c>
      <c r="BD299" s="5" t="s">
        <v>3467</v>
      </c>
    </row>
    <row r="300" spans="1:56" ht="48" hidden="1" x14ac:dyDescent="0.25">
      <c r="A300" s="78" t="s">
        <v>813</v>
      </c>
      <c r="B300" s="5" t="s">
        <v>814</v>
      </c>
      <c r="C300" s="5" t="s">
        <v>3293</v>
      </c>
      <c r="D300" s="5" t="s">
        <v>56</v>
      </c>
      <c r="E300" s="99" t="str">
        <f>VLOOKUP(D300,'Dropdown List'!$F$26:$G$40,2,0)</f>
        <v>India</v>
      </c>
      <c r="F300" s="8" t="s">
        <v>166</v>
      </c>
      <c r="G300" s="96">
        <v>16</v>
      </c>
      <c r="H300" s="5" t="s">
        <v>57</v>
      </c>
      <c r="I300" s="8" t="s">
        <v>71</v>
      </c>
      <c r="J300" s="8" t="s">
        <v>102</v>
      </c>
      <c r="K300" s="8" t="s">
        <v>611</v>
      </c>
      <c r="L300" s="8" t="s">
        <v>3468</v>
      </c>
      <c r="M300" s="8" t="s">
        <v>3469</v>
      </c>
      <c r="N300" s="5" t="s">
        <v>319</v>
      </c>
      <c r="O300" s="5" t="s">
        <v>279</v>
      </c>
      <c r="P300" s="5" t="s">
        <v>3464</v>
      </c>
      <c r="Q300" s="9" t="s">
        <v>144</v>
      </c>
      <c r="R300" s="5" t="s">
        <v>76</v>
      </c>
      <c r="S300" s="5" t="s">
        <v>334</v>
      </c>
      <c r="T300" s="96">
        <v>1</v>
      </c>
      <c r="U300" s="96">
        <v>1</v>
      </c>
      <c r="V300" s="96">
        <v>4</v>
      </c>
      <c r="W300" s="5" t="s">
        <v>91</v>
      </c>
      <c r="X300" s="10" t="s">
        <v>79</v>
      </c>
      <c r="Y300" s="11">
        <v>33093</v>
      </c>
      <c r="Z300" s="12">
        <v>3</v>
      </c>
      <c r="AA300" s="12">
        <v>0.25</v>
      </c>
      <c r="AB300" s="12">
        <v>0.1</v>
      </c>
      <c r="AC300" s="13">
        <v>1</v>
      </c>
      <c r="AD300" s="14">
        <f t="shared" si="10"/>
        <v>4.3499999999999996</v>
      </c>
      <c r="AE300" s="15">
        <f t="shared" si="11"/>
        <v>0.22988505747126439</v>
      </c>
      <c r="AF300" s="16">
        <v>15000</v>
      </c>
      <c r="AG300" s="16" t="s">
        <v>66</v>
      </c>
      <c r="AH300" s="17" t="s">
        <v>66</v>
      </c>
      <c r="AI300" s="18">
        <v>2</v>
      </c>
      <c r="AJ300" s="19" t="s">
        <v>3465</v>
      </c>
      <c r="AK300" s="20">
        <v>0.95</v>
      </c>
      <c r="AL300" s="17" t="s">
        <v>261</v>
      </c>
      <c r="AM300" s="5" t="s">
        <v>66</v>
      </c>
      <c r="AN300" s="5" t="s">
        <v>66</v>
      </c>
      <c r="AO300" s="5" t="s">
        <v>66</v>
      </c>
      <c r="AP300" s="5" t="s">
        <v>66</v>
      </c>
      <c r="AQ300" s="5" t="s">
        <v>66</v>
      </c>
      <c r="AR300" s="5" t="s">
        <v>66</v>
      </c>
      <c r="AS300" s="5" t="s">
        <v>66</v>
      </c>
      <c r="AT300" s="5" t="s">
        <v>66</v>
      </c>
      <c r="AU300" s="5" t="s">
        <v>66</v>
      </c>
      <c r="AV300" s="5" t="s">
        <v>66</v>
      </c>
      <c r="AW300" s="5" t="s">
        <v>66</v>
      </c>
      <c r="AX300" s="5" t="s">
        <v>1592</v>
      </c>
      <c r="AY300" s="5" t="s">
        <v>69</v>
      </c>
      <c r="AZ300" s="5" t="s">
        <v>70</v>
      </c>
      <c r="BA300" s="19">
        <v>1</v>
      </c>
      <c r="BB300" s="17" t="s">
        <v>353</v>
      </c>
      <c r="BC300" s="5" t="s">
        <v>3466</v>
      </c>
      <c r="BD300" s="5" t="s">
        <v>3470</v>
      </c>
    </row>
    <row r="301" spans="1:56" ht="48" hidden="1" x14ac:dyDescent="0.25">
      <c r="A301" s="78" t="s">
        <v>813</v>
      </c>
      <c r="B301" s="5" t="s">
        <v>814</v>
      </c>
      <c r="C301" s="5" t="s">
        <v>3293</v>
      </c>
      <c r="D301" s="5" t="s">
        <v>56</v>
      </c>
      <c r="E301" s="99" t="str">
        <f>VLOOKUP(D301,'Dropdown List'!$F$26:$G$40,2,0)</f>
        <v>India</v>
      </c>
      <c r="F301" s="8" t="s">
        <v>166</v>
      </c>
      <c r="G301" s="96">
        <v>16</v>
      </c>
      <c r="H301" s="5" t="s">
        <v>57</v>
      </c>
      <c r="I301" s="8" t="s">
        <v>71</v>
      </c>
      <c r="J301" s="8" t="s">
        <v>112</v>
      </c>
      <c r="K301" s="8" t="s">
        <v>859</v>
      </c>
      <c r="L301" s="8" t="s">
        <v>3471</v>
      </c>
      <c r="M301" s="8" t="s">
        <v>3463</v>
      </c>
      <c r="N301" s="5" t="s">
        <v>319</v>
      </c>
      <c r="O301" s="5" t="s">
        <v>279</v>
      </c>
      <c r="P301" s="5" t="s">
        <v>3464</v>
      </c>
      <c r="Q301" s="9" t="s">
        <v>144</v>
      </c>
      <c r="R301" s="5" t="s">
        <v>76</v>
      </c>
      <c r="S301" s="5" t="s">
        <v>90</v>
      </c>
      <c r="T301" s="96">
        <v>1</v>
      </c>
      <c r="U301" s="96">
        <v>4</v>
      </c>
      <c r="V301" s="96">
        <v>12</v>
      </c>
      <c r="W301" s="5" t="s">
        <v>91</v>
      </c>
      <c r="X301" s="10" t="s">
        <v>79</v>
      </c>
      <c r="Y301" s="11">
        <v>45694</v>
      </c>
      <c r="Z301" s="12">
        <v>17</v>
      </c>
      <c r="AA301" s="12">
        <v>0.25</v>
      </c>
      <c r="AB301" s="12">
        <v>0.9</v>
      </c>
      <c r="AC301" s="13">
        <v>0</v>
      </c>
      <c r="AD301" s="14">
        <f t="shared" si="10"/>
        <v>18.149999999999999</v>
      </c>
      <c r="AE301" s="15">
        <f t="shared" si="11"/>
        <v>0</v>
      </c>
      <c r="AF301" s="16">
        <v>10000</v>
      </c>
      <c r="AG301" s="16" t="s">
        <v>66</v>
      </c>
      <c r="AH301" s="17" t="s">
        <v>66</v>
      </c>
      <c r="AI301" s="18">
        <v>15</v>
      </c>
      <c r="AJ301" s="19" t="s">
        <v>3465</v>
      </c>
      <c r="AK301" s="20">
        <v>0.92</v>
      </c>
      <c r="AL301" s="17" t="s">
        <v>261</v>
      </c>
      <c r="AM301" s="5" t="s">
        <v>66</v>
      </c>
      <c r="AN301" s="5" t="s">
        <v>66</v>
      </c>
      <c r="AO301" s="5" t="s">
        <v>66</v>
      </c>
      <c r="AP301" s="5" t="s">
        <v>66</v>
      </c>
      <c r="AQ301" s="5" t="s">
        <v>66</v>
      </c>
      <c r="AR301" s="5" t="s">
        <v>66</v>
      </c>
      <c r="AS301" s="5" t="s">
        <v>66</v>
      </c>
      <c r="AT301" s="5" t="s">
        <v>66</v>
      </c>
      <c r="AU301" s="5" t="s">
        <v>66</v>
      </c>
      <c r="AV301" s="5" t="s">
        <v>66</v>
      </c>
      <c r="AW301" s="5" t="s">
        <v>66</v>
      </c>
      <c r="AX301" s="5" t="s">
        <v>1592</v>
      </c>
      <c r="AY301" s="5" t="s">
        <v>69</v>
      </c>
      <c r="AZ301" s="5" t="s">
        <v>70</v>
      </c>
      <c r="BA301" s="19">
        <v>1</v>
      </c>
      <c r="BB301" s="17" t="s">
        <v>353</v>
      </c>
      <c r="BC301" s="5" t="s">
        <v>3466</v>
      </c>
      <c r="BD301" s="5" t="s">
        <v>3467</v>
      </c>
    </row>
    <row r="302" spans="1:56" ht="48" hidden="1" x14ac:dyDescent="0.25">
      <c r="A302" s="78" t="s">
        <v>813</v>
      </c>
      <c r="B302" s="5" t="s">
        <v>814</v>
      </c>
      <c r="C302" s="5" t="s">
        <v>3293</v>
      </c>
      <c r="D302" s="5" t="s">
        <v>56</v>
      </c>
      <c r="E302" s="99" t="str">
        <f>VLOOKUP(D302,'Dropdown List'!$F$26:$G$40,2,0)</f>
        <v>India</v>
      </c>
      <c r="F302" s="8" t="s">
        <v>166</v>
      </c>
      <c r="G302" s="96">
        <v>16</v>
      </c>
      <c r="H302" s="5" t="s">
        <v>57</v>
      </c>
      <c r="I302" s="8" t="s">
        <v>71</v>
      </c>
      <c r="J302" s="8" t="s">
        <v>112</v>
      </c>
      <c r="K302" s="8" t="s">
        <v>130</v>
      </c>
      <c r="L302" s="8" t="s">
        <v>3472</v>
      </c>
      <c r="M302" s="8" t="s">
        <v>3473</v>
      </c>
      <c r="N302" s="5" t="s">
        <v>319</v>
      </c>
      <c r="O302" s="5" t="s">
        <v>279</v>
      </c>
      <c r="P302" s="5" t="s">
        <v>3464</v>
      </c>
      <c r="Q302" s="9" t="s">
        <v>172</v>
      </c>
      <c r="R302" s="5" t="s">
        <v>76</v>
      </c>
      <c r="S302" s="5" t="s">
        <v>64</v>
      </c>
      <c r="T302" s="96">
        <v>2</v>
      </c>
      <c r="U302" s="96">
        <v>4</v>
      </c>
      <c r="V302" s="96">
        <v>12</v>
      </c>
      <c r="W302" s="5" t="s">
        <v>91</v>
      </c>
      <c r="X302" s="10" t="s">
        <v>79</v>
      </c>
      <c r="Y302" s="11">
        <v>31773</v>
      </c>
      <c r="Z302" s="12">
        <v>49</v>
      </c>
      <c r="AA302" s="12">
        <v>3</v>
      </c>
      <c r="AB302" s="12">
        <v>1</v>
      </c>
      <c r="AC302" s="13">
        <v>1</v>
      </c>
      <c r="AD302" s="14">
        <f t="shared" si="10"/>
        <v>54</v>
      </c>
      <c r="AE302" s="15">
        <f t="shared" si="11"/>
        <v>1.8518518518518517E-2</v>
      </c>
      <c r="AF302" s="16">
        <v>83514</v>
      </c>
      <c r="AG302" s="16" t="s">
        <v>66</v>
      </c>
      <c r="AH302" s="17" t="s">
        <v>3474</v>
      </c>
      <c r="AI302" s="18">
        <v>5</v>
      </c>
      <c r="AJ302" s="19" t="s">
        <v>3465</v>
      </c>
      <c r="AK302" s="20">
        <v>0.95</v>
      </c>
      <c r="AL302" s="17" t="s">
        <v>261</v>
      </c>
      <c r="AM302" s="5" t="s">
        <v>66</v>
      </c>
      <c r="AN302" s="5" t="s">
        <v>66</v>
      </c>
      <c r="AO302" s="5" t="s">
        <v>66</v>
      </c>
      <c r="AP302" s="5" t="s">
        <v>66</v>
      </c>
      <c r="AQ302" s="5" t="s">
        <v>66</v>
      </c>
      <c r="AR302" s="5" t="s">
        <v>66</v>
      </c>
      <c r="AS302" s="5" t="s">
        <v>66</v>
      </c>
      <c r="AT302" s="5" t="s">
        <v>66</v>
      </c>
      <c r="AU302" s="5" t="s">
        <v>66</v>
      </c>
      <c r="AV302" s="5" t="s">
        <v>66</v>
      </c>
      <c r="AW302" s="5" t="s">
        <v>66</v>
      </c>
      <c r="AX302" s="5" t="s">
        <v>3475</v>
      </c>
      <c r="AY302" s="5" t="s">
        <v>69</v>
      </c>
      <c r="AZ302" s="5" t="s">
        <v>70</v>
      </c>
      <c r="BA302" s="19" t="s">
        <v>3476</v>
      </c>
      <c r="BB302" s="17" t="s">
        <v>69</v>
      </c>
      <c r="BC302" s="5" t="s">
        <v>3477</v>
      </c>
      <c r="BD302" s="5" t="s">
        <v>3478</v>
      </c>
    </row>
    <row r="303" spans="1:56" ht="48" hidden="1" x14ac:dyDescent="0.25">
      <c r="A303" s="78" t="s">
        <v>813</v>
      </c>
      <c r="B303" s="5" t="s">
        <v>814</v>
      </c>
      <c r="C303" s="5" t="s">
        <v>3293</v>
      </c>
      <c r="D303" s="5" t="s">
        <v>56</v>
      </c>
      <c r="E303" s="99" t="str">
        <f>VLOOKUP(D303,'Dropdown List'!$F$26:$G$40,2,0)</f>
        <v>India</v>
      </c>
      <c r="F303" s="8" t="s">
        <v>166</v>
      </c>
      <c r="G303" s="96">
        <v>16</v>
      </c>
      <c r="H303" s="5" t="s">
        <v>57</v>
      </c>
      <c r="I303" s="8" t="s">
        <v>71</v>
      </c>
      <c r="J303" s="8" t="s">
        <v>112</v>
      </c>
      <c r="K303" s="8" t="s">
        <v>130</v>
      </c>
      <c r="L303" s="8" t="s">
        <v>879</v>
      </c>
      <c r="M303" s="8" t="s">
        <v>3479</v>
      </c>
      <c r="N303" s="5" t="s">
        <v>319</v>
      </c>
      <c r="O303" s="5" t="s">
        <v>279</v>
      </c>
      <c r="P303" s="5" t="s">
        <v>3464</v>
      </c>
      <c r="Q303" s="9" t="s">
        <v>172</v>
      </c>
      <c r="R303" s="5" t="s">
        <v>76</v>
      </c>
      <c r="S303" s="5" t="s">
        <v>64</v>
      </c>
      <c r="T303" s="96">
        <v>2</v>
      </c>
      <c r="U303" s="96">
        <v>4</v>
      </c>
      <c r="V303" s="96">
        <v>12</v>
      </c>
      <c r="W303" s="5" t="s">
        <v>91</v>
      </c>
      <c r="X303" s="10" t="s">
        <v>79</v>
      </c>
      <c r="Y303" s="11">
        <v>31773</v>
      </c>
      <c r="Z303" s="12">
        <v>8</v>
      </c>
      <c r="AA303" s="12">
        <v>2</v>
      </c>
      <c r="AB303" s="12">
        <v>1</v>
      </c>
      <c r="AC303" s="13">
        <v>1</v>
      </c>
      <c r="AD303" s="14">
        <f t="shared" si="10"/>
        <v>12</v>
      </c>
      <c r="AE303" s="15">
        <f t="shared" si="11"/>
        <v>8.3333333333333329E-2</v>
      </c>
      <c r="AF303" s="16">
        <v>3823</v>
      </c>
      <c r="AG303" s="16" t="s">
        <v>66</v>
      </c>
      <c r="AH303" s="17" t="s">
        <v>3474</v>
      </c>
      <c r="AI303" s="18">
        <v>5</v>
      </c>
      <c r="AJ303" s="19" t="s">
        <v>3465</v>
      </c>
      <c r="AK303" s="20">
        <v>0.95</v>
      </c>
      <c r="AL303" s="17" t="s">
        <v>261</v>
      </c>
      <c r="AM303" s="5" t="s">
        <v>66</v>
      </c>
      <c r="AN303" s="5" t="s">
        <v>66</v>
      </c>
      <c r="AO303" s="5" t="s">
        <v>66</v>
      </c>
      <c r="AP303" s="5" t="s">
        <v>66</v>
      </c>
      <c r="AQ303" s="5" t="s">
        <v>66</v>
      </c>
      <c r="AR303" s="5" t="s">
        <v>66</v>
      </c>
      <c r="AS303" s="5" t="s">
        <v>66</v>
      </c>
      <c r="AT303" s="5" t="s">
        <v>66</v>
      </c>
      <c r="AU303" s="5" t="s">
        <v>66</v>
      </c>
      <c r="AV303" s="5" t="s">
        <v>66</v>
      </c>
      <c r="AW303" s="5" t="s">
        <v>66</v>
      </c>
      <c r="AX303" s="5" t="s">
        <v>3475</v>
      </c>
      <c r="AY303" s="5" t="s">
        <v>69</v>
      </c>
      <c r="AZ303" s="5" t="s">
        <v>70</v>
      </c>
      <c r="BA303" s="19" t="s">
        <v>3476</v>
      </c>
      <c r="BB303" s="17" t="s">
        <v>69</v>
      </c>
      <c r="BC303" s="5" t="s">
        <v>3477</v>
      </c>
      <c r="BD303" s="5" t="s">
        <v>3478</v>
      </c>
    </row>
    <row r="304" spans="1:56" ht="48" hidden="1" x14ac:dyDescent="0.25">
      <c r="A304" s="78" t="s">
        <v>813</v>
      </c>
      <c r="B304" s="5" t="s">
        <v>814</v>
      </c>
      <c r="C304" s="5" t="s">
        <v>3293</v>
      </c>
      <c r="D304" s="5" t="s">
        <v>56</v>
      </c>
      <c r="E304" s="99" t="str">
        <f>VLOOKUP(D304,'Dropdown List'!$F$26:$G$40,2,0)</f>
        <v>India</v>
      </c>
      <c r="F304" s="8" t="s">
        <v>166</v>
      </c>
      <c r="G304" s="96">
        <v>16</v>
      </c>
      <c r="H304" s="5" t="s">
        <v>57</v>
      </c>
      <c r="I304" s="8" t="s">
        <v>71</v>
      </c>
      <c r="J304" s="8" t="s">
        <v>112</v>
      </c>
      <c r="K304" s="8" t="s">
        <v>130</v>
      </c>
      <c r="L304" s="8" t="s">
        <v>3480</v>
      </c>
      <c r="M304" s="8" t="s">
        <v>3481</v>
      </c>
      <c r="N304" s="5" t="s">
        <v>319</v>
      </c>
      <c r="O304" s="5" t="s">
        <v>279</v>
      </c>
      <c r="P304" s="5" t="s">
        <v>3464</v>
      </c>
      <c r="Q304" s="9" t="s">
        <v>172</v>
      </c>
      <c r="R304" s="5" t="s">
        <v>76</v>
      </c>
      <c r="S304" s="5" t="s">
        <v>64</v>
      </c>
      <c r="T304" s="96">
        <v>2</v>
      </c>
      <c r="U304" s="96">
        <v>4</v>
      </c>
      <c r="V304" s="96">
        <v>12</v>
      </c>
      <c r="W304" s="5" t="s">
        <v>91</v>
      </c>
      <c r="X304" s="10" t="s">
        <v>79</v>
      </c>
      <c r="Y304" s="11">
        <v>31773</v>
      </c>
      <c r="Z304" s="12">
        <v>1</v>
      </c>
      <c r="AA304" s="12">
        <v>1</v>
      </c>
      <c r="AB304" s="12">
        <v>0</v>
      </c>
      <c r="AC304" s="13">
        <v>0</v>
      </c>
      <c r="AD304" s="14">
        <f t="shared" si="10"/>
        <v>2</v>
      </c>
      <c r="AE304" s="15">
        <f t="shared" si="11"/>
        <v>0</v>
      </c>
      <c r="AF304" s="16">
        <v>650</v>
      </c>
      <c r="AG304" s="16" t="s">
        <v>66</v>
      </c>
      <c r="AH304" s="17" t="s">
        <v>3474</v>
      </c>
      <c r="AI304" s="18">
        <v>5</v>
      </c>
      <c r="AJ304" s="19" t="s">
        <v>3465</v>
      </c>
      <c r="AK304" s="20">
        <v>0.95</v>
      </c>
      <c r="AL304" s="17" t="s">
        <v>261</v>
      </c>
      <c r="AM304" s="5" t="s">
        <v>66</v>
      </c>
      <c r="AN304" s="5" t="s">
        <v>66</v>
      </c>
      <c r="AO304" s="5" t="s">
        <v>66</v>
      </c>
      <c r="AP304" s="5" t="s">
        <v>66</v>
      </c>
      <c r="AQ304" s="5" t="s">
        <v>66</v>
      </c>
      <c r="AR304" s="5" t="s">
        <v>66</v>
      </c>
      <c r="AS304" s="5" t="s">
        <v>66</v>
      </c>
      <c r="AT304" s="5" t="s">
        <v>66</v>
      </c>
      <c r="AU304" s="5" t="s">
        <v>66</v>
      </c>
      <c r="AV304" s="5" t="s">
        <v>66</v>
      </c>
      <c r="AW304" s="5" t="s">
        <v>66</v>
      </c>
      <c r="AX304" s="5" t="s">
        <v>3475</v>
      </c>
      <c r="AY304" s="5" t="s">
        <v>69</v>
      </c>
      <c r="AZ304" s="5" t="s">
        <v>70</v>
      </c>
      <c r="BA304" s="19" t="s">
        <v>3476</v>
      </c>
      <c r="BB304" s="17" t="s">
        <v>69</v>
      </c>
      <c r="BC304" s="5" t="s">
        <v>3477</v>
      </c>
      <c r="BD304" s="5" t="s">
        <v>3478</v>
      </c>
    </row>
    <row r="305" spans="1:56" ht="36" hidden="1" x14ac:dyDescent="0.25">
      <c r="A305" s="78" t="s">
        <v>813</v>
      </c>
      <c r="B305" s="5" t="s">
        <v>814</v>
      </c>
      <c r="C305" s="5" t="s">
        <v>3293</v>
      </c>
      <c r="D305" s="5" t="s">
        <v>56</v>
      </c>
      <c r="E305" s="99" t="str">
        <f>VLOOKUP(D305,'Dropdown List'!$F$26:$G$40,2,0)</f>
        <v>India</v>
      </c>
      <c r="F305" s="8" t="s">
        <v>166</v>
      </c>
      <c r="G305" s="96">
        <v>14</v>
      </c>
      <c r="H305" s="5" t="s">
        <v>57</v>
      </c>
      <c r="I305" s="8" t="s">
        <v>58</v>
      </c>
      <c r="J305" s="8" t="s">
        <v>146</v>
      </c>
      <c r="K305" s="8" t="s">
        <v>190</v>
      </c>
      <c r="L305" s="8" t="s">
        <v>190</v>
      </c>
      <c r="M305" s="8" t="s">
        <v>867</v>
      </c>
      <c r="N305" s="5" t="s">
        <v>319</v>
      </c>
      <c r="O305" s="5" t="s">
        <v>279</v>
      </c>
      <c r="P305" s="5" t="s">
        <v>868</v>
      </c>
      <c r="Q305" s="9" t="s">
        <v>172</v>
      </c>
      <c r="R305" s="5" t="s">
        <v>76</v>
      </c>
      <c r="S305" s="5" t="s">
        <v>334</v>
      </c>
      <c r="T305" s="96">
        <v>1</v>
      </c>
      <c r="U305" s="96">
        <v>4</v>
      </c>
      <c r="V305" s="96">
        <v>2</v>
      </c>
      <c r="W305" s="5" t="s">
        <v>91</v>
      </c>
      <c r="X305" s="10" t="s">
        <v>79</v>
      </c>
      <c r="Y305" s="11">
        <v>31773.37</v>
      </c>
      <c r="Z305" s="12">
        <v>4</v>
      </c>
      <c r="AA305" s="12">
        <v>0</v>
      </c>
      <c r="AB305" s="12">
        <v>0</v>
      </c>
      <c r="AC305" s="13">
        <v>0</v>
      </c>
      <c r="AD305" s="14">
        <f t="shared" si="10"/>
        <v>4</v>
      </c>
      <c r="AE305" s="15">
        <f t="shared" si="11"/>
        <v>0</v>
      </c>
      <c r="AF305" s="16">
        <v>30500</v>
      </c>
      <c r="AG305" s="16" t="s">
        <v>66</v>
      </c>
      <c r="AH305" s="17" t="s">
        <v>66</v>
      </c>
      <c r="AI305" s="18">
        <v>2</v>
      </c>
      <c r="AJ305" s="19" t="s">
        <v>869</v>
      </c>
      <c r="AK305" s="20">
        <v>0.95</v>
      </c>
      <c r="AL305" s="17" t="s">
        <v>261</v>
      </c>
      <c r="AM305" s="5" t="s">
        <v>66</v>
      </c>
      <c r="AN305" s="5" t="s">
        <v>66</v>
      </c>
      <c r="AO305" s="5" t="s">
        <v>66</v>
      </c>
      <c r="AP305" s="5" t="s">
        <v>66</v>
      </c>
      <c r="AQ305" s="5" t="s">
        <v>66</v>
      </c>
      <c r="AR305" s="5" t="s">
        <v>66</v>
      </c>
      <c r="AS305" s="5" t="s">
        <v>66</v>
      </c>
      <c r="AT305" s="5" t="s">
        <v>66</v>
      </c>
      <c r="AU305" s="5" t="s">
        <v>66</v>
      </c>
      <c r="AV305" s="5" t="s">
        <v>66</v>
      </c>
      <c r="AW305" s="5" t="s">
        <v>870</v>
      </c>
      <c r="AX305" s="5" t="s">
        <v>871</v>
      </c>
      <c r="AY305" s="5" t="s">
        <v>69</v>
      </c>
      <c r="AZ305" s="5" t="s">
        <v>145</v>
      </c>
      <c r="BA305" s="19" t="s">
        <v>66</v>
      </c>
      <c r="BB305" s="17" t="s">
        <v>110</v>
      </c>
      <c r="BC305" s="5" t="s">
        <v>871</v>
      </c>
      <c r="BD305" s="5" t="s">
        <v>872</v>
      </c>
    </row>
    <row r="306" spans="1:56" ht="36" hidden="1" x14ac:dyDescent="0.25">
      <c r="A306" s="78" t="s">
        <v>813</v>
      </c>
      <c r="B306" s="5" t="s">
        <v>814</v>
      </c>
      <c r="C306" s="5" t="s">
        <v>3293</v>
      </c>
      <c r="D306" s="5" t="s">
        <v>56</v>
      </c>
      <c r="E306" s="99" t="str">
        <f>VLOOKUP(D306,'Dropdown List'!$F$26:$G$40,2,0)</f>
        <v>India</v>
      </c>
      <c r="F306" s="8" t="s">
        <v>166</v>
      </c>
      <c r="G306" s="96">
        <v>14</v>
      </c>
      <c r="H306" s="5" t="s">
        <v>57</v>
      </c>
      <c r="I306" s="8" t="s">
        <v>58</v>
      </c>
      <c r="J306" s="8" t="s">
        <v>146</v>
      </c>
      <c r="K306" s="8" t="s">
        <v>190</v>
      </c>
      <c r="L306" s="8" t="s">
        <v>190</v>
      </c>
      <c r="M306" s="8" t="s">
        <v>867</v>
      </c>
      <c r="N306" s="5" t="s">
        <v>1034</v>
      </c>
      <c r="O306" s="5" t="s">
        <v>279</v>
      </c>
      <c r="P306" s="5" t="s">
        <v>868</v>
      </c>
      <c r="Q306" s="9" t="s">
        <v>172</v>
      </c>
      <c r="R306" s="5" t="s">
        <v>76</v>
      </c>
      <c r="S306" s="5" t="s">
        <v>334</v>
      </c>
      <c r="T306" s="96">
        <v>1</v>
      </c>
      <c r="U306" s="96">
        <v>4</v>
      </c>
      <c r="V306" s="96">
        <v>2</v>
      </c>
      <c r="W306" s="5" t="s">
        <v>91</v>
      </c>
      <c r="X306" s="10" t="s">
        <v>79</v>
      </c>
      <c r="Y306" s="11">
        <v>31773.37</v>
      </c>
      <c r="Z306" s="12">
        <v>1</v>
      </c>
      <c r="AA306" s="12">
        <v>0</v>
      </c>
      <c r="AB306" s="12">
        <v>0</v>
      </c>
      <c r="AC306" s="13">
        <v>0</v>
      </c>
      <c r="AD306" s="14">
        <f t="shared" si="10"/>
        <v>1</v>
      </c>
      <c r="AE306" s="15">
        <f t="shared" si="11"/>
        <v>0</v>
      </c>
      <c r="AF306" s="16">
        <v>7600</v>
      </c>
      <c r="AG306" s="16" t="s">
        <v>66</v>
      </c>
      <c r="AH306" s="17" t="s">
        <v>66</v>
      </c>
      <c r="AI306" s="18">
        <v>2</v>
      </c>
      <c r="AJ306" s="19" t="s">
        <v>869</v>
      </c>
      <c r="AK306" s="20">
        <v>0.95</v>
      </c>
      <c r="AL306" s="17" t="s">
        <v>261</v>
      </c>
      <c r="AM306" s="5" t="s">
        <v>66</v>
      </c>
      <c r="AN306" s="5" t="s">
        <v>66</v>
      </c>
      <c r="AO306" s="5" t="s">
        <v>66</v>
      </c>
      <c r="AP306" s="5" t="s">
        <v>66</v>
      </c>
      <c r="AQ306" s="5" t="s">
        <v>66</v>
      </c>
      <c r="AR306" s="5" t="s">
        <v>66</v>
      </c>
      <c r="AS306" s="5" t="s">
        <v>66</v>
      </c>
      <c r="AT306" s="5" t="s">
        <v>66</v>
      </c>
      <c r="AU306" s="5" t="s">
        <v>66</v>
      </c>
      <c r="AV306" s="5" t="s">
        <v>66</v>
      </c>
      <c r="AW306" s="5" t="s">
        <v>66</v>
      </c>
      <c r="AX306" s="5" t="s">
        <v>871</v>
      </c>
      <c r="AY306" s="5" t="s">
        <v>69</v>
      </c>
      <c r="AZ306" s="5" t="s">
        <v>145</v>
      </c>
      <c r="BA306" s="19" t="s">
        <v>66</v>
      </c>
      <c r="BB306" s="17" t="s">
        <v>110</v>
      </c>
      <c r="BC306" s="5" t="s">
        <v>871</v>
      </c>
      <c r="BD306" s="5" t="s">
        <v>872</v>
      </c>
    </row>
    <row r="307" spans="1:56" ht="36" hidden="1" x14ac:dyDescent="0.25">
      <c r="A307" s="78" t="s">
        <v>813</v>
      </c>
      <c r="B307" s="5" t="s">
        <v>814</v>
      </c>
      <c r="C307" s="5" t="s">
        <v>3293</v>
      </c>
      <c r="D307" s="5" t="s">
        <v>56</v>
      </c>
      <c r="E307" s="99" t="str">
        <f>VLOOKUP(D307,'Dropdown List'!$F$26:$G$40,2,0)</f>
        <v>India</v>
      </c>
      <c r="F307" s="8" t="s">
        <v>166</v>
      </c>
      <c r="G307" s="96">
        <v>14</v>
      </c>
      <c r="H307" s="5" t="s">
        <v>57</v>
      </c>
      <c r="I307" s="8" t="s">
        <v>58</v>
      </c>
      <c r="J307" s="8" t="s">
        <v>146</v>
      </c>
      <c r="K307" s="8" t="s">
        <v>147</v>
      </c>
      <c r="L307" s="8" t="s">
        <v>222</v>
      </c>
      <c r="M307" s="8" t="s">
        <v>873</v>
      </c>
      <c r="N307" s="5" t="s">
        <v>319</v>
      </c>
      <c r="O307" s="5" t="s">
        <v>279</v>
      </c>
      <c r="P307" s="5" t="s">
        <v>868</v>
      </c>
      <c r="Q307" s="9" t="s">
        <v>172</v>
      </c>
      <c r="R307" s="5" t="s">
        <v>76</v>
      </c>
      <c r="S307" s="5" t="s">
        <v>334</v>
      </c>
      <c r="T307" s="96">
        <v>1</v>
      </c>
      <c r="U307" s="96">
        <v>4</v>
      </c>
      <c r="V307" s="96">
        <v>8</v>
      </c>
      <c r="W307" s="5" t="s">
        <v>91</v>
      </c>
      <c r="X307" s="10" t="s">
        <v>79</v>
      </c>
      <c r="Y307" s="11">
        <v>31773.37</v>
      </c>
      <c r="Z307" s="12">
        <v>7</v>
      </c>
      <c r="AA307" s="12">
        <v>1</v>
      </c>
      <c r="AB307" s="12">
        <v>1</v>
      </c>
      <c r="AC307" s="13">
        <v>0</v>
      </c>
      <c r="AD307" s="14">
        <f t="shared" si="10"/>
        <v>9</v>
      </c>
      <c r="AE307" s="15">
        <f t="shared" si="11"/>
        <v>0</v>
      </c>
      <c r="AF307" s="16">
        <v>6650</v>
      </c>
      <c r="AG307" s="16" t="s">
        <v>66</v>
      </c>
      <c r="AH307" s="17" t="s">
        <v>66</v>
      </c>
      <c r="AI307" s="18">
        <v>10</v>
      </c>
      <c r="AJ307" s="19" t="s">
        <v>869</v>
      </c>
      <c r="AK307" s="20">
        <v>0.94</v>
      </c>
      <c r="AL307" s="17" t="s">
        <v>261</v>
      </c>
      <c r="AM307" s="5" t="s">
        <v>66</v>
      </c>
      <c r="AN307" s="5" t="s">
        <v>66</v>
      </c>
      <c r="AO307" s="5" t="s">
        <v>66</v>
      </c>
      <c r="AP307" s="5" t="s">
        <v>66</v>
      </c>
      <c r="AQ307" s="5" t="s">
        <v>66</v>
      </c>
      <c r="AR307" s="5" t="s">
        <v>66</v>
      </c>
      <c r="AS307" s="5" t="s">
        <v>66</v>
      </c>
      <c r="AT307" s="5" t="s">
        <v>66</v>
      </c>
      <c r="AU307" s="5" t="s">
        <v>66</v>
      </c>
      <c r="AV307" s="5" t="s">
        <v>66</v>
      </c>
      <c r="AW307" s="5" t="s">
        <v>66</v>
      </c>
      <c r="AX307" s="5" t="s">
        <v>844</v>
      </c>
      <c r="AY307" s="5" t="s">
        <v>69</v>
      </c>
      <c r="AZ307" s="5" t="s">
        <v>145</v>
      </c>
      <c r="BA307" s="19" t="s">
        <v>66</v>
      </c>
      <c r="BB307" s="17" t="s">
        <v>110</v>
      </c>
      <c r="BC307" s="5" t="s">
        <v>844</v>
      </c>
      <c r="BD307" s="5" t="s">
        <v>874</v>
      </c>
    </row>
    <row r="308" spans="1:56" ht="36" hidden="1" x14ac:dyDescent="0.25">
      <c r="A308" s="78" t="s">
        <v>813</v>
      </c>
      <c r="B308" s="5" t="s">
        <v>814</v>
      </c>
      <c r="C308" s="5" t="s">
        <v>3293</v>
      </c>
      <c r="D308" s="5" t="s">
        <v>56</v>
      </c>
      <c r="E308" s="99" t="str">
        <f>VLOOKUP(D308,'Dropdown List'!$F$26:$G$40,2,0)</f>
        <v>India</v>
      </c>
      <c r="F308" s="8" t="s">
        <v>166</v>
      </c>
      <c r="G308" s="96">
        <v>14</v>
      </c>
      <c r="H308" s="5" t="s">
        <v>57</v>
      </c>
      <c r="I308" s="8" t="s">
        <v>58</v>
      </c>
      <c r="J308" s="8" t="s">
        <v>146</v>
      </c>
      <c r="K308" s="8" t="s">
        <v>147</v>
      </c>
      <c r="L308" s="8" t="s">
        <v>222</v>
      </c>
      <c r="M308" s="8" t="s">
        <v>873</v>
      </c>
      <c r="N308" s="5" t="s">
        <v>1034</v>
      </c>
      <c r="O308" s="5" t="s">
        <v>279</v>
      </c>
      <c r="P308" s="5" t="s">
        <v>868</v>
      </c>
      <c r="Q308" s="9" t="s">
        <v>172</v>
      </c>
      <c r="R308" s="5" t="s">
        <v>76</v>
      </c>
      <c r="S308" s="5" t="s">
        <v>334</v>
      </c>
      <c r="T308" s="96">
        <v>1</v>
      </c>
      <c r="U308" s="96">
        <v>4</v>
      </c>
      <c r="V308" s="96">
        <v>8</v>
      </c>
      <c r="W308" s="5" t="s">
        <v>91</v>
      </c>
      <c r="X308" s="10" t="s">
        <v>79</v>
      </c>
      <c r="Y308" s="11">
        <v>31773.37</v>
      </c>
      <c r="Z308" s="12">
        <v>2</v>
      </c>
      <c r="AA308" s="12">
        <v>0</v>
      </c>
      <c r="AB308" s="12">
        <v>0</v>
      </c>
      <c r="AC308" s="13">
        <v>1</v>
      </c>
      <c r="AD308" s="14">
        <f t="shared" si="10"/>
        <v>3</v>
      </c>
      <c r="AE308" s="15">
        <f t="shared" si="11"/>
        <v>0.33333333333333331</v>
      </c>
      <c r="AF308" s="16">
        <v>1650</v>
      </c>
      <c r="AG308" s="16" t="s">
        <v>66</v>
      </c>
      <c r="AH308" s="17" t="s">
        <v>66</v>
      </c>
      <c r="AI308" s="18">
        <v>10</v>
      </c>
      <c r="AJ308" s="19" t="s">
        <v>869</v>
      </c>
      <c r="AK308" s="20">
        <v>0.94</v>
      </c>
      <c r="AL308" s="17" t="s">
        <v>261</v>
      </c>
      <c r="AM308" s="5" t="s">
        <v>66</v>
      </c>
      <c r="AN308" s="5" t="s">
        <v>66</v>
      </c>
      <c r="AO308" s="5" t="s">
        <v>66</v>
      </c>
      <c r="AP308" s="5" t="s">
        <v>66</v>
      </c>
      <c r="AQ308" s="5" t="s">
        <v>66</v>
      </c>
      <c r="AR308" s="5" t="s">
        <v>66</v>
      </c>
      <c r="AS308" s="5" t="s">
        <v>66</v>
      </c>
      <c r="AT308" s="5" t="s">
        <v>66</v>
      </c>
      <c r="AU308" s="5" t="s">
        <v>66</v>
      </c>
      <c r="AV308" s="5" t="s">
        <v>66</v>
      </c>
      <c r="AW308" s="5" t="s">
        <v>66</v>
      </c>
      <c r="AX308" s="5" t="s">
        <v>844</v>
      </c>
      <c r="AY308" s="5" t="s">
        <v>69</v>
      </c>
      <c r="AZ308" s="5" t="s">
        <v>145</v>
      </c>
      <c r="BA308" s="19" t="s">
        <v>66</v>
      </c>
      <c r="BB308" s="17" t="s">
        <v>110</v>
      </c>
      <c r="BC308" s="5" t="s">
        <v>844</v>
      </c>
      <c r="BD308" s="5" t="s">
        <v>874</v>
      </c>
    </row>
    <row r="309" spans="1:56" ht="48" hidden="1" x14ac:dyDescent="0.25">
      <c r="A309" s="78" t="s">
        <v>813</v>
      </c>
      <c r="B309" s="5" t="s">
        <v>814</v>
      </c>
      <c r="C309" s="5" t="s">
        <v>3293</v>
      </c>
      <c r="D309" s="5" t="s">
        <v>56</v>
      </c>
      <c r="E309" s="99" t="str">
        <f>VLOOKUP(D309,'Dropdown List'!$F$26:$G$40,2,0)</f>
        <v>India</v>
      </c>
      <c r="F309" s="8" t="s">
        <v>166</v>
      </c>
      <c r="G309" s="96">
        <v>14</v>
      </c>
      <c r="H309" s="5" t="s">
        <v>57</v>
      </c>
      <c r="I309" s="8" t="s">
        <v>58</v>
      </c>
      <c r="J309" s="8" t="s">
        <v>146</v>
      </c>
      <c r="K309" s="8" t="s">
        <v>190</v>
      </c>
      <c r="L309" s="8" t="s">
        <v>3482</v>
      </c>
      <c r="M309" s="8" t="s">
        <v>3483</v>
      </c>
      <c r="N309" s="5" t="s">
        <v>319</v>
      </c>
      <c r="O309" s="5" t="s">
        <v>279</v>
      </c>
      <c r="P309" s="5" t="s">
        <v>868</v>
      </c>
      <c r="Q309" s="9" t="s">
        <v>172</v>
      </c>
      <c r="R309" s="5" t="s">
        <v>76</v>
      </c>
      <c r="S309" s="5" t="s">
        <v>334</v>
      </c>
      <c r="T309" s="96">
        <v>1</v>
      </c>
      <c r="U309" s="96">
        <v>4</v>
      </c>
      <c r="V309" s="96">
        <v>4</v>
      </c>
      <c r="W309" s="5" t="s">
        <v>91</v>
      </c>
      <c r="X309" s="10" t="s">
        <v>79</v>
      </c>
      <c r="Y309" s="11">
        <v>31773.37</v>
      </c>
      <c r="Z309" s="12">
        <v>30</v>
      </c>
      <c r="AA309" s="12">
        <v>2</v>
      </c>
      <c r="AB309" s="12">
        <v>0</v>
      </c>
      <c r="AC309" s="13">
        <v>1</v>
      </c>
      <c r="AD309" s="14">
        <f t="shared" si="10"/>
        <v>33</v>
      </c>
      <c r="AE309" s="15">
        <f t="shared" si="11"/>
        <v>3.0303030303030304E-2</v>
      </c>
      <c r="AF309" s="16">
        <v>30500</v>
      </c>
      <c r="AG309" s="16" t="s">
        <v>66</v>
      </c>
      <c r="AH309" s="17" t="s">
        <v>66</v>
      </c>
      <c r="AI309" s="18">
        <v>6</v>
      </c>
      <c r="AJ309" s="19" t="s">
        <v>350</v>
      </c>
      <c r="AK309" s="20">
        <v>0.95</v>
      </c>
      <c r="AL309" s="17" t="s">
        <v>261</v>
      </c>
      <c r="AM309" s="5" t="s">
        <v>66</v>
      </c>
      <c r="AN309" s="5" t="s">
        <v>66</v>
      </c>
      <c r="AO309" s="5" t="s">
        <v>66</v>
      </c>
      <c r="AP309" s="5" t="s">
        <v>66</v>
      </c>
      <c r="AQ309" s="5" t="s">
        <v>66</v>
      </c>
      <c r="AR309" s="5" t="s">
        <v>66</v>
      </c>
      <c r="AS309" s="5" t="s">
        <v>66</v>
      </c>
      <c r="AT309" s="5" t="s">
        <v>66</v>
      </c>
      <c r="AU309" s="5" t="s">
        <v>66</v>
      </c>
      <c r="AV309" s="5" t="s">
        <v>66</v>
      </c>
      <c r="AW309" s="5" t="s">
        <v>66</v>
      </c>
      <c r="AX309" s="5" t="s">
        <v>871</v>
      </c>
      <c r="AY309" s="5" t="s">
        <v>69</v>
      </c>
      <c r="AZ309" s="5" t="s">
        <v>145</v>
      </c>
      <c r="BA309" s="19" t="s">
        <v>66</v>
      </c>
      <c r="BB309" s="17" t="s">
        <v>110</v>
      </c>
      <c r="BC309" s="5" t="s">
        <v>871</v>
      </c>
      <c r="BD309" s="5" t="s">
        <v>3484</v>
      </c>
    </row>
    <row r="310" spans="1:56" ht="48" hidden="1" x14ac:dyDescent="0.25">
      <c r="A310" s="78" t="s">
        <v>813</v>
      </c>
      <c r="B310" s="5" t="s">
        <v>814</v>
      </c>
      <c r="C310" s="5" t="s">
        <v>3293</v>
      </c>
      <c r="D310" s="5" t="s">
        <v>56</v>
      </c>
      <c r="E310" s="99" t="str">
        <f>VLOOKUP(D310,'Dropdown List'!$F$26:$G$40,2,0)</f>
        <v>India</v>
      </c>
      <c r="F310" s="8" t="s">
        <v>166</v>
      </c>
      <c r="G310" s="96">
        <v>14</v>
      </c>
      <c r="H310" s="5" t="s">
        <v>57</v>
      </c>
      <c r="I310" s="8" t="s">
        <v>58</v>
      </c>
      <c r="J310" s="8" t="s">
        <v>146</v>
      </c>
      <c r="K310" s="8" t="s">
        <v>190</v>
      </c>
      <c r="L310" s="8" t="s">
        <v>3482</v>
      </c>
      <c r="M310" s="8" t="s">
        <v>3483</v>
      </c>
      <c r="N310" s="5" t="s">
        <v>1034</v>
      </c>
      <c r="O310" s="5" t="s">
        <v>279</v>
      </c>
      <c r="P310" s="5" t="s">
        <v>868</v>
      </c>
      <c r="Q310" s="9" t="s">
        <v>172</v>
      </c>
      <c r="R310" s="5" t="s">
        <v>76</v>
      </c>
      <c r="S310" s="5" t="s">
        <v>334</v>
      </c>
      <c r="T310" s="96">
        <v>1</v>
      </c>
      <c r="U310" s="96">
        <v>4</v>
      </c>
      <c r="V310" s="96">
        <v>4</v>
      </c>
      <c r="W310" s="5" t="s">
        <v>91</v>
      </c>
      <c r="X310" s="10" t="s">
        <v>79</v>
      </c>
      <c r="Y310" s="11">
        <v>31773.37</v>
      </c>
      <c r="Z310" s="12">
        <v>3</v>
      </c>
      <c r="AA310" s="12">
        <v>1</v>
      </c>
      <c r="AB310" s="12">
        <v>0</v>
      </c>
      <c r="AC310" s="13">
        <v>0</v>
      </c>
      <c r="AD310" s="14">
        <f t="shared" si="10"/>
        <v>4</v>
      </c>
      <c r="AE310" s="15">
        <f t="shared" si="11"/>
        <v>0</v>
      </c>
      <c r="AF310" s="16">
        <v>7600</v>
      </c>
      <c r="AG310" s="16" t="s">
        <v>66</v>
      </c>
      <c r="AH310" s="17" t="s">
        <v>66</v>
      </c>
      <c r="AI310" s="18">
        <v>6</v>
      </c>
      <c r="AJ310" s="19" t="s">
        <v>350</v>
      </c>
      <c r="AK310" s="20">
        <v>0.95</v>
      </c>
      <c r="AL310" s="17" t="s">
        <v>261</v>
      </c>
      <c r="AM310" s="5" t="s">
        <v>66</v>
      </c>
      <c r="AN310" s="5" t="s">
        <v>66</v>
      </c>
      <c r="AO310" s="5" t="s">
        <v>66</v>
      </c>
      <c r="AP310" s="5" t="s">
        <v>66</v>
      </c>
      <c r="AQ310" s="5" t="s">
        <v>66</v>
      </c>
      <c r="AR310" s="5" t="s">
        <v>66</v>
      </c>
      <c r="AS310" s="5" t="s">
        <v>66</v>
      </c>
      <c r="AT310" s="5" t="s">
        <v>66</v>
      </c>
      <c r="AU310" s="5" t="s">
        <v>66</v>
      </c>
      <c r="AV310" s="5" t="s">
        <v>66</v>
      </c>
      <c r="AW310" s="5" t="s">
        <v>66</v>
      </c>
      <c r="AX310" s="5" t="s">
        <v>871</v>
      </c>
      <c r="AY310" s="5" t="s">
        <v>69</v>
      </c>
      <c r="AZ310" s="5" t="s">
        <v>145</v>
      </c>
      <c r="BA310" s="19" t="s">
        <v>66</v>
      </c>
      <c r="BB310" s="17" t="s">
        <v>110</v>
      </c>
      <c r="BC310" s="5" t="s">
        <v>871</v>
      </c>
      <c r="BD310" s="5" t="s">
        <v>3484</v>
      </c>
    </row>
    <row r="311" spans="1:56" ht="48" hidden="1" x14ac:dyDescent="0.25">
      <c r="A311" s="78" t="s">
        <v>813</v>
      </c>
      <c r="B311" s="5" t="s">
        <v>814</v>
      </c>
      <c r="C311" s="5" t="s">
        <v>3293</v>
      </c>
      <c r="D311" s="5" t="s">
        <v>56</v>
      </c>
      <c r="E311" s="99" t="str">
        <f>VLOOKUP(D311,'Dropdown List'!$F$26:$G$40,2,0)</f>
        <v>India</v>
      </c>
      <c r="F311" s="8" t="s">
        <v>166</v>
      </c>
      <c r="G311" s="96">
        <v>14</v>
      </c>
      <c r="H311" s="5" t="s">
        <v>57</v>
      </c>
      <c r="I311" s="8" t="s">
        <v>58</v>
      </c>
      <c r="J311" s="8" t="s">
        <v>146</v>
      </c>
      <c r="K311" s="8" t="s">
        <v>147</v>
      </c>
      <c r="L311" s="8" t="s">
        <v>3485</v>
      </c>
      <c r="M311" s="100" t="s">
        <v>3486</v>
      </c>
      <c r="N311" s="5" t="s">
        <v>319</v>
      </c>
      <c r="O311" s="5" t="s">
        <v>279</v>
      </c>
      <c r="P311" s="5" t="s">
        <v>868</v>
      </c>
      <c r="Q311" s="9" t="s">
        <v>172</v>
      </c>
      <c r="R311" s="5" t="s">
        <v>76</v>
      </c>
      <c r="S311" s="5" t="s">
        <v>334</v>
      </c>
      <c r="T311" s="96">
        <v>1</v>
      </c>
      <c r="U311" s="96">
        <v>4</v>
      </c>
      <c r="V311" s="96">
        <v>8</v>
      </c>
      <c r="W311" s="5" t="s">
        <v>91</v>
      </c>
      <c r="X311" s="10" t="s">
        <v>79</v>
      </c>
      <c r="Y311" s="11">
        <v>31773.37</v>
      </c>
      <c r="Z311" s="12">
        <v>5</v>
      </c>
      <c r="AA311" s="12">
        <v>1</v>
      </c>
      <c r="AB311" s="12">
        <v>1</v>
      </c>
      <c r="AC311" s="13">
        <v>0</v>
      </c>
      <c r="AD311" s="14">
        <f t="shared" si="10"/>
        <v>7</v>
      </c>
      <c r="AE311" s="15">
        <f t="shared" si="11"/>
        <v>0</v>
      </c>
      <c r="AF311" s="16">
        <v>6650</v>
      </c>
      <c r="AG311" s="16" t="s">
        <v>66</v>
      </c>
      <c r="AH311" s="17" t="s">
        <v>66</v>
      </c>
      <c r="AI311" s="18">
        <v>20</v>
      </c>
      <c r="AJ311" s="19" t="s">
        <v>3487</v>
      </c>
      <c r="AK311" s="20">
        <v>0.92</v>
      </c>
      <c r="AL311" s="17" t="s">
        <v>261</v>
      </c>
      <c r="AM311" s="5" t="s">
        <v>66</v>
      </c>
      <c r="AN311" s="5" t="s">
        <v>66</v>
      </c>
      <c r="AO311" s="5" t="s">
        <v>66</v>
      </c>
      <c r="AP311" s="5" t="s">
        <v>66</v>
      </c>
      <c r="AQ311" s="5" t="s">
        <v>66</v>
      </c>
      <c r="AR311" s="5" t="s">
        <v>66</v>
      </c>
      <c r="AS311" s="5" t="s">
        <v>66</v>
      </c>
      <c r="AT311" s="5" t="s">
        <v>66</v>
      </c>
      <c r="AU311" s="5" t="s">
        <v>66</v>
      </c>
      <c r="AV311" s="5" t="s">
        <v>66</v>
      </c>
      <c r="AW311" s="5" t="s">
        <v>66</v>
      </c>
      <c r="AX311" s="5" t="s">
        <v>844</v>
      </c>
      <c r="AY311" s="5" t="s">
        <v>69</v>
      </c>
      <c r="AZ311" s="5" t="s">
        <v>145</v>
      </c>
      <c r="BA311" s="19" t="s">
        <v>66</v>
      </c>
      <c r="BB311" s="17" t="s">
        <v>110</v>
      </c>
      <c r="BC311" s="5" t="s">
        <v>844</v>
      </c>
      <c r="BD311" s="5" t="s">
        <v>874</v>
      </c>
    </row>
    <row r="312" spans="1:56" ht="48" hidden="1" x14ac:dyDescent="0.25">
      <c r="A312" s="78" t="s">
        <v>813</v>
      </c>
      <c r="B312" s="5" t="s">
        <v>814</v>
      </c>
      <c r="C312" s="5" t="s">
        <v>3293</v>
      </c>
      <c r="D312" s="5" t="s">
        <v>56</v>
      </c>
      <c r="E312" s="99" t="str">
        <f>VLOOKUP(D312,'Dropdown List'!$F$26:$G$40,2,0)</f>
        <v>India</v>
      </c>
      <c r="F312" s="8" t="s">
        <v>166</v>
      </c>
      <c r="G312" s="96">
        <v>16</v>
      </c>
      <c r="H312" s="5" t="s">
        <v>57</v>
      </c>
      <c r="I312" s="8" t="s">
        <v>71</v>
      </c>
      <c r="J312" s="8" t="s">
        <v>167</v>
      </c>
      <c r="K312" s="8" t="s">
        <v>168</v>
      </c>
      <c r="L312" s="8" t="s">
        <v>3488</v>
      </c>
      <c r="M312" s="8" t="s">
        <v>3489</v>
      </c>
      <c r="N312" s="5" t="s">
        <v>319</v>
      </c>
      <c r="O312" s="5" t="s">
        <v>279</v>
      </c>
      <c r="P312" s="5" t="s">
        <v>3464</v>
      </c>
      <c r="Q312" s="9" t="s">
        <v>172</v>
      </c>
      <c r="R312" s="5" t="s">
        <v>76</v>
      </c>
      <c r="S312" s="5" t="s">
        <v>90</v>
      </c>
      <c r="T312" s="96">
        <v>2</v>
      </c>
      <c r="U312" s="96">
        <v>8</v>
      </c>
      <c r="V312" s="96">
        <v>12</v>
      </c>
      <c r="W312" s="5" t="s">
        <v>91</v>
      </c>
      <c r="X312" s="10" t="s">
        <v>79</v>
      </c>
      <c r="Y312" s="11">
        <v>31773</v>
      </c>
      <c r="Z312" s="12">
        <v>4</v>
      </c>
      <c r="AA312" s="12">
        <v>1</v>
      </c>
      <c r="AB312" s="12">
        <v>0</v>
      </c>
      <c r="AC312" s="13">
        <v>0</v>
      </c>
      <c r="AD312" s="14">
        <f t="shared" si="10"/>
        <v>5</v>
      </c>
      <c r="AE312" s="15">
        <f t="shared" si="11"/>
        <v>0</v>
      </c>
      <c r="AF312" s="16">
        <v>7000</v>
      </c>
      <c r="AG312" s="16" t="s">
        <v>66</v>
      </c>
      <c r="AH312" s="17" t="s">
        <v>3474</v>
      </c>
      <c r="AI312" s="18">
        <v>4</v>
      </c>
      <c r="AJ312" s="19" t="s">
        <v>3465</v>
      </c>
      <c r="AK312" s="20">
        <v>0.95</v>
      </c>
      <c r="AL312" s="17" t="s">
        <v>261</v>
      </c>
      <c r="AM312" s="5" t="s">
        <v>66</v>
      </c>
      <c r="AN312" s="5" t="s">
        <v>66</v>
      </c>
      <c r="AO312" s="5" t="s">
        <v>66</v>
      </c>
      <c r="AP312" s="5" t="s">
        <v>66</v>
      </c>
      <c r="AQ312" s="5" t="s">
        <v>66</v>
      </c>
      <c r="AR312" s="5" t="s">
        <v>66</v>
      </c>
      <c r="AS312" s="5" t="s">
        <v>66</v>
      </c>
      <c r="AT312" s="5" t="s">
        <v>66</v>
      </c>
      <c r="AU312" s="5" t="s">
        <v>66</v>
      </c>
      <c r="AV312" s="5" t="s">
        <v>66</v>
      </c>
      <c r="AW312" s="5" t="s">
        <v>66</v>
      </c>
      <c r="AX312" s="5" t="s">
        <v>823</v>
      </c>
      <c r="AY312" s="5" t="s">
        <v>69</v>
      </c>
      <c r="AZ312" s="5" t="s">
        <v>70</v>
      </c>
      <c r="BA312" s="19" t="s">
        <v>3476</v>
      </c>
      <c r="BB312" s="17" t="s">
        <v>69</v>
      </c>
      <c r="BC312" s="5" t="s">
        <v>823</v>
      </c>
      <c r="BD312" s="5" t="s">
        <v>3490</v>
      </c>
    </row>
    <row r="313" spans="1:56" ht="48" hidden="1" x14ac:dyDescent="0.25">
      <c r="A313" s="78" t="s">
        <v>813</v>
      </c>
      <c r="B313" s="5" t="s">
        <v>814</v>
      </c>
      <c r="C313" s="5" t="s">
        <v>3293</v>
      </c>
      <c r="D313" s="5" t="s">
        <v>56</v>
      </c>
      <c r="E313" s="99" t="str">
        <f>VLOOKUP(D313,'Dropdown List'!$F$26:$G$40,2,0)</f>
        <v>India</v>
      </c>
      <c r="F313" s="8" t="s">
        <v>166</v>
      </c>
      <c r="G313" s="96">
        <v>16</v>
      </c>
      <c r="H313" s="5" t="s">
        <v>57</v>
      </c>
      <c r="I313" s="8" t="s">
        <v>71</v>
      </c>
      <c r="J313" s="8" t="s">
        <v>167</v>
      </c>
      <c r="K313" s="8" t="s">
        <v>168</v>
      </c>
      <c r="L313" s="8" t="s">
        <v>3488</v>
      </c>
      <c r="M313" s="8" t="s">
        <v>3489</v>
      </c>
      <c r="N313" s="5" t="s">
        <v>1034</v>
      </c>
      <c r="O313" s="5" t="s">
        <v>279</v>
      </c>
      <c r="P313" s="5" t="s">
        <v>3464</v>
      </c>
      <c r="Q313" s="9" t="s">
        <v>172</v>
      </c>
      <c r="R313" s="5" t="s">
        <v>76</v>
      </c>
      <c r="S313" s="5" t="s">
        <v>90</v>
      </c>
      <c r="T313" s="96">
        <v>2</v>
      </c>
      <c r="U313" s="96">
        <v>8</v>
      </c>
      <c r="V313" s="96">
        <v>12</v>
      </c>
      <c r="W313" s="5" t="s">
        <v>91</v>
      </c>
      <c r="X313" s="10" t="s">
        <v>79</v>
      </c>
      <c r="Y313" s="11">
        <v>31773</v>
      </c>
      <c r="Z313" s="12">
        <v>1</v>
      </c>
      <c r="AA313" s="12">
        <v>0</v>
      </c>
      <c r="AB313" s="12">
        <v>0</v>
      </c>
      <c r="AC313" s="13">
        <v>1</v>
      </c>
      <c r="AD313" s="14">
        <f t="shared" si="10"/>
        <v>2</v>
      </c>
      <c r="AE313" s="15">
        <f t="shared" si="11"/>
        <v>0.5</v>
      </c>
      <c r="AF313" s="16">
        <v>2000</v>
      </c>
      <c r="AG313" s="16" t="s">
        <v>66</v>
      </c>
      <c r="AH313" s="17" t="s">
        <v>3474</v>
      </c>
      <c r="AI313" s="18">
        <v>4</v>
      </c>
      <c r="AJ313" s="19" t="s">
        <v>3465</v>
      </c>
      <c r="AK313" s="20">
        <v>0.95</v>
      </c>
      <c r="AL313" s="17" t="s">
        <v>261</v>
      </c>
      <c r="AM313" s="5" t="s">
        <v>66</v>
      </c>
      <c r="AN313" s="5" t="s">
        <v>66</v>
      </c>
      <c r="AO313" s="5" t="s">
        <v>66</v>
      </c>
      <c r="AP313" s="5" t="s">
        <v>66</v>
      </c>
      <c r="AQ313" s="5" t="s">
        <v>66</v>
      </c>
      <c r="AR313" s="5" t="s">
        <v>66</v>
      </c>
      <c r="AS313" s="5" t="s">
        <v>66</v>
      </c>
      <c r="AT313" s="5" t="s">
        <v>66</v>
      </c>
      <c r="AU313" s="5" t="s">
        <v>66</v>
      </c>
      <c r="AV313" s="5" t="s">
        <v>66</v>
      </c>
      <c r="AW313" s="5" t="s">
        <v>66</v>
      </c>
      <c r="AX313" s="5" t="s">
        <v>823</v>
      </c>
      <c r="AY313" s="5" t="s">
        <v>69</v>
      </c>
      <c r="AZ313" s="5" t="s">
        <v>70</v>
      </c>
      <c r="BA313" s="19" t="s">
        <v>3476</v>
      </c>
      <c r="BB313" s="17" t="s">
        <v>69</v>
      </c>
      <c r="BC313" s="5" t="s">
        <v>823</v>
      </c>
      <c r="BD313" s="5" t="s">
        <v>3490</v>
      </c>
    </row>
    <row r="314" spans="1:56" ht="48" hidden="1" x14ac:dyDescent="0.25">
      <c r="A314" s="78" t="s">
        <v>813</v>
      </c>
      <c r="B314" s="5" t="s">
        <v>814</v>
      </c>
      <c r="C314" s="5" t="s">
        <v>3293</v>
      </c>
      <c r="D314" s="5" t="s">
        <v>56</v>
      </c>
      <c r="E314" s="99" t="str">
        <f>VLOOKUP(D314,'Dropdown List'!$F$26:$G$40,2,0)</f>
        <v>India</v>
      </c>
      <c r="F314" s="8" t="s">
        <v>166</v>
      </c>
      <c r="G314" s="96">
        <v>16</v>
      </c>
      <c r="H314" s="5" t="s">
        <v>57</v>
      </c>
      <c r="I314" s="8" t="s">
        <v>71</v>
      </c>
      <c r="J314" s="8" t="s">
        <v>112</v>
      </c>
      <c r="K314" s="8" t="s">
        <v>540</v>
      </c>
      <c r="L314" s="8" t="s">
        <v>3491</v>
      </c>
      <c r="M314" s="8" t="s">
        <v>3492</v>
      </c>
      <c r="N314" s="5" t="s">
        <v>319</v>
      </c>
      <c r="O314" s="5" t="s">
        <v>279</v>
      </c>
      <c r="P314" s="5" t="s">
        <v>3464</v>
      </c>
      <c r="Q314" s="9" t="s">
        <v>172</v>
      </c>
      <c r="R314" s="5" t="s">
        <v>76</v>
      </c>
      <c r="S314" s="5" t="s">
        <v>90</v>
      </c>
      <c r="T314" s="96">
        <v>2</v>
      </c>
      <c r="U314" s="96">
        <v>4</v>
      </c>
      <c r="V314" s="96">
        <v>12</v>
      </c>
      <c r="W314" s="5" t="s">
        <v>91</v>
      </c>
      <c r="X314" s="10" t="s">
        <v>79</v>
      </c>
      <c r="Y314" s="11">
        <v>31773</v>
      </c>
      <c r="Z314" s="12">
        <v>9</v>
      </c>
      <c r="AA314" s="12">
        <v>1</v>
      </c>
      <c r="AB314" s="12">
        <v>1</v>
      </c>
      <c r="AC314" s="13">
        <v>1</v>
      </c>
      <c r="AD314" s="14">
        <f t="shared" si="10"/>
        <v>12</v>
      </c>
      <c r="AE314" s="15">
        <f t="shared" si="11"/>
        <v>8.3333333333333329E-2</v>
      </c>
      <c r="AF314" s="16">
        <v>30000</v>
      </c>
      <c r="AG314" s="16" t="s">
        <v>66</v>
      </c>
      <c r="AH314" s="17" t="s">
        <v>3474</v>
      </c>
      <c r="AI314" s="18">
        <v>2.5</v>
      </c>
      <c r="AJ314" s="19" t="s">
        <v>3465</v>
      </c>
      <c r="AK314" s="20">
        <v>0.97</v>
      </c>
      <c r="AL314" s="17" t="s">
        <v>261</v>
      </c>
      <c r="AM314" s="5" t="s">
        <v>66</v>
      </c>
      <c r="AN314" s="5" t="s">
        <v>66</v>
      </c>
      <c r="AO314" s="5" t="s">
        <v>66</v>
      </c>
      <c r="AP314" s="5" t="s">
        <v>66</v>
      </c>
      <c r="AQ314" s="5" t="s">
        <v>66</v>
      </c>
      <c r="AR314" s="5" t="s">
        <v>66</v>
      </c>
      <c r="AS314" s="5" t="s">
        <v>66</v>
      </c>
      <c r="AT314" s="5" t="s">
        <v>66</v>
      </c>
      <c r="AU314" s="5" t="s">
        <v>66</v>
      </c>
      <c r="AV314" s="5" t="s">
        <v>66</v>
      </c>
      <c r="AW314" s="5" t="s">
        <v>66</v>
      </c>
      <c r="AX314" s="5" t="s">
        <v>3493</v>
      </c>
      <c r="AY314" s="5" t="s">
        <v>69</v>
      </c>
      <c r="AZ314" s="5" t="s">
        <v>70</v>
      </c>
      <c r="BA314" s="19" t="s">
        <v>3494</v>
      </c>
      <c r="BB314" s="17" t="s">
        <v>69</v>
      </c>
      <c r="BC314" s="5" t="s">
        <v>824</v>
      </c>
      <c r="BD314" s="5" t="s">
        <v>3495</v>
      </c>
    </row>
    <row r="315" spans="1:56" ht="48" hidden="1" x14ac:dyDescent="0.25">
      <c r="A315" s="78" t="s">
        <v>813</v>
      </c>
      <c r="B315" s="5" t="s">
        <v>814</v>
      </c>
      <c r="C315" s="5" t="s">
        <v>3293</v>
      </c>
      <c r="D315" s="5" t="s">
        <v>56</v>
      </c>
      <c r="E315" s="99" t="str">
        <f>VLOOKUP(D315,'Dropdown List'!$F$26:$G$40,2,0)</f>
        <v>India</v>
      </c>
      <c r="F315" s="8" t="s">
        <v>166</v>
      </c>
      <c r="G315" s="96">
        <v>16</v>
      </c>
      <c r="H315" s="5" t="s">
        <v>57</v>
      </c>
      <c r="I315" s="8" t="s">
        <v>71</v>
      </c>
      <c r="J315" s="8" t="s">
        <v>112</v>
      </c>
      <c r="K315" s="8" t="s">
        <v>540</v>
      </c>
      <c r="L315" s="8" t="s">
        <v>3491</v>
      </c>
      <c r="M315" s="8" t="s">
        <v>3492</v>
      </c>
      <c r="N315" s="5" t="s">
        <v>1034</v>
      </c>
      <c r="O315" s="5" t="s">
        <v>279</v>
      </c>
      <c r="P315" s="5" t="s">
        <v>3464</v>
      </c>
      <c r="Q315" s="9" t="s">
        <v>172</v>
      </c>
      <c r="R315" s="5" t="s">
        <v>76</v>
      </c>
      <c r="S315" s="5" t="s">
        <v>90</v>
      </c>
      <c r="T315" s="96">
        <v>2</v>
      </c>
      <c r="U315" s="96">
        <v>4</v>
      </c>
      <c r="V315" s="96">
        <v>12</v>
      </c>
      <c r="W315" s="5" t="s">
        <v>91</v>
      </c>
      <c r="X315" s="10" t="s">
        <v>79</v>
      </c>
      <c r="Y315" s="11">
        <v>31773</v>
      </c>
      <c r="Z315" s="12">
        <v>1.7</v>
      </c>
      <c r="AA315" s="12">
        <v>0</v>
      </c>
      <c r="AB315" s="12">
        <v>0</v>
      </c>
      <c r="AC315" s="13">
        <v>0</v>
      </c>
      <c r="AD315" s="14">
        <f t="shared" si="10"/>
        <v>1.7</v>
      </c>
      <c r="AE315" s="15">
        <f t="shared" si="11"/>
        <v>0</v>
      </c>
      <c r="AF315" s="16">
        <v>12500</v>
      </c>
      <c r="AG315" s="16" t="s">
        <v>66</v>
      </c>
      <c r="AH315" s="17" t="s">
        <v>3474</v>
      </c>
      <c r="AI315" s="18">
        <v>2.5</v>
      </c>
      <c r="AJ315" s="19" t="s">
        <v>3465</v>
      </c>
      <c r="AK315" s="20">
        <v>0.97</v>
      </c>
      <c r="AL315" s="17" t="s">
        <v>261</v>
      </c>
      <c r="AM315" s="5" t="s">
        <v>66</v>
      </c>
      <c r="AN315" s="5" t="s">
        <v>66</v>
      </c>
      <c r="AO315" s="5" t="s">
        <v>66</v>
      </c>
      <c r="AP315" s="5" t="s">
        <v>66</v>
      </c>
      <c r="AQ315" s="5" t="s">
        <v>66</v>
      </c>
      <c r="AR315" s="5" t="s">
        <v>66</v>
      </c>
      <c r="AS315" s="5" t="s">
        <v>66</v>
      </c>
      <c r="AT315" s="5" t="s">
        <v>66</v>
      </c>
      <c r="AU315" s="5" t="s">
        <v>66</v>
      </c>
      <c r="AV315" s="5" t="s">
        <v>66</v>
      </c>
      <c r="AW315" s="5" t="s">
        <v>66</v>
      </c>
      <c r="AX315" s="5" t="s">
        <v>3493</v>
      </c>
      <c r="AY315" s="5" t="s">
        <v>69</v>
      </c>
      <c r="AZ315" s="5" t="s">
        <v>70</v>
      </c>
      <c r="BA315" s="19" t="s">
        <v>3494</v>
      </c>
      <c r="BB315" s="17" t="s">
        <v>69</v>
      </c>
      <c r="BC315" s="5" t="s">
        <v>824</v>
      </c>
      <c r="BD315" s="5" t="s">
        <v>3495</v>
      </c>
    </row>
    <row r="316" spans="1:56" ht="36" hidden="1" x14ac:dyDescent="0.25">
      <c r="A316" s="78" t="s">
        <v>432</v>
      </c>
      <c r="B316" s="5" t="s">
        <v>411</v>
      </c>
      <c r="C316" s="5" t="s">
        <v>412</v>
      </c>
      <c r="D316" s="5" t="s">
        <v>275</v>
      </c>
      <c r="E316" s="99" t="str">
        <f>VLOOKUP(D316,'Dropdown List'!$F$26:$G$40,2,0)</f>
        <v>South Africa</v>
      </c>
      <c r="F316" s="8" t="s">
        <v>434</v>
      </c>
      <c r="G316" s="96">
        <v>5</v>
      </c>
      <c r="H316" s="5" t="s">
        <v>85</v>
      </c>
      <c r="I316" s="8" t="s">
        <v>71</v>
      </c>
      <c r="J316" s="8" t="s">
        <v>435</v>
      </c>
      <c r="K316" s="8" t="s">
        <v>293</v>
      </c>
      <c r="L316" s="8" t="s">
        <v>293</v>
      </c>
      <c r="M316" s="8" t="s">
        <v>436</v>
      </c>
      <c r="N316" s="5" t="s">
        <v>319</v>
      </c>
      <c r="O316" s="5" t="s">
        <v>61</v>
      </c>
      <c r="P316" s="5" t="s">
        <v>437</v>
      </c>
      <c r="Q316" s="9" t="s">
        <v>438</v>
      </c>
      <c r="R316" s="5" t="s">
        <v>132</v>
      </c>
      <c r="S316" s="5" t="s">
        <v>64</v>
      </c>
      <c r="T316" s="96">
        <v>2</v>
      </c>
      <c r="U316" s="96" t="s">
        <v>439</v>
      </c>
      <c r="V316" s="96">
        <v>8</v>
      </c>
      <c r="W316" s="5" t="s">
        <v>91</v>
      </c>
      <c r="X316" s="10" t="s">
        <v>421</v>
      </c>
      <c r="Y316" s="11" t="s">
        <v>440</v>
      </c>
      <c r="Z316" s="12">
        <v>125</v>
      </c>
      <c r="AA316" s="12">
        <v>10</v>
      </c>
      <c r="AB316" s="12">
        <v>12</v>
      </c>
      <c r="AC316" s="13">
        <v>24</v>
      </c>
      <c r="AD316" s="14">
        <f t="shared" si="10"/>
        <v>171</v>
      </c>
      <c r="AE316" s="15">
        <f t="shared" si="11"/>
        <v>0.14035087719298245</v>
      </c>
      <c r="AF316" s="16">
        <v>45000</v>
      </c>
      <c r="AG316" s="16" t="s">
        <v>66</v>
      </c>
      <c r="AH316" s="17" t="s">
        <v>441</v>
      </c>
      <c r="AI316" s="18" t="s">
        <v>442</v>
      </c>
      <c r="AJ316" s="19" t="s">
        <v>443</v>
      </c>
      <c r="AK316" s="20">
        <v>0.92</v>
      </c>
      <c r="AL316" s="17" t="s">
        <v>65</v>
      </c>
      <c r="AM316" s="5" t="s">
        <v>444</v>
      </c>
      <c r="AN316" s="5" t="s">
        <v>445</v>
      </c>
      <c r="AO316" s="5" t="s">
        <v>446</v>
      </c>
      <c r="AP316" s="5" t="s">
        <v>66</v>
      </c>
      <c r="AQ316" s="5" t="s">
        <v>66</v>
      </c>
      <c r="AR316" s="5" t="s">
        <v>66</v>
      </c>
      <c r="AS316" s="5" t="s">
        <v>66</v>
      </c>
      <c r="AT316" s="5" t="s">
        <v>66</v>
      </c>
      <c r="AU316" s="5" t="s">
        <v>447</v>
      </c>
      <c r="AV316" s="5" t="s">
        <v>66</v>
      </c>
      <c r="AW316" s="5" t="s">
        <v>66</v>
      </c>
      <c r="AX316" s="5" t="s">
        <v>66</v>
      </c>
      <c r="AY316" s="5" t="s">
        <v>66</v>
      </c>
      <c r="AZ316" s="5" t="s">
        <v>145</v>
      </c>
      <c r="BA316" s="19" t="s">
        <v>66</v>
      </c>
      <c r="BB316" s="17" t="s">
        <v>66</v>
      </c>
      <c r="BC316" s="5" t="s">
        <v>66</v>
      </c>
      <c r="BD316" s="5" t="s">
        <v>66</v>
      </c>
    </row>
    <row r="317" spans="1:56" ht="36" hidden="1" x14ac:dyDescent="0.25">
      <c r="A317" s="78" t="s">
        <v>432</v>
      </c>
      <c r="B317" s="5" t="s">
        <v>411</v>
      </c>
      <c r="C317" s="5" t="s">
        <v>412</v>
      </c>
      <c r="D317" s="5" t="s">
        <v>448</v>
      </c>
      <c r="E317" s="99" t="str">
        <f>VLOOKUP(D317,'Dropdown List'!$F$26:$G$40,2,0)</f>
        <v>Philippines</v>
      </c>
      <c r="F317" s="8" t="s">
        <v>449</v>
      </c>
      <c r="G317" s="96">
        <v>7</v>
      </c>
      <c r="H317" s="5" t="s">
        <v>57</v>
      </c>
      <c r="I317" s="8" t="s">
        <v>58</v>
      </c>
      <c r="J317" s="8" t="s">
        <v>146</v>
      </c>
      <c r="K317" s="8" t="s">
        <v>267</v>
      </c>
      <c r="L317" s="8" t="s">
        <v>450</v>
      </c>
      <c r="M317" s="8" t="s">
        <v>451</v>
      </c>
      <c r="N317" s="5" t="s">
        <v>319</v>
      </c>
      <c r="O317" s="5" t="s">
        <v>61</v>
      </c>
      <c r="P317" s="5" t="s">
        <v>74</v>
      </c>
      <c r="Q317" s="9" t="s">
        <v>144</v>
      </c>
      <c r="R317" s="5" t="s">
        <v>63</v>
      </c>
      <c r="S317" s="5" t="s">
        <v>90</v>
      </c>
      <c r="T317" s="96">
        <v>2</v>
      </c>
      <c r="U317" s="96">
        <v>4</v>
      </c>
      <c r="V317" s="96">
        <v>4</v>
      </c>
      <c r="W317" s="5" t="s">
        <v>91</v>
      </c>
      <c r="X317" s="10" t="s">
        <v>421</v>
      </c>
      <c r="Y317" s="11" t="s">
        <v>452</v>
      </c>
      <c r="Z317" s="12">
        <v>70</v>
      </c>
      <c r="AA317" s="12">
        <v>4</v>
      </c>
      <c r="AB317" s="12">
        <v>4</v>
      </c>
      <c r="AC317" s="13">
        <v>8</v>
      </c>
      <c r="AD317" s="14">
        <f t="shared" si="10"/>
        <v>86</v>
      </c>
      <c r="AE317" s="15">
        <f t="shared" si="11"/>
        <v>9.3023255813953487E-2</v>
      </c>
      <c r="AF317" s="16">
        <v>26700</v>
      </c>
      <c r="AG317" s="16">
        <v>26700</v>
      </c>
      <c r="AH317" s="17" t="s">
        <v>453</v>
      </c>
      <c r="AI317" s="18" t="s">
        <v>454</v>
      </c>
      <c r="AJ317" s="19" t="s">
        <v>66</v>
      </c>
      <c r="AK317" s="20">
        <v>0.02</v>
      </c>
      <c r="AL317" s="17" t="s">
        <v>261</v>
      </c>
      <c r="AM317" s="5" t="s">
        <v>455</v>
      </c>
      <c r="AN317" s="5" t="s">
        <v>66</v>
      </c>
      <c r="AO317" s="5" t="s">
        <v>456</v>
      </c>
      <c r="AP317" s="5" t="s">
        <v>66</v>
      </c>
      <c r="AQ317" s="5" t="s">
        <v>66</v>
      </c>
      <c r="AR317" s="5" t="s">
        <v>66</v>
      </c>
      <c r="AS317" s="5" t="s">
        <v>66</v>
      </c>
      <c r="AT317" s="5" t="s">
        <v>66</v>
      </c>
      <c r="AU317" s="5" t="s">
        <v>66</v>
      </c>
      <c r="AV317" s="5" t="s">
        <v>66</v>
      </c>
      <c r="AW317" s="5" t="s">
        <v>66</v>
      </c>
      <c r="AX317" s="5" t="s">
        <v>457</v>
      </c>
      <c r="AY317" s="5" t="s">
        <v>69</v>
      </c>
      <c r="AZ317" s="5" t="s">
        <v>145</v>
      </c>
      <c r="BA317" s="19" t="s">
        <v>458</v>
      </c>
      <c r="BB317" s="17" t="s">
        <v>69</v>
      </c>
      <c r="BC317" s="5" t="s">
        <v>459</v>
      </c>
      <c r="BD317" s="5" t="s">
        <v>460</v>
      </c>
    </row>
    <row r="318" spans="1:56" ht="36" hidden="1" x14ac:dyDescent="0.25">
      <c r="A318" s="78" t="s">
        <v>432</v>
      </c>
      <c r="B318" s="5" t="s">
        <v>411</v>
      </c>
      <c r="C318" s="5" t="s">
        <v>412</v>
      </c>
      <c r="D318" s="5" t="s">
        <v>56</v>
      </c>
      <c r="E318" s="99" t="str">
        <f>VLOOKUP(D318,'Dropdown List'!$F$26:$G$40,2,0)</f>
        <v>India</v>
      </c>
      <c r="F318" s="8" t="s">
        <v>449</v>
      </c>
      <c r="G318" s="96">
        <v>7</v>
      </c>
      <c r="H318" s="5" t="s">
        <v>57</v>
      </c>
      <c r="I318" s="8" t="s">
        <v>58</v>
      </c>
      <c r="J318" s="8" t="s">
        <v>146</v>
      </c>
      <c r="K318" s="8" t="s">
        <v>190</v>
      </c>
      <c r="L318" s="8" t="s">
        <v>461</v>
      </c>
      <c r="M318" s="8" t="s">
        <v>462</v>
      </c>
      <c r="N318" s="5" t="s">
        <v>319</v>
      </c>
      <c r="O318" s="5" t="s">
        <v>61</v>
      </c>
      <c r="P318" s="5" t="s">
        <v>463</v>
      </c>
      <c r="Q318" s="9" t="s">
        <v>172</v>
      </c>
      <c r="R318" s="5" t="s">
        <v>76</v>
      </c>
      <c r="S318" s="5" t="s">
        <v>90</v>
      </c>
      <c r="T318" s="96">
        <v>1</v>
      </c>
      <c r="U318" s="96">
        <v>4</v>
      </c>
      <c r="V318" s="96">
        <v>4</v>
      </c>
      <c r="W318" s="5" t="s">
        <v>91</v>
      </c>
      <c r="X318" s="10" t="s">
        <v>421</v>
      </c>
      <c r="Y318" s="11">
        <v>23436</v>
      </c>
      <c r="Z318" s="12">
        <v>13</v>
      </c>
      <c r="AA318" s="12">
        <v>2</v>
      </c>
      <c r="AB318" s="12">
        <v>1</v>
      </c>
      <c r="AC318" s="13">
        <v>1</v>
      </c>
      <c r="AD318" s="14">
        <f t="shared" si="10"/>
        <v>17</v>
      </c>
      <c r="AE318" s="15">
        <f t="shared" si="11"/>
        <v>5.8823529411764705E-2</v>
      </c>
      <c r="AF318" s="16">
        <v>32016.5</v>
      </c>
      <c r="AG318" s="16">
        <v>32016.5</v>
      </c>
      <c r="AH318" s="17" t="s">
        <v>464</v>
      </c>
      <c r="AI318" s="18" t="s">
        <v>465</v>
      </c>
      <c r="AJ318" s="19">
        <v>0.96</v>
      </c>
      <c r="AK318" s="20">
        <v>0.97</v>
      </c>
      <c r="AL318" s="17" t="s">
        <v>261</v>
      </c>
      <c r="AM318" s="5" t="s">
        <v>466</v>
      </c>
      <c r="AN318" s="5" t="s">
        <v>66</v>
      </c>
      <c r="AO318" s="5" t="s">
        <v>66</v>
      </c>
      <c r="AP318" s="5" t="s">
        <v>66</v>
      </c>
      <c r="AQ318" s="5" t="s">
        <v>135</v>
      </c>
      <c r="AR318" s="5" t="s">
        <v>467</v>
      </c>
      <c r="AS318" s="5" t="s">
        <v>468</v>
      </c>
      <c r="AT318" s="5" t="s">
        <v>66</v>
      </c>
      <c r="AU318" s="5" t="s">
        <v>66</v>
      </c>
      <c r="AV318" s="5" t="s">
        <v>66</v>
      </c>
      <c r="AW318" s="5" t="s">
        <v>66</v>
      </c>
      <c r="AX318" s="5" t="s">
        <v>469</v>
      </c>
      <c r="AY318" s="5" t="s">
        <v>69</v>
      </c>
      <c r="AZ318" s="5" t="s">
        <v>80</v>
      </c>
      <c r="BA318" s="19" t="s">
        <v>470</v>
      </c>
      <c r="BB318" s="17" t="s">
        <v>353</v>
      </c>
      <c r="BC318" s="5" t="s">
        <v>471</v>
      </c>
      <c r="BD318" s="5" t="s">
        <v>472</v>
      </c>
    </row>
    <row r="319" spans="1:56" ht="36" hidden="1" x14ac:dyDescent="0.25">
      <c r="A319" s="78" t="s">
        <v>432</v>
      </c>
      <c r="B319" s="5" t="s">
        <v>411</v>
      </c>
      <c r="C319" s="5" t="s">
        <v>412</v>
      </c>
      <c r="D319" s="5" t="s">
        <v>56</v>
      </c>
      <c r="E319" s="99" t="str">
        <f>VLOOKUP(D319,'Dropdown List'!$F$26:$G$40,2,0)</f>
        <v>India</v>
      </c>
      <c r="F319" s="8" t="s">
        <v>449</v>
      </c>
      <c r="G319" s="96">
        <v>7</v>
      </c>
      <c r="H319" s="5" t="s">
        <v>57</v>
      </c>
      <c r="I319" s="8" t="s">
        <v>58</v>
      </c>
      <c r="J319" s="8" t="s">
        <v>146</v>
      </c>
      <c r="K319" s="8" t="s">
        <v>190</v>
      </c>
      <c r="L319" s="8" t="s">
        <v>461</v>
      </c>
      <c r="M319" s="8" t="s">
        <v>462</v>
      </c>
      <c r="N319" s="5" t="s">
        <v>1034</v>
      </c>
      <c r="O319" s="5" t="s">
        <v>61</v>
      </c>
      <c r="P319" s="5" t="s">
        <v>463</v>
      </c>
      <c r="Q319" s="9" t="s">
        <v>172</v>
      </c>
      <c r="R319" s="5" t="s">
        <v>76</v>
      </c>
      <c r="S319" s="5" t="s">
        <v>90</v>
      </c>
      <c r="T319" s="96">
        <v>1</v>
      </c>
      <c r="U319" s="96">
        <v>4</v>
      </c>
      <c r="V319" s="96">
        <v>4</v>
      </c>
      <c r="W319" s="5" t="s">
        <v>91</v>
      </c>
      <c r="X319" s="10" t="s">
        <v>421</v>
      </c>
      <c r="Y319" s="11">
        <v>23436</v>
      </c>
      <c r="Z319" s="12">
        <v>13</v>
      </c>
      <c r="AA319" s="12">
        <v>1</v>
      </c>
      <c r="AB319" s="12">
        <v>1</v>
      </c>
      <c r="AC319" s="13">
        <v>1</v>
      </c>
      <c r="AD319" s="14">
        <f t="shared" si="10"/>
        <v>16</v>
      </c>
      <c r="AE319" s="15">
        <f t="shared" si="11"/>
        <v>6.25E-2</v>
      </c>
      <c r="AF319" s="16">
        <v>32016.5</v>
      </c>
      <c r="AG319" s="16">
        <v>32016.5</v>
      </c>
      <c r="AH319" s="17" t="s">
        <v>464</v>
      </c>
      <c r="AI319" s="18" t="s">
        <v>465</v>
      </c>
      <c r="AJ319" s="19">
        <v>0.96</v>
      </c>
      <c r="AK319" s="20">
        <v>0.97</v>
      </c>
      <c r="AL319" s="17" t="s">
        <v>261</v>
      </c>
      <c r="AM319" s="5" t="s">
        <v>466</v>
      </c>
      <c r="AN319" s="5" t="s">
        <v>66</v>
      </c>
      <c r="AO319" s="5" t="s">
        <v>66</v>
      </c>
      <c r="AP319" s="5" t="s">
        <v>66</v>
      </c>
      <c r="AQ319" s="5" t="s">
        <v>135</v>
      </c>
      <c r="AR319" s="5" t="s">
        <v>467</v>
      </c>
      <c r="AS319" s="5" t="s">
        <v>468</v>
      </c>
      <c r="AT319" s="5" t="s">
        <v>66</v>
      </c>
      <c r="AU319" s="5" t="s">
        <v>66</v>
      </c>
      <c r="AV319" s="5" t="s">
        <v>66</v>
      </c>
      <c r="AW319" s="5" t="s">
        <v>66</v>
      </c>
      <c r="AX319" s="5" t="s">
        <v>469</v>
      </c>
      <c r="AY319" s="5" t="s">
        <v>69</v>
      </c>
      <c r="AZ319" s="5" t="s">
        <v>80</v>
      </c>
      <c r="BA319" s="19" t="s">
        <v>470</v>
      </c>
      <c r="BB319" s="17" t="s">
        <v>353</v>
      </c>
      <c r="BC319" s="5" t="s">
        <v>471</v>
      </c>
      <c r="BD319" s="5" t="s">
        <v>472</v>
      </c>
    </row>
    <row r="320" spans="1:56" ht="72" hidden="1" x14ac:dyDescent="0.25">
      <c r="A320" s="78" t="s">
        <v>2186</v>
      </c>
      <c r="B320" s="5" t="s">
        <v>433</v>
      </c>
      <c r="C320" s="5" t="s">
        <v>3293</v>
      </c>
      <c r="D320" s="5" t="s">
        <v>448</v>
      </c>
      <c r="E320" s="99" t="str">
        <f>VLOOKUP(D320,'Dropdown List'!$F$26:$G$40,2,0)</f>
        <v>Philippines</v>
      </c>
      <c r="F320" s="8" t="s">
        <v>2343</v>
      </c>
      <c r="G320" s="96">
        <v>9</v>
      </c>
      <c r="H320" s="5" t="s">
        <v>57</v>
      </c>
      <c r="I320" s="8" t="s">
        <v>58</v>
      </c>
      <c r="J320" s="8" t="s">
        <v>881</v>
      </c>
      <c r="K320" s="8" t="s">
        <v>882</v>
      </c>
      <c r="L320" s="8" t="s">
        <v>2344</v>
      </c>
      <c r="M320" s="8" t="s">
        <v>2345</v>
      </c>
      <c r="N320" s="5" t="s">
        <v>1034</v>
      </c>
      <c r="O320" s="5" t="s">
        <v>1069</v>
      </c>
      <c r="P320" s="5" t="s">
        <v>1069</v>
      </c>
      <c r="Q320" s="9" t="s">
        <v>62</v>
      </c>
      <c r="R320" s="5" t="s">
        <v>63</v>
      </c>
      <c r="S320" s="5" t="s">
        <v>64</v>
      </c>
      <c r="T320" s="96">
        <v>1</v>
      </c>
      <c r="U320" s="96">
        <v>5</v>
      </c>
      <c r="V320" s="96">
        <v>6</v>
      </c>
      <c r="W320" s="5" t="s">
        <v>91</v>
      </c>
      <c r="X320" s="10" t="s">
        <v>79</v>
      </c>
      <c r="Y320" s="11">
        <v>24490.33</v>
      </c>
      <c r="Z320" s="12">
        <v>42.66</v>
      </c>
      <c r="AA320" s="12">
        <v>6</v>
      </c>
      <c r="AB320" s="12">
        <v>1</v>
      </c>
      <c r="AC320" s="13">
        <v>7.34</v>
      </c>
      <c r="AD320" s="14">
        <f t="shared" si="10"/>
        <v>57</v>
      </c>
      <c r="AE320" s="15">
        <f t="shared" si="11"/>
        <v>0.1287719298245614</v>
      </c>
      <c r="AF320" s="16">
        <v>22134</v>
      </c>
      <c r="AG320" s="16">
        <v>32000</v>
      </c>
      <c r="AH320" s="17" t="s">
        <v>2346</v>
      </c>
      <c r="AI320" s="18" t="s">
        <v>2347</v>
      </c>
      <c r="AJ320" s="19">
        <v>0.98</v>
      </c>
      <c r="AK320" s="20">
        <v>0.98</v>
      </c>
      <c r="AL320" s="17" t="s">
        <v>92</v>
      </c>
      <c r="AM320" s="5" t="s">
        <v>66</v>
      </c>
      <c r="AN320" s="5" t="s">
        <v>66</v>
      </c>
      <c r="AO320" s="5" t="s">
        <v>2348</v>
      </c>
      <c r="AP320" s="5" t="s">
        <v>2349</v>
      </c>
      <c r="AQ320" s="5" t="s">
        <v>61</v>
      </c>
      <c r="AR320" s="5" t="s">
        <v>3569</v>
      </c>
      <c r="AS320" s="5" t="s">
        <v>2350</v>
      </c>
      <c r="AT320" s="5" t="s">
        <v>61</v>
      </c>
      <c r="AU320" s="5" t="s">
        <v>2351</v>
      </c>
      <c r="AV320" s="5" t="s">
        <v>2352</v>
      </c>
      <c r="AW320" s="5" t="s">
        <v>66</v>
      </c>
      <c r="AX320" s="5" t="s">
        <v>2353</v>
      </c>
      <c r="AY320" s="5" t="s">
        <v>69</v>
      </c>
      <c r="AZ320" s="5" t="s">
        <v>145</v>
      </c>
      <c r="BA320" s="19" t="s">
        <v>2354</v>
      </c>
      <c r="BB320" s="17" t="s">
        <v>69</v>
      </c>
      <c r="BC320" s="5" t="s">
        <v>2355</v>
      </c>
      <c r="BD320" s="5" t="s">
        <v>3570</v>
      </c>
    </row>
    <row r="321" spans="1:56" ht="48" hidden="1" x14ac:dyDescent="0.25">
      <c r="A321" s="78" t="s">
        <v>2186</v>
      </c>
      <c r="B321" s="5" t="s">
        <v>433</v>
      </c>
      <c r="C321" s="5" t="s">
        <v>3293</v>
      </c>
      <c r="D321" s="5" t="s">
        <v>448</v>
      </c>
      <c r="E321" s="99" t="str">
        <f>VLOOKUP(D321,'Dropdown List'!$F$26:$G$40,2,0)</f>
        <v>Philippines</v>
      </c>
      <c r="F321" s="8" t="s">
        <v>2343</v>
      </c>
      <c r="G321" s="96">
        <v>8</v>
      </c>
      <c r="H321" s="5" t="s">
        <v>57</v>
      </c>
      <c r="I321" s="8" t="s">
        <v>58</v>
      </c>
      <c r="J321" s="8" t="s">
        <v>146</v>
      </c>
      <c r="K321" s="8" t="s">
        <v>147</v>
      </c>
      <c r="L321" s="8" t="s">
        <v>2356</v>
      </c>
      <c r="M321" s="8" t="s">
        <v>2357</v>
      </c>
      <c r="N321" s="5" t="s">
        <v>1034</v>
      </c>
      <c r="O321" s="5" t="s">
        <v>1069</v>
      </c>
      <c r="P321" s="5" t="s">
        <v>1069</v>
      </c>
      <c r="Q321" s="9" t="s">
        <v>418</v>
      </c>
      <c r="R321" s="5" t="s">
        <v>76</v>
      </c>
      <c r="S321" s="5" t="s">
        <v>64</v>
      </c>
      <c r="T321" s="96">
        <v>1</v>
      </c>
      <c r="U321" s="96">
        <v>3</v>
      </c>
      <c r="V321" s="96">
        <v>4</v>
      </c>
      <c r="W321" s="5" t="s">
        <v>91</v>
      </c>
      <c r="X321" s="10" t="s">
        <v>79</v>
      </c>
      <c r="Y321" s="11">
        <v>24490.33</v>
      </c>
      <c r="Z321" s="12">
        <v>6.37</v>
      </c>
      <c r="AA321" s="12">
        <v>1</v>
      </c>
      <c r="AB321" s="12">
        <v>0.5</v>
      </c>
      <c r="AC321" s="13">
        <v>1.63</v>
      </c>
      <c r="AD321" s="14">
        <f t="shared" si="10"/>
        <v>9.5</v>
      </c>
      <c r="AE321" s="15">
        <f t="shared" si="11"/>
        <v>0.17157894736842105</v>
      </c>
      <c r="AF321" s="16">
        <v>3543</v>
      </c>
      <c r="AG321" s="16">
        <v>4700</v>
      </c>
      <c r="AH321" s="17" t="s">
        <v>2346</v>
      </c>
      <c r="AI321" s="18" t="s">
        <v>3571</v>
      </c>
      <c r="AJ321" s="19">
        <v>0.98</v>
      </c>
      <c r="AK321" s="20">
        <v>0.98</v>
      </c>
      <c r="AL321" s="17" t="s">
        <v>92</v>
      </c>
      <c r="AM321" s="5" t="s">
        <v>66</v>
      </c>
      <c r="AN321" s="5" t="s">
        <v>66</v>
      </c>
      <c r="AO321" s="5" t="s">
        <v>2348</v>
      </c>
      <c r="AP321" s="5" t="s">
        <v>2358</v>
      </c>
      <c r="AQ321" s="5" t="s">
        <v>61</v>
      </c>
      <c r="AR321" s="5" t="s">
        <v>3569</v>
      </c>
      <c r="AS321" s="5" t="s">
        <v>2350</v>
      </c>
      <c r="AT321" s="5" t="s">
        <v>61</v>
      </c>
      <c r="AU321" s="5" t="s">
        <v>2359</v>
      </c>
      <c r="AV321" s="5" t="s">
        <v>2352</v>
      </c>
      <c r="AW321" s="5" t="s">
        <v>66</v>
      </c>
      <c r="AX321" s="5" t="s">
        <v>2360</v>
      </c>
      <c r="AY321" s="5" t="s">
        <v>69</v>
      </c>
      <c r="AZ321" s="5" t="s">
        <v>145</v>
      </c>
      <c r="BA321" s="19" t="s">
        <v>2361</v>
      </c>
      <c r="BB321" s="17" t="s">
        <v>69</v>
      </c>
      <c r="BC321" s="5" t="s">
        <v>2355</v>
      </c>
      <c r="BD321" s="5" t="s">
        <v>3572</v>
      </c>
    </row>
    <row r="322" spans="1:56" ht="48" hidden="1" x14ac:dyDescent="0.25">
      <c r="A322" s="78" t="s">
        <v>2186</v>
      </c>
      <c r="B322" s="5" t="s">
        <v>433</v>
      </c>
      <c r="C322" s="5" t="s">
        <v>3293</v>
      </c>
      <c r="D322" s="5" t="s">
        <v>448</v>
      </c>
      <c r="E322" s="99" t="str">
        <f>VLOOKUP(D322,'Dropdown List'!$F$26:$G$40,2,0)</f>
        <v>Philippines</v>
      </c>
      <c r="F322" s="8" t="s">
        <v>2343</v>
      </c>
      <c r="G322" s="96">
        <v>6</v>
      </c>
      <c r="H322" s="5" t="s">
        <v>85</v>
      </c>
      <c r="I322" s="8" t="s">
        <v>58</v>
      </c>
      <c r="J322" s="8" t="s">
        <v>881</v>
      </c>
      <c r="K322" s="8" t="s">
        <v>2362</v>
      </c>
      <c r="L322" s="8" t="s">
        <v>2363</v>
      </c>
      <c r="M322" s="8" t="s">
        <v>2364</v>
      </c>
      <c r="N322" s="5" t="s">
        <v>1034</v>
      </c>
      <c r="O322" s="5" t="s">
        <v>1069</v>
      </c>
      <c r="P322" s="5" t="s">
        <v>1069</v>
      </c>
      <c r="Q322" s="9" t="s">
        <v>438</v>
      </c>
      <c r="R322" s="5" t="s">
        <v>76</v>
      </c>
      <c r="S322" s="5" t="s">
        <v>64</v>
      </c>
      <c r="T322" s="96">
        <v>1</v>
      </c>
      <c r="U322" s="96">
        <v>4</v>
      </c>
      <c r="V322" s="96">
        <v>6</v>
      </c>
      <c r="W322" s="5" t="s">
        <v>91</v>
      </c>
      <c r="X322" s="10" t="s">
        <v>79</v>
      </c>
      <c r="Y322" s="11">
        <v>24490.33</v>
      </c>
      <c r="Z322" s="12">
        <v>2</v>
      </c>
      <c r="AA322" s="12">
        <v>0</v>
      </c>
      <c r="AB322" s="12">
        <v>0</v>
      </c>
      <c r="AC322" s="13">
        <v>0</v>
      </c>
      <c r="AD322" s="14">
        <f t="shared" si="10"/>
        <v>2</v>
      </c>
      <c r="AE322" s="15">
        <f t="shared" si="11"/>
        <v>0</v>
      </c>
      <c r="AF322" s="16">
        <v>260</v>
      </c>
      <c r="AG322" s="16">
        <v>260</v>
      </c>
      <c r="AH322" s="17" t="s">
        <v>2346</v>
      </c>
      <c r="AI322" s="18" t="s">
        <v>280</v>
      </c>
      <c r="AJ322" s="19">
        <v>0.98</v>
      </c>
      <c r="AK322" s="20">
        <v>0.98</v>
      </c>
      <c r="AL322" s="17" t="s">
        <v>92</v>
      </c>
      <c r="AM322" s="5" t="s">
        <v>66</v>
      </c>
      <c r="AN322" s="5" t="s">
        <v>66</v>
      </c>
      <c r="AO322" s="5" t="s">
        <v>66</v>
      </c>
      <c r="AP322" s="5" t="s">
        <v>66</v>
      </c>
      <c r="AQ322" s="5" t="s">
        <v>135</v>
      </c>
      <c r="AR322" s="5" t="s">
        <v>2365</v>
      </c>
      <c r="AS322" s="5" t="s">
        <v>2366</v>
      </c>
      <c r="AT322" s="5" t="s">
        <v>135</v>
      </c>
      <c r="AU322" s="5" t="s">
        <v>2367</v>
      </c>
      <c r="AV322" s="5" t="s">
        <v>2368</v>
      </c>
      <c r="AW322" s="5" t="s">
        <v>66</v>
      </c>
      <c r="AX322" s="5" t="s">
        <v>2369</v>
      </c>
      <c r="AY322" s="5" t="s">
        <v>94</v>
      </c>
      <c r="AZ322" s="5" t="s">
        <v>80</v>
      </c>
      <c r="BA322" s="19" t="s">
        <v>2370</v>
      </c>
      <c r="BB322" s="17" t="s">
        <v>94</v>
      </c>
      <c r="BC322" s="5" t="s">
        <v>2371</v>
      </c>
      <c r="BD322" s="5" t="s">
        <v>2372</v>
      </c>
    </row>
    <row r="323" spans="1:56" ht="60" hidden="1" x14ac:dyDescent="0.25">
      <c r="A323" s="78" t="s">
        <v>2186</v>
      </c>
      <c r="B323" s="5" t="s">
        <v>433</v>
      </c>
      <c r="C323" s="5" t="s">
        <v>3293</v>
      </c>
      <c r="D323" s="5" t="s">
        <v>448</v>
      </c>
      <c r="E323" s="99" t="str">
        <f>VLOOKUP(D323,'Dropdown List'!$F$26:$G$40,2,0)</f>
        <v>Philippines</v>
      </c>
      <c r="F323" s="8" t="s">
        <v>2343</v>
      </c>
      <c r="G323" s="96">
        <v>9</v>
      </c>
      <c r="H323" s="5" t="s">
        <v>57</v>
      </c>
      <c r="I323" s="8" t="s">
        <v>58</v>
      </c>
      <c r="J323" s="8" t="s">
        <v>881</v>
      </c>
      <c r="K323" s="8" t="s">
        <v>1323</v>
      </c>
      <c r="L323" s="8" t="s">
        <v>2373</v>
      </c>
      <c r="M323" s="8" t="s">
        <v>2374</v>
      </c>
      <c r="N323" s="5" t="s">
        <v>1034</v>
      </c>
      <c r="O323" s="5" t="s">
        <v>1069</v>
      </c>
      <c r="P323" s="5" t="s">
        <v>1069</v>
      </c>
      <c r="Q323" s="9" t="s">
        <v>270</v>
      </c>
      <c r="R323" s="5" t="s">
        <v>63</v>
      </c>
      <c r="S323" s="5" t="s">
        <v>90</v>
      </c>
      <c r="T323" s="96">
        <v>1</v>
      </c>
      <c r="U323" s="96">
        <v>3</v>
      </c>
      <c r="V323" s="96">
        <v>6</v>
      </c>
      <c r="W323" s="5" t="s">
        <v>91</v>
      </c>
      <c r="X323" s="10" t="s">
        <v>79</v>
      </c>
      <c r="Y323" s="11">
        <v>24490.33</v>
      </c>
      <c r="Z323" s="12">
        <v>33.29</v>
      </c>
      <c r="AA323" s="12">
        <v>1</v>
      </c>
      <c r="AB323" s="12">
        <v>2.5</v>
      </c>
      <c r="AC323" s="13">
        <v>8.7100000000000009</v>
      </c>
      <c r="AD323" s="14">
        <f t="shared" si="10"/>
        <v>45.5</v>
      </c>
      <c r="AE323" s="15">
        <f t="shared" si="11"/>
        <v>0.19142857142857145</v>
      </c>
      <c r="AF323" s="16">
        <v>17677</v>
      </c>
      <c r="AG323" s="16">
        <v>15000</v>
      </c>
      <c r="AH323" s="17" t="s">
        <v>2346</v>
      </c>
      <c r="AI323" s="18" t="s">
        <v>3573</v>
      </c>
      <c r="AJ323" s="19" t="s">
        <v>2375</v>
      </c>
      <c r="AK323" s="20" t="s">
        <v>2376</v>
      </c>
      <c r="AL323" s="17" t="s">
        <v>92</v>
      </c>
      <c r="AM323" s="5" t="s">
        <v>66</v>
      </c>
      <c r="AN323" s="5" t="s">
        <v>66</v>
      </c>
      <c r="AO323" s="5" t="s">
        <v>2377</v>
      </c>
      <c r="AP323" s="5" t="s">
        <v>2378</v>
      </c>
      <c r="AQ323" s="5" t="s">
        <v>828</v>
      </c>
      <c r="AR323" s="5" t="s">
        <v>3574</v>
      </c>
      <c r="AS323" s="5" t="s">
        <v>2350</v>
      </c>
      <c r="AT323" s="5" t="s">
        <v>580</v>
      </c>
      <c r="AU323" s="5" t="s">
        <v>2379</v>
      </c>
      <c r="AV323" s="5" t="s">
        <v>2380</v>
      </c>
      <c r="AW323" s="5" t="s">
        <v>66</v>
      </c>
      <c r="AX323" s="5" t="s">
        <v>2381</v>
      </c>
      <c r="AY323" s="5" t="s">
        <v>69</v>
      </c>
      <c r="AZ323" s="5" t="s">
        <v>80</v>
      </c>
      <c r="BA323" s="19" t="s">
        <v>3575</v>
      </c>
      <c r="BB323" s="17" t="s">
        <v>94</v>
      </c>
      <c r="BC323" s="5" t="s">
        <v>2382</v>
      </c>
      <c r="BD323" s="5" t="s">
        <v>3576</v>
      </c>
    </row>
    <row r="324" spans="1:56" ht="60" hidden="1" x14ac:dyDescent="0.25">
      <c r="A324" s="78" t="s">
        <v>2186</v>
      </c>
      <c r="B324" s="5" t="s">
        <v>433</v>
      </c>
      <c r="C324" s="5" t="s">
        <v>3293</v>
      </c>
      <c r="D324" s="5" t="s">
        <v>448</v>
      </c>
      <c r="E324" s="99" t="str">
        <f>VLOOKUP(D324,'Dropdown List'!$F$26:$G$40,2,0)</f>
        <v>Philippines</v>
      </c>
      <c r="F324" s="8" t="s">
        <v>2343</v>
      </c>
      <c r="G324" s="96">
        <v>9</v>
      </c>
      <c r="H324" s="5" t="s">
        <v>57</v>
      </c>
      <c r="I324" s="8" t="s">
        <v>58</v>
      </c>
      <c r="J324" s="8" t="s">
        <v>881</v>
      </c>
      <c r="K324" s="8" t="s">
        <v>1323</v>
      </c>
      <c r="L324" s="8" t="s">
        <v>2383</v>
      </c>
      <c r="M324" s="8" t="s">
        <v>2384</v>
      </c>
      <c r="N324" s="5" t="s">
        <v>1034</v>
      </c>
      <c r="O324" s="5" t="s">
        <v>1069</v>
      </c>
      <c r="P324" s="5" t="s">
        <v>1069</v>
      </c>
      <c r="Q324" s="9" t="s">
        <v>270</v>
      </c>
      <c r="R324" s="5" t="s">
        <v>63</v>
      </c>
      <c r="S324" s="5" t="s">
        <v>64</v>
      </c>
      <c r="T324" s="96">
        <v>1</v>
      </c>
      <c r="U324" s="96">
        <v>6</v>
      </c>
      <c r="V324" s="96">
        <v>10</v>
      </c>
      <c r="W324" s="5" t="s">
        <v>91</v>
      </c>
      <c r="X324" s="10" t="s">
        <v>79</v>
      </c>
      <c r="Y324" s="11">
        <v>24490.33</v>
      </c>
      <c r="Z324" s="12">
        <v>29.32</v>
      </c>
      <c r="AA324" s="12">
        <v>4</v>
      </c>
      <c r="AB324" s="12">
        <v>3</v>
      </c>
      <c r="AC324" s="13">
        <v>21.68</v>
      </c>
      <c r="AD324" s="14">
        <f t="shared" si="10"/>
        <v>58</v>
      </c>
      <c r="AE324" s="15">
        <f t="shared" si="11"/>
        <v>0.37379310344827588</v>
      </c>
      <c r="AF324" s="16">
        <v>8359</v>
      </c>
      <c r="AG324" s="16">
        <v>7200</v>
      </c>
      <c r="AH324" s="17" t="s">
        <v>2346</v>
      </c>
      <c r="AI324" s="18" t="s">
        <v>3577</v>
      </c>
      <c r="AJ324" s="19" t="s">
        <v>2375</v>
      </c>
      <c r="AK324" s="20" t="s">
        <v>2376</v>
      </c>
      <c r="AL324" s="17" t="s">
        <v>92</v>
      </c>
      <c r="AM324" s="5" t="s">
        <v>66</v>
      </c>
      <c r="AN324" s="5" t="s">
        <v>66</v>
      </c>
      <c r="AO324" s="5" t="s">
        <v>2377</v>
      </c>
      <c r="AP324" s="5" t="s">
        <v>2378</v>
      </c>
      <c r="AQ324" s="5" t="s">
        <v>137</v>
      </c>
      <c r="AR324" s="5" t="s">
        <v>2385</v>
      </c>
      <c r="AS324" s="5" t="s">
        <v>2386</v>
      </c>
      <c r="AT324" s="5" t="s">
        <v>135</v>
      </c>
      <c r="AU324" s="5" t="s">
        <v>2387</v>
      </c>
      <c r="AV324" s="5" t="s">
        <v>2388</v>
      </c>
      <c r="AW324" s="5" t="s">
        <v>66</v>
      </c>
      <c r="AX324" s="5" t="s">
        <v>2389</v>
      </c>
      <c r="AY324" s="5" t="s">
        <v>94</v>
      </c>
      <c r="AZ324" s="5" t="s">
        <v>80</v>
      </c>
      <c r="BA324" s="19" t="s">
        <v>3578</v>
      </c>
      <c r="BB324" s="17" t="s">
        <v>94</v>
      </c>
      <c r="BC324" s="5" t="s">
        <v>2382</v>
      </c>
      <c r="BD324" s="5" t="s">
        <v>3576</v>
      </c>
    </row>
    <row r="325" spans="1:56" ht="60" hidden="1" x14ac:dyDescent="0.25">
      <c r="A325" s="78" t="s">
        <v>2186</v>
      </c>
      <c r="B325" s="5" t="s">
        <v>433</v>
      </c>
      <c r="C325" s="5" t="s">
        <v>3293</v>
      </c>
      <c r="D325" s="5" t="s">
        <v>448</v>
      </c>
      <c r="E325" s="99" t="str">
        <f>VLOOKUP(D325,'Dropdown List'!$F$26:$G$40,2,0)</f>
        <v>Philippines</v>
      </c>
      <c r="F325" s="8" t="s">
        <v>2343</v>
      </c>
      <c r="G325" s="96">
        <v>7</v>
      </c>
      <c r="H325" s="5" t="s">
        <v>57</v>
      </c>
      <c r="I325" s="8" t="s">
        <v>58</v>
      </c>
      <c r="J325" s="8" t="s">
        <v>881</v>
      </c>
      <c r="K325" s="8" t="s">
        <v>1323</v>
      </c>
      <c r="L325" s="8" t="s">
        <v>2390</v>
      </c>
      <c r="M325" s="8" t="s">
        <v>2391</v>
      </c>
      <c r="N325" s="5" t="s">
        <v>1034</v>
      </c>
      <c r="O325" s="5" t="s">
        <v>1069</v>
      </c>
      <c r="P325" s="5" t="s">
        <v>1069</v>
      </c>
      <c r="Q325" s="9" t="s">
        <v>270</v>
      </c>
      <c r="R325" s="5" t="s">
        <v>132</v>
      </c>
      <c r="S325" s="5" t="s">
        <v>90</v>
      </c>
      <c r="T325" s="96">
        <v>1</v>
      </c>
      <c r="U325" s="96">
        <v>2</v>
      </c>
      <c r="V325" s="96">
        <v>10</v>
      </c>
      <c r="W325" s="5" t="s">
        <v>91</v>
      </c>
      <c r="X325" s="10" t="s">
        <v>79</v>
      </c>
      <c r="Y325" s="11">
        <v>24490.33</v>
      </c>
      <c r="Z325" s="12">
        <v>7</v>
      </c>
      <c r="AA325" s="12">
        <v>1</v>
      </c>
      <c r="AB325" s="12">
        <v>0.5</v>
      </c>
      <c r="AC325" s="13">
        <v>1</v>
      </c>
      <c r="AD325" s="14">
        <f t="shared" ref="AD325:AD388" si="12">SUM(Z325:AC325)</f>
        <v>9.5</v>
      </c>
      <c r="AE325" s="15">
        <f t="shared" ref="AE325:AE388" si="13">AC325/AD325</f>
        <v>0.10526315789473684</v>
      </c>
      <c r="AF325" s="16">
        <v>2428</v>
      </c>
      <c r="AG325" s="16">
        <v>2500</v>
      </c>
      <c r="AH325" s="17" t="s">
        <v>2346</v>
      </c>
      <c r="AI325" s="18" t="s">
        <v>2392</v>
      </c>
      <c r="AJ325" s="19" t="s">
        <v>2393</v>
      </c>
      <c r="AK325" s="20" t="s">
        <v>2376</v>
      </c>
      <c r="AL325" s="17" t="s">
        <v>92</v>
      </c>
      <c r="AM325" s="5" t="s">
        <v>66</v>
      </c>
      <c r="AN325" s="5" t="s">
        <v>66</v>
      </c>
      <c r="AO325" s="5" t="s">
        <v>2394</v>
      </c>
      <c r="AP325" s="5" t="s">
        <v>2395</v>
      </c>
      <c r="AQ325" s="5" t="s">
        <v>66</v>
      </c>
      <c r="AR325" s="5" t="s">
        <v>2396</v>
      </c>
      <c r="AS325" s="5" t="s">
        <v>2397</v>
      </c>
      <c r="AT325" s="5" t="s">
        <v>66</v>
      </c>
      <c r="AU325" s="5" t="s">
        <v>1308</v>
      </c>
      <c r="AV325" s="5" t="s">
        <v>66</v>
      </c>
      <c r="AW325" s="5" t="s">
        <v>66</v>
      </c>
      <c r="AX325" s="5" t="s">
        <v>2398</v>
      </c>
      <c r="AY325" s="5" t="s">
        <v>65</v>
      </c>
      <c r="AZ325" s="5" t="s">
        <v>80</v>
      </c>
      <c r="BA325" s="19" t="s">
        <v>3579</v>
      </c>
      <c r="BB325" s="17" t="s">
        <v>94</v>
      </c>
      <c r="BC325" s="5" t="s">
        <v>2382</v>
      </c>
      <c r="BD325" s="5" t="s">
        <v>3576</v>
      </c>
    </row>
    <row r="326" spans="1:56" ht="132" hidden="1" x14ac:dyDescent="0.25">
      <c r="A326" s="78" t="s">
        <v>2186</v>
      </c>
      <c r="B326" s="5" t="s">
        <v>433</v>
      </c>
      <c r="C326" s="5" t="s">
        <v>3293</v>
      </c>
      <c r="D326" s="5" t="s">
        <v>448</v>
      </c>
      <c r="E326" s="99" t="str">
        <f>VLOOKUP(D326,'Dropdown List'!$F$26:$G$40,2,0)</f>
        <v>Philippines</v>
      </c>
      <c r="F326" s="8" t="s">
        <v>2343</v>
      </c>
      <c r="G326" s="96">
        <v>5</v>
      </c>
      <c r="H326" s="5" t="s">
        <v>85</v>
      </c>
      <c r="I326" s="8" t="s">
        <v>58</v>
      </c>
      <c r="J326" s="8" t="s">
        <v>146</v>
      </c>
      <c r="K326" s="8" t="s">
        <v>147</v>
      </c>
      <c r="L326" s="8" t="s">
        <v>2399</v>
      </c>
      <c r="M326" s="8" t="s">
        <v>2400</v>
      </c>
      <c r="N326" s="5" t="s">
        <v>1034</v>
      </c>
      <c r="O326" s="5" t="s">
        <v>1069</v>
      </c>
      <c r="P326" s="5" t="s">
        <v>2401</v>
      </c>
      <c r="Q326" s="9" t="s">
        <v>270</v>
      </c>
      <c r="R326" s="5" t="s">
        <v>76</v>
      </c>
      <c r="S326" s="5" t="s">
        <v>90</v>
      </c>
      <c r="T326" s="96">
        <v>1</v>
      </c>
      <c r="U326" s="96">
        <v>4</v>
      </c>
      <c r="V326" s="96">
        <v>8</v>
      </c>
      <c r="W326" s="5" t="s">
        <v>91</v>
      </c>
      <c r="X326" s="10" t="s">
        <v>79</v>
      </c>
      <c r="Y326" s="11">
        <v>24490.33</v>
      </c>
      <c r="Z326" s="12">
        <v>0.5</v>
      </c>
      <c r="AA326" s="12">
        <v>1</v>
      </c>
      <c r="AB326" s="12">
        <v>0</v>
      </c>
      <c r="AC326" s="13">
        <v>0.5</v>
      </c>
      <c r="AD326" s="14">
        <f t="shared" si="12"/>
        <v>2</v>
      </c>
      <c r="AE326" s="15">
        <f t="shared" si="13"/>
        <v>0.25</v>
      </c>
      <c r="AF326" s="16">
        <v>28</v>
      </c>
      <c r="AG326" s="16">
        <v>28</v>
      </c>
      <c r="AH326" s="17" t="s">
        <v>2346</v>
      </c>
      <c r="AI326" s="18" t="s">
        <v>2402</v>
      </c>
      <c r="AJ326" s="19" t="s">
        <v>2403</v>
      </c>
      <c r="AK326" s="20" t="s">
        <v>2404</v>
      </c>
      <c r="AL326" s="17" t="s">
        <v>92</v>
      </c>
      <c r="AM326" s="5" t="s">
        <v>66</v>
      </c>
      <c r="AN326" s="5" t="s">
        <v>66</v>
      </c>
      <c r="AO326" s="5" t="s">
        <v>2405</v>
      </c>
      <c r="AP326" s="5" t="s">
        <v>2406</v>
      </c>
      <c r="AQ326" s="5" t="s">
        <v>66</v>
      </c>
      <c r="AR326" s="5" t="s">
        <v>2396</v>
      </c>
      <c r="AS326" s="5" t="s">
        <v>2397</v>
      </c>
      <c r="AT326" s="5" t="s">
        <v>66</v>
      </c>
      <c r="AU326" s="5" t="s">
        <v>1308</v>
      </c>
      <c r="AV326" s="5" t="s">
        <v>66</v>
      </c>
      <c r="AW326" s="5" t="s">
        <v>66</v>
      </c>
      <c r="AX326" s="5" t="s">
        <v>2407</v>
      </c>
      <c r="AY326" s="5" t="s">
        <v>69</v>
      </c>
      <c r="AZ326" s="5" t="s">
        <v>80</v>
      </c>
      <c r="BA326" s="19" t="s">
        <v>2408</v>
      </c>
      <c r="BB326" s="17" t="s">
        <v>94</v>
      </c>
      <c r="BC326" s="5" t="s">
        <v>2409</v>
      </c>
      <c r="BD326" s="5" t="s">
        <v>2410</v>
      </c>
    </row>
    <row r="327" spans="1:56" ht="48" hidden="1" x14ac:dyDescent="0.25">
      <c r="A327" s="78" t="s">
        <v>2186</v>
      </c>
      <c r="B327" s="5" t="s">
        <v>433</v>
      </c>
      <c r="C327" s="5" t="s">
        <v>3293</v>
      </c>
      <c r="D327" s="5" t="s">
        <v>448</v>
      </c>
      <c r="E327" s="99" t="str">
        <f>VLOOKUP(D327,'Dropdown List'!$F$26:$G$40,2,0)</f>
        <v>Philippines</v>
      </c>
      <c r="F327" s="8" t="s">
        <v>2343</v>
      </c>
      <c r="G327" s="96">
        <v>3</v>
      </c>
      <c r="H327" s="5" t="s">
        <v>57</v>
      </c>
      <c r="I327" s="8" t="s">
        <v>58</v>
      </c>
      <c r="J327" s="8" t="s">
        <v>146</v>
      </c>
      <c r="K327" s="8" t="s">
        <v>267</v>
      </c>
      <c r="L327" s="8" t="s">
        <v>2411</v>
      </c>
      <c r="M327" s="8" t="s">
        <v>2412</v>
      </c>
      <c r="N327" s="5" t="s">
        <v>1034</v>
      </c>
      <c r="O327" s="5" t="s">
        <v>1069</v>
      </c>
      <c r="P327" s="5" t="s">
        <v>1069</v>
      </c>
      <c r="Q327" s="9" t="s">
        <v>270</v>
      </c>
      <c r="R327" s="5" t="s">
        <v>76</v>
      </c>
      <c r="S327" s="5" t="s">
        <v>334</v>
      </c>
      <c r="T327" s="96">
        <v>1</v>
      </c>
      <c r="U327" s="96">
        <v>1</v>
      </c>
      <c r="V327" s="96">
        <v>4</v>
      </c>
      <c r="W327" s="5" t="s">
        <v>91</v>
      </c>
      <c r="X327" s="10" t="s">
        <v>79</v>
      </c>
      <c r="Y327" s="11">
        <v>24490.33</v>
      </c>
      <c r="Z327" s="12">
        <v>7.67</v>
      </c>
      <c r="AA327" s="12">
        <v>1</v>
      </c>
      <c r="AB327" s="12">
        <v>0.5</v>
      </c>
      <c r="AC327" s="13">
        <v>5.83</v>
      </c>
      <c r="AD327" s="14">
        <f t="shared" si="12"/>
        <v>15</v>
      </c>
      <c r="AE327" s="15">
        <f t="shared" si="13"/>
        <v>0.38866666666666666</v>
      </c>
      <c r="AF327" s="16">
        <v>21846</v>
      </c>
      <c r="AG327" s="16">
        <v>20000</v>
      </c>
      <c r="AH327" s="17" t="s">
        <v>2346</v>
      </c>
      <c r="AI327" s="18" t="s">
        <v>3580</v>
      </c>
      <c r="AJ327" s="19">
        <v>0.95</v>
      </c>
      <c r="AK327" s="20">
        <v>0.98</v>
      </c>
      <c r="AL327" s="17" t="s">
        <v>92</v>
      </c>
      <c r="AM327" s="5" t="s">
        <v>66</v>
      </c>
      <c r="AN327" s="5" t="s">
        <v>66</v>
      </c>
      <c r="AO327" s="5" t="s">
        <v>2348</v>
      </c>
      <c r="AP327" s="5" t="s">
        <v>2395</v>
      </c>
      <c r="AQ327" s="5" t="s">
        <v>61</v>
      </c>
      <c r="AR327" s="5" t="s">
        <v>3569</v>
      </c>
      <c r="AS327" s="5" t="s">
        <v>2413</v>
      </c>
      <c r="AT327" s="5" t="s">
        <v>66</v>
      </c>
      <c r="AU327" s="5" t="s">
        <v>1308</v>
      </c>
      <c r="AV327" s="5" t="s">
        <v>66</v>
      </c>
      <c r="AW327" s="5" t="s">
        <v>66</v>
      </c>
      <c r="AX327" s="5" t="s">
        <v>2407</v>
      </c>
      <c r="AY327" s="5" t="s">
        <v>69</v>
      </c>
      <c r="AZ327" s="5" t="s">
        <v>80</v>
      </c>
      <c r="BA327" s="19" t="s">
        <v>598</v>
      </c>
      <c r="BB327" s="17" t="s">
        <v>94</v>
      </c>
      <c r="BC327" s="5" t="s">
        <v>2409</v>
      </c>
      <c r="BD327" s="5" t="s">
        <v>2410</v>
      </c>
    </row>
    <row r="328" spans="1:56" ht="48" hidden="1" x14ac:dyDescent="0.25">
      <c r="A328" s="78" t="s">
        <v>2186</v>
      </c>
      <c r="B328" s="5" t="s">
        <v>433</v>
      </c>
      <c r="C328" s="5" t="s">
        <v>3293</v>
      </c>
      <c r="D328" s="5" t="s">
        <v>448</v>
      </c>
      <c r="E328" s="99" t="str">
        <f>VLOOKUP(D328,'Dropdown List'!$F$26:$G$40,2,0)</f>
        <v>Philippines</v>
      </c>
      <c r="F328" s="8" t="s">
        <v>2343</v>
      </c>
      <c r="G328" s="96">
        <v>4</v>
      </c>
      <c r="H328" s="5" t="s">
        <v>85</v>
      </c>
      <c r="I328" s="8" t="s">
        <v>58</v>
      </c>
      <c r="J328" s="8" t="s">
        <v>146</v>
      </c>
      <c r="K328" s="8" t="s">
        <v>147</v>
      </c>
      <c r="L328" s="8" t="s">
        <v>2414</v>
      </c>
      <c r="M328" s="8" t="s">
        <v>2415</v>
      </c>
      <c r="N328" s="5" t="s">
        <v>1034</v>
      </c>
      <c r="O328" s="5" t="s">
        <v>1069</v>
      </c>
      <c r="P328" s="5" t="s">
        <v>1069</v>
      </c>
      <c r="Q328" s="9" t="s">
        <v>270</v>
      </c>
      <c r="R328" s="5" t="s">
        <v>76</v>
      </c>
      <c r="S328" s="5" t="s">
        <v>90</v>
      </c>
      <c r="T328" s="96">
        <v>1</v>
      </c>
      <c r="U328" s="96">
        <v>1</v>
      </c>
      <c r="V328" s="96">
        <v>4</v>
      </c>
      <c r="W328" s="5" t="s">
        <v>91</v>
      </c>
      <c r="X328" s="10" t="s">
        <v>79</v>
      </c>
      <c r="Y328" s="11">
        <v>24490.33</v>
      </c>
      <c r="Z328" s="12">
        <v>0.5</v>
      </c>
      <c r="AA328" s="12">
        <v>0</v>
      </c>
      <c r="AB328" s="12">
        <v>0</v>
      </c>
      <c r="AC328" s="13">
        <v>1.5</v>
      </c>
      <c r="AD328" s="14">
        <f t="shared" si="12"/>
        <v>2</v>
      </c>
      <c r="AE328" s="15">
        <f t="shared" si="13"/>
        <v>0.75</v>
      </c>
      <c r="AF328" s="16">
        <v>40</v>
      </c>
      <c r="AG328" s="16">
        <v>40</v>
      </c>
      <c r="AH328" s="17" t="s">
        <v>2346</v>
      </c>
      <c r="AI328" s="18" t="s">
        <v>2416</v>
      </c>
      <c r="AJ328" s="19">
        <v>0.98</v>
      </c>
      <c r="AK328" s="20">
        <v>0.98</v>
      </c>
      <c r="AL328" s="17" t="s">
        <v>92</v>
      </c>
      <c r="AM328" s="5" t="s">
        <v>66</v>
      </c>
      <c r="AN328" s="5" t="s">
        <v>66</v>
      </c>
      <c r="AO328" s="5" t="s">
        <v>66</v>
      </c>
      <c r="AP328" s="5" t="s">
        <v>2395</v>
      </c>
      <c r="AQ328" s="5" t="s">
        <v>61</v>
      </c>
      <c r="AR328" s="5" t="s">
        <v>66</v>
      </c>
      <c r="AS328" s="5" t="s">
        <v>2413</v>
      </c>
      <c r="AT328" s="5" t="s">
        <v>66</v>
      </c>
      <c r="AU328" s="5" t="s">
        <v>1308</v>
      </c>
      <c r="AV328" s="5" t="s">
        <v>66</v>
      </c>
      <c r="AW328" s="5" t="s">
        <v>66</v>
      </c>
      <c r="AX328" s="5" t="s">
        <v>2407</v>
      </c>
      <c r="AY328" s="5" t="s">
        <v>69</v>
      </c>
      <c r="AZ328" s="5" t="s">
        <v>80</v>
      </c>
      <c r="BA328" s="19" t="s">
        <v>2408</v>
      </c>
      <c r="BB328" s="17" t="s">
        <v>94</v>
      </c>
      <c r="BC328" s="5" t="s">
        <v>2409</v>
      </c>
      <c r="BD328" s="5" t="s">
        <v>2410</v>
      </c>
    </row>
    <row r="329" spans="1:56" ht="120" hidden="1" x14ac:dyDescent="0.25">
      <c r="A329" s="78" t="s">
        <v>546</v>
      </c>
      <c r="B329" s="5" t="s">
        <v>547</v>
      </c>
      <c r="C329" s="5" t="s">
        <v>412</v>
      </c>
      <c r="D329" s="5" t="s">
        <v>209</v>
      </c>
      <c r="E329" s="99" t="str">
        <f>VLOOKUP(D329,'Dropdown List'!$F$26:$G$40,2,0)</f>
        <v>Philippines</v>
      </c>
      <c r="F329" s="8" t="s">
        <v>548</v>
      </c>
      <c r="G329" s="96">
        <v>5.9</v>
      </c>
      <c r="H329" s="5" t="s">
        <v>57</v>
      </c>
      <c r="I329" s="8" t="s">
        <v>480</v>
      </c>
      <c r="J329" s="8" t="s">
        <v>481</v>
      </c>
      <c r="K329" s="8" t="s">
        <v>485</v>
      </c>
      <c r="L329" s="8" t="s">
        <v>549</v>
      </c>
      <c r="M329" s="107" t="s">
        <v>550</v>
      </c>
      <c r="N329" s="5" t="s">
        <v>319</v>
      </c>
      <c r="O329" s="5" t="s">
        <v>61</v>
      </c>
      <c r="P329" s="5" t="s">
        <v>551</v>
      </c>
      <c r="Q329" s="9" t="s">
        <v>75</v>
      </c>
      <c r="R329" s="5" t="s">
        <v>132</v>
      </c>
      <c r="S329" s="5" t="s">
        <v>90</v>
      </c>
      <c r="T329" s="96">
        <v>1</v>
      </c>
      <c r="U329" s="96">
        <v>4</v>
      </c>
      <c r="V329" s="96">
        <v>2</v>
      </c>
      <c r="W329" s="5" t="s">
        <v>91</v>
      </c>
      <c r="X329" s="10" t="s">
        <v>421</v>
      </c>
      <c r="Y329" s="11">
        <v>35409.32</v>
      </c>
      <c r="Z329" s="12">
        <v>197</v>
      </c>
      <c r="AA329" s="12">
        <v>9</v>
      </c>
      <c r="AB329" s="12">
        <v>7</v>
      </c>
      <c r="AC329" s="13">
        <v>30</v>
      </c>
      <c r="AD329" s="14">
        <f t="shared" si="12"/>
        <v>243</v>
      </c>
      <c r="AE329" s="15">
        <f t="shared" si="13"/>
        <v>0.12345679012345678</v>
      </c>
      <c r="AF329" s="16">
        <v>97392</v>
      </c>
      <c r="AG329" s="16" t="s">
        <v>66</v>
      </c>
      <c r="AH329" s="17" t="s">
        <v>66</v>
      </c>
      <c r="AI329" s="18" t="s">
        <v>552</v>
      </c>
      <c r="AJ329" s="19" t="s">
        <v>66</v>
      </c>
      <c r="AK329" s="20" t="s">
        <v>66</v>
      </c>
      <c r="AL329" s="17" t="s">
        <v>65</v>
      </c>
      <c r="AM329" s="5" t="s">
        <v>553</v>
      </c>
      <c r="AN329" s="5" t="s">
        <v>554</v>
      </c>
      <c r="AO329" s="5" t="s">
        <v>3285</v>
      </c>
      <c r="AP329" s="5" t="s">
        <v>555</v>
      </c>
      <c r="AQ329" s="5" t="s">
        <v>66</v>
      </c>
      <c r="AR329" s="5" t="s">
        <v>66</v>
      </c>
      <c r="AS329" s="5" t="s">
        <v>66</v>
      </c>
      <c r="AT329" s="5" t="s">
        <v>3286</v>
      </c>
      <c r="AU329" s="5" t="s">
        <v>3287</v>
      </c>
      <c r="AV329" s="5" t="s">
        <v>1308</v>
      </c>
      <c r="AW329" s="5" t="s">
        <v>66</v>
      </c>
      <c r="AX329" s="5" t="s">
        <v>141</v>
      </c>
      <c r="AY329" s="5" t="s">
        <v>556</v>
      </c>
      <c r="AZ329" s="5" t="s">
        <v>145</v>
      </c>
      <c r="BA329" s="19" t="s">
        <v>557</v>
      </c>
      <c r="BB329" s="17" t="s">
        <v>66</v>
      </c>
      <c r="BC329" s="5" t="s">
        <v>558</v>
      </c>
      <c r="BD329" s="5" t="s">
        <v>559</v>
      </c>
    </row>
    <row r="330" spans="1:56" ht="168" hidden="1" x14ac:dyDescent="0.25">
      <c r="A330" s="78" t="s">
        <v>546</v>
      </c>
      <c r="B330" s="5" t="s">
        <v>547</v>
      </c>
      <c r="C330" s="5" t="s">
        <v>412</v>
      </c>
      <c r="D330" s="5" t="s">
        <v>209</v>
      </c>
      <c r="E330" s="99" t="str">
        <f>VLOOKUP(D330,'Dropdown List'!$F$26:$G$40,2,0)</f>
        <v>Philippines</v>
      </c>
      <c r="F330" s="8" t="s">
        <v>548</v>
      </c>
      <c r="G330" s="96">
        <v>2.6</v>
      </c>
      <c r="H330" s="5" t="s">
        <v>57</v>
      </c>
      <c r="I330" s="8" t="s">
        <v>480</v>
      </c>
      <c r="J330" s="8" t="s">
        <v>481</v>
      </c>
      <c r="K330" s="8" t="s">
        <v>316</v>
      </c>
      <c r="L330" s="8" t="s">
        <v>560</v>
      </c>
      <c r="M330" s="107" t="s">
        <v>561</v>
      </c>
      <c r="N330" s="5" t="s">
        <v>319</v>
      </c>
      <c r="O330" s="5" t="s">
        <v>61</v>
      </c>
      <c r="P330" s="5" t="s">
        <v>551</v>
      </c>
      <c r="Q330" s="9" t="s">
        <v>75</v>
      </c>
      <c r="R330" s="5" t="s">
        <v>132</v>
      </c>
      <c r="S330" s="5" t="s">
        <v>90</v>
      </c>
      <c r="T330" s="96">
        <v>1</v>
      </c>
      <c r="U330" s="96">
        <v>6</v>
      </c>
      <c r="V330" s="96">
        <v>4</v>
      </c>
      <c r="W330" s="5" t="s">
        <v>91</v>
      </c>
      <c r="X330" s="10" t="s">
        <v>421</v>
      </c>
      <c r="Y330" s="11">
        <v>34545.68</v>
      </c>
      <c r="Z330" s="12">
        <v>90</v>
      </c>
      <c r="AA330" s="12">
        <v>5</v>
      </c>
      <c r="AB330" s="12">
        <v>3</v>
      </c>
      <c r="AC330" s="13">
        <v>14</v>
      </c>
      <c r="AD330" s="14">
        <f t="shared" si="12"/>
        <v>112</v>
      </c>
      <c r="AE330" s="15">
        <f t="shared" si="13"/>
        <v>0.125</v>
      </c>
      <c r="AF330" s="16">
        <v>61053</v>
      </c>
      <c r="AG330" s="16" t="s">
        <v>66</v>
      </c>
      <c r="AH330" s="17" t="s">
        <v>66</v>
      </c>
      <c r="AI330" s="18" t="s">
        <v>562</v>
      </c>
      <c r="AJ330" s="19" t="s">
        <v>563</v>
      </c>
      <c r="AK330" s="20" t="s">
        <v>66</v>
      </c>
      <c r="AL330" s="17" t="s">
        <v>65</v>
      </c>
      <c r="AM330" s="5" t="s">
        <v>564</v>
      </c>
      <c r="AN330" s="5" t="s">
        <v>565</v>
      </c>
      <c r="AO330" s="5" t="s">
        <v>3288</v>
      </c>
      <c r="AP330" s="5" t="s">
        <v>555</v>
      </c>
      <c r="AQ330" s="5" t="s">
        <v>66</v>
      </c>
      <c r="AR330" s="5" t="s">
        <v>66</v>
      </c>
      <c r="AS330" s="5" t="s">
        <v>66</v>
      </c>
      <c r="AT330" s="5" t="s">
        <v>3289</v>
      </c>
      <c r="AU330" s="5" t="s">
        <v>3290</v>
      </c>
      <c r="AV330" s="5" t="s">
        <v>3291</v>
      </c>
      <c r="AW330" s="5" t="s">
        <v>66</v>
      </c>
      <c r="AX330" s="5" t="s">
        <v>141</v>
      </c>
      <c r="AY330" s="5" t="s">
        <v>566</v>
      </c>
      <c r="AZ330" s="5" t="s">
        <v>145</v>
      </c>
      <c r="BA330" s="19" t="s">
        <v>567</v>
      </c>
      <c r="BB330" s="17" t="s">
        <v>66</v>
      </c>
      <c r="BC330" s="5" t="s">
        <v>558</v>
      </c>
      <c r="BD330" s="5" t="s">
        <v>559</v>
      </c>
    </row>
    <row r="331" spans="1:56" ht="60" hidden="1" x14ac:dyDescent="0.25">
      <c r="A331" s="78" t="s">
        <v>313</v>
      </c>
      <c r="B331" s="5" t="s">
        <v>314</v>
      </c>
      <c r="C331" s="5" t="s">
        <v>290</v>
      </c>
      <c r="D331" s="5" t="s">
        <v>275</v>
      </c>
      <c r="E331" s="99" t="str">
        <f>VLOOKUP(D331,'Dropdown List'!$F$26:$G$40,2,0)</f>
        <v>South Africa</v>
      </c>
      <c r="F331" s="8" t="s">
        <v>3352</v>
      </c>
      <c r="G331" s="96">
        <v>2</v>
      </c>
      <c r="H331" s="5" t="s">
        <v>57</v>
      </c>
      <c r="I331" s="8" t="s">
        <v>480</v>
      </c>
      <c r="J331" s="8" t="s">
        <v>807</v>
      </c>
      <c r="K331" s="8" t="s">
        <v>2720</v>
      </c>
      <c r="L331" s="8" t="s">
        <v>317</v>
      </c>
      <c r="M331" s="8" t="s">
        <v>318</v>
      </c>
      <c r="N331" s="5" t="s">
        <v>319</v>
      </c>
      <c r="O331" s="5" t="s">
        <v>156</v>
      </c>
      <c r="P331" s="5" t="s">
        <v>320</v>
      </c>
      <c r="Q331" s="9" t="s">
        <v>75</v>
      </c>
      <c r="R331" s="5" t="s">
        <v>3353</v>
      </c>
      <c r="S331" s="5" t="s">
        <v>64</v>
      </c>
      <c r="T331" s="96">
        <v>2</v>
      </c>
      <c r="U331" s="96">
        <v>4</v>
      </c>
      <c r="V331" s="96">
        <v>4</v>
      </c>
      <c r="W331" s="5" t="s">
        <v>91</v>
      </c>
      <c r="X331" s="10" t="s">
        <v>321</v>
      </c>
      <c r="Y331" s="11">
        <v>1244988</v>
      </c>
      <c r="Z331" s="12">
        <v>60</v>
      </c>
      <c r="AA331" s="12">
        <v>7</v>
      </c>
      <c r="AB331" s="12">
        <v>4</v>
      </c>
      <c r="AC331" s="13">
        <v>12</v>
      </c>
      <c r="AD331" s="14">
        <f t="shared" si="12"/>
        <v>83</v>
      </c>
      <c r="AE331" s="15">
        <f t="shared" si="13"/>
        <v>0.14457831325301204</v>
      </c>
      <c r="AF331" s="16">
        <v>55000</v>
      </c>
      <c r="AG331" s="16" t="s">
        <v>3354</v>
      </c>
      <c r="AH331" s="17" t="s">
        <v>322</v>
      </c>
      <c r="AI331" s="18" t="s">
        <v>3355</v>
      </c>
      <c r="AJ331" s="19" t="s">
        <v>66</v>
      </c>
      <c r="AK331" s="20">
        <v>0.9</v>
      </c>
      <c r="AL331" s="17" t="s">
        <v>92</v>
      </c>
      <c r="AM331" s="5" t="s">
        <v>323</v>
      </c>
      <c r="AN331" s="5" t="s">
        <v>324</v>
      </c>
      <c r="AO331" s="5" t="s">
        <v>3356</v>
      </c>
      <c r="AP331" s="5" t="s">
        <v>3357</v>
      </c>
      <c r="AQ331" s="5" t="s">
        <v>325</v>
      </c>
      <c r="AR331" s="5" t="s">
        <v>326</v>
      </c>
      <c r="AS331" s="5" t="s">
        <v>66</v>
      </c>
      <c r="AT331" s="5" t="s">
        <v>66</v>
      </c>
      <c r="AU331" s="5" t="s">
        <v>66</v>
      </c>
      <c r="AV331" s="5" t="s">
        <v>66</v>
      </c>
      <c r="AW331" s="5" t="s">
        <v>327</v>
      </c>
      <c r="AX331" s="5" t="s">
        <v>141</v>
      </c>
      <c r="AY331" s="5" t="s">
        <v>328</v>
      </c>
      <c r="AZ331" s="5" t="s">
        <v>80</v>
      </c>
      <c r="BA331" s="19">
        <v>100</v>
      </c>
      <c r="BB331" s="17" t="s">
        <v>65</v>
      </c>
      <c r="BC331" s="5" t="s">
        <v>53</v>
      </c>
      <c r="BD331" s="5" t="s">
        <v>329</v>
      </c>
    </row>
    <row r="332" spans="1:56" ht="72" hidden="1" x14ac:dyDescent="0.25">
      <c r="A332" s="78" t="s">
        <v>1749</v>
      </c>
      <c r="B332" s="5" t="s">
        <v>1750</v>
      </c>
      <c r="C332" s="5" t="s">
        <v>3293</v>
      </c>
      <c r="D332" s="5" t="s">
        <v>252</v>
      </c>
      <c r="E332" s="99" t="str">
        <f>VLOOKUP(D332,'Dropdown List'!$F$26:$G$40,2,0)</f>
        <v>India</v>
      </c>
      <c r="F332" s="8" t="s">
        <v>1954</v>
      </c>
      <c r="G332" s="96" t="s">
        <v>1955</v>
      </c>
      <c r="H332" s="5" t="s">
        <v>57</v>
      </c>
      <c r="I332" s="8" t="s">
        <v>71</v>
      </c>
      <c r="J332" s="8" t="s">
        <v>2702</v>
      </c>
      <c r="K332" s="8" t="s">
        <v>1956</v>
      </c>
      <c r="L332" s="8" t="s">
        <v>1957</v>
      </c>
      <c r="M332" s="8" t="s">
        <v>1958</v>
      </c>
      <c r="N332" s="5" t="s">
        <v>1034</v>
      </c>
      <c r="O332" s="5" t="s">
        <v>1951</v>
      </c>
      <c r="P332" s="5" t="s">
        <v>1951</v>
      </c>
      <c r="Q332" s="9" t="s">
        <v>418</v>
      </c>
      <c r="R332" s="5" t="s">
        <v>76</v>
      </c>
      <c r="S332" s="5" t="s">
        <v>64</v>
      </c>
      <c r="T332" s="96">
        <v>1</v>
      </c>
      <c r="U332" s="96">
        <v>6</v>
      </c>
      <c r="V332" s="96">
        <v>7</v>
      </c>
      <c r="W332" s="5" t="s">
        <v>91</v>
      </c>
      <c r="X332" s="10" t="s">
        <v>79</v>
      </c>
      <c r="Y332" s="11">
        <v>22264</v>
      </c>
      <c r="Z332" s="12">
        <v>8</v>
      </c>
      <c r="AA332" s="12">
        <v>0</v>
      </c>
      <c r="AB332" s="12">
        <v>1</v>
      </c>
      <c r="AC332" s="13">
        <v>1</v>
      </c>
      <c r="AD332" s="14">
        <f t="shared" si="12"/>
        <v>10</v>
      </c>
      <c r="AE332" s="15">
        <f t="shared" si="13"/>
        <v>0.1</v>
      </c>
      <c r="AF332" s="16">
        <v>602</v>
      </c>
      <c r="AG332" s="16">
        <v>602</v>
      </c>
      <c r="AH332" s="17" t="s">
        <v>1959</v>
      </c>
      <c r="AI332" s="18" t="s">
        <v>1960</v>
      </c>
      <c r="AJ332" s="19">
        <v>0.95</v>
      </c>
      <c r="AK332" s="20">
        <v>0.95</v>
      </c>
      <c r="AL332" s="17" t="s">
        <v>261</v>
      </c>
      <c r="AM332" s="5" t="s">
        <v>1961</v>
      </c>
      <c r="AN332" s="5" t="s">
        <v>66</v>
      </c>
      <c r="AO332" s="5" t="s">
        <v>1962</v>
      </c>
      <c r="AP332" s="5" t="s">
        <v>1963</v>
      </c>
      <c r="AQ332" s="5" t="s">
        <v>1683</v>
      </c>
      <c r="AR332" s="5" t="s">
        <v>1964</v>
      </c>
      <c r="AS332" s="5">
        <v>0.78</v>
      </c>
      <c r="AT332" s="5" t="s">
        <v>1965</v>
      </c>
      <c r="AU332" s="5" t="s">
        <v>791</v>
      </c>
      <c r="AV332" s="5" t="s">
        <v>791</v>
      </c>
      <c r="AW332" s="5" t="s">
        <v>1966</v>
      </c>
      <c r="AX332" s="5" t="s">
        <v>1953</v>
      </c>
      <c r="AY332" s="5" t="s">
        <v>1967</v>
      </c>
      <c r="AZ332" s="5" t="s">
        <v>80</v>
      </c>
      <c r="BA332" s="19" t="s">
        <v>1968</v>
      </c>
      <c r="BB332" s="17" t="s">
        <v>110</v>
      </c>
      <c r="BC332" s="5" t="s">
        <v>1969</v>
      </c>
      <c r="BD332" s="5" t="s">
        <v>1970</v>
      </c>
    </row>
    <row r="333" spans="1:56" ht="48" hidden="1" x14ac:dyDescent="0.25">
      <c r="A333" s="78" t="s">
        <v>1749</v>
      </c>
      <c r="B333" s="5" t="s">
        <v>1750</v>
      </c>
      <c r="C333" s="5" t="s">
        <v>3293</v>
      </c>
      <c r="D333" s="5" t="s">
        <v>252</v>
      </c>
      <c r="E333" s="99" t="str">
        <f>VLOOKUP(D333,'Dropdown List'!$F$26:$G$40,2,0)</f>
        <v>India</v>
      </c>
      <c r="F333" s="8" t="s">
        <v>1954</v>
      </c>
      <c r="G333" s="96" t="s">
        <v>1955</v>
      </c>
      <c r="H333" s="5" t="s">
        <v>57</v>
      </c>
      <c r="I333" s="8" t="s">
        <v>71</v>
      </c>
      <c r="J333" s="8" t="s">
        <v>102</v>
      </c>
      <c r="K333" s="8" t="s">
        <v>611</v>
      </c>
      <c r="L333" s="8" t="s">
        <v>1971</v>
      </c>
      <c r="M333" s="8" t="s">
        <v>1972</v>
      </c>
      <c r="N333" s="5" t="s">
        <v>1034</v>
      </c>
      <c r="O333" s="5" t="s">
        <v>1951</v>
      </c>
      <c r="P333" s="5" t="s">
        <v>1951</v>
      </c>
      <c r="Q333" s="9" t="s">
        <v>418</v>
      </c>
      <c r="R333" s="5" t="s">
        <v>76</v>
      </c>
      <c r="S333" s="5" t="s">
        <v>64</v>
      </c>
      <c r="T333" s="96">
        <v>1</v>
      </c>
      <c r="U333" s="96">
        <v>3</v>
      </c>
      <c r="V333" s="96">
        <v>8</v>
      </c>
      <c r="W333" s="5" t="s">
        <v>91</v>
      </c>
      <c r="X333" s="10" t="s">
        <v>79</v>
      </c>
      <c r="Y333" s="11">
        <v>22264</v>
      </c>
      <c r="Z333" s="12">
        <v>7</v>
      </c>
      <c r="AA333" s="12">
        <v>0</v>
      </c>
      <c r="AB333" s="12">
        <v>0.5</v>
      </c>
      <c r="AC333" s="13">
        <v>1</v>
      </c>
      <c r="AD333" s="14">
        <f t="shared" si="12"/>
        <v>8.5</v>
      </c>
      <c r="AE333" s="15">
        <f t="shared" si="13"/>
        <v>0.11764705882352941</v>
      </c>
      <c r="AF333" s="16">
        <v>240</v>
      </c>
      <c r="AG333" s="16">
        <v>240</v>
      </c>
      <c r="AH333" s="17" t="s">
        <v>1973</v>
      </c>
      <c r="AI333" s="18" t="s">
        <v>1974</v>
      </c>
      <c r="AJ333" s="19">
        <v>0.95</v>
      </c>
      <c r="AK333" s="20">
        <v>0.95</v>
      </c>
      <c r="AL333" s="17" t="s">
        <v>261</v>
      </c>
      <c r="AM333" s="5" t="s">
        <v>1961</v>
      </c>
      <c r="AN333" s="5" t="s">
        <v>66</v>
      </c>
      <c r="AO333" s="5" t="s">
        <v>1975</v>
      </c>
      <c r="AP333" s="5" t="s">
        <v>1963</v>
      </c>
      <c r="AQ333" s="5" t="s">
        <v>1683</v>
      </c>
      <c r="AR333" s="5" t="s">
        <v>1976</v>
      </c>
      <c r="AS333" s="5">
        <v>1.1399999999999999</v>
      </c>
      <c r="AT333" s="5" t="s">
        <v>1977</v>
      </c>
      <c r="AU333" s="5" t="s">
        <v>791</v>
      </c>
      <c r="AV333" s="5" t="s">
        <v>791</v>
      </c>
      <c r="AW333" s="5" t="s">
        <v>1966</v>
      </c>
      <c r="AX333" s="5" t="s">
        <v>1953</v>
      </c>
      <c r="AY333" s="5" t="s">
        <v>1978</v>
      </c>
      <c r="AZ333" s="5" t="s">
        <v>80</v>
      </c>
      <c r="BA333" s="19"/>
      <c r="BB333" s="17" t="s">
        <v>353</v>
      </c>
      <c r="BC333" s="5" t="s">
        <v>1969</v>
      </c>
      <c r="BD333" s="5" t="s">
        <v>1970</v>
      </c>
    </row>
    <row r="334" spans="1:56" ht="48" hidden="1" x14ac:dyDescent="0.25">
      <c r="A334" s="78" t="s">
        <v>1749</v>
      </c>
      <c r="B334" s="5" t="s">
        <v>1750</v>
      </c>
      <c r="C334" s="5" t="s">
        <v>3293</v>
      </c>
      <c r="D334" s="5" t="s">
        <v>252</v>
      </c>
      <c r="E334" s="99" t="str">
        <f>VLOOKUP(D334,'Dropdown List'!$F$26:$G$40,2,0)</f>
        <v>India</v>
      </c>
      <c r="F334" s="8" t="s">
        <v>1954</v>
      </c>
      <c r="G334" s="96" t="s">
        <v>1955</v>
      </c>
      <c r="H334" s="5" t="s">
        <v>57</v>
      </c>
      <c r="I334" s="8" t="s">
        <v>71</v>
      </c>
      <c r="J334" s="8" t="s">
        <v>2702</v>
      </c>
      <c r="K334" s="8" t="s">
        <v>1956</v>
      </c>
      <c r="L334" s="8" t="s">
        <v>1979</v>
      </c>
      <c r="M334" s="8" t="s">
        <v>1980</v>
      </c>
      <c r="N334" s="5" t="s">
        <v>1034</v>
      </c>
      <c r="O334" s="5" t="s">
        <v>1951</v>
      </c>
      <c r="P334" s="5" t="s">
        <v>1951</v>
      </c>
      <c r="Q334" s="9" t="s">
        <v>615</v>
      </c>
      <c r="R334" s="5" t="s">
        <v>76</v>
      </c>
      <c r="S334" s="5" t="s">
        <v>64</v>
      </c>
      <c r="T334" s="96">
        <v>1</v>
      </c>
      <c r="U334" s="96">
        <v>3</v>
      </c>
      <c r="V334" s="96">
        <v>5</v>
      </c>
      <c r="W334" s="5" t="s">
        <v>91</v>
      </c>
      <c r="X334" s="10" t="s">
        <v>79</v>
      </c>
      <c r="Y334" s="11">
        <v>22264</v>
      </c>
      <c r="Z334" s="12">
        <v>7</v>
      </c>
      <c r="AA334" s="12">
        <v>0</v>
      </c>
      <c r="AB334" s="12">
        <v>0.5</v>
      </c>
      <c r="AC334" s="13">
        <v>2</v>
      </c>
      <c r="AD334" s="14">
        <f t="shared" si="12"/>
        <v>9.5</v>
      </c>
      <c r="AE334" s="15">
        <f t="shared" si="13"/>
        <v>0.21052631578947367</v>
      </c>
      <c r="AF334" s="16">
        <v>210</v>
      </c>
      <c r="AG334" s="16" t="s">
        <v>1981</v>
      </c>
      <c r="AH334" s="17" t="s">
        <v>1982</v>
      </c>
      <c r="AI334" s="18">
        <v>100</v>
      </c>
      <c r="AJ334" s="19">
        <v>0.95</v>
      </c>
      <c r="AK334" s="20">
        <v>0.95</v>
      </c>
      <c r="AL334" s="17" t="s">
        <v>261</v>
      </c>
      <c r="AM334" s="5" t="s">
        <v>1961</v>
      </c>
      <c r="AN334" s="5" t="s">
        <v>66</v>
      </c>
      <c r="AO334" s="5" t="s">
        <v>66</v>
      </c>
      <c r="AP334" s="5" t="s">
        <v>66</v>
      </c>
      <c r="AQ334" s="5" t="s">
        <v>1683</v>
      </c>
      <c r="AR334" s="5" t="s">
        <v>1983</v>
      </c>
      <c r="AS334" s="5">
        <v>1.8</v>
      </c>
      <c r="AT334" s="5" t="s">
        <v>200</v>
      </c>
      <c r="AU334" s="5" t="s">
        <v>200</v>
      </c>
      <c r="AV334" s="5" t="s">
        <v>66</v>
      </c>
      <c r="AW334" s="5" t="s">
        <v>1966</v>
      </c>
      <c r="AX334" s="5" t="s">
        <v>1953</v>
      </c>
      <c r="AY334" s="5" t="s">
        <v>1984</v>
      </c>
      <c r="AZ334" s="5" t="s">
        <v>80</v>
      </c>
      <c r="BA334" s="19">
        <v>1</v>
      </c>
      <c r="BB334" s="17" t="s">
        <v>1985</v>
      </c>
      <c r="BC334" s="5" t="s">
        <v>1969</v>
      </c>
      <c r="BD334" s="5" t="s">
        <v>1970</v>
      </c>
    </row>
    <row r="335" spans="1:56" ht="132" hidden="1" x14ac:dyDescent="0.25">
      <c r="A335" s="78" t="s">
        <v>1749</v>
      </c>
      <c r="B335" s="5" t="s">
        <v>1750</v>
      </c>
      <c r="C335" s="5" t="s">
        <v>3293</v>
      </c>
      <c r="D335" s="5" t="s">
        <v>252</v>
      </c>
      <c r="E335" s="99" t="str">
        <f>VLOOKUP(D335,'Dropdown List'!$F$26:$G$40,2,0)</f>
        <v>India</v>
      </c>
      <c r="F335" s="8" t="s">
        <v>1954</v>
      </c>
      <c r="G335" s="96" t="s">
        <v>1955</v>
      </c>
      <c r="H335" s="5" t="s">
        <v>57</v>
      </c>
      <c r="I335" s="8" t="s">
        <v>71</v>
      </c>
      <c r="J335" s="8" t="s">
        <v>2702</v>
      </c>
      <c r="K335" s="8" t="s">
        <v>855</v>
      </c>
      <c r="L335" s="8" t="s">
        <v>1957</v>
      </c>
      <c r="M335" s="8" t="s">
        <v>1986</v>
      </c>
      <c r="N335" s="5" t="s">
        <v>1034</v>
      </c>
      <c r="O335" s="5" t="s">
        <v>1069</v>
      </c>
      <c r="P335" s="5" t="s">
        <v>1069</v>
      </c>
      <c r="Q335" s="9" t="s">
        <v>615</v>
      </c>
      <c r="R335" s="5" t="s">
        <v>76</v>
      </c>
      <c r="S335" s="5" t="s">
        <v>64</v>
      </c>
      <c r="T335" s="96">
        <v>1</v>
      </c>
      <c r="U335" s="96">
        <v>5</v>
      </c>
      <c r="V335" s="96">
        <v>8</v>
      </c>
      <c r="W335" s="5" t="s">
        <v>91</v>
      </c>
      <c r="X335" s="10" t="s">
        <v>79</v>
      </c>
      <c r="Y335" s="11">
        <v>22264</v>
      </c>
      <c r="Z335" s="12">
        <v>11</v>
      </c>
      <c r="AA335" s="12">
        <v>0</v>
      </c>
      <c r="AB335" s="12">
        <v>1</v>
      </c>
      <c r="AC335" s="13">
        <v>2</v>
      </c>
      <c r="AD335" s="14">
        <f t="shared" si="12"/>
        <v>14</v>
      </c>
      <c r="AE335" s="15">
        <f t="shared" si="13"/>
        <v>0.14285714285714285</v>
      </c>
      <c r="AF335" s="16">
        <v>988</v>
      </c>
      <c r="AG335" s="16" t="s">
        <v>1987</v>
      </c>
      <c r="AH335" s="17" t="s">
        <v>1988</v>
      </c>
      <c r="AI335" s="18" t="s">
        <v>1989</v>
      </c>
      <c r="AJ335" s="19">
        <v>0.95</v>
      </c>
      <c r="AK335" s="20">
        <v>0.95</v>
      </c>
      <c r="AL335" s="17" t="s">
        <v>261</v>
      </c>
      <c r="AM335" s="5" t="s">
        <v>1961</v>
      </c>
      <c r="AN335" s="5" t="s">
        <v>66</v>
      </c>
      <c r="AO335" s="5" t="s">
        <v>1990</v>
      </c>
      <c r="AP335" s="5" t="s">
        <v>1991</v>
      </c>
      <c r="AQ335" s="5" t="s">
        <v>1683</v>
      </c>
      <c r="AR335" s="5" t="s">
        <v>1992</v>
      </c>
      <c r="AS335" s="5">
        <v>1.0900000000000001</v>
      </c>
      <c r="AT335" s="5" t="s">
        <v>200</v>
      </c>
      <c r="AU335" s="5" t="s">
        <v>200</v>
      </c>
      <c r="AV335" s="5" t="s">
        <v>66</v>
      </c>
      <c r="AW335" s="5" t="s">
        <v>1966</v>
      </c>
      <c r="AX335" s="5" t="s">
        <v>1953</v>
      </c>
      <c r="AY335" s="5" t="s">
        <v>1993</v>
      </c>
      <c r="AZ335" s="5" t="s">
        <v>145</v>
      </c>
      <c r="BA335" s="19" t="s">
        <v>66</v>
      </c>
      <c r="BB335" s="17" t="s">
        <v>1994</v>
      </c>
      <c r="BC335" s="5" t="s">
        <v>1969</v>
      </c>
      <c r="BD335" s="5" t="s">
        <v>1995</v>
      </c>
    </row>
    <row r="336" spans="1:56" ht="48" hidden="1" x14ac:dyDescent="0.25">
      <c r="A336" s="78" t="s">
        <v>1749</v>
      </c>
      <c r="B336" s="5" t="s">
        <v>1750</v>
      </c>
      <c r="C336" s="5" t="s">
        <v>3293</v>
      </c>
      <c r="D336" s="5" t="s">
        <v>252</v>
      </c>
      <c r="E336" s="99" t="str">
        <f>VLOOKUP(D336,'Dropdown List'!$F$26:$G$40,2,0)</f>
        <v>India</v>
      </c>
      <c r="F336" s="8" t="s">
        <v>1954</v>
      </c>
      <c r="G336" s="96" t="s">
        <v>1955</v>
      </c>
      <c r="H336" s="5" t="s">
        <v>57</v>
      </c>
      <c r="I336" s="8" t="s">
        <v>71</v>
      </c>
      <c r="J336" s="8" t="s">
        <v>1547</v>
      </c>
      <c r="K336" s="8" t="s">
        <v>1575</v>
      </c>
      <c r="L336" s="8" t="s">
        <v>1547</v>
      </c>
      <c r="M336" s="8" t="s">
        <v>1996</v>
      </c>
      <c r="N336" s="5" t="s">
        <v>1034</v>
      </c>
      <c r="O336" s="5" t="s">
        <v>1069</v>
      </c>
      <c r="P336" s="5" t="s">
        <v>1069</v>
      </c>
      <c r="Q336" s="9" t="s">
        <v>615</v>
      </c>
      <c r="R336" s="5" t="s">
        <v>76</v>
      </c>
      <c r="S336" s="5" t="s">
        <v>64</v>
      </c>
      <c r="T336" s="96">
        <v>1</v>
      </c>
      <c r="U336" s="96">
        <v>4</v>
      </c>
      <c r="V336" s="96">
        <v>6</v>
      </c>
      <c r="W336" s="5" t="s">
        <v>91</v>
      </c>
      <c r="X336" s="10" t="s">
        <v>79</v>
      </c>
      <c r="Y336" s="11">
        <v>22264</v>
      </c>
      <c r="Z336" s="12">
        <v>10</v>
      </c>
      <c r="AA336" s="12">
        <v>0</v>
      </c>
      <c r="AB336" s="12">
        <v>1</v>
      </c>
      <c r="AC336" s="13">
        <v>2</v>
      </c>
      <c r="AD336" s="14">
        <f t="shared" si="12"/>
        <v>13</v>
      </c>
      <c r="AE336" s="15">
        <f t="shared" si="13"/>
        <v>0.15384615384615385</v>
      </c>
      <c r="AF336" s="16">
        <v>3302</v>
      </c>
      <c r="AG336" s="16">
        <v>3302</v>
      </c>
      <c r="AH336" s="17" t="s">
        <v>1997</v>
      </c>
      <c r="AI336" s="18" t="s">
        <v>1998</v>
      </c>
      <c r="AJ336" s="19">
        <v>0.95</v>
      </c>
      <c r="AK336" s="20">
        <v>0.95</v>
      </c>
      <c r="AL336" s="17" t="s">
        <v>261</v>
      </c>
      <c r="AM336" s="5" t="s">
        <v>1961</v>
      </c>
      <c r="AN336" s="5" t="s">
        <v>66</v>
      </c>
      <c r="AO336" s="5" t="s">
        <v>66</v>
      </c>
      <c r="AP336" s="5" t="s">
        <v>66</v>
      </c>
      <c r="AQ336" s="5" t="s">
        <v>200</v>
      </c>
      <c r="AR336" s="5" t="s">
        <v>66</v>
      </c>
      <c r="AS336" s="5" t="s">
        <v>66</v>
      </c>
      <c r="AT336" s="5" t="s">
        <v>200</v>
      </c>
      <c r="AU336" s="5" t="s">
        <v>200</v>
      </c>
      <c r="AV336" s="5" t="s">
        <v>66</v>
      </c>
      <c r="AW336" s="5" t="s">
        <v>1966</v>
      </c>
      <c r="AX336" s="5" t="s">
        <v>1953</v>
      </c>
      <c r="AY336" s="5" t="s">
        <v>1993</v>
      </c>
      <c r="AZ336" s="5" t="s">
        <v>145</v>
      </c>
      <c r="BA336" s="19" t="s">
        <v>66</v>
      </c>
      <c r="BB336" s="17" t="s">
        <v>353</v>
      </c>
      <c r="BC336" s="5" t="s">
        <v>1969</v>
      </c>
      <c r="BD336" s="5" t="s">
        <v>1999</v>
      </c>
    </row>
    <row r="337" spans="1:56" ht="72" hidden="1" x14ac:dyDescent="0.25">
      <c r="A337" s="78" t="s">
        <v>1749</v>
      </c>
      <c r="B337" s="5" t="s">
        <v>1750</v>
      </c>
      <c r="C337" s="5" t="s">
        <v>3293</v>
      </c>
      <c r="D337" s="5" t="s">
        <v>252</v>
      </c>
      <c r="E337" s="99" t="str">
        <f>VLOOKUP(D337,'Dropdown List'!$F$26:$G$40,2,0)</f>
        <v>India</v>
      </c>
      <c r="F337" s="8" t="s">
        <v>1954</v>
      </c>
      <c r="G337" s="96" t="s">
        <v>1955</v>
      </c>
      <c r="H337" s="5" t="s">
        <v>57</v>
      </c>
      <c r="I337" s="8" t="s">
        <v>71</v>
      </c>
      <c r="J337" s="8" t="s">
        <v>102</v>
      </c>
      <c r="K337" s="8" t="s">
        <v>611</v>
      </c>
      <c r="L337" s="8" t="s">
        <v>1971</v>
      </c>
      <c r="M337" s="8" t="s">
        <v>2000</v>
      </c>
      <c r="N337" s="5" t="s">
        <v>1034</v>
      </c>
      <c r="O337" s="5" t="s">
        <v>1069</v>
      </c>
      <c r="P337" s="5" t="s">
        <v>1069</v>
      </c>
      <c r="Q337" s="9" t="s">
        <v>615</v>
      </c>
      <c r="R337" s="5" t="s">
        <v>76</v>
      </c>
      <c r="S337" s="5" t="s">
        <v>64</v>
      </c>
      <c r="T337" s="96">
        <v>1</v>
      </c>
      <c r="U337" s="96">
        <v>4</v>
      </c>
      <c r="V337" s="96">
        <v>8</v>
      </c>
      <c r="W337" s="5" t="s">
        <v>91</v>
      </c>
      <c r="X337" s="10" t="s">
        <v>79</v>
      </c>
      <c r="Y337" s="11">
        <v>22264</v>
      </c>
      <c r="Z337" s="12">
        <v>8</v>
      </c>
      <c r="AA337" s="12">
        <v>0</v>
      </c>
      <c r="AB337" s="12">
        <v>1</v>
      </c>
      <c r="AC337" s="13">
        <v>1</v>
      </c>
      <c r="AD337" s="14">
        <f t="shared" si="12"/>
        <v>10</v>
      </c>
      <c r="AE337" s="15">
        <f t="shared" si="13"/>
        <v>0.1</v>
      </c>
      <c r="AF337" s="16">
        <v>1360</v>
      </c>
      <c r="AG337" s="16" t="s">
        <v>2001</v>
      </c>
      <c r="AH337" s="17" t="s">
        <v>2002</v>
      </c>
      <c r="AI337" s="18" t="s">
        <v>2003</v>
      </c>
      <c r="AJ337" s="19">
        <v>0.95</v>
      </c>
      <c r="AK337" s="20">
        <v>0.95</v>
      </c>
      <c r="AL337" s="17" t="s">
        <v>261</v>
      </c>
      <c r="AM337" s="5" t="s">
        <v>1961</v>
      </c>
      <c r="AN337" s="5" t="s">
        <v>66</v>
      </c>
      <c r="AO337" s="5" t="s">
        <v>2004</v>
      </c>
      <c r="AP337" s="5" t="s">
        <v>2005</v>
      </c>
      <c r="AQ337" s="5" t="s">
        <v>1683</v>
      </c>
      <c r="AR337" s="5" t="s">
        <v>2006</v>
      </c>
      <c r="AS337" s="5">
        <v>0.21</v>
      </c>
      <c r="AT337" s="5" t="s">
        <v>200</v>
      </c>
      <c r="AU337" s="5" t="s">
        <v>200</v>
      </c>
      <c r="AV337" s="5" t="s">
        <v>66</v>
      </c>
      <c r="AW337" s="5" t="s">
        <v>1966</v>
      </c>
      <c r="AX337" s="5" t="s">
        <v>1953</v>
      </c>
      <c r="AY337" s="5" t="s">
        <v>1993</v>
      </c>
      <c r="AZ337" s="5" t="s">
        <v>145</v>
      </c>
      <c r="BA337" s="19" t="s">
        <v>2007</v>
      </c>
      <c r="BB337" s="17" t="s">
        <v>353</v>
      </c>
      <c r="BC337" s="5" t="s">
        <v>1969</v>
      </c>
      <c r="BD337" s="5" t="s">
        <v>2008</v>
      </c>
    </row>
    <row r="338" spans="1:56" ht="48" hidden="1" x14ac:dyDescent="0.25">
      <c r="A338" s="78" t="s">
        <v>1749</v>
      </c>
      <c r="B338" s="5" t="s">
        <v>1750</v>
      </c>
      <c r="C338" s="5" t="s">
        <v>3293</v>
      </c>
      <c r="D338" s="5" t="s">
        <v>252</v>
      </c>
      <c r="E338" s="99" t="str">
        <f>VLOOKUP(D338,'Dropdown List'!$F$26:$G$40,2,0)</f>
        <v>India</v>
      </c>
      <c r="F338" s="8" t="s">
        <v>1954</v>
      </c>
      <c r="G338" s="96" t="s">
        <v>1955</v>
      </c>
      <c r="H338" s="5" t="s">
        <v>57</v>
      </c>
      <c r="I338" s="8" t="s">
        <v>71</v>
      </c>
      <c r="J338" s="8" t="s">
        <v>102</v>
      </c>
      <c r="K338" s="8" t="s">
        <v>611</v>
      </c>
      <c r="L338" s="8" t="s">
        <v>1971</v>
      </c>
      <c r="M338" s="8" t="s">
        <v>2000</v>
      </c>
      <c r="N338" s="5" t="s">
        <v>1034</v>
      </c>
      <c r="O338" s="5" t="s">
        <v>1069</v>
      </c>
      <c r="P338" s="5" t="s">
        <v>1069</v>
      </c>
      <c r="Q338" s="9" t="s">
        <v>615</v>
      </c>
      <c r="R338" s="5" t="s">
        <v>76</v>
      </c>
      <c r="S338" s="5" t="s">
        <v>64</v>
      </c>
      <c r="T338" s="96">
        <v>1</v>
      </c>
      <c r="U338" s="96">
        <v>3</v>
      </c>
      <c r="V338" s="96">
        <v>4</v>
      </c>
      <c r="W338" s="5" t="s">
        <v>91</v>
      </c>
      <c r="X338" s="10" t="s">
        <v>79</v>
      </c>
      <c r="Y338" s="11">
        <v>22264</v>
      </c>
      <c r="Z338" s="12">
        <v>3</v>
      </c>
      <c r="AA338" s="12">
        <v>0</v>
      </c>
      <c r="AB338" s="12">
        <v>0</v>
      </c>
      <c r="AC338" s="13">
        <v>2</v>
      </c>
      <c r="AD338" s="14">
        <f t="shared" si="12"/>
        <v>5</v>
      </c>
      <c r="AE338" s="15">
        <f t="shared" si="13"/>
        <v>0.4</v>
      </c>
      <c r="AF338" s="16">
        <v>3142</v>
      </c>
      <c r="AG338" s="16" t="s">
        <v>2009</v>
      </c>
      <c r="AH338" s="17" t="s">
        <v>2010</v>
      </c>
      <c r="AI338" s="18" t="s">
        <v>2011</v>
      </c>
      <c r="AJ338" s="19">
        <v>0.95</v>
      </c>
      <c r="AK338" s="20">
        <v>0.95</v>
      </c>
      <c r="AL338" s="17" t="s">
        <v>261</v>
      </c>
      <c r="AM338" s="5" t="s">
        <v>1961</v>
      </c>
      <c r="AN338" s="5" t="s">
        <v>66</v>
      </c>
      <c r="AO338" s="5" t="s">
        <v>2012</v>
      </c>
      <c r="AP338" s="5" t="s">
        <v>2005</v>
      </c>
      <c r="AQ338" s="5" t="s">
        <v>200</v>
      </c>
      <c r="AR338" s="5" t="s">
        <v>66</v>
      </c>
      <c r="AS338" s="5" t="s">
        <v>66</v>
      </c>
      <c r="AT338" s="5" t="s">
        <v>200</v>
      </c>
      <c r="AU338" s="5" t="s">
        <v>200</v>
      </c>
      <c r="AV338" s="5" t="s">
        <v>66</v>
      </c>
      <c r="AW338" s="5" t="s">
        <v>1966</v>
      </c>
      <c r="AX338" s="5" t="s">
        <v>1953</v>
      </c>
      <c r="AY338" s="5" t="s">
        <v>2013</v>
      </c>
      <c r="AZ338" s="5" t="s">
        <v>145</v>
      </c>
      <c r="BA338" s="19" t="s">
        <v>2007</v>
      </c>
      <c r="BB338" s="17" t="s">
        <v>353</v>
      </c>
      <c r="BC338" s="5" t="s">
        <v>1969</v>
      </c>
      <c r="BD338" s="5" t="s">
        <v>2014</v>
      </c>
    </row>
    <row r="339" spans="1:56" ht="96" hidden="1" x14ac:dyDescent="0.25">
      <c r="A339" s="78" t="s">
        <v>1749</v>
      </c>
      <c r="B339" s="5" t="s">
        <v>1750</v>
      </c>
      <c r="C339" s="5" t="s">
        <v>3293</v>
      </c>
      <c r="D339" s="5" t="s">
        <v>252</v>
      </c>
      <c r="E339" s="99" t="str">
        <f>VLOOKUP(D339,'Dropdown List'!$F$26:$G$40,2,0)</f>
        <v>India</v>
      </c>
      <c r="F339" s="8" t="s">
        <v>1954</v>
      </c>
      <c r="G339" s="96" t="s">
        <v>1955</v>
      </c>
      <c r="H339" s="5" t="s">
        <v>57</v>
      </c>
      <c r="I339" s="8" t="s">
        <v>71</v>
      </c>
      <c r="J339" s="8" t="s">
        <v>435</v>
      </c>
      <c r="K339" s="8" t="s">
        <v>293</v>
      </c>
      <c r="L339" s="8" t="s">
        <v>2015</v>
      </c>
      <c r="M339" s="8" t="s">
        <v>2016</v>
      </c>
      <c r="N339" s="5" t="s">
        <v>1034</v>
      </c>
      <c r="O339" s="5" t="s">
        <v>61</v>
      </c>
      <c r="P339" s="5" t="s">
        <v>2017</v>
      </c>
      <c r="Q339" s="9" t="s">
        <v>75</v>
      </c>
      <c r="R339" s="5" t="s">
        <v>76</v>
      </c>
      <c r="S339" s="5" t="s">
        <v>64</v>
      </c>
      <c r="T339" s="96">
        <v>1</v>
      </c>
      <c r="U339" s="96">
        <v>7</v>
      </c>
      <c r="V339" s="96">
        <v>6</v>
      </c>
      <c r="W339" s="5" t="s">
        <v>91</v>
      </c>
      <c r="X339" s="10" t="s">
        <v>79</v>
      </c>
      <c r="Y339" s="11">
        <v>22264</v>
      </c>
      <c r="Z339" s="12">
        <v>3</v>
      </c>
      <c r="AA339" s="12">
        <v>0</v>
      </c>
      <c r="AB339" s="12">
        <v>0</v>
      </c>
      <c r="AC339" s="13">
        <v>1</v>
      </c>
      <c r="AD339" s="14">
        <f t="shared" si="12"/>
        <v>4</v>
      </c>
      <c r="AE339" s="15">
        <f t="shared" si="13"/>
        <v>0.25</v>
      </c>
      <c r="AF339" s="16">
        <v>454</v>
      </c>
      <c r="AG339" s="16">
        <v>454</v>
      </c>
      <c r="AH339" s="17" t="s">
        <v>2018</v>
      </c>
      <c r="AI339" s="18" t="s">
        <v>2019</v>
      </c>
      <c r="AJ339" s="19">
        <v>0.95</v>
      </c>
      <c r="AK339" s="20">
        <v>0.95</v>
      </c>
      <c r="AL339" s="17" t="s">
        <v>261</v>
      </c>
      <c r="AM339" s="5" t="s">
        <v>1961</v>
      </c>
      <c r="AN339" s="5" t="s">
        <v>66</v>
      </c>
      <c r="AO339" s="5" t="s">
        <v>2020</v>
      </c>
      <c r="AP339" s="5" t="s">
        <v>2021</v>
      </c>
      <c r="AQ339" s="5" t="s">
        <v>200</v>
      </c>
      <c r="AR339" s="5" t="s">
        <v>66</v>
      </c>
      <c r="AS339" s="5" t="s">
        <v>66</v>
      </c>
      <c r="AT339" s="5" t="s">
        <v>200</v>
      </c>
      <c r="AU339" s="5" t="s">
        <v>200</v>
      </c>
      <c r="AV339" s="5" t="s">
        <v>66</v>
      </c>
      <c r="AW339" s="5" t="s">
        <v>1966</v>
      </c>
      <c r="AX339" s="5" t="s">
        <v>1953</v>
      </c>
      <c r="AY339" s="5" t="s">
        <v>2022</v>
      </c>
      <c r="AZ339" s="5"/>
      <c r="BA339" s="19">
        <v>1</v>
      </c>
      <c r="BB339" s="17" t="s">
        <v>2023</v>
      </c>
      <c r="BC339" s="5" t="s">
        <v>2024</v>
      </c>
      <c r="BD339" s="5" t="s">
        <v>2025</v>
      </c>
    </row>
    <row r="340" spans="1:56" ht="48" hidden="1" x14ac:dyDescent="0.25">
      <c r="A340" s="78" t="s">
        <v>1749</v>
      </c>
      <c r="B340" s="5" t="s">
        <v>1750</v>
      </c>
      <c r="C340" s="5" t="s">
        <v>3293</v>
      </c>
      <c r="D340" s="5" t="s">
        <v>252</v>
      </c>
      <c r="E340" s="99" t="str">
        <f>VLOOKUP(D340,'Dropdown List'!$F$26:$G$40,2,0)</f>
        <v>India</v>
      </c>
      <c r="F340" s="8" t="s">
        <v>1954</v>
      </c>
      <c r="G340" s="96" t="s">
        <v>1955</v>
      </c>
      <c r="H340" s="5" t="s">
        <v>57</v>
      </c>
      <c r="I340" s="8" t="s">
        <v>71</v>
      </c>
      <c r="J340" s="8" t="s">
        <v>435</v>
      </c>
      <c r="K340" s="8" t="s">
        <v>787</v>
      </c>
      <c r="L340" s="8" t="s">
        <v>2026</v>
      </c>
      <c r="M340" s="8" t="s">
        <v>2027</v>
      </c>
      <c r="N340" s="5" t="s">
        <v>1034</v>
      </c>
      <c r="O340" s="5" t="s">
        <v>1051</v>
      </c>
      <c r="P340" s="5" t="s">
        <v>1051</v>
      </c>
      <c r="Q340" s="9" t="s">
        <v>615</v>
      </c>
      <c r="R340" s="5" t="s">
        <v>76</v>
      </c>
      <c r="S340" s="5" t="s">
        <v>64</v>
      </c>
      <c r="T340" s="96">
        <v>1</v>
      </c>
      <c r="U340" s="96">
        <v>5</v>
      </c>
      <c r="V340" s="96">
        <v>4</v>
      </c>
      <c r="W340" s="5" t="s">
        <v>91</v>
      </c>
      <c r="X340" s="10" t="s">
        <v>79</v>
      </c>
      <c r="Y340" s="11">
        <v>22264</v>
      </c>
      <c r="Z340" s="12">
        <v>1</v>
      </c>
      <c r="AA340" s="12">
        <v>0</v>
      </c>
      <c r="AB340" s="12">
        <v>0</v>
      </c>
      <c r="AC340" s="13">
        <v>1</v>
      </c>
      <c r="AD340" s="14">
        <f t="shared" si="12"/>
        <v>2</v>
      </c>
      <c r="AE340" s="15">
        <f t="shared" si="13"/>
        <v>0.5</v>
      </c>
      <c r="AF340" s="16">
        <v>81</v>
      </c>
      <c r="AG340" s="16" t="s">
        <v>2028</v>
      </c>
      <c r="AH340" s="17" t="s">
        <v>2029</v>
      </c>
      <c r="AI340" s="18">
        <v>60</v>
      </c>
      <c r="AJ340" s="19">
        <v>0.95</v>
      </c>
      <c r="AK340" s="20">
        <v>0.95</v>
      </c>
      <c r="AL340" s="17" t="s">
        <v>261</v>
      </c>
      <c r="AM340" s="5" t="s">
        <v>1961</v>
      </c>
      <c r="AN340" s="5" t="s">
        <v>66</v>
      </c>
      <c r="AO340" s="5" t="s">
        <v>2030</v>
      </c>
      <c r="AP340" s="5" t="s">
        <v>2031</v>
      </c>
      <c r="AQ340" s="5" t="s">
        <v>200</v>
      </c>
      <c r="AR340" s="5" t="s">
        <v>66</v>
      </c>
      <c r="AS340" s="5" t="s">
        <v>66</v>
      </c>
      <c r="AT340" s="5" t="s">
        <v>200</v>
      </c>
      <c r="AU340" s="5" t="s">
        <v>200</v>
      </c>
      <c r="AV340" s="5" t="s">
        <v>66</v>
      </c>
      <c r="AW340" s="5" t="s">
        <v>1966</v>
      </c>
      <c r="AX340" s="5" t="s">
        <v>1953</v>
      </c>
      <c r="AY340" s="5" t="s">
        <v>2032</v>
      </c>
      <c r="AZ340" s="5" t="s">
        <v>145</v>
      </c>
      <c r="BA340" s="19" t="s">
        <v>2033</v>
      </c>
      <c r="BB340" s="17" t="s">
        <v>353</v>
      </c>
      <c r="BC340" s="5" t="s">
        <v>1969</v>
      </c>
      <c r="BD340" s="5" t="s">
        <v>2034</v>
      </c>
    </row>
    <row r="341" spans="1:56" ht="96" hidden="1" x14ac:dyDescent="0.25">
      <c r="A341" s="78" t="s">
        <v>1749</v>
      </c>
      <c r="B341" s="5" t="s">
        <v>1750</v>
      </c>
      <c r="C341" s="5" t="s">
        <v>3293</v>
      </c>
      <c r="D341" s="5" t="s">
        <v>252</v>
      </c>
      <c r="E341" s="99" t="str">
        <f>VLOOKUP(D341,'Dropdown List'!$F$26:$G$40,2,0)</f>
        <v>India</v>
      </c>
      <c r="F341" s="8" t="s">
        <v>1954</v>
      </c>
      <c r="G341" s="96" t="s">
        <v>1955</v>
      </c>
      <c r="H341" s="5" t="s">
        <v>57</v>
      </c>
      <c r="I341" s="8" t="s">
        <v>71</v>
      </c>
      <c r="J341" s="8" t="s">
        <v>102</v>
      </c>
      <c r="K341" s="8" t="s">
        <v>516</v>
      </c>
      <c r="L341" s="8" t="s">
        <v>2035</v>
      </c>
      <c r="M341" s="8" t="s">
        <v>2036</v>
      </c>
      <c r="N341" s="5" t="s">
        <v>1034</v>
      </c>
      <c r="O341" s="5" t="s">
        <v>74</v>
      </c>
      <c r="P341" s="5" t="s">
        <v>74</v>
      </c>
      <c r="Q341" s="9" t="s">
        <v>615</v>
      </c>
      <c r="R341" s="5" t="s">
        <v>76</v>
      </c>
      <c r="S341" s="5" t="s">
        <v>64</v>
      </c>
      <c r="T341" s="96">
        <v>1</v>
      </c>
      <c r="U341" s="96">
        <v>9</v>
      </c>
      <c r="V341" s="96">
        <v>7</v>
      </c>
      <c r="W341" s="5" t="s">
        <v>91</v>
      </c>
      <c r="X341" s="10" t="s">
        <v>79</v>
      </c>
      <c r="Y341" s="11">
        <v>22264</v>
      </c>
      <c r="Z341" s="12">
        <v>4</v>
      </c>
      <c r="AA341" s="12">
        <v>0</v>
      </c>
      <c r="AB341" s="12">
        <v>0.5</v>
      </c>
      <c r="AC341" s="13">
        <v>2</v>
      </c>
      <c r="AD341" s="14">
        <f t="shared" si="12"/>
        <v>6.5</v>
      </c>
      <c r="AE341" s="15">
        <f t="shared" si="13"/>
        <v>0.30769230769230771</v>
      </c>
      <c r="AF341" s="16">
        <v>425</v>
      </c>
      <c r="AG341" s="16">
        <v>425</v>
      </c>
      <c r="AH341" s="17" t="s">
        <v>1973</v>
      </c>
      <c r="AI341" s="18">
        <v>85</v>
      </c>
      <c r="AJ341" s="19">
        <v>0.95</v>
      </c>
      <c r="AK341" s="20">
        <v>0.95</v>
      </c>
      <c r="AL341" s="17" t="s">
        <v>261</v>
      </c>
      <c r="AM341" s="5" t="s">
        <v>1961</v>
      </c>
      <c r="AN341" s="5" t="s">
        <v>66</v>
      </c>
      <c r="AO341" s="5" t="s">
        <v>2037</v>
      </c>
      <c r="AP341" s="5" t="s">
        <v>2038</v>
      </c>
      <c r="AQ341" s="5" t="s">
        <v>200</v>
      </c>
      <c r="AR341" s="5" t="s">
        <v>66</v>
      </c>
      <c r="AS341" s="5" t="s">
        <v>66</v>
      </c>
      <c r="AT341" s="5" t="s">
        <v>200</v>
      </c>
      <c r="AU341" s="5" t="s">
        <v>200</v>
      </c>
      <c r="AV341" s="5" t="s">
        <v>66</v>
      </c>
      <c r="AW341" s="5" t="s">
        <v>1966</v>
      </c>
      <c r="AX341" s="5" t="s">
        <v>1953</v>
      </c>
      <c r="AY341" s="5" t="s">
        <v>2039</v>
      </c>
      <c r="AZ341" s="5" t="s">
        <v>80</v>
      </c>
      <c r="BA341" s="19">
        <v>1</v>
      </c>
      <c r="BB341" s="17" t="s">
        <v>110</v>
      </c>
      <c r="BC341" s="5" t="s">
        <v>1969</v>
      </c>
      <c r="BD341" s="5" t="s">
        <v>2040</v>
      </c>
    </row>
    <row r="342" spans="1:56" ht="72" hidden="1" x14ac:dyDescent="0.25">
      <c r="A342" s="78" t="s">
        <v>1749</v>
      </c>
      <c r="B342" s="5" t="s">
        <v>1750</v>
      </c>
      <c r="C342" s="5" t="s">
        <v>3293</v>
      </c>
      <c r="D342" s="5" t="s">
        <v>252</v>
      </c>
      <c r="E342" s="99" t="str">
        <f>VLOOKUP(D342,'Dropdown List'!$F$26:$G$40,2,0)</f>
        <v>India</v>
      </c>
      <c r="F342" s="8" t="s">
        <v>1954</v>
      </c>
      <c r="G342" s="96" t="s">
        <v>1955</v>
      </c>
      <c r="H342" s="5" t="s">
        <v>57</v>
      </c>
      <c r="I342" s="8" t="s">
        <v>71</v>
      </c>
      <c r="J342" s="8" t="s">
        <v>2702</v>
      </c>
      <c r="K342" s="8" t="s">
        <v>855</v>
      </c>
      <c r="L342" s="8" t="s">
        <v>1957</v>
      </c>
      <c r="M342" s="8" t="s">
        <v>2041</v>
      </c>
      <c r="N342" s="5" t="s">
        <v>1034</v>
      </c>
      <c r="O342" s="5" t="s">
        <v>2042</v>
      </c>
      <c r="P342" s="5" t="s">
        <v>2042</v>
      </c>
      <c r="Q342" s="9" t="s">
        <v>418</v>
      </c>
      <c r="R342" s="5" t="s">
        <v>76</v>
      </c>
      <c r="S342" s="5" t="s">
        <v>64</v>
      </c>
      <c r="T342" s="96">
        <v>1</v>
      </c>
      <c r="U342" s="96">
        <v>8</v>
      </c>
      <c r="V342" s="96">
        <v>11</v>
      </c>
      <c r="W342" s="5" t="s">
        <v>91</v>
      </c>
      <c r="X342" s="10" t="s">
        <v>79</v>
      </c>
      <c r="Y342" s="11">
        <v>22264</v>
      </c>
      <c r="Z342" s="12">
        <v>9</v>
      </c>
      <c r="AA342" s="12">
        <v>0</v>
      </c>
      <c r="AB342" s="12">
        <v>0.5</v>
      </c>
      <c r="AC342" s="13">
        <v>0</v>
      </c>
      <c r="AD342" s="14">
        <f t="shared" si="12"/>
        <v>9.5</v>
      </c>
      <c r="AE342" s="15">
        <f t="shared" si="13"/>
        <v>0</v>
      </c>
      <c r="AF342" s="16">
        <v>575</v>
      </c>
      <c r="AG342" s="16" t="s">
        <v>2043</v>
      </c>
      <c r="AH342" s="17" t="s">
        <v>2044</v>
      </c>
      <c r="AI342" s="18" t="s">
        <v>2045</v>
      </c>
      <c r="AJ342" s="19">
        <v>0.95</v>
      </c>
      <c r="AK342" s="20">
        <v>0.95</v>
      </c>
      <c r="AL342" s="17" t="s">
        <v>261</v>
      </c>
      <c r="AM342" s="5" t="s">
        <v>1961</v>
      </c>
      <c r="AN342" s="5" t="s">
        <v>66</v>
      </c>
      <c r="AO342" s="5" t="s">
        <v>2046</v>
      </c>
      <c r="AP342" s="5" t="s">
        <v>2047</v>
      </c>
      <c r="AQ342" s="5" t="s">
        <v>1683</v>
      </c>
      <c r="AR342" s="5" t="s">
        <v>2048</v>
      </c>
      <c r="AS342" s="5" t="s">
        <v>66</v>
      </c>
      <c r="AT342" s="5" t="s">
        <v>2049</v>
      </c>
      <c r="AU342" s="5" t="s">
        <v>2050</v>
      </c>
      <c r="AV342" s="5" t="s">
        <v>791</v>
      </c>
      <c r="AW342" s="5" t="s">
        <v>1966</v>
      </c>
      <c r="AX342" s="5" t="s">
        <v>1953</v>
      </c>
      <c r="AY342" s="5" t="s">
        <v>2051</v>
      </c>
      <c r="AZ342" s="5" t="s">
        <v>70</v>
      </c>
      <c r="BA342" s="19" t="s">
        <v>2052</v>
      </c>
      <c r="BB342" s="17" t="s">
        <v>110</v>
      </c>
      <c r="BC342" s="5" t="s">
        <v>1969</v>
      </c>
      <c r="BD342" s="5" t="s">
        <v>2053</v>
      </c>
    </row>
    <row r="343" spans="1:56" ht="72" hidden="1" x14ac:dyDescent="0.25">
      <c r="A343" s="78" t="s">
        <v>1749</v>
      </c>
      <c r="B343" s="5" t="s">
        <v>1750</v>
      </c>
      <c r="C343" s="5" t="s">
        <v>3293</v>
      </c>
      <c r="D343" s="5" t="s">
        <v>252</v>
      </c>
      <c r="E343" s="99" t="str">
        <f>VLOOKUP(D343,'Dropdown List'!$F$26:$G$40,2,0)</f>
        <v>India</v>
      </c>
      <c r="F343" s="8" t="s">
        <v>1954</v>
      </c>
      <c r="G343" s="96" t="s">
        <v>1955</v>
      </c>
      <c r="H343" s="5" t="s">
        <v>57</v>
      </c>
      <c r="I343" s="8" t="s">
        <v>71</v>
      </c>
      <c r="J343" s="8" t="s">
        <v>2702</v>
      </c>
      <c r="K343" s="8" t="s">
        <v>855</v>
      </c>
      <c r="L343" s="8" t="s">
        <v>1957</v>
      </c>
      <c r="M343" s="8" t="s">
        <v>2054</v>
      </c>
      <c r="N343" s="5" t="s">
        <v>1034</v>
      </c>
      <c r="O343" s="5" t="s">
        <v>2042</v>
      </c>
      <c r="P343" s="5" t="s">
        <v>2042</v>
      </c>
      <c r="Q343" s="9" t="s">
        <v>62</v>
      </c>
      <c r="R343" s="5" t="s">
        <v>76</v>
      </c>
      <c r="S343" s="5" t="s">
        <v>64</v>
      </c>
      <c r="T343" s="96">
        <v>1</v>
      </c>
      <c r="U343" s="96">
        <v>8</v>
      </c>
      <c r="V343" s="96">
        <v>11</v>
      </c>
      <c r="W343" s="5" t="s">
        <v>91</v>
      </c>
      <c r="X343" s="10" t="s">
        <v>79</v>
      </c>
      <c r="Y343" s="11">
        <v>22264</v>
      </c>
      <c r="Z343" s="12">
        <v>5</v>
      </c>
      <c r="AA343" s="12">
        <v>0</v>
      </c>
      <c r="AB343" s="12">
        <v>0.5</v>
      </c>
      <c r="AC343" s="13">
        <v>1</v>
      </c>
      <c r="AD343" s="14">
        <f t="shared" si="12"/>
        <v>6.5</v>
      </c>
      <c r="AE343" s="15">
        <f t="shared" si="13"/>
        <v>0.15384615384615385</v>
      </c>
      <c r="AF343" s="16">
        <v>149</v>
      </c>
      <c r="AG343" s="16" t="s">
        <v>2055</v>
      </c>
      <c r="AH343" s="17" t="s">
        <v>2056</v>
      </c>
      <c r="AI343" s="18" t="s">
        <v>2057</v>
      </c>
      <c r="AJ343" s="19">
        <v>0.95</v>
      </c>
      <c r="AK343" s="20">
        <v>0.95</v>
      </c>
      <c r="AL343" s="17" t="s">
        <v>261</v>
      </c>
      <c r="AM343" s="5" t="s">
        <v>1961</v>
      </c>
      <c r="AN343" s="5" t="s">
        <v>66</v>
      </c>
      <c r="AO343" s="5" t="s">
        <v>2046</v>
      </c>
      <c r="AP343" s="5" t="s">
        <v>2047</v>
      </c>
      <c r="AQ343" s="5" t="s">
        <v>1683</v>
      </c>
      <c r="AR343" s="5" t="s">
        <v>2048</v>
      </c>
      <c r="AS343" s="5" t="s">
        <v>66</v>
      </c>
      <c r="AT343" s="5" t="s">
        <v>2049</v>
      </c>
      <c r="AU343" s="5" t="s">
        <v>2050</v>
      </c>
      <c r="AV343" s="5" t="s">
        <v>791</v>
      </c>
      <c r="AW343" s="5" t="s">
        <v>1966</v>
      </c>
      <c r="AX343" s="5" t="s">
        <v>1953</v>
      </c>
      <c r="AY343" s="5" t="s">
        <v>2051</v>
      </c>
      <c r="AZ343" s="5" t="s">
        <v>70</v>
      </c>
      <c r="BA343" s="19" t="s">
        <v>2052</v>
      </c>
      <c r="BB343" s="17" t="s">
        <v>110</v>
      </c>
      <c r="BC343" s="5" t="s">
        <v>1969</v>
      </c>
      <c r="BD343" s="5" t="s">
        <v>2058</v>
      </c>
    </row>
    <row r="344" spans="1:56" ht="48" hidden="1" x14ac:dyDescent="0.25">
      <c r="A344" s="78" t="s">
        <v>1749</v>
      </c>
      <c r="B344" s="5" t="s">
        <v>1750</v>
      </c>
      <c r="C344" s="5" t="s">
        <v>3293</v>
      </c>
      <c r="D344" s="5" t="s">
        <v>252</v>
      </c>
      <c r="E344" s="99" t="str">
        <f>VLOOKUP(D344,'Dropdown List'!$F$26:$G$40,2,0)</f>
        <v>India</v>
      </c>
      <c r="F344" s="8" t="s">
        <v>1954</v>
      </c>
      <c r="G344" s="96" t="s">
        <v>1955</v>
      </c>
      <c r="H344" s="5" t="s">
        <v>57</v>
      </c>
      <c r="I344" s="8" t="s">
        <v>71</v>
      </c>
      <c r="J344" s="8" t="s">
        <v>112</v>
      </c>
      <c r="K344" s="8" t="s">
        <v>524</v>
      </c>
      <c r="L344" s="8" t="s">
        <v>1547</v>
      </c>
      <c r="M344" s="8" t="s">
        <v>2059</v>
      </c>
      <c r="N344" s="5" t="s">
        <v>1034</v>
      </c>
      <c r="O344" s="5" t="s">
        <v>1069</v>
      </c>
      <c r="P344" s="5" t="s">
        <v>1069</v>
      </c>
      <c r="Q344" s="9" t="s">
        <v>615</v>
      </c>
      <c r="R344" s="5" t="s">
        <v>76</v>
      </c>
      <c r="S344" s="5" t="s">
        <v>64</v>
      </c>
      <c r="T344" s="96">
        <v>1</v>
      </c>
      <c r="U344" s="96">
        <v>5</v>
      </c>
      <c r="V344" s="96">
        <v>4</v>
      </c>
      <c r="W344" s="5" t="s">
        <v>91</v>
      </c>
      <c r="X344" s="10" t="s">
        <v>79</v>
      </c>
      <c r="Y344" s="11">
        <v>22264</v>
      </c>
      <c r="Z344" s="12">
        <v>1</v>
      </c>
      <c r="AA344" s="12">
        <v>0</v>
      </c>
      <c r="AB344" s="12">
        <v>0</v>
      </c>
      <c r="AC344" s="13">
        <v>1</v>
      </c>
      <c r="AD344" s="14">
        <f t="shared" si="12"/>
        <v>2</v>
      </c>
      <c r="AE344" s="15">
        <f t="shared" si="13"/>
        <v>0.5</v>
      </c>
      <c r="AF344" s="16">
        <v>127</v>
      </c>
      <c r="AG344" s="16" t="s">
        <v>2060</v>
      </c>
      <c r="AH344" s="17" t="s">
        <v>2061</v>
      </c>
      <c r="AI344" s="18">
        <v>46</v>
      </c>
      <c r="AJ344" s="19">
        <v>0.95</v>
      </c>
      <c r="AK344" s="20">
        <v>0.95</v>
      </c>
      <c r="AL344" s="17" t="s">
        <v>261</v>
      </c>
      <c r="AM344" s="5" t="s">
        <v>1961</v>
      </c>
      <c r="AN344" s="5" t="s">
        <v>66</v>
      </c>
      <c r="AO344" s="5" t="s">
        <v>66</v>
      </c>
      <c r="AP344" s="5" t="s">
        <v>66</v>
      </c>
      <c r="AQ344" s="5" t="s">
        <v>200</v>
      </c>
      <c r="AR344" s="5" t="s">
        <v>66</v>
      </c>
      <c r="AS344" s="5" t="s">
        <v>66</v>
      </c>
      <c r="AT344" s="5" t="s">
        <v>200</v>
      </c>
      <c r="AU344" s="5" t="s">
        <v>200</v>
      </c>
      <c r="AV344" s="5" t="s">
        <v>66</v>
      </c>
      <c r="AW344" s="5" t="s">
        <v>1966</v>
      </c>
      <c r="AX344" s="5" t="s">
        <v>1953</v>
      </c>
      <c r="AY344" s="5" t="s">
        <v>2039</v>
      </c>
      <c r="AZ344" s="5" t="s">
        <v>80</v>
      </c>
      <c r="BA344" s="19">
        <v>1</v>
      </c>
      <c r="BB344" s="17" t="s">
        <v>110</v>
      </c>
      <c r="BC344" s="5" t="s">
        <v>1969</v>
      </c>
      <c r="BD344" s="5" t="s">
        <v>2062</v>
      </c>
    </row>
    <row r="345" spans="1:56" ht="84" hidden="1" x14ac:dyDescent="0.25">
      <c r="A345" s="78" t="s">
        <v>1749</v>
      </c>
      <c r="B345" s="5" t="s">
        <v>1750</v>
      </c>
      <c r="C345" s="5" t="s">
        <v>3293</v>
      </c>
      <c r="D345" s="5" t="s">
        <v>252</v>
      </c>
      <c r="E345" s="99" t="str">
        <f>VLOOKUP(D345,'Dropdown List'!$F$26:$G$40,2,0)</f>
        <v>India</v>
      </c>
      <c r="F345" s="8" t="s">
        <v>1954</v>
      </c>
      <c r="G345" s="96" t="s">
        <v>1955</v>
      </c>
      <c r="H345" s="5" t="s">
        <v>57</v>
      </c>
      <c r="I345" s="8" t="s">
        <v>71</v>
      </c>
      <c r="J345" s="8" t="s">
        <v>112</v>
      </c>
      <c r="K345" s="8" t="s">
        <v>113</v>
      </c>
      <c r="L345" s="8" t="s">
        <v>2063</v>
      </c>
      <c r="M345" s="8" t="s">
        <v>2064</v>
      </c>
      <c r="N345" s="5" t="s">
        <v>1034</v>
      </c>
      <c r="O345" s="5" t="s">
        <v>1069</v>
      </c>
      <c r="P345" s="5" t="s">
        <v>1069</v>
      </c>
      <c r="Q345" s="9" t="s">
        <v>615</v>
      </c>
      <c r="R345" s="5" t="s">
        <v>76</v>
      </c>
      <c r="S345" s="5" t="s">
        <v>64</v>
      </c>
      <c r="T345" s="96">
        <v>1</v>
      </c>
      <c r="U345" s="96">
        <v>8</v>
      </c>
      <c r="V345" s="96">
        <v>9</v>
      </c>
      <c r="W345" s="5" t="s">
        <v>91</v>
      </c>
      <c r="X345" s="10" t="s">
        <v>79</v>
      </c>
      <c r="Y345" s="11">
        <v>24300</v>
      </c>
      <c r="Z345" s="12">
        <v>6</v>
      </c>
      <c r="AA345" s="12">
        <v>0</v>
      </c>
      <c r="AB345" s="12">
        <v>1</v>
      </c>
      <c r="AC345" s="13">
        <v>2</v>
      </c>
      <c r="AD345" s="14">
        <f t="shared" si="12"/>
        <v>9</v>
      </c>
      <c r="AE345" s="15">
        <f t="shared" si="13"/>
        <v>0.22222222222222221</v>
      </c>
      <c r="AF345" s="16">
        <v>1574</v>
      </c>
      <c r="AG345" s="16" t="s">
        <v>2065</v>
      </c>
      <c r="AH345" s="17" t="s">
        <v>2066</v>
      </c>
      <c r="AI345" s="18" t="s">
        <v>2067</v>
      </c>
      <c r="AJ345" s="19">
        <v>0.95</v>
      </c>
      <c r="AK345" s="20">
        <v>0.95</v>
      </c>
      <c r="AL345" s="17" t="s">
        <v>261</v>
      </c>
      <c r="AM345" s="5" t="s">
        <v>1961</v>
      </c>
      <c r="AN345" s="5" t="s">
        <v>66</v>
      </c>
      <c r="AO345" s="5" t="s">
        <v>2068</v>
      </c>
      <c r="AP345" s="5" t="s">
        <v>2069</v>
      </c>
      <c r="AQ345" s="5" t="s">
        <v>200</v>
      </c>
      <c r="AR345" s="5" t="s">
        <v>66</v>
      </c>
      <c r="AS345" s="5" t="s">
        <v>66</v>
      </c>
      <c r="AT345" s="5" t="s">
        <v>200</v>
      </c>
      <c r="AU345" s="5" t="s">
        <v>200</v>
      </c>
      <c r="AV345" s="5" t="s">
        <v>66</v>
      </c>
      <c r="AW345" s="5" t="s">
        <v>1966</v>
      </c>
      <c r="AX345" s="5" t="s">
        <v>1953</v>
      </c>
      <c r="AY345" s="5" t="s">
        <v>1993</v>
      </c>
      <c r="AZ345" s="5" t="s">
        <v>80</v>
      </c>
      <c r="BA345" s="19">
        <v>1</v>
      </c>
      <c r="BB345" s="17" t="s">
        <v>1994</v>
      </c>
      <c r="BC345" s="5" t="s">
        <v>1969</v>
      </c>
      <c r="BD345" s="5" t="s">
        <v>2070</v>
      </c>
    </row>
    <row r="346" spans="1:56" ht="48" hidden="1" x14ac:dyDescent="0.25">
      <c r="A346" s="78" t="s">
        <v>1749</v>
      </c>
      <c r="B346" s="5" t="s">
        <v>1750</v>
      </c>
      <c r="C346" s="5" t="s">
        <v>3293</v>
      </c>
      <c r="D346" s="5" t="s">
        <v>252</v>
      </c>
      <c r="E346" s="99" t="str">
        <f>VLOOKUP(D346,'Dropdown List'!$F$26:$G$40,2,0)</f>
        <v>India</v>
      </c>
      <c r="F346" s="8" t="s">
        <v>1954</v>
      </c>
      <c r="G346" s="96" t="s">
        <v>1955</v>
      </c>
      <c r="H346" s="5" t="s">
        <v>57</v>
      </c>
      <c r="I346" s="8" t="s">
        <v>71</v>
      </c>
      <c r="J346" s="8" t="s">
        <v>2702</v>
      </c>
      <c r="K346" s="8" t="s">
        <v>115</v>
      </c>
      <c r="L346" s="8" t="s">
        <v>2071</v>
      </c>
      <c r="M346" s="8" t="s">
        <v>2072</v>
      </c>
      <c r="N346" s="5" t="s">
        <v>1034</v>
      </c>
      <c r="O346" s="5" t="s">
        <v>1069</v>
      </c>
      <c r="P346" s="5" t="s">
        <v>1069</v>
      </c>
      <c r="Q346" s="9" t="s">
        <v>418</v>
      </c>
      <c r="R346" s="5" t="s">
        <v>76</v>
      </c>
      <c r="S346" s="5" t="s">
        <v>64</v>
      </c>
      <c r="T346" s="96">
        <v>1</v>
      </c>
      <c r="U346" s="96">
        <v>3</v>
      </c>
      <c r="V346" s="96">
        <v>2</v>
      </c>
      <c r="W346" s="5" t="s">
        <v>91</v>
      </c>
      <c r="X346" s="10" t="s">
        <v>79</v>
      </c>
      <c r="Y346" s="11">
        <v>22264</v>
      </c>
      <c r="Z346" s="12">
        <v>3</v>
      </c>
      <c r="AA346" s="12">
        <v>0</v>
      </c>
      <c r="AB346" s="12">
        <v>0</v>
      </c>
      <c r="AC346" s="13">
        <v>1</v>
      </c>
      <c r="AD346" s="14">
        <f t="shared" si="12"/>
        <v>4</v>
      </c>
      <c r="AE346" s="15">
        <f t="shared" si="13"/>
        <v>0.25</v>
      </c>
      <c r="AF346" s="16">
        <v>18</v>
      </c>
      <c r="AG346" s="16" t="s">
        <v>2073</v>
      </c>
      <c r="AH346" s="17" t="s">
        <v>2074</v>
      </c>
      <c r="AI346" s="18" t="s">
        <v>2075</v>
      </c>
      <c r="AJ346" s="19">
        <v>0.95</v>
      </c>
      <c r="AK346" s="20">
        <v>0.95</v>
      </c>
      <c r="AL346" s="17" t="s">
        <v>261</v>
      </c>
      <c r="AM346" s="5" t="s">
        <v>1961</v>
      </c>
      <c r="AN346" s="5" t="s">
        <v>66</v>
      </c>
      <c r="AO346" s="5" t="s">
        <v>66</v>
      </c>
      <c r="AP346" s="5" t="s">
        <v>66</v>
      </c>
      <c r="AQ346" s="5" t="s">
        <v>200</v>
      </c>
      <c r="AR346" s="5" t="s">
        <v>66</v>
      </c>
      <c r="AS346" s="5" t="s">
        <v>66</v>
      </c>
      <c r="AT346" s="5" t="s">
        <v>200</v>
      </c>
      <c r="AU346" s="5" t="s">
        <v>200</v>
      </c>
      <c r="AV346" s="5" t="s">
        <v>66</v>
      </c>
      <c r="AW346" s="5" t="s">
        <v>1966</v>
      </c>
      <c r="AX346" s="5" t="s">
        <v>1953</v>
      </c>
      <c r="AY346" s="5" t="s">
        <v>2076</v>
      </c>
      <c r="AZ346" s="5" t="s">
        <v>145</v>
      </c>
      <c r="BA346" s="19">
        <v>1</v>
      </c>
      <c r="BB346" s="17" t="s">
        <v>110</v>
      </c>
      <c r="BC346" s="5" t="s">
        <v>2077</v>
      </c>
      <c r="BD346" s="5" t="s">
        <v>2078</v>
      </c>
    </row>
    <row r="347" spans="1:56" ht="60" hidden="1" x14ac:dyDescent="0.25">
      <c r="A347" s="78" t="s">
        <v>1749</v>
      </c>
      <c r="B347" s="5" t="s">
        <v>1750</v>
      </c>
      <c r="C347" s="5" t="s">
        <v>3293</v>
      </c>
      <c r="D347" s="5" t="s">
        <v>252</v>
      </c>
      <c r="E347" s="99" t="str">
        <f>VLOOKUP(D347,'Dropdown List'!$F$26:$G$40,2,0)</f>
        <v>India</v>
      </c>
      <c r="F347" s="8" t="s">
        <v>1954</v>
      </c>
      <c r="G347" s="96" t="s">
        <v>2079</v>
      </c>
      <c r="H347" s="5" t="s">
        <v>57</v>
      </c>
      <c r="I347" s="8" t="s">
        <v>71</v>
      </c>
      <c r="J347" s="8" t="s">
        <v>2702</v>
      </c>
      <c r="K347" s="8" t="s">
        <v>376</v>
      </c>
      <c r="L347" s="8" t="s">
        <v>2080</v>
      </c>
      <c r="M347" s="8" t="s">
        <v>2081</v>
      </c>
      <c r="N347" s="5" t="s">
        <v>1034</v>
      </c>
      <c r="O347" s="5" t="s">
        <v>2082</v>
      </c>
      <c r="P347" s="5" t="s">
        <v>2083</v>
      </c>
      <c r="Q347" s="9" t="s">
        <v>418</v>
      </c>
      <c r="R347" s="5" t="s">
        <v>76</v>
      </c>
      <c r="S347" s="5" t="s">
        <v>64</v>
      </c>
      <c r="T347" s="96">
        <v>1</v>
      </c>
      <c r="U347" s="96">
        <v>6</v>
      </c>
      <c r="V347" s="96">
        <v>6</v>
      </c>
      <c r="W347" s="5" t="s">
        <v>91</v>
      </c>
      <c r="X347" s="10" t="s">
        <v>79</v>
      </c>
      <c r="Y347" s="11">
        <v>22264</v>
      </c>
      <c r="Z347" s="12">
        <v>4</v>
      </c>
      <c r="AA347" s="12">
        <v>0</v>
      </c>
      <c r="AB347" s="12">
        <v>0.5</v>
      </c>
      <c r="AC347" s="13">
        <v>2</v>
      </c>
      <c r="AD347" s="14">
        <f t="shared" si="12"/>
        <v>6.5</v>
      </c>
      <c r="AE347" s="15">
        <f t="shared" si="13"/>
        <v>0.30769230769230771</v>
      </c>
      <c r="AF347" s="16">
        <v>123</v>
      </c>
      <c r="AG347" s="16">
        <v>123</v>
      </c>
      <c r="AH347" s="17" t="s">
        <v>1973</v>
      </c>
      <c r="AI347" s="18">
        <v>75</v>
      </c>
      <c r="AJ347" s="19">
        <v>0.95</v>
      </c>
      <c r="AK347" s="20">
        <v>0.95</v>
      </c>
      <c r="AL347" s="17" t="s">
        <v>261</v>
      </c>
      <c r="AM347" s="5" t="s">
        <v>1961</v>
      </c>
      <c r="AN347" s="5" t="s">
        <v>66</v>
      </c>
      <c r="AO347" s="5" t="s">
        <v>2084</v>
      </c>
      <c r="AP347" s="5" t="s">
        <v>2038</v>
      </c>
      <c r="AQ347" s="5" t="s">
        <v>200</v>
      </c>
      <c r="AR347" s="5" t="s">
        <v>66</v>
      </c>
      <c r="AS347" s="5" t="s">
        <v>66</v>
      </c>
      <c r="AT347" s="5" t="s">
        <v>200</v>
      </c>
      <c r="AU347" s="5" t="s">
        <v>200</v>
      </c>
      <c r="AV347" s="5" t="s">
        <v>66</v>
      </c>
      <c r="AW347" s="5" t="s">
        <v>1966</v>
      </c>
      <c r="AX347" s="5" t="s">
        <v>1953</v>
      </c>
      <c r="AY347" s="5" t="s">
        <v>2039</v>
      </c>
      <c r="AZ347" s="5" t="s">
        <v>80</v>
      </c>
      <c r="BA347" s="19">
        <v>1</v>
      </c>
      <c r="BB347" s="17" t="s">
        <v>110</v>
      </c>
      <c r="BC347" s="5" t="s">
        <v>2085</v>
      </c>
      <c r="BD347" s="5" t="s">
        <v>2086</v>
      </c>
    </row>
    <row r="348" spans="1:56" ht="48" hidden="1" x14ac:dyDescent="0.25">
      <c r="A348" s="78" t="s">
        <v>1749</v>
      </c>
      <c r="B348" s="5" t="s">
        <v>1750</v>
      </c>
      <c r="C348" s="5" t="s">
        <v>3293</v>
      </c>
      <c r="D348" s="5" t="s">
        <v>252</v>
      </c>
      <c r="E348" s="99" t="str">
        <f>VLOOKUP(D348,'Dropdown List'!$F$26:$G$40,2,0)</f>
        <v>India</v>
      </c>
      <c r="F348" s="8" t="s">
        <v>1954</v>
      </c>
      <c r="G348" s="96" t="s">
        <v>2079</v>
      </c>
      <c r="H348" s="5" t="s">
        <v>57</v>
      </c>
      <c r="I348" s="8" t="s">
        <v>71</v>
      </c>
      <c r="J348" s="8" t="s">
        <v>102</v>
      </c>
      <c r="K348" s="8" t="s">
        <v>516</v>
      </c>
      <c r="L348" s="8" t="s">
        <v>1971</v>
      </c>
      <c r="M348" s="8" t="s">
        <v>1972</v>
      </c>
      <c r="N348" s="5" t="s">
        <v>1034</v>
      </c>
      <c r="O348" s="5" t="s">
        <v>1951</v>
      </c>
      <c r="P348" s="5" t="s">
        <v>1951</v>
      </c>
      <c r="Q348" s="9" t="s">
        <v>62</v>
      </c>
      <c r="R348" s="5" t="s">
        <v>76</v>
      </c>
      <c r="S348" s="5" t="s">
        <v>64</v>
      </c>
      <c r="T348" s="96">
        <v>1</v>
      </c>
      <c r="U348" s="96">
        <v>6</v>
      </c>
      <c r="V348" s="96">
        <v>16</v>
      </c>
      <c r="W348" s="5" t="s">
        <v>91</v>
      </c>
      <c r="X348" s="10" t="s">
        <v>79</v>
      </c>
      <c r="Y348" s="11">
        <v>22264</v>
      </c>
      <c r="Z348" s="12">
        <v>3</v>
      </c>
      <c r="AA348" s="12">
        <v>0</v>
      </c>
      <c r="AB348" s="12">
        <v>0.5</v>
      </c>
      <c r="AC348" s="13">
        <v>2</v>
      </c>
      <c r="AD348" s="14">
        <f t="shared" si="12"/>
        <v>5.5</v>
      </c>
      <c r="AE348" s="15">
        <f t="shared" si="13"/>
        <v>0.36363636363636365</v>
      </c>
      <c r="AF348" s="16">
        <v>78</v>
      </c>
      <c r="AG348" s="16">
        <v>78</v>
      </c>
      <c r="AH348" s="17" t="s">
        <v>1973</v>
      </c>
      <c r="AI348" s="18" t="s">
        <v>2087</v>
      </c>
      <c r="AJ348" s="19">
        <v>0.95</v>
      </c>
      <c r="AK348" s="20">
        <v>0.95</v>
      </c>
      <c r="AL348" s="17" t="s">
        <v>261</v>
      </c>
      <c r="AM348" s="5" t="s">
        <v>1961</v>
      </c>
      <c r="AN348" s="5" t="s">
        <v>66</v>
      </c>
      <c r="AO348" s="5" t="s">
        <v>1975</v>
      </c>
      <c r="AP348" s="5" t="s">
        <v>1963</v>
      </c>
      <c r="AQ348" s="5" t="s">
        <v>1683</v>
      </c>
      <c r="AR348" s="5" t="s">
        <v>1976</v>
      </c>
      <c r="AS348" s="5" t="s">
        <v>791</v>
      </c>
      <c r="AT348" s="5" t="s">
        <v>1977</v>
      </c>
      <c r="AU348" s="5" t="s">
        <v>791</v>
      </c>
      <c r="AV348" s="5" t="s">
        <v>791</v>
      </c>
      <c r="AW348" s="5" t="s">
        <v>1966</v>
      </c>
      <c r="AX348" s="5" t="s">
        <v>1953</v>
      </c>
      <c r="AY348" s="5" t="s">
        <v>1978</v>
      </c>
      <c r="AZ348" s="5" t="s">
        <v>80</v>
      </c>
      <c r="BA348" s="19"/>
      <c r="BB348" s="17" t="s">
        <v>353</v>
      </c>
      <c r="BC348" s="5" t="s">
        <v>1969</v>
      </c>
      <c r="BD348" s="5" t="s">
        <v>1970</v>
      </c>
    </row>
    <row r="349" spans="1:56" ht="48" hidden="1" x14ac:dyDescent="0.25">
      <c r="A349" s="78" t="s">
        <v>1749</v>
      </c>
      <c r="B349" s="5" t="s">
        <v>1750</v>
      </c>
      <c r="C349" s="5" t="s">
        <v>3293</v>
      </c>
      <c r="D349" s="5" t="s">
        <v>252</v>
      </c>
      <c r="E349" s="99" t="str">
        <f>VLOOKUP(D349,'Dropdown List'!$F$26:$G$40,2,0)</f>
        <v>India</v>
      </c>
      <c r="F349" s="8" t="s">
        <v>1954</v>
      </c>
      <c r="G349" s="96" t="s">
        <v>2079</v>
      </c>
      <c r="H349" s="5" t="s">
        <v>57</v>
      </c>
      <c r="I349" s="8" t="s">
        <v>71</v>
      </c>
      <c r="J349" s="8" t="s">
        <v>2702</v>
      </c>
      <c r="K349" s="8" t="s">
        <v>855</v>
      </c>
      <c r="L349" s="8" t="s">
        <v>1957</v>
      </c>
      <c r="M349" s="8" t="s">
        <v>2088</v>
      </c>
      <c r="N349" s="5" t="s">
        <v>1034</v>
      </c>
      <c r="O349" s="5" t="s">
        <v>1951</v>
      </c>
      <c r="P349" s="5" t="s">
        <v>1951</v>
      </c>
      <c r="Q349" s="9" t="s">
        <v>62</v>
      </c>
      <c r="R349" s="5" t="s">
        <v>76</v>
      </c>
      <c r="S349" s="5" t="s">
        <v>64</v>
      </c>
      <c r="T349" s="96">
        <v>1</v>
      </c>
      <c r="U349" s="96">
        <v>6</v>
      </c>
      <c r="V349" s="96">
        <v>7</v>
      </c>
      <c r="W349" s="5" t="s">
        <v>91</v>
      </c>
      <c r="X349" s="10" t="s">
        <v>79</v>
      </c>
      <c r="Y349" s="11">
        <v>22264</v>
      </c>
      <c r="Z349" s="12">
        <v>4</v>
      </c>
      <c r="AA349" s="12">
        <v>0</v>
      </c>
      <c r="AB349" s="12">
        <v>0.5</v>
      </c>
      <c r="AC349" s="13">
        <v>2</v>
      </c>
      <c r="AD349" s="14">
        <f t="shared" si="12"/>
        <v>6.5</v>
      </c>
      <c r="AE349" s="15">
        <f t="shared" si="13"/>
        <v>0.30769230769230771</v>
      </c>
      <c r="AF349" s="16">
        <v>292</v>
      </c>
      <c r="AG349" s="16">
        <v>292</v>
      </c>
      <c r="AH349" s="17" t="s">
        <v>1973</v>
      </c>
      <c r="AI349" s="18" t="s">
        <v>2089</v>
      </c>
      <c r="AJ349" s="19">
        <v>0.95</v>
      </c>
      <c r="AK349" s="20">
        <v>0.95</v>
      </c>
      <c r="AL349" s="17" t="s">
        <v>261</v>
      </c>
      <c r="AM349" s="5" t="s">
        <v>1961</v>
      </c>
      <c r="AN349" s="5" t="s">
        <v>66</v>
      </c>
      <c r="AO349" s="5" t="s">
        <v>2090</v>
      </c>
      <c r="AP349" s="5" t="s">
        <v>66</v>
      </c>
      <c r="AQ349" s="5" t="s">
        <v>200</v>
      </c>
      <c r="AR349" s="5" t="s">
        <v>66</v>
      </c>
      <c r="AS349" s="5" t="s">
        <v>66</v>
      </c>
      <c r="AT349" s="5" t="s">
        <v>200</v>
      </c>
      <c r="AU349" s="5" t="s">
        <v>200</v>
      </c>
      <c r="AV349" s="5" t="s">
        <v>66</v>
      </c>
      <c r="AW349" s="5" t="s">
        <v>1966</v>
      </c>
      <c r="AX349" s="5" t="s">
        <v>1953</v>
      </c>
      <c r="AY349" s="5" t="s">
        <v>2091</v>
      </c>
      <c r="AZ349" s="5" t="s">
        <v>80</v>
      </c>
      <c r="BA349" s="19">
        <v>1</v>
      </c>
      <c r="BB349" s="17" t="s">
        <v>353</v>
      </c>
      <c r="BC349" s="5" t="s">
        <v>1969</v>
      </c>
      <c r="BD349" s="5" t="s">
        <v>2092</v>
      </c>
    </row>
    <row r="350" spans="1:56" ht="48" hidden="1" x14ac:dyDescent="0.25">
      <c r="A350" s="78" t="s">
        <v>1749</v>
      </c>
      <c r="B350" s="5" t="s">
        <v>1750</v>
      </c>
      <c r="C350" s="5" t="s">
        <v>3293</v>
      </c>
      <c r="D350" s="5" t="s">
        <v>252</v>
      </c>
      <c r="E350" s="99" t="str">
        <f>VLOOKUP(D350,'Dropdown List'!$F$26:$G$40,2,0)</f>
        <v>India</v>
      </c>
      <c r="F350" s="8" t="s">
        <v>1954</v>
      </c>
      <c r="G350" s="96" t="s">
        <v>2079</v>
      </c>
      <c r="H350" s="5" t="s">
        <v>57</v>
      </c>
      <c r="I350" s="8" t="s">
        <v>71</v>
      </c>
      <c r="J350" s="8" t="s">
        <v>112</v>
      </c>
      <c r="K350" s="8" t="s">
        <v>113</v>
      </c>
      <c r="L350" s="8" t="s">
        <v>2063</v>
      </c>
      <c r="M350" s="8" t="s">
        <v>2064</v>
      </c>
      <c r="N350" s="5" t="s">
        <v>1034</v>
      </c>
      <c r="O350" s="5" t="s">
        <v>1051</v>
      </c>
      <c r="P350" s="5" t="s">
        <v>2042</v>
      </c>
      <c r="Q350" s="9" t="s">
        <v>615</v>
      </c>
      <c r="R350" s="5" t="s">
        <v>76</v>
      </c>
      <c r="S350" s="5" t="s">
        <v>64</v>
      </c>
      <c r="T350" s="96">
        <v>1</v>
      </c>
      <c r="U350" s="96">
        <v>10</v>
      </c>
      <c r="V350" s="96">
        <v>11</v>
      </c>
      <c r="W350" s="5" t="s">
        <v>91</v>
      </c>
      <c r="X350" s="10" t="s">
        <v>79</v>
      </c>
      <c r="Y350" s="11">
        <v>24300</v>
      </c>
      <c r="Z350" s="12">
        <v>7</v>
      </c>
      <c r="AA350" s="12">
        <v>0</v>
      </c>
      <c r="AB350" s="12">
        <v>0.5</v>
      </c>
      <c r="AC350" s="13">
        <v>4</v>
      </c>
      <c r="AD350" s="14">
        <f t="shared" si="12"/>
        <v>11.5</v>
      </c>
      <c r="AE350" s="15">
        <f t="shared" si="13"/>
        <v>0.34782608695652173</v>
      </c>
      <c r="AF350" s="16">
        <v>928</v>
      </c>
      <c r="AG350" s="16" t="s">
        <v>2093</v>
      </c>
      <c r="AH350" s="17" t="s">
        <v>2094</v>
      </c>
      <c r="AI350" s="18" t="s">
        <v>2095</v>
      </c>
      <c r="AJ350" s="19">
        <v>0.95</v>
      </c>
      <c r="AK350" s="20">
        <v>0.95</v>
      </c>
      <c r="AL350" s="17" t="s">
        <v>261</v>
      </c>
      <c r="AM350" s="5" t="s">
        <v>1961</v>
      </c>
      <c r="AN350" s="5" t="s">
        <v>66</v>
      </c>
      <c r="AO350" s="5" t="s">
        <v>2096</v>
      </c>
      <c r="AP350" s="5" t="s">
        <v>66</v>
      </c>
      <c r="AQ350" s="5" t="s">
        <v>200</v>
      </c>
      <c r="AR350" s="5" t="s">
        <v>66</v>
      </c>
      <c r="AS350" s="5" t="s">
        <v>66</v>
      </c>
      <c r="AT350" s="5" t="s">
        <v>200</v>
      </c>
      <c r="AU350" s="5" t="s">
        <v>200</v>
      </c>
      <c r="AV350" s="5" t="s">
        <v>66</v>
      </c>
      <c r="AW350" s="5" t="s">
        <v>1966</v>
      </c>
      <c r="AX350" s="5" t="s">
        <v>1953</v>
      </c>
      <c r="AY350" s="5" t="s">
        <v>2091</v>
      </c>
      <c r="AZ350" s="5" t="s">
        <v>80</v>
      </c>
      <c r="BA350" s="19">
        <v>1</v>
      </c>
      <c r="BB350" s="17" t="s">
        <v>353</v>
      </c>
      <c r="BC350" s="5" t="s">
        <v>1969</v>
      </c>
      <c r="BD350" s="5" t="s">
        <v>2097</v>
      </c>
    </row>
    <row r="351" spans="1:56" ht="48" hidden="1" x14ac:dyDescent="0.25">
      <c r="A351" s="78" t="s">
        <v>1749</v>
      </c>
      <c r="B351" s="5" t="s">
        <v>1750</v>
      </c>
      <c r="C351" s="5" t="s">
        <v>3293</v>
      </c>
      <c r="D351" s="5" t="s">
        <v>252</v>
      </c>
      <c r="E351" s="99" t="str">
        <f>VLOOKUP(D351,'Dropdown List'!$F$26:$G$40,2,0)</f>
        <v>India</v>
      </c>
      <c r="F351" s="8" t="s">
        <v>1954</v>
      </c>
      <c r="G351" s="96" t="s">
        <v>2079</v>
      </c>
      <c r="H351" s="5" t="s">
        <v>57</v>
      </c>
      <c r="I351" s="8" t="s">
        <v>71</v>
      </c>
      <c r="J351" s="8" t="s">
        <v>435</v>
      </c>
      <c r="K351" s="8" t="s">
        <v>787</v>
      </c>
      <c r="L351" s="8" t="s">
        <v>2026</v>
      </c>
      <c r="M351" s="8" t="s">
        <v>2027</v>
      </c>
      <c r="N351" s="5" t="s">
        <v>1034</v>
      </c>
      <c r="O351" s="5" t="s">
        <v>1051</v>
      </c>
      <c r="P351" s="5" t="s">
        <v>1051</v>
      </c>
      <c r="Q351" s="9" t="s">
        <v>615</v>
      </c>
      <c r="R351" s="5" t="s">
        <v>76</v>
      </c>
      <c r="S351" s="5" t="s">
        <v>64</v>
      </c>
      <c r="T351" s="96">
        <v>1</v>
      </c>
      <c r="U351" s="96">
        <v>5</v>
      </c>
      <c r="V351" s="96">
        <v>4</v>
      </c>
      <c r="W351" s="5" t="s">
        <v>91</v>
      </c>
      <c r="X351" s="10" t="s">
        <v>79</v>
      </c>
      <c r="Y351" s="11">
        <v>22264</v>
      </c>
      <c r="Z351" s="12">
        <v>3</v>
      </c>
      <c r="AA351" s="12">
        <v>0</v>
      </c>
      <c r="AB351" s="12">
        <v>0.5</v>
      </c>
      <c r="AC351" s="13">
        <v>2</v>
      </c>
      <c r="AD351" s="14">
        <f t="shared" si="12"/>
        <v>5.5</v>
      </c>
      <c r="AE351" s="15">
        <f t="shared" si="13"/>
        <v>0.36363636363636365</v>
      </c>
      <c r="AF351" s="16">
        <v>81</v>
      </c>
      <c r="AG351" s="16" t="s">
        <v>2028</v>
      </c>
      <c r="AH351" s="17" t="s">
        <v>2029</v>
      </c>
      <c r="AI351" s="18">
        <v>60</v>
      </c>
      <c r="AJ351" s="19">
        <v>0.95</v>
      </c>
      <c r="AK351" s="20">
        <v>0.95</v>
      </c>
      <c r="AL351" s="17" t="s">
        <v>261</v>
      </c>
      <c r="AM351" s="5" t="s">
        <v>1961</v>
      </c>
      <c r="AN351" s="5" t="s">
        <v>66</v>
      </c>
      <c r="AO351" s="5" t="s">
        <v>2030</v>
      </c>
      <c r="AP351" s="5" t="s">
        <v>2031</v>
      </c>
      <c r="AQ351" s="5" t="s">
        <v>200</v>
      </c>
      <c r="AR351" s="5" t="s">
        <v>66</v>
      </c>
      <c r="AS351" s="5" t="s">
        <v>66</v>
      </c>
      <c r="AT351" s="5" t="s">
        <v>200</v>
      </c>
      <c r="AU351" s="5" t="s">
        <v>200</v>
      </c>
      <c r="AV351" s="5" t="s">
        <v>66</v>
      </c>
      <c r="AW351" s="5" t="s">
        <v>1966</v>
      </c>
      <c r="AX351" s="5" t="s">
        <v>1953</v>
      </c>
      <c r="AY351" s="5" t="s">
        <v>2032</v>
      </c>
      <c r="AZ351" s="5" t="s">
        <v>145</v>
      </c>
      <c r="BA351" s="19" t="s">
        <v>2033</v>
      </c>
      <c r="BB351" s="17" t="s">
        <v>353</v>
      </c>
      <c r="BC351" s="5" t="s">
        <v>1969</v>
      </c>
      <c r="BD351" s="5" t="s">
        <v>2034</v>
      </c>
    </row>
    <row r="352" spans="1:56" ht="48" hidden="1" x14ac:dyDescent="0.25">
      <c r="A352" s="78" t="s">
        <v>1749</v>
      </c>
      <c r="B352" s="5" t="s">
        <v>1750</v>
      </c>
      <c r="C352" s="5" t="s">
        <v>3293</v>
      </c>
      <c r="D352" s="5" t="s">
        <v>252</v>
      </c>
      <c r="E352" s="99" t="str">
        <f>VLOOKUP(D352,'Dropdown List'!$F$26:$G$40,2,0)</f>
        <v>India</v>
      </c>
      <c r="F352" s="8" t="s">
        <v>1954</v>
      </c>
      <c r="G352" s="96" t="s">
        <v>2079</v>
      </c>
      <c r="H352" s="5" t="s">
        <v>57</v>
      </c>
      <c r="I352" s="8" t="s">
        <v>71</v>
      </c>
      <c r="J352" s="8" t="s">
        <v>112</v>
      </c>
      <c r="K352" s="8" t="s">
        <v>113</v>
      </c>
      <c r="L352" s="8" t="s">
        <v>2063</v>
      </c>
      <c r="M352" s="8" t="s">
        <v>2064</v>
      </c>
      <c r="N352" s="5" t="s">
        <v>1034</v>
      </c>
      <c r="O352" s="5" t="s">
        <v>74</v>
      </c>
      <c r="P352" s="5" t="s">
        <v>74</v>
      </c>
      <c r="Q352" s="9" t="s">
        <v>62</v>
      </c>
      <c r="R352" s="5" t="s">
        <v>76</v>
      </c>
      <c r="S352" s="5" t="s">
        <v>64</v>
      </c>
      <c r="T352" s="96">
        <v>1</v>
      </c>
      <c r="U352" s="96">
        <v>4</v>
      </c>
      <c r="V352" s="96">
        <v>12</v>
      </c>
      <c r="W352" s="5" t="s">
        <v>91</v>
      </c>
      <c r="X352" s="10" t="s">
        <v>79</v>
      </c>
      <c r="Y352" s="11">
        <v>24300</v>
      </c>
      <c r="Z352" s="12">
        <v>7</v>
      </c>
      <c r="AA352" s="12">
        <v>0</v>
      </c>
      <c r="AB352" s="12">
        <v>0</v>
      </c>
      <c r="AC352" s="13">
        <v>3</v>
      </c>
      <c r="AD352" s="14">
        <f t="shared" si="12"/>
        <v>10</v>
      </c>
      <c r="AE352" s="15">
        <f t="shared" si="13"/>
        <v>0.3</v>
      </c>
      <c r="AF352" s="16">
        <v>46</v>
      </c>
      <c r="AG352" s="16">
        <v>48</v>
      </c>
      <c r="AH352" s="17" t="s">
        <v>66</v>
      </c>
      <c r="AI352" s="18" t="s">
        <v>2098</v>
      </c>
      <c r="AJ352" s="19">
        <v>0.95</v>
      </c>
      <c r="AK352" s="20">
        <v>0.95</v>
      </c>
      <c r="AL352" s="17" t="s">
        <v>261</v>
      </c>
      <c r="AM352" s="5" t="s">
        <v>1961</v>
      </c>
      <c r="AN352" s="5" t="s">
        <v>66</v>
      </c>
      <c r="AO352" s="5" t="s">
        <v>2099</v>
      </c>
      <c r="AP352" s="5" t="s">
        <v>66</v>
      </c>
      <c r="AQ352" s="5" t="s">
        <v>200</v>
      </c>
      <c r="AR352" s="5" t="s">
        <v>66</v>
      </c>
      <c r="AS352" s="5" t="s">
        <v>66</v>
      </c>
      <c r="AT352" s="5" t="s">
        <v>200</v>
      </c>
      <c r="AU352" s="5" t="s">
        <v>200</v>
      </c>
      <c r="AV352" s="5" t="s">
        <v>66</v>
      </c>
      <c r="AW352" s="5" t="s">
        <v>1966</v>
      </c>
      <c r="AX352" s="5" t="s">
        <v>1953</v>
      </c>
      <c r="AY352" s="5" t="s">
        <v>2100</v>
      </c>
      <c r="AZ352" s="5" t="s">
        <v>80</v>
      </c>
      <c r="BA352" s="19">
        <v>1</v>
      </c>
      <c r="BB352" s="17" t="s">
        <v>2101</v>
      </c>
      <c r="BC352" s="5" t="s">
        <v>1969</v>
      </c>
      <c r="BD352" s="5" t="s">
        <v>2102</v>
      </c>
    </row>
    <row r="353" spans="1:56" ht="48" hidden="1" x14ac:dyDescent="0.25">
      <c r="A353" s="78" t="s">
        <v>1749</v>
      </c>
      <c r="B353" s="5" t="s">
        <v>1750</v>
      </c>
      <c r="C353" s="5" t="s">
        <v>3293</v>
      </c>
      <c r="D353" s="5" t="s">
        <v>252</v>
      </c>
      <c r="E353" s="99" t="str">
        <f>VLOOKUP(D353,'Dropdown List'!$F$26:$G$40,2,0)</f>
        <v>India</v>
      </c>
      <c r="F353" s="8" t="s">
        <v>1954</v>
      </c>
      <c r="G353" s="96" t="s">
        <v>2079</v>
      </c>
      <c r="H353" s="5" t="s">
        <v>57</v>
      </c>
      <c r="I353" s="8" t="s">
        <v>71</v>
      </c>
      <c r="J353" s="8" t="s">
        <v>112</v>
      </c>
      <c r="K353" s="8" t="s">
        <v>113</v>
      </c>
      <c r="L353" s="8" t="s">
        <v>2063</v>
      </c>
      <c r="M353" s="8" t="s">
        <v>2064</v>
      </c>
      <c r="N353" s="5" t="s">
        <v>1034</v>
      </c>
      <c r="O353" s="5" t="s">
        <v>74</v>
      </c>
      <c r="P353" s="5" t="s">
        <v>74</v>
      </c>
      <c r="Q353" s="9" t="s">
        <v>615</v>
      </c>
      <c r="R353" s="5" t="s">
        <v>76</v>
      </c>
      <c r="S353" s="5" t="s">
        <v>64</v>
      </c>
      <c r="T353" s="96">
        <v>1</v>
      </c>
      <c r="U353" s="96">
        <v>4</v>
      </c>
      <c r="V353" s="96">
        <v>12</v>
      </c>
      <c r="W353" s="5" t="s">
        <v>91</v>
      </c>
      <c r="X353" s="10" t="s">
        <v>79</v>
      </c>
      <c r="Y353" s="11">
        <v>24300</v>
      </c>
      <c r="Z353" s="12">
        <v>2</v>
      </c>
      <c r="AA353" s="12">
        <v>0</v>
      </c>
      <c r="AB353" s="12">
        <v>0</v>
      </c>
      <c r="AC353" s="13">
        <v>2</v>
      </c>
      <c r="AD353" s="14">
        <f t="shared" si="12"/>
        <v>4</v>
      </c>
      <c r="AE353" s="15">
        <f t="shared" si="13"/>
        <v>0.5</v>
      </c>
      <c r="AF353" s="16">
        <v>38</v>
      </c>
      <c r="AG353" s="16">
        <v>240</v>
      </c>
      <c r="AH353" s="17" t="s">
        <v>66</v>
      </c>
      <c r="AI353" s="18" t="s">
        <v>2103</v>
      </c>
      <c r="AJ353" s="19">
        <v>0.95</v>
      </c>
      <c r="AK353" s="20">
        <v>0.95</v>
      </c>
      <c r="AL353" s="17" t="s">
        <v>261</v>
      </c>
      <c r="AM353" s="5" t="s">
        <v>1961</v>
      </c>
      <c r="AN353" s="5" t="s">
        <v>66</v>
      </c>
      <c r="AO353" s="5" t="s">
        <v>2099</v>
      </c>
      <c r="AP353" s="5" t="s">
        <v>66</v>
      </c>
      <c r="AQ353" s="5" t="s">
        <v>200</v>
      </c>
      <c r="AR353" s="5" t="s">
        <v>66</v>
      </c>
      <c r="AS353" s="5" t="s">
        <v>66</v>
      </c>
      <c r="AT353" s="5" t="s">
        <v>200</v>
      </c>
      <c r="AU353" s="5" t="s">
        <v>200</v>
      </c>
      <c r="AV353" s="5" t="s">
        <v>66</v>
      </c>
      <c r="AW353" s="5" t="s">
        <v>1966</v>
      </c>
      <c r="AX353" s="5" t="s">
        <v>1953</v>
      </c>
      <c r="AY353" s="5" t="s">
        <v>2100</v>
      </c>
      <c r="AZ353" s="5" t="s">
        <v>80</v>
      </c>
      <c r="BA353" s="19">
        <v>1</v>
      </c>
      <c r="BB353" s="17" t="s">
        <v>2101</v>
      </c>
      <c r="BC353" s="5" t="s">
        <v>1969</v>
      </c>
      <c r="BD353" s="5" t="s">
        <v>2102</v>
      </c>
    </row>
    <row r="354" spans="1:56" ht="48" hidden="1" x14ac:dyDescent="0.25">
      <c r="A354" s="78" t="s">
        <v>1749</v>
      </c>
      <c r="B354" s="5" t="s">
        <v>1750</v>
      </c>
      <c r="C354" s="5" t="s">
        <v>3293</v>
      </c>
      <c r="D354" s="5" t="s">
        <v>252</v>
      </c>
      <c r="E354" s="99" t="str">
        <f>VLOOKUP(D354,'Dropdown List'!$F$26:$G$40,2,0)</f>
        <v>India</v>
      </c>
      <c r="F354" s="8" t="s">
        <v>1954</v>
      </c>
      <c r="G354" s="96" t="s">
        <v>2079</v>
      </c>
      <c r="H354" s="5" t="s">
        <v>57</v>
      </c>
      <c r="I354" s="8" t="s">
        <v>71</v>
      </c>
      <c r="J354" s="8" t="s">
        <v>2702</v>
      </c>
      <c r="K354" s="8" t="s">
        <v>855</v>
      </c>
      <c r="L354" s="8" t="s">
        <v>2104</v>
      </c>
      <c r="M354" s="8" t="s">
        <v>2105</v>
      </c>
      <c r="N354" s="5" t="s">
        <v>1034</v>
      </c>
      <c r="O354" s="5" t="s">
        <v>2082</v>
      </c>
      <c r="P354" s="5" t="s">
        <v>2106</v>
      </c>
      <c r="Q354" s="9" t="s">
        <v>75</v>
      </c>
      <c r="R354" s="5" t="s">
        <v>76</v>
      </c>
      <c r="S354" s="5" t="s">
        <v>64</v>
      </c>
      <c r="T354" s="96">
        <v>1</v>
      </c>
      <c r="U354" s="96">
        <v>3</v>
      </c>
      <c r="V354" s="96">
        <v>4</v>
      </c>
      <c r="W354" s="5" t="s">
        <v>91</v>
      </c>
      <c r="X354" s="10" t="s">
        <v>79</v>
      </c>
      <c r="Y354" s="11">
        <v>22264</v>
      </c>
      <c r="Z354" s="12">
        <v>1</v>
      </c>
      <c r="AA354" s="12">
        <v>0</v>
      </c>
      <c r="AB354" s="12">
        <v>0</v>
      </c>
      <c r="AC354" s="13">
        <v>0</v>
      </c>
      <c r="AD354" s="14">
        <f t="shared" si="12"/>
        <v>1</v>
      </c>
      <c r="AE354" s="15">
        <f t="shared" si="13"/>
        <v>0</v>
      </c>
      <c r="AF354" s="16">
        <v>240</v>
      </c>
      <c r="AG354" s="16">
        <v>240</v>
      </c>
      <c r="AH354" s="17" t="s">
        <v>66</v>
      </c>
      <c r="AI354" s="18" t="s">
        <v>2107</v>
      </c>
      <c r="AJ354" s="19">
        <v>0.95</v>
      </c>
      <c r="AK354" s="20">
        <v>0.95</v>
      </c>
      <c r="AL354" s="17" t="s">
        <v>261</v>
      </c>
      <c r="AM354" s="5" t="s">
        <v>1961</v>
      </c>
      <c r="AN354" s="5" t="s">
        <v>66</v>
      </c>
      <c r="AO354" s="5" t="s">
        <v>2108</v>
      </c>
      <c r="AP354" s="5" t="s">
        <v>66</v>
      </c>
      <c r="AQ354" s="5" t="s">
        <v>200</v>
      </c>
      <c r="AR354" s="5" t="s">
        <v>66</v>
      </c>
      <c r="AS354" s="5" t="s">
        <v>66</v>
      </c>
      <c r="AT354" s="5" t="s">
        <v>200</v>
      </c>
      <c r="AU354" s="5" t="s">
        <v>200</v>
      </c>
      <c r="AV354" s="5" t="s">
        <v>66</v>
      </c>
      <c r="AW354" s="5" t="s">
        <v>1966</v>
      </c>
      <c r="AX354" s="5" t="s">
        <v>1953</v>
      </c>
      <c r="AY354" s="5" t="s">
        <v>2100</v>
      </c>
      <c r="AZ354" s="5" t="s">
        <v>80</v>
      </c>
      <c r="BA354" s="19" t="s">
        <v>2052</v>
      </c>
      <c r="BB354" s="17" t="s">
        <v>2101</v>
      </c>
      <c r="BC354" s="5" t="s">
        <v>1969</v>
      </c>
      <c r="BD354" s="5" t="s">
        <v>2109</v>
      </c>
    </row>
    <row r="355" spans="1:56" ht="60" hidden="1" x14ac:dyDescent="0.25">
      <c r="A355" s="78" t="s">
        <v>1749</v>
      </c>
      <c r="B355" s="5" t="s">
        <v>1750</v>
      </c>
      <c r="C355" s="5" t="s">
        <v>3293</v>
      </c>
      <c r="D355" s="5" t="s">
        <v>252</v>
      </c>
      <c r="E355" s="99" t="str">
        <f>VLOOKUP(D355,'Dropdown List'!$F$26:$G$40,2,0)</f>
        <v>India</v>
      </c>
      <c r="F355" s="8" t="s">
        <v>1954</v>
      </c>
      <c r="G355" s="96" t="s">
        <v>2079</v>
      </c>
      <c r="H355" s="5" t="s">
        <v>57</v>
      </c>
      <c r="I355" s="8" t="s">
        <v>71</v>
      </c>
      <c r="J355" s="8" t="s">
        <v>435</v>
      </c>
      <c r="K355" s="8" t="s">
        <v>365</v>
      </c>
      <c r="L355" s="8" t="s">
        <v>2110</v>
      </c>
      <c r="M355" s="8" t="s">
        <v>2111</v>
      </c>
      <c r="N355" s="5" t="s">
        <v>1034</v>
      </c>
      <c r="O355" s="5" t="s">
        <v>61</v>
      </c>
      <c r="P355" s="5" t="s">
        <v>2112</v>
      </c>
      <c r="Q355" s="9" t="s">
        <v>62</v>
      </c>
      <c r="R355" s="5" t="s">
        <v>76</v>
      </c>
      <c r="S355" s="5" t="s">
        <v>64</v>
      </c>
      <c r="T355" s="96">
        <v>1</v>
      </c>
      <c r="U355" s="96">
        <v>7</v>
      </c>
      <c r="V355" s="96">
        <v>8</v>
      </c>
      <c r="W355" s="5" t="s">
        <v>91</v>
      </c>
      <c r="X355" s="10" t="s">
        <v>79</v>
      </c>
      <c r="Y355" s="11">
        <v>22264</v>
      </c>
      <c r="Z355" s="12">
        <v>7</v>
      </c>
      <c r="AA355" s="12">
        <v>0</v>
      </c>
      <c r="AB355" s="12">
        <v>1</v>
      </c>
      <c r="AC355" s="13">
        <v>4</v>
      </c>
      <c r="AD355" s="14">
        <f t="shared" si="12"/>
        <v>12</v>
      </c>
      <c r="AE355" s="15">
        <f t="shared" si="13"/>
        <v>0.33333333333333331</v>
      </c>
      <c r="AF355" s="16">
        <v>706</v>
      </c>
      <c r="AG355" s="16" t="s">
        <v>2113</v>
      </c>
      <c r="AH355" s="17" t="s">
        <v>2114</v>
      </c>
      <c r="AI355" s="18" t="s">
        <v>2115</v>
      </c>
      <c r="AJ355" s="19">
        <v>0.95</v>
      </c>
      <c r="AK355" s="20">
        <v>0.95</v>
      </c>
      <c r="AL355" s="17" t="s">
        <v>261</v>
      </c>
      <c r="AM355" s="5" t="s">
        <v>1961</v>
      </c>
      <c r="AN355" s="5" t="s">
        <v>66</v>
      </c>
      <c r="AO355" s="5" t="s">
        <v>2116</v>
      </c>
      <c r="AP355" s="5" t="s">
        <v>66</v>
      </c>
      <c r="AQ355" s="5" t="s">
        <v>200</v>
      </c>
      <c r="AR355" s="5" t="s">
        <v>66</v>
      </c>
      <c r="AS355" s="5" t="s">
        <v>66</v>
      </c>
      <c r="AT355" s="5" t="s">
        <v>200</v>
      </c>
      <c r="AU355" s="5" t="s">
        <v>200</v>
      </c>
      <c r="AV355" s="5" t="s">
        <v>66</v>
      </c>
      <c r="AW355" s="5" t="s">
        <v>1966</v>
      </c>
      <c r="AX355" s="5" t="s">
        <v>1953</v>
      </c>
      <c r="AY355" s="5" t="s">
        <v>2117</v>
      </c>
      <c r="AZ355" s="5" t="s">
        <v>80</v>
      </c>
      <c r="BA355" s="19">
        <v>1</v>
      </c>
      <c r="BB355" s="17" t="s">
        <v>110</v>
      </c>
      <c r="BC355" s="5" t="s">
        <v>2118</v>
      </c>
      <c r="BD355" s="5" t="s">
        <v>2119</v>
      </c>
    </row>
    <row r="356" spans="1:56" ht="60" hidden="1" x14ac:dyDescent="0.25">
      <c r="A356" s="78" t="s">
        <v>1749</v>
      </c>
      <c r="B356" s="5" t="s">
        <v>1750</v>
      </c>
      <c r="C356" s="5" t="s">
        <v>3293</v>
      </c>
      <c r="D356" s="5" t="s">
        <v>252</v>
      </c>
      <c r="E356" s="99" t="str">
        <f>VLOOKUP(D356,'Dropdown List'!$F$26:$G$40,2,0)</f>
        <v>India</v>
      </c>
      <c r="F356" s="8" t="s">
        <v>1954</v>
      </c>
      <c r="G356" s="96" t="s">
        <v>2079</v>
      </c>
      <c r="H356" s="5" t="s">
        <v>57</v>
      </c>
      <c r="I356" s="8" t="s">
        <v>71</v>
      </c>
      <c r="J356" s="8" t="s">
        <v>435</v>
      </c>
      <c r="K356" s="8" t="s">
        <v>365</v>
      </c>
      <c r="L356" s="8" t="s">
        <v>2110</v>
      </c>
      <c r="M356" s="8" t="s">
        <v>2120</v>
      </c>
      <c r="N356" s="5" t="s">
        <v>1034</v>
      </c>
      <c r="O356" s="5" t="s">
        <v>2082</v>
      </c>
      <c r="P356" s="5" t="s">
        <v>2121</v>
      </c>
      <c r="Q356" s="9" t="s">
        <v>418</v>
      </c>
      <c r="R356" s="5" t="s">
        <v>76</v>
      </c>
      <c r="S356" s="5" t="s">
        <v>64</v>
      </c>
      <c r="T356" s="96">
        <v>1</v>
      </c>
      <c r="U356" s="96">
        <v>6</v>
      </c>
      <c r="V356" s="96">
        <v>4</v>
      </c>
      <c r="W356" s="5" t="s">
        <v>91</v>
      </c>
      <c r="X356" s="10" t="s">
        <v>79</v>
      </c>
      <c r="Y356" s="11">
        <v>22264</v>
      </c>
      <c r="Z356" s="12">
        <v>1</v>
      </c>
      <c r="AA356" s="12">
        <v>0</v>
      </c>
      <c r="AB356" s="12">
        <v>0</v>
      </c>
      <c r="AC356" s="13">
        <v>0</v>
      </c>
      <c r="AD356" s="14">
        <f t="shared" si="12"/>
        <v>1</v>
      </c>
      <c r="AE356" s="15">
        <f t="shared" si="13"/>
        <v>0</v>
      </c>
      <c r="AF356" s="16">
        <v>83</v>
      </c>
      <c r="AG356" s="16">
        <v>83</v>
      </c>
      <c r="AH356" s="17" t="s">
        <v>2122</v>
      </c>
      <c r="AI356" s="18" t="s">
        <v>2123</v>
      </c>
      <c r="AJ356" s="19">
        <v>0.95</v>
      </c>
      <c r="AK356" s="20">
        <v>0.95</v>
      </c>
      <c r="AL356" s="17" t="s">
        <v>261</v>
      </c>
      <c r="AM356" s="5" t="s">
        <v>1961</v>
      </c>
      <c r="AN356" s="5" t="s">
        <v>66</v>
      </c>
      <c r="AO356" s="5" t="s">
        <v>2124</v>
      </c>
      <c r="AP356" s="5" t="s">
        <v>66</v>
      </c>
      <c r="AQ356" s="5" t="s">
        <v>200</v>
      </c>
      <c r="AR356" s="5" t="s">
        <v>66</v>
      </c>
      <c r="AS356" s="5" t="s">
        <v>66</v>
      </c>
      <c r="AT356" s="5" t="s">
        <v>200</v>
      </c>
      <c r="AU356" s="5" t="s">
        <v>200</v>
      </c>
      <c r="AV356" s="5" t="s">
        <v>66</v>
      </c>
      <c r="AW356" s="5" t="s">
        <v>1966</v>
      </c>
      <c r="AX356" s="5" t="s">
        <v>1953</v>
      </c>
      <c r="AY356" s="5" t="s">
        <v>2125</v>
      </c>
      <c r="AZ356" s="5" t="s">
        <v>80</v>
      </c>
      <c r="BA356" s="19">
        <v>1</v>
      </c>
      <c r="BB356" s="17" t="s">
        <v>110</v>
      </c>
      <c r="BC356" s="5" t="s">
        <v>2118</v>
      </c>
      <c r="BD356" s="5" t="s">
        <v>2119</v>
      </c>
    </row>
    <row r="357" spans="1:56" ht="60" hidden="1" x14ac:dyDescent="0.25">
      <c r="A357" s="78" t="s">
        <v>1749</v>
      </c>
      <c r="B357" s="5" t="s">
        <v>1750</v>
      </c>
      <c r="C357" s="5" t="s">
        <v>3293</v>
      </c>
      <c r="D357" s="5" t="s">
        <v>252</v>
      </c>
      <c r="E357" s="99" t="str">
        <f>VLOOKUP(D357,'Dropdown List'!$F$26:$G$40,2,0)</f>
        <v>India</v>
      </c>
      <c r="F357" s="8" t="s">
        <v>1954</v>
      </c>
      <c r="G357" s="96" t="s">
        <v>2079</v>
      </c>
      <c r="H357" s="5" t="s">
        <v>57</v>
      </c>
      <c r="I357" s="8" t="s">
        <v>71</v>
      </c>
      <c r="J357" s="8" t="s">
        <v>435</v>
      </c>
      <c r="K357" s="8" t="s">
        <v>365</v>
      </c>
      <c r="L357" s="8" t="s">
        <v>2126</v>
      </c>
      <c r="M357" s="8" t="s">
        <v>2127</v>
      </c>
      <c r="N357" s="5" t="s">
        <v>1034</v>
      </c>
      <c r="O357" s="5" t="s">
        <v>61</v>
      </c>
      <c r="P357" s="5" t="s">
        <v>2128</v>
      </c>
      <c r="Q357" s="9" t="s">
        <v>615</v>
      </c>
      <c r="R357" s="5" t="s">
        <v>76</v>
      </c>
      <c r="S357" s="5" t="s">
        <v>64</v>
      </c>
      <c r="T357" s="96">
        <v>1</v>
      </c>
      <c r="U357" s="96">
        <v>4</v>
      </c>
      <c r="V357" s="96">
        <v>5</v>
      </c>
      <c r="W357" s="5" t="s">
        <v>91</v>
      </c>
      <c r="X357" s="10" t="s">
        <v>79</v>
      </c>
      <c r="Y357" s="11">
        <v>22264</v>
      </c>
      <c r="Z357" s="12">
        <v>5</v>
      </c>
      <c r="AA357" s="12">
        <v>0</v>
      </c>
      <c r="AB357" s="12">
        <v>0</v>
      </c>
      <c r="AC357" s="13">
        <v>1</v>
      </c>
      <c r="AD357" s="14">
        <f t="shared" si="12"/>
        <v>6</v>
      </c>
      <c r="AE357" s="15">
        <f t="shared" si="13"/>
        <v>0.16666666666666666</v>
      </c>
      <c r="AF357" s="16">
        <v>355</v>
      </c>
      <c r="AG357" s="16" t="s">
        <v>2129</v>
      </c>
      <c r="AH357" s="17" t="s">
        <v>66</v>
      </c>
      <c r="AI357" s="18" t="s">
        <v>2130</v>
      </c>
      <c r="AJ357" s="19">
        <v>0.95</v>
      </c>
      <c r="AK357" s="20">
        <v>0.95</v>
      </c>
      <c r="AL357" s="17" t="s">
        <v>261</v>
      </c>
      <c r="AM357" s="5" t="s">
        <v>1961</v>
      </c>
      <c r="AN357" s="5" t="s">
        <v>66</v>
      </c>
      <c r="AO357" s="5" t="s">
        <v>2131</v>
      </c>
      <c r="AP357" s="5" t="s">
        <v>66</v>
      </c>
      <c r="AQ357" s="5" t="s">
        <v>200</v>
      </c>
      <c r="AR357" s="5" t="s">
        <v>66</v>
      </c>
      <c r="AS357" s="5" t="s">
        <v>66</v>
      </c>
      <c r="AT357" s="5" t="s">
        <v>200</v>
      </c>
      <c r="AU357" s="5" t="s">
        <v>200</v>
      </c>
      <c r="AV357" s="5" t="s">
        <v>66</v>
      </c>
      <c r="AW357" s="5" t="s">
        <v>1966</v>
      </c>
      <c r="AX357" s="5" t="s">
        <v>1953</v>
      </c>
      <c r="AY357" s="5" t="s">
        <v>2132</v>
      </c>
      <c r="AZ357" s="5" t="s">
        <v>80</v>
      </c>
      <c r="BA357" s="19">
        <v>1</v>
      </c>
      <c r="BB357" s="17" t="s">
        <v>110</v>
      </c>
      <c r="BC357" s="5" t="s">
        <v>2118</v>
      </c>
      <c r="BD357" s="5" t="s">
        <v>2119</v>
      </c>
    </row>
    <row r="358" spans="1:56" ht="72" hidden="1" x14ac:dyDescent="0.25">
      <c r="A358" s="78" t="s">
        <v>1749</v>
      </c>
      <c r="B358" s="5" t="s">
        <v>1750</v>
      </c>
      <c r="C358" s="5" t="s">
        <v>3293</v>
      </c>
      <c r="D358" s="5" t="s">
        <v>252</v>
      </c>
      <c r="E358" s="99" t="str">
        <f>VLOOKUP(D358,'Dropdown List'!$F$26:$G$40,2,0)</f>
        <v>India</v>
      </c>
      <c r="F358" s="8" t="s">
        <v>1954</v>
      </c>
      <c r="G358" s="96" t="s">
        <v>2079</v>
      </c>
      <c r="H358" s="5" t="s">
        <v>57</v>
      </c>
      <c r="I358" s="8" t="s">
        <v>71</v>
      </c>
      <c r="J358" s="8" t="s">
        <v>435</v>
      </c>
      <c r="K358" s="8" t="s">
        <v>365</v>
      </c>
      <c r="L358" s="8" t="s">
        <v>2133</v>
      </c>
      <c r="M358" s="8" t="s">
        <v>2134</v>
      </c>
      <c r="N358" s="5" t="s">
        <v>1034</v>
      </c>
      <c r="O358" s="5" t="s">
        <v>61</v>
      </c>
      <c r="P358" s="5" t="s">
        <v>2135</v>
      </c>
      <c r="Q358" s="9" t="s">
        <v>615</v>
      </c>
      <c r="R358" s="5" t="s">
        <v>76</v>
      </c>
      <c r="S358" s="5" t="s">
        <v>64</v>
      </c>
      <c r="T358" s="96">
        <v>1</v>
      </c>
      <c r="U358" s="96">
        <v>6</v>
      </c>
      <c r="V358" s="96">
        <v>4</v>
      </c>
      <c r="W358" s="5" t="s">
        <v>91</v>
      </c>
      <c r="X358" s="10" t="s">
        <v>79</v>
      </c>
      <c r="Y358" s="11">
        <v>22264</v>
      </c>
      <c r="Z358" s="12">
        <v>7</v>
      </c>
      <c r="AA358" s="12">
        <v>0</v>
      </c>
      <c r="AB358" s="12">
        <v>0</v>
      </c>
      <c r="AC358" s="13">
        <v>2</v>
      </c>
      <c r="AD358" s="14">
        <f t="shared" si="12"/>
        <v>9</v>
      </c>
      <c r="AE358" s="15">
        <f t="shared" si="13"/>
        <v>0.22222222222222221</v>
      </c>
      <c r="AF358" s="16" t="s">
        <v>2136</v>
      </c>
      <c r="AG358" s="16" t="s">
        <v>2137</v>
      </c>
      <c r="AH358" s="17" t="s">
        <v>66</v>
      </c>
      <c r="AI358" s="18" t="s">
        <v>2138</v>
      </c>
      <c r="AJ358" s="19">
        <v>0.95</v>
      </c>
      <c r="AK358" s="20">
        <v>0.95</v>
      </c>
      <c r="AL358" s="17" t="s">
        <v>261</v>
      </c>
      <c r="AM358" s="5" t="s">
        <v>1961</v>
      </c>
      <c r="AN358" s="5" t="s">
        <v>66</v>
      </c>
      <c r="AO358" s="5" t="s">
        <v>2139</v>
      </c>
      <c r="AP358" s="5" t="s">
        <v>66</v>
      </c>
      <c r="AQ358" s="5" t="s">
        <v>200</v>
      </c>
      <c r="AR358" s="5" t="s">
        <v>66</v>
      </c>
      <c r="AS358" s="5" t="s">
        <v>66</v>
      </c>
      <c r="AT358" s="5" t="s">
        <v>200</v>
      </c>
      <c r="AU358" s="5" t="s">
        <v>200</v>
      </c>
      <c r="AV358" s="5" t="s">
        <v>66</v>
      </c>
      <c r="AW358" s="5" t="s">
        <v>1966</v>
      </c>
      <c r="AX358" s="5" t="s">
        <v>1953</v>
      </c>
      <c r="AY358" s="5" t="s">
        <v>2140</v>
      </c>
      <c r="AZ358" s="5" t="s">
        <v>80</v>
      </c>
      <c r="BA358" s="19">
        <v>1</v>
      </c>
      <c r="BB358" s="17" t="s">
        <v>110</v>
      </c>
      <c r="BC358" s="5" t="s">
        <v>2118</v>
      </c>
      <c r="BD358" s="5" t="s">
        <v>2119</v>
      </c>
    </row>
    <row r="359" spans="1:56" ht="48" hidden="1" x14ac:dyDescent="0.25">
      <c r="A359" s="78" t="s">
        <v>1749</v>
      </c>
      <c r="B359" s="5" t="s">
        <v>1750</v>
      </c>
      <c r="C359" s="5" t="s">
        <v>3293</v>
      </c>
      <c r="D359" s="5" t="s">
        <v>252</v>
      </c>
      <c r="E359" s="99" t="str">
        <f>VLOOKUP(D359,'Dropdown List'!$F$26:$G$40,2,0)</f>
        <v>India</v>
      </c>
      <c r="F359" s="8" t="s">
        <v>1954</v>
      </c>
      <c r="G359" s="96" t="s">
        <v>2141</v>
      </c>
      <c r="H359" s="5" t="s">
        <v>57</v>
      </c>
      <c r="I359" s="8" t="s">
        <v>71</v>
      </c>
      <c r="J359" s="8" t="s">
        <v>112</v>
      </c>
      <c r="K359" s="8" t="s">
        <v>113</v>
      </c>
      <c r="L359" s="8" t="s">
        <v>2063</v>
      </c>
      <c r="M359" s="8" t="s">
        <v>2064</v>
      </c>
      <c r="N359" s="5" t="s">
        <v>1034</v>
      </c>
      <c r="O359" s="5" t="s">
        <v>1951</v>
      </c>
      <c r="P359" s="5" t="s">
        <v>1951</v>
      </c>
      <c r="Q359" s="9" t="s">
        <v>615</v>
      </c>
      <c r="R359" s="5" t="s">
        <v>76</v>
      </c>
      <c r="S359" s="5" t="s">
        <v>64</v>
      </c>
      <c r="T359" s="96">
        <v>1</v>
      </c>
      <c r="U359" s="96">
        <v>2</v>
      </c>
      <c r="V359" s="96">
        <v>8</v>
      </c>
      <c r="W359" s="5" t="s">
        <v>91</v>
      </c>
      <c r="X359" s="10" t="s">
        <v>79</v>
      </c>
      <c r="Y359" s="11">
        <v>24300</v>
      </c>
      <c r="Z359" s="12">
        <v>6</v>
      </c>
      <c r="AA359" s="12">
        <v>0</v>
      </c>
      <c r="AB359" s="12">
        <v>0</v>
      </c>
      <c r="AC359" s="13">
        <v>3</v>
      </c>
      <c r="AD359" s="14">
        <f t="shared" si="12"/>
        <v>9</v>
      </c>
      <c r="AE359" s="15">
        <f t="shared" si="13"/>
        <v>0.33333333333333331</v>
      </c>
      <c r="AF359" s="16">
        <v>1210</v>
      </c>
      <c r="AG359" s="16" t="s">
        <v>2142</v>
      </c>
      <c r="AH359" s="17" t="s">
        <v>1581</v>
      </c>
      <c r="AI359" s="18" t="s">
        <v>2143</v>
      </c>
      <c r="AJ359" s="19">
        <v>0.95</v>
      </c>
      <c r="AK359" s="20">
        <v>0.95</v>
      </c>
      <c r="AL359" s="17" t="s">
        <v>261</v>
      </c>
      <c r="AM359" s="5" t="s">
        <v>1961</v>
      </c>
      <c r="AN359" s="5" t="s">
        <v>66</v>
      </c>
      <c r="AO359" s="5" t="s">
        <v>66</v>
      </c>
      <c r="AP359" s="5" t="s">
        <v>66</v>
      </c>
      <c r="AQ359" s="5" t="s">
        <v>200</v>
      </c>
      <c r="AR359" s="5" t="s">
        <v>66</v>
      </c>
      <c r="AS359" s="5" t="s">
        <v>66</v>
      </c>
      <c r="AT359" s="5" t="s">
        <v>200</v>
      </c>
      <c r="AU359" s="5" t="s">
        <v>200</v>
      </c>
      <c r="AV359" s="5" t="s">
        <v>66</v>
      </c>
      <c r="AW359" s="5" t="s">
        <v>1966</v>
      </c>
      <c r="AX359" s="5" t="s">
        <v>1953</v>
      </c>
      <c r="AY359" s="5" t="s">
        <v>2140</v>
      </c>
      <c r="AZ359" s="5" t="s">
        <v>80</v>
      </c>
      <c r="BA359" s="19">
        <v>1</v>
      </c>
      <c r="BB359" s="17" t="s">
        <v>110</v>
      </c>
      <c r="BC359" s="5" t="s">
        <v>2118</v>
      </c>
      <c r="BD359" s="5" t="s">
        <v>2119</v>
      </c>
    </row>
    <row r="360" spans="1:56" ht="48" hidden="1" x14ac:dyDescent="0.25">
      <c r="A360" s="78" t="s">
        <v>1749</v>
      </c>
      <c r="B360" s="5" t="s">
        <v>1750</v>
      </c>
      <c r="C360" s="5" t="s">
        <v>3293</v>
      </c>
      <c r="D360" s="5" t="s">
        <v>252</v>
      </c>
      <c r="E360" s="99" t="str">
        <f>VLOOKUP(D360,'Dropdown List'!$F$26:$G$40,2,0)</f>
        <v>India</v>
      </c>
      <c r="F360" s="8" t="s">
        <v>1954</v>
      </c>
      <c r="G360" s="96" t="s">
        <v>2141</v>
      </c>
      <c r="H360" s="5" t="s">
        <v>57</v>
      </c>
      <c r="I360" s="8" t="s">
        <v>71</v>
      </c>
      <c r="J360" s="8" t="s">
        <v>102</v>
      </c>
      <c r="K360" s="8" t="s">
        <v>516</v>
      </c>
      <c r="L360" s="8" t="s">
        <v>1971</v>
      </c>
      <c r="M360" s="8" t="s">
        <v>1972</v>
      </c>
      <c r="N360" s="5" t="s">
        <v>1034</v>
      </c>
      <c r="O360" s="5" t="s">
        <v>1051</v>
      </c>
      <c r="P360" s="5" t="s">
        <v>2042</v>
      </c>
      <c r="Q360" s="9" t="s">
        <v>615</v>
      </c>
      <c r="R360" s="5" t="s">
        <v>76</v>
      </c>
      <c r="S360" s="5" t="s">
        <v>64</v>
      </c>
      <c r="T360" s="96">
        <v>1</v>
      </c>
      <c r="U360" s="96">
        <v>4</v>
      </c>
      <c r="V360" s="96">
        <v>8</v>
      </c>
      <c r="W360" s="5" t="s">
        <v>91</v>
      </c>
      <c r="X360" s="10" t="s">
        <v>79</v>
      </c>
      <c r="Y360" s="11">
        <v>22264</v>
      </c>
      <c r="Z360" s="12">
        <v>11</v>
      </c>
      <c r="AA360" s="12">
        <v>0</v>
      </c>
      <c r="AB360" s="12">
        <v>1</v>
      </c>
      <c r="AC360" s="13">
        <v>4</v>
      </c>
      <c r="AD360" s="14">
        <f t="shared" si="12"/>
        <v>16</v>
      </c>
      <c r="AE360" s="15">
        <f t="shared" si="13"/>
        <v>0.25</v>
      </c>
      <c r="AF360" s="16">
        <v>429</v>
      </c>
      <c r="AG360" s="16">
        <v>429</v>
      </c>
      <c r="AH360" s="17" t="s">
        <v>2144</v>
      </c>
      <c r="AI360" s="18">
        <v>175</v>
      </c>
      <c r="AJ360" s="19">
        <v>0.95</v>
      </c>
      <c r="AK360" s="20">
        <v>0.95</v>
      </c>
      <c r="AL360" s="17" t="s">
        <v>261</v>
      </c>
      <c r="AM360" s="5" t="s">
        <v>1961</v>
      </c>
      <c r="AN360" s="5" t="s">
        <v>66</v>
      </c>
      <c r="AO360" s="5" t="s">
        <v>2145</v>
      </c>
      <c r="AP360" s="5" t="s">
        <v>2146</v>
      </c>
      <c r="AQ360" s="5" t="s">
        <v>200</v>
      </c>
      <c r="AR360" s="5" t="s">
        <v>66</v>
      </c>
      <c r="AS360" s="5" t="s">
        <v>66</v>
      </c>
      <c r="AT360" s="5" t="s">
        <v>200</v>
      </c>
      <c r="AU360" s="5" t="s">
        <v>200</v>
      </c>
      <c r="AV360" s="5" t="s">
        <v>66</v>
      </c>
      <c r="AW360" s="5" t="s">
        <v>1966</v>
      </c>
      <c r="AX360" s="5" t="s">
        <v>1953</v>
      </c>
      <c r="AY360" s="5" t="s">
        <v>2147</v>
      </c>
      <c r="AZ360" s="5" t="s">
        <v>80</v>
      </c>
      <c r="BA360" s="19" t="s">
        <v>66</v>
      </c>
      <c r="BB360" s="17" t="s">
        <v>353</v>
      </c>
      <c r="BC360" s="5" t="s">
        <v>1969</v>
      </c>
      <c r="BD360" s="5" t="s">
        <v>2148</v>
      </c>
    </row>
    <row r="361" spans="1:56" ht="48" hidden="1" x14ac:dyDescent="0.25">
      <c r="A361" s="78" t="s">
        <v>1749</v>
      </c>
      <c r="B361" s="5" t="s">
        <v>1750</v>
      </c>
      <c r="C361" s="5" t="s">
        <v>3293</v>
      </c>
      <c r="D361" s="5" t="s">
        <v>448</v>
      </c>
      <c r="E361" s="99" t="str">
        <f>VLOOKUP(D361,'Dropdown List'!$F$26:$G$40,2,0)</f>
        <v>Philippines</v>
      </c>
      <c r="F361" s="8" t="s">
        <v>2149</v>
      </c>
      <c r="G361" s="96">
        <v>5</v>
      </c>
      <c r="H361" s="5" t="s">
        <v>57</v>
      </c>
      <c r="I361" s="8" t="s">
        <v>58</v>
      </c>
      <c r="J361" s="8" t="s">
        <v>163</v>
      </c>
      <c r="K361" s="8" t="s">
        <v>277</v>
      </c>
      <c r="L361" s="8" t="s">
        <v>2150</v>
      </c>
      <c r="M361" s="8" t="s">
        <v>2151</v>
      </c>
      <c r="N361" s="5" t="s">
        <v>1034</v>
      </c>
      <c r="O361" s="5" t="s">
        <v>1069</v>
      </c>
      <c r="P361" s="5" t="s">
        <v>1370</v>
      </c>
      <c r="Q361" s="9" t="s">
        <v>75</v>
      </c>
      <c r="R361" s="5" t="s">
        <v>132</v>
      </c>
      <c r="S361" s="5" t="s">
        <v>64</v>
      </c>
      <c r="T361" s="96">
        <v>1.4</v>
      </c>
      <c r="U361" s="96">
        <v>3</v>
      </c>
      <c r="V361" s="96" t="s">
        <v>2152</v>
      </c>
      <c r="W361" s="5" t="s">
        <v>91</v>
      </c>
      <c r="X361" s="10" t="s">
        <v>79</v>
      </c>
      <c r="Y361" s="11">
        <v>27183</v>
      </c>
      <c r="Z361" s="12">
        <v>18.489999999999998</v>
      </c>
      <c r="AA361" s="12">
        <v>4</v>
      </c>
      <c r="AB361" s="12">
        <v>1.5</v>
      </c>
      <c r="AC361" s="13">
        <v>5.5</v>
      </c>
      <c r="AD361" s="14">
        <f t="shared" si="12"/>
        <v>29.49</v>
      </c>
      <c r="AE361" s="15">
        <f t="shared" si="13"/>
        <v>0.18650389962699221</v>
      </c>
      <c r="AF361" s="16">
        <v>24107</v>
      </c>
      <c r="AG361" s="16" t="s">
        <v>1308</v>
      </c>
      <c r="AH361" s="17" t="s">
        <v>2153</v>
      </c>
      <c r="AI361" s="18" t="s">
        <v>66</v>
      </c>
      <c r="AJ361" s="19" t="s">
        <v>66</v>
      </c>
      <c r="AK361" s="20">
        <v>0.96</v>
      </c>
      <c r="AL361" s="17" t="s">
        <v>92</v>
      </c>
      <c r="AM361" s="5" t="s">
        <v>2154</v>
      </c>
      <c r="AN361" s="5" t="s">
        <v>2155</v>
      </c>
      <c r="AO361" s="5" t="s">
        <v>66</v>
      </c>
      <c r="AP361" s="5" t="s">
        <v>66</v>
      </c>
      <c r="AQ361" s="5" t="s">
        <v>66</v>
      </c>
      <c r="AR361" s="5" t="s">
        <v>66</v>
      </c>
      <c r="AS361" s="5" t="s">
        <v>66</v>
      </c>
      <c r="AT361" s="5" t="s">
        <v>2156</v>
      </c>
      <c r="AU361" s="5" t="s">
        <v>66</v>
      </c>
      <c r="AV361" s="5" t="s">
        <v>2157</v>
      </c>
      <c r="AW361" s="5" t="s">
        <v>66</v>
      </c>
      <c r="AX361" s="5" t="s">
        <v>2158</v>
      </c>
      <c r="AY361" s="5" t="s">
        <v>65</v>
      </c>
      <c r="AZ361" s="5" t="s">
        <v>70</v>
      </c>
      <c r="BA361" s="19">
        <v>1</v>
      </c>
      <c r="BB361" s="17" t="s">
        <v>65</v>
      </c>
      <c r="BC361" s="5" t="s">
        <v>2158</v>
      </c>
      <c r="BD361" s="5" t="s">
        <v>2159</v>
      </c>
    </row>
    <row r="362" spans="1:56" ht="48" hidden="1" x14ac:dyDescent="0.25">
      <c r="A362" s="78" t="s">
        <v>1749</v>
      </c>
      <c r="B362" s="5" t="s">
        <v>1750</v>
      </c>
      <c r="C362" s="5" t="s">
        <v>3293</v>
      </c>
      <c r="D362" s="5" t="s">
        <v>448</v>
      </c>
      <c r="E362" s="99" t="str">
        <f>VLOOKUP(D362,'Dropdown List'!$F$26:$G$40,2,0)</f>
        <v>Philippines</v>
      </c>
      <c r="F362" s="8" t="s">
        <v>2149</v>
      </c>
      <c r="G362" s="96">
        <v>5</v>
      </c>
      <c r="H362" s="5" t="s">
        <v>57</v>
      </c>
      <c r="I362" s="8" t="s">
        <v>58</v>
      </c>
      <c r="J362" s="8" t="s">
        <v>396</v>
      </c>
      <c r="K362" s="8" t="s">
        <v>2160</v>
      </c>
      <c r="L362" s="8" t="s">
        <v>2161</v>
      </c>
      <c r="M362" s="8" t="s">
        <v>2162</v>
      </c>
      <c r="N362" s="5" t="s">
        <v>1034</v>
      </c>
      <c r="O362" s="5" t="s">
        <v>1069</v>
      </c>
      <c r="P362" s="5" t="s">
        <v>1370</v>
      </c>
      <c r="Q362" s="9" t="s">
        <v>75</v>
      </c>
      <c r="R362" s="5" t="s">
        <v>76</v>
      </c>
      <c r="S362" s="5" t="s">
        <v>120</v>
      </c>
      <c r="T362" s="96">
        <v>0.8</v>
      </c>
      <c r="U362" s="96">
        <v>4</v>
      </c>
      <c r="V362" s="96" t="s">
        <v>2163</v>
      </c>
      <c r="W362" s="5" t="s">
        <v>91</v>
      </c>
      <c r="X362" s="10" t="s">
        <v>79</v>
      </c>
      <c r="Y362" s="11">
        <v>36765</v>
      </c>
      <c r="Z362" s="12">
        <v>7.08</v>
      </c>
      <c r="AA362" s="12">
        <v>2</v>
      </c>
      <c r="AB362" s="12">
        <v>1</v>
      </c>
      <c r="AC362" s="13">
        <v>3</v>
      </c>
      <c r="AD362" s="14">
        <f t="shared" si="12"/>
        <v>13.08</v>
      </c>
      <c r="AE362" s="15">
        <f t="shared" si="13"/>
        <v>0.2293577981651376</v>
      </c>
      <c r="AF362" s="16">
        <v>2695</v>
      </c>
      <c r="AG362" s="16" t="s">
        <v>1308</v>
      </c>
      <c r="AH362" s="17" t="s">
        <v>2164</v>
      </c>
      <c r="AI362" s="18" t="s">
        <v>66</v>
      </c>
      <c r="AJ362" s="19" t="s">
        <v>66</v>
      </c>
      <c r="AK362" s="20">
        <v>0.96</v>
      </c>
      <c r="AL362" s="17" t="s">
        <v>261</v>
      </c>
      <c r="AM362" s="5" t="s">
        <v>2165</v>
      </c>
      <c r="AN362" s="5" t="s">
        <v>66</v>
      </c>
      <c r="AO362" s="5" t="s">
        <v>2166</v>
      </c>
      <c r="AP362" s="5" t="s">
        <v>2167</v>
      </c>
      <c r="AQ362" s="5" t="s">
        <v>2168</v>
      </c>
      <c r="AR362" s="5" t="s">
        <v>66</v>
      </c>
      <c r="AS362" s="5" t="s">
        <v>2169</v>
      </c>
      <c r="AT362" s="5" t="s">
        <v>2170</v>
      </c>
      <c r="AU362" s="5" t="s">
        <v>66</v>
      </c>
      <c r="AV362" s="5" t="s">
        <v>2157</v>
      </c>
      <c r="AW362" s="5" t="s">
        <v>2171</v>
      </c>
      <c r="AX362" s="5" t="s">
        <v>2158</v>
      </c>
      <c r="AY362" s="5" t="s">
        <v>65</v>
      </c>
      <c r="AZ362" s="5" t="s">
        <v>145</v>
      </c>
      <c r="BA362" s="19">
        <v>0.5</v>
      </c>
      <c r="BB362" s="17" t="s">
        <v>94</v>
      </c>
      <c r="BC362" s="5" t="s">
        <v>2158</v>
      </c>
      <c r="BD362" s="5" t="s">
        <v>2172</v>
      </c>
    </row>
    <row r="363" spans="1:56" ht="48" hidden="1" x14ac:dyDescent="0.25">
      <c r="A363" s="78" t="s">
        <v>1749</v>
      </c>
      <c r="B363" s="5" t="s">
        <v>1750</v>
      </c>
      <c r="C363" s="5" t="s">
        <v>3293</v>
      </c>
      <c r="D363" s="5" t="s">
        <v>448</v>
      </c>
      <c r="E363" s="99" t="str">
        <f>VLOOKUP(D363,'Dropdown List'!$F$26:$G$40,2,0)</f>
        <v>Philippines</v>
      </c>
      <c r="F363" s="8" t="s">
        <v>2149</v>
      </c>
      <c r="G363" s="96">
        <v>3</v>
      </c>
      <c r="H363" s="5" t="s">
        <v>85</v>
      </c>
      <c r="I363" s="8" t="s">
        <v>58</v>
      </c>
      <c r="J363" s="8" t="s">
        <v>163</v>
      </c>
      <c r="K363" s="8" t="s">
        <v>277</v>
      </c>
      <c r="L363" s="8" t="s">
        <v>2173</v>
      </c>
      <c r="M363" s="8" t="s">
        <v>2174</v>
      </c>
      <c r="N363" s="5" t="s">
        <v>1034</v>
      </c>
      <c r="O363" s="5" t="s">
        <v>1069</v>
      </c>
      <c r="P363" s="5" t="s">
        <v>1370</v>
      </c>
      <c r="Q363" s="9" t="s">
        <v>75</v>
      </c>
      <c r="R363" s="5" t="s">
        <v>132</v>
      </c>
      <c r="S363" s="5" t="s">
        <v>64</v>
      </c>
      <c r="T363" s="96">
        <v>1.4</v>
      </c>
      <c r="U363" s="96">
        <v>2</v>
      </c>
      <c r="V363" s="96" t="s">
        <v>2152</v>
      </c>
      <c r="W363" s="5" t="s">
        <v>91</v>
      </c>
      <c r="X363" s="10" t="s">
        <v>79</v>
      </c>
      <c r="Y363" s="11">
        <v>27183</v>
      </c>
      <c r="Z363" s="12">
        <v>3.2</v>
      </c>
      <c r="AA363" s="12">
        <v>1</v>
      </c>
      <c r="AB363" s="12">
        <v>1</v>
      </c>
      <c r="AC363" s="13">
        <v>1</v>
      </c>
      <c r="AD363" s="14">
        <f t="shared" si="12"/>
        <v>6.2</v>
      </c>
      <c r="AE363" s="15">
        <f t="shared" si="13"/>
        <v>0.16129032258064516</v>
      </c>
      <c r="AF363" s="16">
        <v>4693</v>
      </c>
      <c r="AG363" s="16" t="s">
        <v>1308</v>
      </c>
      <c r="AH363" s="17" t="s">
        <v>2175</v>
      </c>
      <c r="AI363" s="18" t="s">
        <v>66</v>
      </c>
      <c r="AJ363" s="19" t="s">
        <v>66</v>
      </c>
      <c r="AK363" s="20">
        <v>0.96</v>
      </c>
      <c r="AL363" s="17" t="s">
        <v>92</v>
      </c>
      <c r="AM363" s="5" t="s">
        <v>2176</v>
      </c>
      <c r="AN363" s="5" t="s">
        <v>2177</v>
      </c>
      <c r="AO363" s="5" t="s">
        <v>66</v>
      </c>
      <c r="AP363" s="5" t="s">
        <v>66</v>
      </c>
      <c r="AQ363" s="5" t="s">
        <v>66</v>
      </c>
      <c r="AR363" s="5" t="s">
        <v>66</v>
      </c>
      <c r="AS363" s="5" t="s">
        <v>66</v>
      </c>
      <c r="AT363" s="5" t="s">
        <v>66</v>
      </c>
      <c r="AU363" s="5" t="s">
        <v>66</v>
      </c>
      <c r="AV363" s="5" t="s">
        <v>66</v>
      </c>
      <c r="AW363" s="5" t="s">
        <v>66</v>
      </c>
      <c r="AX363" s="5" t="s">
        <v>2178</v>
      </c>
      <c r="AY363" s="5" t="s">
        <v>65</v>
      </c>
      <c r="AZ363" s="5" t="s">
        <v>145</v>
      </c>
      <c r="BA363" s="19">
        <v>1</v>
      </c>
      <c r="BB363" s="17" t="s">
        <v>65</v>
      </c>
      <c r="BC363" s="5" t="s">
        <v>2158</v>
      </c>
      <c r="BD363" s="5" t="s">
        <v>2179</v>
      </c>
    </row>
    <row r="364" spans="1:56" ht="48" hidden="1" x14ac:dyDescent="0.25">
      <c r="A364" s="78" t="s">
        <v>1749</v>
      </c>
      <c r="B364" s="5" t="s">
        <v>1750</v>
      </c>
      <c r="C364" s="5" t="s">
        <v>3293</v>
      </c>
      <c r="D364" s="5" t="s">
        <v>448</v>
      </c>
      <c r="E364" s="99" t="str">
        <f>VLOOKUP(D364,'Dropdown List'!$F$26:$G$40,2,0)</f>
        <v>Philippines</v>
      </c>
      <c r="F364" s="8" t="s">
        <v>2149</v>
      </c>
      <c r="G364" s="96">
        <v>2</v>
      </c>
      <c r="H364" s="5" t="s">
        <v>57</v>
      </c>
      <c r="I364" s="8" t="s">
        <v>58</v>
      </c>
      <c r="J364" s="8" t="s">
        <v>396</v>
      </c>
      <c r="K364" s="8" t="s">
        <v>397</v>
      </c>
      <c r="L364" s="8" t="s">
        <v>2180</v>
      </c>
      <c r="M364" s="8" t="s">
        <v>2181</v>
      </c>
      <c r="N364" s="5" t="s">
        <v>1034</v>
      </c>
      <c r="O364" s="5" t="s">
        <v>1069</v>
      </c>
      <c r="P364" s="5" t="s">
        <v>1370</v>
      </c>
      <c r="Q364" s="9" t="s">
        <v>75</v>
      </c>
      <c r="R364" s="5" t="s">
        <v>63</v>
      </c>
      <c r="S364" s="5" t="s">
        <v>64</v>
      </c>
      <c r="T364" s="96">
        <v>0.8</v>
      </c>
      <c r="U364" s="96">
        <v>3</v>
      </c>
      <c r="V364" s="96">
        <v>15</v>
      </c>
      <c r="W364" s="5" t="s">
        <v>91</v>
      </c>
      <c r="X364" s="10" t="s">
        <v>79</v>
      </c>
      <c r="Y364" s="11">
        <v>27183</v>
      </c>
      <c r="Z364" s="12">
        <v>4.1500000000000004</v>
      </c>
      <c r="AA364" s="12">
        <v>0</v>
      </c>
      <c r="AB364" s="12">
        <v>0</v>
      </c>
      <c r="AC364" s="13">
        <v>0</v>
      </c>
      <c r="AD364" s="14">
        <f t="shared" si="12"/>
        <v>4.1500000000000004</v>
      </c>
      <c r="AE364" s="15">
        <f t="shared" si="13"/>
        <v>0</v>
      </c>
      <c r="AF364" s="16">
        <v>1693</v>
      </c>
      <c r="AG364" s="16" t="s">
        <v>1308</v>
      </c>
      <c r="AH364" s="17" t="s">
        <v>2183</v>
      </c>
      <c r="AI364" s="18" t="s">
        <v>66</v>
      </c>
      <c r="AJ364" s="19">
        <v>1</v>
      </c>
      <c r="AK364" s="20">
        <v>0.96</v>
      </c>
      <c r="AL364" s="17" t="s">
        <v>92</v>
      </c>
      <c r="AM364" s="5" t="s">
        <v>2184</v>
      </c>
      <c r="AN364" s="5" t="s">
        <v>66</v>
      </c>
      <c r="AO364" s="5" t="s">
        <v>66</v>
      </c>
      <c r="AP364" s="5" t="s">
        <v>66</v>
      </c>
      <c r="AQ364" s="5" t="s">
        <v>66</v>
      </c>
      <c r="AR364" s="5" t="s">
        <v>66</v>
      </c>
      <c r="AS364" s="5" t="s">
        <v>66</v>
      </c>
      <c r="AT364" s="5" t="s">
        <v>66</v>
      </c>
      <c r="AU364" s="5" t="s">
        <v>66</v>
      </c>
      <c r="AV364" s="5" t="s">
        <v>66</v>
      </c>
      <c r="AW364" s="5" t="s">
        <v>66</v>
      </c>
      <c r="AX364" s="5" t="s">
        <v>2158</v>
      </c>
      <c r="AY364" s="5" t="s">
        <v>65</v>
      </c>
      <c r="AZ364" s="5" t="s">
        <v>145</v>
      </c>
      <c r="BA364" s="19">
        <v>1</v>
      </c>
      <c r="BB364" s="17" t="s">
        <v>94</v>
      </c>
      <c r="BC364" s="5" t="s">
        <v>2158</v>
      </c>
      <c r="BD364" s="5" t="s">
        <v>2185</v>
      </c>
    </row>
    <row r="365" spans="1:56" ht="108" hidden="1" x14ac:dyDescent="0.25">
      <c r="A365" s="78" t="s">
        <v>1749</v>
      </c>
      <c r="B365" s="5" t="s">
        <v>1750</v>
      </c>
      <c r="C365" s="5" t="s">
        <v>3293</v>
      </c>
      <c r="D365" s="5" t="s">
        <v>56</v>
      </c>
      <c r="E365" s="99" t="str">
        <f>VLOOKUP(D365,'Dropdown List'!$F$26:$G$40,2,0)</f>
        <v>India</v>
      </c>
      <c r="F365" s="8" t="s">
        <v>1751</v>
      </c>
      <c r="G365" s="96">
        <v>5</v>
      </c>
      <c r="H365" s="5" t="s">
        <v>57</v>
      </c>
      <c r="I365" s="8" t="s">
        <v>58</v>
      </c>
      <c r="J365" s="8" t="s">
        <v>146</v>
      </c>
      <c r="K365" s="8" t="s">
        <v>1752</v>
      </c>
      <c r="L365" s="8" t="s">
        <v>1753</v>
      </c>
      <c r="M365" s="8" t="s">
        <v>1754</v>
      </c>
      <c r="N365" s="5" t="s">
        <v>1034</v>
      </c>
      <c r="O365" s="5" t="s">
        <v>61</v>
      </c>
      <c r="P365" s="5" t="s">
        <v>1755</v>
      </c>
      <c r="Q365" s="9" t="s">
        <v>75</v>
      </c>
      <c r="R365" s="5" t="s">
        <v>76</v>
      </c>
      <c r="S365" s="5" t="s">
        <v>90</v>
      </c>
      <c r="T365" s="96">
        <v>1</v>
      </c>
      <c r="U365" s="96">
        <v>3</v>
      </c>
      <c r="V365" s="96" t="s">
        <v>1811</v>
      </c>
      <c r="W365" s="5" t="s">
        <v>91</v>
      </c>
      <c r="X365" s="10" t="s">
        <v>79</v>
      </c>
      <c r="Y365" s="11">
        <v>28906.52</v>
      </c>
      <c r="Z365" s="12">
        <v>0</v>
      </c>
      <c r="AA365" s="12">
        <v>1</v>
      </c>
      <c r="AB365" s="12">
        <v>1</v>
      </c>
      <c r="AC365" s="13">
        <v>1</v>
      </c>
      <c r="AD365" s="14">
        <f t="shared" si="12"/>
        <v>3</v>
      </c>
      <c r="AE365" s="15">
        <f t="shared" si="13"/>
        <v>0.33333333333333331</v>
      </c>
      <c r="AF365" s="16">
        <v>165</v>
      </c>
      <c r="AG365" s="16">
        <v>165</v>
      </c>
      <c r="AH365" s="17" t="s">
        <v>1756</v>
      </c>
      <c r="AI365" s="18" t="s">
        <v>1757</v>
      </c>
      <c r="AJ365" s="19">
        <v>1</v>
      </c>
      <c r="AK365" s="20">
        <v>0.95</v>
      </c>
      <c r="AL365" s="17" t="s">
        <v>92</v>
      </c>
      <c r="AM365" s="5" t="s">
        <v>66</v>
      </c>
      <c r="AN365" s="5" t="s">
        <v>66</v>
      </c>
      <c r="AO365" s="5" t="s">
        <v>66</v>
      </c>
      <c r="AP365" s="5" t="s">
        <v>66</v>
      </c>
      <c r="AQ365" s="5" t="s">
        <v>1808</v>
      </c>
      <c r="AR365" s="5" t="s">
        <v>1758</v>
      </c>
      <c r="AS365" s="5" t="s">
        <v>1759</v>
      </c>
      <c r="AT365" s="5" t="s">
        <v>66</v>
      </c>
      <c r="AU365" s="5" t="s">
        <v>66</v>
      </c>
      <c r="AV365" s="5" t="s">
        <v>66</v>
      </c>
      <c r="AW365" s="5" t="s">
        <v>200</v>
      </c>
      <c r="AX365" s="5" t="s">
        <v>1760</v>
      </c>
      <c r="AY365" s="5" t="s">
        <v>69</v>
      </c>
      <c r="AZ365" s="5" t="s">
        <v>145</v>
      </c>
      <c r="BA365" s="19" t="s">
        <v>1761</v>
      </c>
      <c r="BB365" s="17" t="s">
        <v>94</v>
      </c>
      <c r="BC365" s="5" t="s">
        <v>1762</v>
      </c>
      <c r="BD365" s="5" t="s">
        <v>1763</v>
      </c>
    </row>
    <row r="366" spans="1:56" ht="108" hidden="1" x14ac:dyDescent="0.25">
      <c r="A366" s="78" t="s">
        <v>1749</v>
      </c>
      <c r="B366" s="5" t="s">
        <v>1750</v>
      </c>
      <c r="C366" s="5" t="s">
        <v>3293</v>
      </c>
      <c r="D366" s="5" t="s">
        <v>56</v>
      </c>
      <c r="E366" s="99" t="str">
        <f>VLOOKUP(D366,'Dropdown List'!$F$26:$G$40,2,0)</f>
        <v>India</v>
      </c>
      <c r="F366" s="8" t="s">
        <v>1751</v>
      </c>
      <c r="G366" s="96">
        <v>5</v>
      </c>
      <c r="H366" s="5" t="s">
        <v>57</v>
      </c>
      <c r="I366" s="8" t="s">
        <v>58</v>
      </c>
      <c r="J366" s="8" t="s">
        <v>146</v>
      </c>
      <c r="K366" s="8" t="s">
        <v>1752</v>
      </c>
      <c r="L366" s="8" t="s">
        <v>1764</v>
      </c>
      <c r="M366" s="8" t="s">
        <v>1765</v>
      </c>
      <c r="N366" s="5" t="s">
        <v>1034</v>
      </c>
      <c r="O366" s="5" t="s">
        <v>61</v>
      </c>
      <c r="P366" s="5" t="s">
        <v>1755</v>
      </c>
      <c r="Q366" s="9" t="s">
        <v>75</v>
      </c>
      <c r="R366" s="5" t="s">
        <v>76</v>
      </c>
      <c r="S366" s="5" t="s">
        <v>90</v>
      </c>
      <c r="T366" s="96">
        <v>1</v>
      </c>
      <c r="U366" s="96">
        <v>3</v>
      </c>
      <c r="V366" s="96" t="s">
        <v>1811</v>
      </c>
      <c r="W366" s="5" t="s">
        <v>91</v>
      </c>
      <c r="X366" s="10" t="s">
        <v>79</v>
      </c>
      <c r="Y366" s="11">
        <v>25140.33</v>
      </c>
      <c r="Z366" s="12">
        <v>1</v>
      </c>
      <c r="AA366" s="12">
        <v>1</v>
      </c>
      <c r="AB366" s="12">
        <v>0</v>
      </c>
      <c r="AC366" s="13">
        <v>1</v>
      </c>
      <c r="AD366" s="14">
        <f t="shared" si="12"/>
        <v>3</v>
      </c>
      <c r="AE366" s="15">
        <f t="shared" si="13"/>
        <v>0.33333333333333331</v>
      </c>
      <c r="AF366" s="16">
        <v>1250</v>
      </c>
      <c r="AG366" s="16">
        <v>1250</v>
      </c>
      <c r="AH366" s="17" t="s">
        <v>1756</v>
      </c>
      <c r="AI366" s="18" t="s">
        <v>1766</v>
      </c>
      <c r="AJ366" s="19">
        <v>1</v>
      </c>
      <c r="AK366" s="20">
        <v>0.95</v>
      </c>
      <c r="AL366" s="17" t="s">
        <v>92</v>
      </c>
      <c r="AM366" s="5" t="s">
        <v>66</v>
      </c>
      <c r="AN366" s="5" t="s">
        <v>66</v>
      </c>
      <c r="AO366" s="5" t="s">
        <v>66</v>
      </c>
      <c r="AP366" s="5" t="s">
        <v>66</v>
      </c>
      <c r="AQ366" s="5" t="s">
        <v>1808</v>
      </c>
      <c r="AR366" s="5" t="s">
        <v>1758</v>
      </c>
      <c r="AS366" s="5" t="s">
        <v>1759</v>
      </c>
      <c r="AT366" s="5" t="s">
        <v>66</v>
      </c>
      <c r="AU366" s="5" t="s">
        <v>66</v>
      </c>
      <c r="AV366" s="5" t="s">
        <v>66</v>
      </c>
      <c r="AW366" s="5" t="s">
        <v>200</v>
      </c>
      <c r="AX366" s="5" t="s">
        <v>1760</v>
      </c>
      <c r="AY366" s="5" t="s">
        <v>69</v>
      </c>
      <c r="AZ366" s="5" t="s">
        <v>145</v>
      </c>
      <c r="BA366" s="19" t="s">
        <v>1761</v>
      </c>
      <c r="BB366" s="17" t="s">
        <v>94</v>
      </c>
      <c r="BC366" s="5" t="s">
        <v>1762</v>
      </c>
      <c r="BD366" s="5" t="s">
        <v>1763</v>
      </c>
    </row>
    <row r="367" spans="1:56" ht="108" hidden="1" x14ac:dyDescent="0.25">
      <c r="A367" s="78" t="s">
        <v>1749</v>
      </c>
      <c r="B367" s="5" t="s">
        <v>1750</v>
      </c>
      <c r="C367" s="5" t="s">
        <v>3293</v>
      </c>
      <c r="D367" s="5" t="s">
        <v>56</v>
      </c>
      <c r="E367" s="99" t="str">
        <f>VLOOKUP(D367,'Dropdown List'!$F$26:$G$40,2,0)</f>
        <v>India</v>
      </c>
      <c r="F367" s="8" t="s">
        <v>1751</v>
      </c>
      <c r="G367" s="96">
        <v>5</v>
      </c>
      <c r="H367" s="5" t="s">
        <v>57</v>
      </c>
      <c r="I367" s="8" t="s">
        <v>58</v>
      </c>
      <c r="J367" s="8" t="s">
        <v>146</v>
      </c>
      <c r="K367" s="8" t="s">
        <v>1752</v>
      </c>
      <c r="L367" s="8" t="s">
        <v>1767</v>
      </c>
      <c r="M367" s="8" t="s">
        <v>1768</v>
      </c>
      <c r="N367" s="5" t="s">
        <v>1034</v>
      </c>
      <c r="O367" s="5" t="s">
        <v>61</v>
      </c>
      <c r="P367" s="5" t="s">
        <v>1755</v>
      </c>
      <c r="Q367" s="9" t="s">
        <v>75</v>
      </c>
      <c r="R367" s="5" t="s">
        <v>76</v>
      </c>
      <c r="S367" s="5" t="s">
        <v>90</v>
      </c>
      <c r="T367" s="96">
        <v>1</v>
      </c>
      <c r="U367" s="96">
        <v>3</v>
      </c>
      <c r="V367" s="96" t="s">
        <v>1811</v>
      </c>
      <c r="W367" s="5" t="s">
        <v>91</v>
      </c>
      <c r="X367" s="10" t="s">
        <v>79</v>
      </c>
      <c r="Y367" s="11">
        <v>25140.33</v>
      </c>
      <c r="Z367" s="12">
        <v>0</v>
      </c>
      <c r="AA367" s="12">
        <v>1</v>
      </c>
      <c r="AB367" s="12">
        <v>0</v>
      </c>
      <c r="AC367" s="13">
        <v>1</v>
      </c>
      <c r="AD367" s="14">
        <f t="shared" si="12"/>
        <v>2</v>
      </c>
      <c r="AE367" s="15">
        <f t="shared" si="13"/>
        <v>0.5</v>
      </c>
      <c r="AF367" s="16">
        <v>202</v>
      </c>
      <c r="AG367" s="16">
        <v>202</v>
      </c>
      <c r="AH367" s="17" t="s">
        <v>1756</v>
      </c>
      <c r="AI367" s="18" t="s">
        <v>1757</v>
      </c>
      <c r="AJ367" s="19">
        <v>1</v>
      </c>
      <c r="AK367" s="20">
        <v>0.95</v>
      </c>
      <c r="AL367" s="17" t="s">
        <v>92</v>
      </c>
      <c r="AM367" s="5" t="s">
        <v>66</v>
      </c>
      <c r="AN367" s="5" t="s">
        <v>66</v>
      </c>
      <c r="AO367" s="5" t="s">
        <v>66</v>
      </c>
      <c r="AP367" s="5" t="s">
        <v>66</v>
      </c>
      <c r="AQ367" s="5" t="s">
        <v>1808</v>
      </c>
      <c r="AR367" s="5" t="s">
        <v>1758</v>
      </c>
      <c r="AS367" s="5" t="s">
        <v>1759</v>
      </c>
      <c r="AT367" s="5" t="s">
        <v>66</v>
      </c>
      <c r="AU367" s="5" t="s">
        <v>66</v>
      </c>
      <c r="AV367" s="5" t="s">
        <v>66</v>
      </c>
      <c r="AW367" s="5" t="s">
        <v>200</v>
      </c>
      <c r="AX367" s="5" t="s">
        <v>1760</v>
      </c>
      <c r="AY367" s="5" t="s">
        <v>69</v>
      </c>
      <c r="AZ367" s="5" t="s">
        <v>145</v>
      </c>
      <c r="BA367" s="19" t="s">
        <v>1761</v>
      </c>
      <c r="BB367" s="17" t="s">
        <v>94</v>
      </c>
      <c r="BC367" s="5" t="s">
        <v>1762</v>
      </c>
      <c r="BD367" s="5" t="s">
        <v>1763</v>
      </c>
    </row>
    <row r="368" spans="1:56" ht="108" hidden="1" x14ac:dyDescent="0.25">
      <c r="A368" s="78" t="s">
        <v>1749</v>
      </c>
      <c r="B368" s="5" t="s">
        <v>1750</v>
      </c>
      <c r="C368" s="5" t="s">
        <v>3293</v>
      </c>
      <c r="D368" s="5" t="s">
        <v>56</v>
      </c>
      <c r="E368" s="99" t="str">
        <f>VLOOKUP(D368,'Dropdown List'!$F$26:$G$40,2,0)</f>
        <v>India</v>
      </c>
      <c r="F368" s="8" t="s">
        <v>1751</v>
      </c>
      <c r="G368" s="96">
        <v>5</v>
      </c>
      <c r="H368" s="5" t="s">
        <v>57</v>
      </c>
      <c r="I368" s="8" t="s">
        <v>58</v>
      </c>
      <c r="J368" s="8" t="s">
        <v>146</v>
      </c>
      <c r="K368" s="8" t="s">
        <v>1752</v>
      </c>
      <c r="L368" s="8" t="s">
        <v>1769</v>
      </c>
      <c r="M368" s="8" t="s">
        <v>1770</v>
      </c>
      <c r="N368" s="5" t="s">
        <v>1034</v>
      </c>
      <c r="O368" s="5" t="s">
        <v>61</v>
      </c>
      <c r="P368" s="5" t="s">
        <v>1755</v>
      </c>
      <c r="Q368" s="9" t="s">
        <v>75</v>
      </c>
      <c r="R368" s="5" t="s">
        <v>76</v>
      </c>
      <c r="S368" s="5" t="s">
        <v>90</v>
      </c>
      <c r="T368" s="96">
        <v>1</v>
      </c>
      <c r="U368" s="96">
        <v>3</v>
      </c>
      <c r="V368" s="96" t="s">
        <v>1811</v>
      </c>
      <c r="W368" s="5" t="s">
        <v>91</v>
      </c>
      <c r="X368" s="10" t="s">
        <v>79</v>
      </c>
      <c r="Y368" s="11">
        <v>25140.33</v>
      </c>
      <c r="Z368" s="12">
        <v>1</v>
      </c>
      <c r="AA368" s="12">
        <v>1</v>
      </c>
      <c r="AB368" s="12">
        <v>0</v>
      </c>
      <c r="AC368" s="13">
        <v>1</v>
      </c>
      <c r="AD368" s="14">
        <f t="shared" si="12"/>
        <v>3</v>
      </c>
      <c r="AE368" s="15">
        <f t="shared" si="13"/>
        <v>0.33333333333333331</v>
      </c>
      <c r="AF368" s="16">
        <v>177</v>
      </c>
      <c r="AG368" s="16">
        <v>177</v>
      </c>
      <c r="AH368" s="17" t="s">
        <v>1756</v>
      </c>
      <c r="AI368" s="18" t="s">
        <v>1771</v>
      </c>
      <c r="AJ368" s="19">
        <v>1</v>
      </c>
      <c r="AK368" s="20">
        <v>0.95</v>
      </c>
      <c r="AL368" s="17" t="s">
        <v>92</v>
      </c>
      <c r="AM368" s="5" t="s">
        <v>66</v>
      </c>
      <c r="AN368" s="5" t="s">
        <v>66</v>
      </c>
      <c r="AO368" s="5" t="s">
        <v>66</v>
      </c>
      <c r="AP368" s="5" t="s">
        <v>66</v>
      </c>
      <c r="AQ368" s="5" t="s">
        <v>1808</v>
      </c>
      <c r="AR368" s="5" t="s">
        <v>1758</v>
      </c>
      <c r="AS368" s="5" t="s">
        <v>1759</v>
      </c>
      <c r="AT368" s="5" t="s">
        <v>66</v>
      </c>
      <c r="AU368" s="5" t="s">
        <v>66</v>
      </c>
      <c r="AV368" s="5" t="s">
        <v>66</v>
      </c>
      <c r="AW368" s="5" t="s">
        <v>200</v>
      </c>
      <c r="AX368" s="5" t="s">
        <v>1760</v>
      </c>
      <c r="AY368" s="5" t="s">
        <v>69</v>
      </c>
      <c r="AZ368" s="5" t="s">
        <v>145</v>
      </c>
      <c r="BA368" s="19" t="s">
        <v>1761</v>
      </c>
      <c r="BB368" s="17" t="s">
        <v>94</v>
      </c>
      <c r="BC368" s="5" t="s">
        <v>1762</v>
      </c>
      <c r="BD368" s="5" t="s">
        <v>1763</v>
      </c>
    </row>
    <row r="369" spans="1:56" ht="108" hidden="1" x14ac:dyDescent="0.25">
      <c r="A369" s="78" t="s">
        <v>1749</v>
      </c>
      <c r="B369" s="5" t="s">
        <v>1750</v>
      </c>
      <c r="C369" s="5" t="s">
        <v>3293</v>
      </c>
      <c r="D369" s="5" t="s">
        <v>56</v>
      </c>
      <c r="E369" s="99" t="str">
        <f>VLOOKUP(D369,'Dropdown List'!$F$26:$G$40,2,0)</f>
        <v>India</v>
      </c>
      <c r="F369" s="8" t="s">
        <v>1751</v>
      </c>
      <c r="G369" s="96">
        <v>5</v>
      </c>
      <c r="H369" s="5" t="s">
        <v>57</v>
      </c>
      <c r="I369" s="8" t="s">
        <v>58</v>
      </c>
      <c r="J369" s="8" t="s">
        <v>146</v>
      </c>
      <c r="K369" s="8" t="s">
        <v>1752</v>
      </c>
      <c r="L369" s="8" t="s">
        <v>1772</v>
      </c>
      <c r="M369" s="8" t="s">
        <v>1773</v>
      </c>
      <c r="N369" s="5" t="s">
        <v>1034</v>
      </c>
      <c r="O369" s="5" t="s">
        <v>61</v>
      </c>
      <c r="P369" s="5" t="s">
        <v>1755</v>
      </c>
      <c r="Q369" s="9" t="s">
        <v>75</v>
      </c>
      <c r="R369" s="5" t="s">
        <v>76</v>
      </c>
      <c r="S369" s="5" t="s">
        <v>90</v>
      </c>
      <c r="T369" s="96">
        <v>1</v>
      </c>
      <c r="U369" s="96">
        <v>3</v>
      </c>
      <c r="V369" s="96" t="s">
        <v>1811</v>
      </c>
      <c r="W369" s="5" t="s">
        <v>91</v>
      </c>
      <c r="X369" s="10" t="s">
        <v>79</v>
      </c>
      <c r="Y369" s="11">
        <v>25140.33</v>
      </c>
      <c r="Z369" s="12">
        <v>1.21</v>
      </c>
      <c r="AA369" s="12">
        <v>0</v>
      </c>
      <c r="AB369" s="12">
        <v>0</v>
      </c>
      <c r="AC369" s="13">
        <v>1</v>
      </c>
      <c r="AD369" s="14">
        <f t="shared" si="12"/>
        <v>2.21</v>
      </c>
      <c r="AE369" s="15">
        <f t="shared" si="13"/>
        <v>0.45248868778280543</v>
      </c>
      <c r="AF369" s="16">
        <v>328</v>
      </c>
      <c r="AG369" s="16">
        <v>328</v>
      </c>
      <c r="AH369" s="17" t="s">
        <v>1756</v>
      </c>
      <c r="AI369" s="18" t="s">
        <v>1774</v>
      </c>
      <c r="AJ369" s="19">
        <v>1</v>
      </c>
      <c r="AK369" s="20">
        <v>0.95</v>
      </c>
      <c r="AL369" s="17" t="s">
        <v>92</v>
      </c>
      <c r="AM369" s="5" t="s">
        <v>66</v>
      </c>
      <c r="AN369" s="5" t="s">
        <v>66</v>
      </c>
      <c r="AO369" s="5" t="s">
        <v>66</v>
      </c>
      <c r="AP369" s="5" t="s">
        <v>66</v>
      </c>
      <c r="AQ369" s="5" t="s">
        <v>1808</v>
      </c>
      <c r="AR369" s="5" t="s">
        <v>1758</v>
      </c>
      <c r="AS369" s="5" t="s">
        <v>1759</v>
      </c>
      <c r="AT369" s="5" t="s">
        <v>66</v>
      </c>
      <c r="AU369" s="5" t="s">
        <v>66</v>
      </c>
      <c r="AV369" s="5" t="s">
        <v>66</v>
      </c>
      <c r="AW369" s="5" t="s">
        <v>200</v>
      </c>
      <c r="AX369" s="5" t="s">
        <v>1760</v>
      </c>
      <c r="AY369" s="5" t="s">
        <v>69</v>
      </c>
      <c r="AZ369" s="5" t="s">
        <v>145</v>
      </c>
      <c r="BA369" s="19" t="s">
        <v>1761</v>
      </c>
      <c r="BB369" s="17" t="s">
        <v>94</v>
      </c>
      <c r="BC369" s="5" t="s">
        <v>1762</v>
      </c>
      <c r="BD369" s="5" t="s">
        <v>1763</v>
      </c>
    </row>
    <row r="370" spans="1:56" ht="108" hidden="1" x14ac:dyDescent="0.25">
      <c r="A370" s="78" t="s">
        <v>1749</v>
      </c>
      <c r="B370" s="5" t="s">
        <v>1750</v>
      </c>
      <c r="C370" s="5" t="s">
        <v>3293</v>
      </c>
      <c r="D370" s="5" t="s">
        <v>56</v>
      </c>
      <c r="E370" s="99" t="str">
        <f>VLOOKUP(D370,'Dropdown List'!$F$26:$G$40,2,0)</f>
        <v>India</v>
      </c>
      <c r="F370" s="8" t="s">
        <v>1751</v>
      </c>
      <c r="G370" s="96">
        <v>5</v>
      </c>
      <c r="H370" s="5" t="s">
        <v>57</v>
      </c>
      <c r="I370" s="8" t="s">
        <v>58</v>
      </c>
      <c r="J370" s="8" t="s">
        <v>146</v>
      </c>
      <c r="K370" s="8" t="s">
        <v>1752</v>
      </c>
      <c r="L370" s="8" t="s">
        <v>1775</v>
      </c>
      <c r="M370" s="8" t="s">
        <v>1776</v>
      </c>
      <c r="N370" s="5" t="s">
        <v>1034</v>
      </c>
      <c r="O370" s="5" t="s">
        <v>61</v>
      </c>
      <c r="P370" s="5" t="s">
        <v>1755</v>
      </c>
      <c r="Q370" s="9" t="s">
        <v>75</v>
      </c>
      <c r="R370" s="5" t="s">
        <v>76</v>
      </c>
      <c r="S370" s="5" t="s">
        <v>90</v>
      </c>
      <c r="T370" s="96">
        <v>1</v>
      </c>
      <c r="U370" s="96">
        <v>3</v>
      </c>
      <c r="V370" s="96" t="s">
        <v>1811</v>
      </c>
      <c r="W370" s="5" t="s">
        <v>91</v>
      </c>
      <c r="X370" s="10" t="s">
        <v>79</v>
      </c>
      <c r="Y370" s="11">
        <v>25140.33</v>
      </c>
      <c r="Z370" s="12">
        <v>0.19</v>
      </c>
      <c r="AA370" s="12">
        <v>0</v>
      </c>
      <c r="AB370" s="12">
        <v>0</v>
      </c>
      <c r="AC370" s="13">
        <v>0</v>
      </c>
      <c r="AD370" s="14">
        <f t="shared" si="12"/>
        <v>0.19</v>
      </c>
      <c r="AE370" s="15">
        <f t="shared" si="13"/>
        <v>0</v>
      </c>
      <c r="AF370" s="16">
        <v>107</v>
      </c>
      <c r="AG370" s="16">
        <v>107</v>
      </c>
      <c r="AH370" s="17" t="s">
        <v>1756</v>
      </c>
      <c r="AI370" s="18" t="s">
        <v>1778</v>
      </c>
      <c r="AJ370" s="19">
        <v>1</v>
      </c>
      <c r="AK370" s="20">
        <v>0.95</v>
      </c>
      <c r="AL370" s="17" t="s">
        <v>92</v>
      </c>
      <c r="AM370" s="5" t="s">
        <v>66</v>
      </c>
      <c r="AN370" s="5" t="s">
        <v>66</v>
      </c>
      <c r="AO370" s="5" t="s">
        <v>66</v>
      </c>
      <c r="AP370" s="5" t="s">
        <v>66</v>
      </c>
      <c r="AQ370" s="5" t="s">
        <v>1808</v>
      </c>
      <c r="AR370" s="5" t="s">
        <v>1758</v>
      </c>
      <c r="AS370" s="5" t="s">
        <v>1759</v>
      </c>
      <c r="AT370" s="5" t="s">
        <v>66</v>
      </c>
      <c r="AU370" s="5" t="s">
        <v>66</v>
      </c>
      <c r="AV370" s="5" t="s">
        <v>66</v>
      </c>
      <c r="AW370" s="5" t="s">
        <v>200</v>
      </c>
      <c r="AX370" s="5" t="s">
        <v>1760</v>
      </c>
      <c r="AY370" s="5" t="s">
        <v>69</v>
      </c>
      <c r="AZ370" s="5" t="s">
        <v>145</v>
      </c>
      <c r="BA370" s="19" t="s">
        <v>1761</v>
      </c>
      <c r="BB370" s="17" t="s">
        <v>94</v>
      </c>
      <c r="BC370" s="5" t="s">
        <v>1762</v>
      </c>
      <c r="BD370" s="5" t="s">
        <v>1763</v>
      </c>
    </row>
    <row r="371" spans="1:56" ht="108" hidden="1" x14ac:dyDescent="0.25">
      <c r="A371" s="78" t="s">
        <v>1749</v>
      </c>
      <c r="B371" s="5" t="s">
        <v>1750</v>
      </c>
      <c r="C371" s="5" t="s">
        <v>3293</v>
      </c>
      <c r="D371" s="5" t="s">
        <v>56</v>
      </c>
      <c r="E371" s="99" t="str">
        <f>VLOOKUP(D371,'Dropdown List'!$F$26:$G$40,2,0)</f>
        <v>India</v>
      </c>
      <c r="F371" s="8" t="s">
        <v>1751</v>
      </c>
      <c r="G371" s="96">
        <v>5</v>
      </c>
      <c r="H371" s="5" t="s">
        <v>57</v>
      </c>
      <c r="I371" s="8" t="s">
        <v>58</v>
      </c>
      <c r="J371" s="8" t="s">
        <v>146</v>
      </c>
      <c r="K371" s="8" t="s">
        <v>1752</v>
      </c>
      <c r="L371" s="8" t="s">
        <v>1779</v>
      </c>
      <c r="M371" s="8" t="s">
        <v>1780</v>
      </c>
      <c r="N371" s="5" t="s">
        <v>1034</v>
      </c>
      <c r="O371" s="5" t="s">
        <v>61</v>
      </c>
      <c r="P371" s="5" t="s">
        <v>1755</v>
      </c>
      <c r="Q371" s="9" t="s">
        <v>75</v>
      </c>
      <c r="R371" s="5" t="s">
        <v>76</v>
      </c>
      <c r="S371" s="5" t="s">
        <v>90</v>
      </c>
      <c r="T371" s="96">
        <v>1</v>
      </c>
      <c r="U371" s="96">
        <v>3</v>
      </c>
      <c r="V371" s="96" t="s">
        <v>1811</v>
      </c>
      <c r="W371" s="5" t="s">
        <v>91</v>
      </c>
      <c r="X371" s="10" t="s">
        <v>79</v>
      </c>
      <c r="Y371" s="11">
        <v>25140.33</v>
      </c>
      <c r="Z371" s="12">
        <v>3.61</v>
      </c>
      <c r="AA371" s="12">
        <v>0</v>
      </c>
      <c r="AB371" s="12">
        <v>0</v>
      </c>
      <c r="AC371" s="13">
        <v>0</v>
      </c>
      <c r="AD371" s="14">
        <f t="shared" si="12"/>
        <v>3.61</v>
      </c>
      <c r="AE371" s="15">
        <f t="shared" si="13"/>
        <v>0</v>
      </c>
      <c r="AF371" s="16">
        <v>1329</v>
      </c>
      <c r="AG371" s="16">
        <v>1329</v>
      </c>
      <c r="AH371" s="17" t="s">
        <v>1756</v>
      </c>
      <c r="AI371" s="18" t="s">
        <v>792</v>
      </c>
      <c r="AJ371" s="19">
        <v>1</v>
      </c>
      <c r="AK371" s="20">
        <v>0.95</v>
      </c>
      <c r="AL371" s="17" t="s">
        <v>92</v>
      </c>
      <c r="AM371" s="5" t="s">
        <v>66</v>
      </c>
      <c r="AN371" s="5" t="s">
        <v>66</v>
      </c>
      <c r="AO371" s="5" t="s">
        <v>66</v>
      </c>
      <c r="AP371" s="5" t="s">
        <v>66</v>
      </c>
      <c r="AQ371" s="5" t="s">
        <v>1808</v>
      </c>
      <c r="AR371" s="5" t="s">
        <v>1758</v>
      </c>
      <c r="AS371" s="5" t="s">
        <v>1759</v>
      </c>
      <c r="AT371" s="5" t="s">
        <v>66</v>
      </c>
      <c r="AU371" s="5" t="s">
        <v>66</v>
      </c>
      <c r="AV371" s="5" t="s">
        <v>66</v>
      </c>
      <c r="AW371" s="5" t="s">
        <v>200</v>
      </c>
      <c r="AX371" s="5" t="s">
        <v>1760</v>
      </c>
      <c r="AY371" s="5" t="s">
        <v>69</v>
      </c>
      <c r="AZ371" s="5" t="s">
        <v>145</v>
      </c>
      <c r="BA371" s="19" t="s">
        <v>1761</v>
      </c>
      <c r="BB371" s="17" t="s">
        <v>94</v>
      </c>
      <c r="BC371" s="5" t="s">
        <v>1762</v>
      </c>
      <c r="BD371" s="5" t="s">
        <v>1763</v>
      </c>
    </row>
    <row r="372" spans="1:56" ht="108" hidden="1" x14ac:dyDescent="0.25">
      <c r="A372" s="78" t="s">
        <v>1749</v>
      </c>
      <c r="B372" s="5" t="s">
        <v>1750</v>
      </c>
      <c r="C372" s="5" t="s">
        <v>3293</v>
      </c>
      <c r="D372" s="5" t="s">
        <v>56</v>
      </c>
      <c r="E372" s="99" t="str">
        <f>VLOOKUP(D372,'Dropdown List'!$F$26:$G$40,2,0)</f>
        <v>India</v>
      </c>
      <c r="F372" s="8" t="s">
        <v>1751</v>
      </c>
      <c r="G372" s="96">
        <v>5</v>
      </c>
      <c r="H372" s="5" t="s">
        <v>57</v>
      </c>
      <c r="I372" s="8" t="s">
        <v>58</v>
      </c>
      <c r="J372" s="8" t="s">
        <v>146</v>
      </c>
      <c r="K372" s="8" t="s">
        <v>1752</v>
      </c>
      <c r="L372" s="8" t="s">
        <v>1781</v>
      </c>
      <c r="M372" s="8" t="s">
        <v>1780</v>
      </c>
      <c r="N372" s="5" t="s">
        <v>1034</v>
      </c>
      <c r="O372" s="5" t="s">
        <v>61</v>
      </c>
      <c r="P372" s="5" t="s">
        <v>1755</v>
      </c>
      <c r="Q372" s="9" t="s">
        <v>75</v>
      </c>
      <c r="R372" s="5" t="s">
        <v>76</v>
      </c>
      <c r="S372" s="5" t="s">
        <v>90</v>
      </c>
      <c r="T372" s="96">
        <v>1</v>
      </c>
      <c r="U372" s="96">
        <v>3</v>
      </c>
      <c r="V372" s="96" t="s">
        <v>1811</v>
      </c>
      <c r="W372" s="5" t="s">
        <v>91</v>
      </c>
      <c r="X372" s="10" t="s">
        <v>79</v>
      </c>
      <c r="Y372" s="11">
        <v>25140.33</v>
      </c>
      <c r="Z372" s="12">
        <v>0.08</v>
      </c>
      <c r="AA372" s="12">
        <v>0</v>
      </c>
      <c r="AB372" s="12">
        <v>0</v>
      </c>
      <c r="AC372" s="13">
        <v>0</v>
      </c>
      <c r="AD372" s="14">
        <f t="shared" si="12"/>
        <v>0.08</v>
      </c>
      <c r="AE372" s="15">
        <f t="shared" si="13"/>
        <v>0</v>
      </c>
      <c r="AF372" s="16">
        <v>12</v>
      </c>
      <c r="AG372" s="16">
        <v>12</v>
      </c>
      <c r="AH372" s="17" t="s">
        <v>1756</v>
      </c>
      <c r="AI372" s="18" t="s">
        <v>792</v>
      </c>
      <c r="AJ372" s="19">
        <v>1</v>
      </c>
      <c r="AK372" s="20">
        <v>0.95</v>
      </c>
      <c r="AL372" s="17" t="s">
        <v>92</v>
      </c>
      <c r="AM372" s="5" t="s">
        <v>66</v>
      </c>
      <c r="AN372" s="5" t="s">
        <v>66</v>
      </c>
      <c r="AO372" s="5" t="s">
        <v>66</v>
      </c>
      <c r="AP372" s="5" t="s">
        <v>66</v>
      </c>
      <c r="AQ372" s="5" t="s">
        <v>1808</v>
      </c>
      <c r="AR372" s="5" t="s">
        <v>1758</v>
      </c>
      <c r="AS372" s="5" t="s">
        <v>1759</v>
      </c>
      <c r="AT372" s="5" t="s">
        <v>66</v>
      </c>
      <c r="AU372" s="5" t="s">
        <v>66</v>
      </c>
      <c r="AV372" s="5" t="s">
        <v>66</v>
      </c>
      <c r="AW372" s="5" t="s">
        <v>200</v>
      </c>
      <c r="AX372" s="5" t="s">
        <v>1760</v>
      </c>
      <c r="AY372" s="5" t="s">
        <v>69</v>
      </c>
      <c r="AZ372" s="5" t="s">
        <v>145</v>
      </c>
      <c r="BA372" s="19" t="s">
        <v>1761</v>
      </c>
      <c r="BB372" s="17" t="s">
        <v>94</v>
      </c>
      <c r="BC372" s="5" t="s">
        <v>1762</v>
      </c>
      <c r="BD372" s="5" t="s">
        <v>1763</v>
      </c>
    </row>
    <row r="373" spans="1:56" ht="108" hidden="1" x14ac:dyDescent="0.25">
      <c r="A373" s="78" t="s">
        <v>1749</v>
      </c>
      <c r="B373" s="5" t="s">
        <v>1750</v>
      </c>
      <c r="C373" s="5" t="s">
        <v>3293</v>
      </c>
      <c r="D373" s="5" t="s">
        <v>56</v>
      </c>
      <c r="E373" s="99" t="str">
        <f>VLOOKUP(D373,'Dropdown List'!$F$26:$G$40,2,0)</f>
        <v>India</v>
      </c>
      <c r="F373" s="8" t="s">
        <v>1751</v>
      </c>
      <c r="G373" s="96">
        <v>5</v>
      </c>
      <c r="H373" s="5" t="s">
        <v>57</v>
      </c>
      <c r="I373" s="8" t="s">
        <v>58</v>
      </c>
      <c r="J373" s="8" t="s">
        <v>146</v>
      </c>
      <c r="K373" s="8" t="s">
        <v>1752</v>
      </c>
      <c r="L373" s="8" t="s">
        <v>1782</v>
      </c>
      <c r="M373" s="8" t="s">
        <v>1783</v>
      </c>
      <c r="N373" s="5" t="s">
        <v>1034</v>
      </c>
      <c r="O373" s="5" t="s">
        <v>61</v>
      </c>
      <c r="P373" s="5" t="s">
        <v>1755</v>
      </c>
      <c r="Q373" s="9" t="s">
        <v>75</v>
      </c>
      <c r="R373" s="5" t="s">
        <v>76</v>
      </c>
      <c r="S373" s="5" t="s">
        <v>90</v>
      </c>
      <c r="T373" s="96">
        <v>1</v>
      </c>
      <c r="U373" s="96">
        <v>3</v>
      </c>
      <c r="V373" s="96" t="s">
        <v>1811</v>
      </c>
      <c r="W373" s="5" t="s">
        <v>91</v>
      </c>
      <c r="X373" s="10" t="s">
        <v>79</v>
      </c>
      <c r="Y373" s="11">
        <v>25140.33</v>
      </c>
      <c r="Z373" s="12">
        <v>1.77</v>
      </c>
      <c r="AA373" s="12">
        <v>0</v>
      </c>
      <c r="AB373" s="12">
        <v>0</v>
      </c>
      <c r="AC373" s="13">
        <v>0</v>
      </c>
      <c r="AD373" s="14">
        <f t="shared" si="12"/>
        <v>1.77</v>
      </c>
      <c r="AE373" s="15">
        <f t="shared" si="13"/>
        <v>0</v>
      </c>
      <c r="AF373" s="16">
        <v>1062</v>
      </c>
      <c r="AG373" s="16">
        <v>1062</v>
      </c>
      <c r="AH373" s="17" t="s">
        <v>1756</v>
      </c>
      <c r="AI373" s="18" t="s">
        <v>1784</v>
      </c>
      <c r="AJ373" s="19">
        <v>1</v>
      </c>
      <c r="AK373" s="20">
        <v>0.95</v>
      </c>
      <c r="AL373" s="17" t="s">
        <v>92</v>
      </c>
      <c r="AM373" s="5" t="s">
        <v>66</v>
      </c>
      <c r="AN373" s="5" t="s">
        <v>66</v>
      </c>
      <c r="AO373" s="5" t="s">
        <v>66</v>
      </c>
      <c r="AP373" s="5" t="s">
        <v>66</v>
      </c>
      <c r="AQ373" s="5" t="s">
        <v>1808</v>
      </c>
      <c r="AR373" s="5" t="s">
        <v>1758</v>
      </c>
      <c r="AS373" s="5" t="s">
        <v>1759</v>
      </c>
      <c r="AT373" s="5" t="s">
        <v>66</v>
      </c>
      <c r="AU373" s="5" t="s">
        <v>66</v>
      </c>
      <c r="AV373" s="5" t="s">
        <v>66</v>
      </c>
      <c r="AW373" s="5" t="s">
        <v>200</v>
      </c>
      <c r="AX373" s="5" t="s">
        <v>1760</v>
      </c>
      <c r="AY373" s="5" t="s">
        <v>69</v>
      </c>
      <c r="AZ373" s="5" t="s">
        <v>145</v>
      </c>
      <c r="BA373" s="19" t="s">
        <v>1761</v>
      </c>
      <c r="BB373" s="17" t="s">
        <v>94</v>
      </c>
      <c r="BC373" s="5" t="s">
        <v>1762</v>
      </c>
      <c r="BD373" s="5" t="s">
        <v>1763</v>
      </c>
    </row>
    <row r="374" spans="1:56" ht="108" hidden="1" x14ac:dyDescent="0.25">
      <c r="A374" s="78" t="s">
        <v>1749</v>
      </c>
      <c r="B374" s="5" t="s">
        <v>1750</v>
      </c>
      <c r="C374" s="5" t="s">
        <v>3293</v>
      </c>
      <c r="D374" s="5" t="s">
        <v>56</v>
      </c>
      <c r="E374" s="99" t="str">
        <f>VLOOKUP(D374,'Dropdown List'!$F$26:$G$40,2,0)</f>
        <v>India</v>
      </c>
      <c r="F374" s="8" t="s">
        <v>1751</v>
      </c>
      <c r="G374" s="96">
        <v>5</v>
      </c>
      <c r="H374" s="5" t="s">
        <v>57</v>
      </c>
      <c r="I374" s="8" t="s">
        <v>58</v>
      </c>
      <c r="J374" s="8" t="s">
        <v>146</v>
      </c>
      <c r="K374" s="8" t="s">
        <v>1752</v>
      </c>
      <c r="L374" s="8" t="s">
        <v>1785</v>
      </c>
      <c r="M374" s="8" t="s">
        <v>1786</v>
      </c>
      <c r="N374" s="5" t="s">
        <v>1034</v>
      </c>
      <c r="O374" s="5" t="s">
        <v>61</v>
      </c>
      <c r="P374" s="5" t="s">
        <v>1755</v>
      </c>
      <c r="Q374" s="9" t="s">
        <v>75</v>
      </c>
      <c r="R374" s="5" t="s">
        <v>76</v>
      </c>
      <c r="S374" s="5" t="s">
        <v>90</v>
      </c>
      <c r="T374" s="96">
        <v>1</v>
      </c>
      <c r="U374" s="96">
        <v>3</v>
      </c>
      <c r="V374" s="96" t="s">
        <v>1811</v>
      </c>
      <c r="W374" s="5" t="s">
        <v>91</v>
      </c>
      <c r="X374" s="10" t="s">
        <v>79</v>
      </c>
      <c r="Y374" s="11">
        <v>25140.33</v>
      </c>
      <c r="Z374" s="12">
        <v>0</v>
      </c>
      <c r="AA374" s="12">
        <v>0</v>
      </c>
      <c r="AB374" s="12">
        <v>0</v>
      </c>
      <c r="AC374" s="13">
        <v>0</v>
      </c>
      <c r="AD374" s="14">
        <f t="shared" si="12"/>
        <v>0</v>
      </c>
      <c r="AE374" s="15" t="e">
        <f t="shared" si="13"/>
        <v>#DIV/0!</v>
      </c>
      <c r="AF374" s="16">
        <v>61</v>
      </c>
      <c r="AG374" s="16">
        <v>61</v>
      </c>
      <c r="AH374" s="17" t="s">
        <v>1756</v>
      </c>
      <c r="AI374" s="18" t="s">
        <v>1787</v>
      </c>
      <c r="AJ374" s="19">
        <v>1</v>
      </c>
      <c r="AK374" s="20">
        <v>0.95</v>
      </c>
      <c r="AL374" s="17" t="s">
        <v>92</v>
      </c>
      <c r="AM374" s="5" t="s">
        <v>66</v>
      </c>
      <c r="AN374" s="5" t="s">
        <v>66</v>
      </c>
      <c r="AO374" s="5" t="s">
        <v>66</v>
      </c>
      <c r="AP374" s="5" t="s">
        <v>66</v>
      </c>
      <c r="AQ374" s="5" t="s">
        <v>1808</v>
      </c>
      <c r="AR374" s="5" t="s">
        <v>1758</v>
      </c>
      <c r="AS374" s="5" t="s">
        <v>1759</v>
      </c>
      <c r="AT374" s="5" t="s">
        <v>66</v>
      </c>
      <c r="AU374" s="5" t="s">
        <v>66</v>
      </c>
      <c r="AV374" s="5" t="s">
        <v>66</v>
      </c>
      <c r="AW374" s="5" t="s">
        <v>200</v>
      </c>
      <c r="AX374" s="5" t="s">
        <v>1760</v>
      </c>
      <c r="AY374" s="5" t="s">
        <v>69</v>
      </c>
      <c r="AZ374" s="5" t="s">
        <v>145</v>
      </c>
      <c r="BA374" s="19" t="s">
        <v>1761</v>
      </c>
      <c r="BB374" s="17" t="s">
        <v>94</v>
      </c>
      <c r="BC374" s="5" t="s">
        <v>1762</v>
      </c>
      <c r="BD374" s="5" t="s">
        <v>1763</v>
      </c>
    </row>
    <row r="375" spans="1:56" ht="108" hidden="1" x14ac:dyDescent="0.25">
      <c r="A375" s="78" t="s">
        <v>1749</v>
      </c>
      <c r="B375" s="5" t="s">
        <v>1750</v>
      </c>
      <c r="C375" s="5" t="s">
        <v>3293</v>
      </c>
      <c r="D375" s="5" t="s">
        <v>56</v>
      </c>
      <c r="E375" s="99" t="str">
        <f>VLOOKUP(D375,'Dropdown List'!$F$26:$G$40,2,0)</f>
        <v>India</v>
      </c>
      <c r="F375" s="8" t="s">
        <v>1751</v>
      </c>
      <c r="G375" s="96">
        <v>5</v>
      </c>
      <c r="H375" s="5" t="s">
        <v>57</v>
      </c>
      <c r="I375" s="8" t="s">
        <v>58</v>
      </c>
      <c r="J375" s="8" t="s">
        <v>146</v>
      </c>
      <c r="K375" s="8" t="s">
        <v>1752</v>
      </c>
      <c r="L375" s="8" t="s">
        <v>1788</v>
      </c>
      <c r="M375" s="8" t="s">
        <v>1789</v>
      </c>
      <c r="N375" s="5" t="s">
        <v>1034</v>
      </c>
      <c r="O375" s="5" t="s">
        <v>61</v>
      </c>
      <c r="P375" s="5" t="s">
        <v>1755</v>
      </c>
      <c r="Q375" s="9" t="s">
        <v>75</v>
      </c>
      <c r="R375" s="5" t="s">
        <v>76</v>
      </c>
      <c r="S375" s="5" t="s">
        <v>90</v>
      </c>
      <c r="T375" s="96">
        <v>1</v>
      </c>
      <c r="U375" s="96">
        <v>3</v>
      </c>
      <c r="V375" s="96" t="s">
        <v>1811</v>
      </c>
      <c r="W375" s="5" t="s">
        <v>91</v>
      </c>
      <c r="X375" s="10" t="s">
        <v>79</v>
      </c>
      <c r="Y375" s="11">
        <v>25140.33</v>
      </c>
      <c r="Z375" s="12">
        <v>0</v>
      </c>
      <c r="AA375" s="12">
        <v>0</v>
      </c>
      <c r="AB375" s="12">
        <v>0</v>
      </c>
      <c r="AC375" s="13">
        <v>0</v>
      </c>
      <c r="AD375" s="14">
        <f t="shared" si="12"/>
        <v>0</v>
      </c>
      <c r="AE375" s="15" t="e">
        <f t="shared" si="13"/>
        <v>#DIV/0!</v>
      </c>
      <c r="AF375" s="16">
        <v>354</v>
      </c>
      <c r="AG375" s="16">
        <v>354</v>
      </c>
      <c r="AH375" s="17" t="s">
        <v>1756</v>
      </c>
      <c r="AI375" s="18" t="s">
        <v>1774</v>
      </c>
      <c r="AJ375" s="19">
        <v>1</v>
      </c>
      <c r="AK375" s="20">
        <v>0.95</v>
      </c>
      <c r="AL375" s="17" t="s">
        <v>92</v>
      </c>
      <c r="AM375" s="5" t="s">
        <v>66</v>
      </c>
      <c r="AN375" s="5" t="s">
        <v>66</v>
      </c>
      <c r="AO375" s="5" t="s">
        <v>66</v>
      </c>
      <c r="AP375" s="5" t="s">
        <v>66</v>
      </c>
      <c r="AQ375" s="5" t="s">
        <v>1808</v>
      </c>
      <c r="AR375" s="5" t="s">
        <v>1758</v>
      </c>
      <c r="AS375" s="5" t="s">
        <v>1759</v>
      </c>
      <c r="AT375" s="5" t="s">
        <v>66</v>
      </c>
      <c r="AU375" s="5" t="s">
        <v>66</v>
      </c>
      <c r="AV375" s="5" t="s">
        <v>66</v>
      </c>
      <c r="AW375" s="5" t="s">
        <v>200</v>
      </c>
      <c r="AX375" s="5" t="s">
        <v>1760</v>
      </c>
      <c r="AY375" s="5" t="s">
        <v>69</v>
      </c>
      <c r="AZ375" s="5" t="s">
        <v>145</v>
      </c>
      <c r="BA375" s="19" t="s">
        <v>1761</v>
      </c>
      <c r="BB375" s="17" t="s">
        <v>94</v>
      </c>
      <c r="BC375" s="5" t="s">
        <v>1762</v>
      </c>
      <c r="BD375" s="5" t="s">
        <v>1763</v>
      </c>
    </row>
    <row r="376" spans="1:56" ht="72" hidden="1" x14ac:dyDescent="0.25">
      <c r="A376" s="78" t="s">
        <v>1749</v>
      </c>
      <c r="B376" s="5" t="s">
        <v>1750</v>
      </c>
      <c r="C376" s="5" t="s">
        <v>3293</v>
      </c>
      <c r="D376" s="5" t="s">
        <v>56</v>
      </c>
      <c r="E376" s="99" t="str">
        <f>VLOOKUP(D376,'Dropdown List'!$F$26:$G$40,2,0)</f>
        <v>India</v>
      </c>
      <c r="F376" s="8" t="s">
        <v>1751</v>
      </c>
      <c r="G376" s="96">
        <v>5</v>
      </c>
      <c r="H376" s="5" t="s">
        <v>57</v>
      </c>
      <c r="I376" s="8" t="s">
        <v>58</v>
      </c>
      <c r="J376" s="8" t="s">
        <v>146</v>
      </c>
      <c r="K376" s="8" t="s">
        <v>1752</v>
      </c>
      <c r="L376" s="8" t="s">
        <v>1790</v>
      </c>
      <c r="M376" s="8" t="s">
        <v>1791</v>
      </c>
      <c r="N376" s="5" t="s">
        <v>1034</v>
      </c>
      <c r="O376" s="5" t="s">
        <v>61</v>
      </c>
      <c r="P376" s="5" t="s">
        <v>1755</v>
      </c>
      <c r="Q376" s="9" t="s">
        <v>75</v>
      </c>
      <c r="R376" s="5" t="s">
        <v>76</v>
      </c>
      <c r="S376" s="5" t="s">
        <v>90</v>
      </c>
      <c r="T376" s="96">
        <v>1</v>
      </c>
      <c r="U376" s="96">
        <v>3</v>
      </c>
      <c r="V376" s="96" t="s">
        <v>1811</v>
      </c>
      <c r="W376" s="5" t="s">
        <v>91</v>
      </c>
      <c r="X376" s="10" t="s">
        <v>79</v>
      </c>
      <c r="Y376" s="11">
        <v>28906.52</v>
      </c>
      <c r="Z376" s="12">
        <v>0</v>
      </c>
      <c r="AA376" s="12">
        <v>1</v>
      </c>
      <c r="AB376" s="12">
        <v>1</v>
      </c>
      <c r="AC376" s="13">
        <v>0</v>
      </c>
      <c r="AD376" s="14">
        <f t="shared" si="12"/>
        <v>2</v>
      </c>
      <c r="AE376" s="15">
        <f t="shared" si="13"/>
        <v>0</v>
      </c>
      <c r="AF376" s="16">
        <v>250</v>
      </c>
      <c r="AG376" s="16">
        <v>250</v>
      </c>
      <c r="AH376" s="17" t="s">
        <v>1792</v>
      </c>
      <c r="AI376" s="18" t="s">
        <v>2983</v>
      </c>
      <c r="AJ376" s="19">
        <v>0.98</v>
      </c>
      <c r="AK376" s="20">
        <v>0.95</v>
      </c>
      <c r="AL376" s="17" t="s">
        <v>92</v>
      </c>
      <c r="AM376" s="5" t="s">
        <v>66</v>
      </c>
      <c r="AN376" s="5" t="s">
        <v>66</v>
      </c>
      <c r="AO376" s="5" t="s">
        <v>1793</v>
      </c>
      <c r="AP376" s="5" t="s">
        <v>1794</v>
      </c>
      <c r="AQ376" s="5" t="s">
        <v>67</v>
      </c>
      <c r="AR376" s="5" t="s">
        <v>1795</v>
      </c>
      <c r="AS376" s="5" t="s">
        <v>1796</v>
      </c>
      <c r="AT376" s="5" t="s">
        <v>66</v>
      </c>
      <c r="AU376" s="5" t="s">
        <v>66</v>
      </c>
      <c r="AV376" s="5" t="s">
        <v>66</v>
      </c>
      <c r="AW376" s="5" t="s">
        <v>200</v>
      </c>
      <c r="AX376" s="5" t="s">
        <v>1797</v>
      </c>
      <c r="AY376" s="5" t="s">
        <v>69</v>
      </c>
      <c r="AZ376" s="5" t="s">
        <v>145</v>
      </c>
      <c r="BA376" s="19" t="s">
        <v>1761</v>
      </c>
      <c r="BB376" s="17" t="s">
        <v>94</v>
      </c>
      <c r="BC376" s="5" t="s">
        <v>1798</v>
      </c>
      <c r="BD376" s="5" t="s">
        <v>1799</v>
      </c>
    </row>
    <row r="377" spans="1:56" ht="72" hidden="1" x14ac:dyDescent="0.25">
      <c r="A377" s="78" t="s">
        <v>1749</v>
      </c>
      <c r="B377" s="5" t="s">
        <v>1750</v>
      </c>
      <c r="C377" s="5" t="s">
        <v>3293</v>
      </c>
      <c r="D377" s="5" t="s">
        <v>56</v>
      </c>
      <c r="E377" s="99" t="str">
        <f>VLOOKUP(D377,'Dropdown List'!$F$26:$G$40,2,0)</f>
        <v>India</v>
      </c>
      <c r="F377" s="8" t="s">
        <v>1751</v>
      </c>
      <c r="G377" s="96">
        <v>5</v>
      </c>
      <c r="H377" s="5" t="s">
        <v>57</v>
      </c>
      <c r="I377" s="8" t="s">
        <v>58</v>
      </c>
      <c r="J377" s="8" t="s">
        <v>146</v>
      </c>
      <c r="K377" s="8" t="s">
        <v>1752</v>
      </c>
      <c r="L377" s="8" t="s">
        <v>1800</v>
      </c>
      <c r="M377" s="8" t="s">
        <v>1801</v>
      </c>
      <c r="N377" s="5" t="s">
        <v>1034</v>
      </c>
      <c r="O377" s="5" t="s">
        <v>61</v>
      </c>
      <c r="P377" s="5" t="s">
        <v>1755</v>
      </c>
      <c r="Q377" s="9" t="s">
        <v>75</v>
      </c>
      <c r="R377" s="5" t="s">
        <v>76</v>
      </c>
      <c r="S377" s="5" t="s">
        <v>90</v>
      </c>
      <c r="T377" s="96">
        <v>1</v>
      </c>
      <c r="U377" s="96">
        <v>3</v>
      </c>
      <c r="V377" s="96" t="s">
        <v>1811</v>
      </c>
      <c r="W377" s="5" t="s">
        <v>91</v>
      </c>
      <c r="X377" s="10" t="s">
        <v>79</v>
      </c>
      <c r="Y377" s="11">
        <v>25140.33</v>
      </c>
      <c r="Z377" s="12">
        <v>0.54</v>
      </c>
      <c r="AA377" s="12">
        <v>0</v>
      </c>
      <c r="AB377" s="12">
        <v>0</v>
      </c>
      <c r="AC377" s="13">
        <v>0</v>
      </c>
      <c r="AD377" s="14">
        <f t="shared" si="12"/>
        <v>0.54</v>
      </c>
      <c r="AE377" s="15">
        <f t="shared" si="13"/>
        <v>0</v>
      </c>
      <c r="AF377" s="16">
        <v>132</v>
      </c>
      <c r="AG377" s="16">
        <v>132</v>
      </c>
      <c r="AH377" s="17" t="s">
        <v>1792</v>
      </c>
      <c r="AI377" s="18" t="s">
        <v>1787</v>
      </c>
      <c r="AJ377" s="19">
        <v>0.98</v>
      </c>
      <c r="AK377" s="20">
        <v>0.95</v>
      </c>
      <c r="AL377" s="17" t="s">
        <v>92</v>
      </c>
      <c r="AM377" s="5" t="s">
        <v>66</v>
      </c>
      <c r="AN377" s="5" t="s">
        <v>66</v>
      </c>
      <c r="AO377" s="5" t="s">
        <v>1793</v>
      </c>
      <c r="AP377" s="5" t="s">
        <v>1794</v>
      </c>
      <c r="AQ377" s="5" t="s">
        <v>67</v>
      </c>
      <c r="AR377" s="5" t="s">
        <v>1795</v>
      </c>
      <c r="AS377" s="5" t="s">
        <v>1796</v>
      </c>
      <c r="AT377" s="5" t="s">
        <v>66</v>
      </c>
      <c r="AU377" s="5" t="s">
        <v>66</v>
      </c>
      <c r="AV377" s="5" t="s">
        <v>66</v>
      </c>
      <c r="AW377" s="5" t="s">
        <v>200</v>
      </c>
      <c r="AX377" s="5" t="s">
        <v>1797</v>
      </c>
      <c r="AY377" s="5" t="s">
        <v>69</v>
      </c>
      <c r="AZ377" s="5" t="s">
        <v>145</v>
      </c>
      <c r="BA377" s="19" t="s">
        <v>1761</v>
      </c>
      <c r="BB377" s="17" t="s">
        <v>94</v>
      </c>
      <c r="BC377" s="5" t="s">
        <v>1798</v>
      </c>
      <c r="BD377" s="5" t="s">
        <v>1799</v>
      </c>
    </row>
    <row r="378" spans="1:56" ht="72" hidden="1" x14ac:dyDescent="0.25">
      <c r="A378" s="78" t="s">
        <v>1749</v>
      </c>
      <c r="B378" s="5" t="s">
        <v>1750</v>
      </c>
      <c r="C378" s="5" t="s">
        <v>3293</v>
      </c>
      <c r="D378" s="5" t="s">
        <v>56</v>
      </c>
      <c r="E378" s="99" t="str">
        <f>VLOOKUP(D378,'Dropdown List'!$F$26:$G$40,2,0)</f>
        <v>India</v>
      </c>
      <c r="F378" s="8" t="s">
        <v>1751</v>
      </c>
      <c r="G378" s="96">
        <v>5</v>
      </c>
      <c r="H378" s="5" t="s">
        <v>57</v>
      </c>
      <c r="I378" s="8" t="s">
        <v>58</v>
      </c>
      <c r="J378" s="8" t="s">
        <v>146</v>
      </c>
      <c r="K378" s="8" t="s">
        <v>1752</v>
      </c>
      <c r="L378" s="8" t="s">
        <v>1803</v>
      </c>
      <c r="M378" s="8" t="s">
        <v>1801</v>
      </c>
      <c r="N378" s="5" t="s">
        <v>1034</v>
      </c>
      <c r="O378" s="5" t="s">
        <v>61</v>
      </c>
      <c r="P378" s="5" t="s">
        <v>1755</v>
      </c>
      <c r="Q378" s="9" t="s">
        <v>75</v>
      </c>
      <c r="R378" s="5" t="s">
        <v>76</v>
      </c>
      <c r="S378" s="5" t="s">
        <v>90</v>
      </c>
      <c r="T378" s="96">
        <v>1</v>
      </c>
      <c r="U378" s="96">
        <v>3</v>
      </c>
      <c r="V378" s="96" t="s">
        <v>1811</v>
      </c>
      <c r="W378" s="5" t="s">
        <v>91</v>
      </c>
      <c r="X378" s="10" t="s">
        <v>79</v>
      </c>
      <c r="Y378" s="11">
        <v>25140.33</v>
      </c>
      <c r="Z378" s="12">
        <v>0.54</v>
      </c>
      <c r="AA378" s="12">
        <v>0</v>
      </c>
      <c r="AB378" s="12">
        <v>0</v>
      </c>
      <c r="AC378" s="13">
        <v>0</v>
      </c>
      <c r="AD378" s="14">
        <f t="shared" si="12"/>
        <v>0.54</v>
      </c>
      <c r="AE378" s="15">
        <f t="shared" si="13"/>
        <v>0</v>
      </c>
      <c r="AF378" s="16">
        <v>93</v>
      </c>
      <c r="AG378" s="16">
        <v>93</v>
      </c>
      <c r="AH378" s="17" t="s">
        <v>1792</v>
      </c>
      <c r="AI378" s="18" t="s">
        <v>2984</v>
      </c>
      <c r="AJ378" s="19">
        <v>0.98</v>
      </c>
      <c r="AK378" s="20">
        <v>0.95</v>
      </c>
      <c r="AL378" s="17" t="s">
        <v>92</v>
      </c>
      <c r="AM378" s="5" t="s">
        <v>66</v>
      </c>
      <c r="AN378" s="5" t="s">
        <v>66</v>
      </c>
      <c r="AO378" s="5" t="s">
        <v>1793</v>
      </c>
      <c r="AP378" s="5" t="s">
        <v>1794</v>
      </c>
      <c r="AQ378" s="5" t="s">
        <v>67</v>
      </c>
      <c r="AR378" s="5" t="s">
        <v>1795</v>
      </c>
      <c r="AS378" s="5" t="s">
        <v>1796</v>
      </c>
      <c r="AT378" s="5" t="s">
        <v>66</v>
      </c>
      <c r="AU378" s="5" t="s">
        <v>66</v>
      </c>
      <c r="AV378" s="5" t="s">
        <v>66</v>
      </c>
      <c r="AW378" s="5" t="s">
        <v>200</v>
      </c>
      <c r="AX378" s="5" t="s">
        <v>1797</v>
      </c>
      <c r="AY378" s="5" t="s">
        <v>69</v>
      </c>
      <c r="AZ378" s="5" t="s">
        <v>145</v>
      </c>
      <c r="BA378" s="19" t="s">
        <v>1761</v>
      </c>
      <c r="BB378" s="17" t="s">
        <v>94</v>
      </c>
      <c r="BC378" s="5" t="s">
        <v>1798</v>
      </c>
      <c r="BD378" s="5" t="s">
        <v>1799</v>
      </c>
    </row>
    <row r="379" spans="1:56" ht="72" hidden="1" x14ac:dyDescent="0.25">
      <c r="A379" s="78" t="s">
        <v>1749</v>
      </c>
      <c r="B379" s="5" t="s">
        <v>1750</v>
      </c>
      <c r="C379" s="5" t="s">
        <v>3293</v>
      </c>
      <c r="D379" s="5" t="s">
        <v>56</v>
      </c>
      <c r="E379" s="99" t="str">
        <f>VLOOKUP(D379,'Dropdown List'!$F$26:$G$40,2,0)</f>
        <v>India</v>
      </c>
      <c r="F379" s="8" t="s">
        <v>1751</v>
      </c>
      <c r="G379" s="96">
        <v>5</v>
      </c>
      <c r="H379" s="5" t="s">
        <v>57</v>
      </c>
      <c r="I379" s="8" t="s">
        <v>58</v>
      </c>
      <c r="J379" s="8" t="s">
        <v>146</v>
      </c>
      <c r="K379" s="8" t="s">
        <v>1752</v>
      </c>
      <c r="L379" s="8" t="s">
        <v>1804</v>
      </c>
      <c r="M379" s="8" t="s">
        <v>1805</v>
      </c>
      <c r="N379" s="5" t="s">
        <v>1034</v>
      </c>
      <c r="O379" s="5" t="s">
        <v>61</v>
      </c>
      <c r="P379" s="5" t="s">
        <v>1755</v>
      </c>
      <c r="Q379" s="9" t="s">
        <v>75</v>
      </c>
      <c r="R379" s="5" t="s">
        <v>76</v>
      </c>
      <c r="S379" s="5" t="s">
        <v>90</v>
      </c>
      <c r="T379" s="96">
        <v>1</v>
      </c>
      <c r="U379" s="96">
        <v>3</v>
      </c>
      <c r="V379" s="96" t="s">
        <v>1811</v>
      </c>
      <c r="W379" s="5" t="s">
        <v>91</v>
      </c>
      <c r="X379" s="10" t="s">
        <v>79</v>
      </c>
      <c r="Y379" s="11">
        <v>25140.33</v>
      </c>
      <c r="Z379" s="12">
        <v>0.08</v>
      </c>
      <c r="AA379" s="12">
        <v>0</v>
      </c>
      <c r="AB379" s="12">
        <v>0</v>
      </c>
      <c r="AC379" s="13">
        <v>0</v>
      </c>
      <c r="AD379" s="14">
        <f t="shared" si="12"/>
        <v>0.08</v>
      </c>
      <c r="AE379" s="15">
        <f t="shared" si="13"/>
        <v>0</v>
      </c>
      <c r="AF379" s="16">
        <v>9</v>
      </c>
      <c r="AG379" s="16">
        <v>9</v>
      </c>
      <c r="AH379" s="17" t="s">
        <v>1792</v>
      </c>
      <c r="AI379" s="18" t="s">
        <v>1778</v>
      </c>
      <c r="AJ379" s="19">
        <v>0.98</v>
      </c>
      <c r="AK379" s="20">
        <v>0.95</v>
      </c>
      <c r="AL379" s="17" t="s">
        <v>92</v>
      </c>
      <c r="AM379" s="5" t="s">
        <v>66</v>
      </c>
      <c r="AN379" s="5" t="s">
        <v>66</v>
      </c>
      <c r="AO379" s="5" t="s">
        <v>1793</v>
      </c>
      <c r="AP379" s="5" t="s">
        <v>1794</v>
      </c>
      <c r="AQ379" s="5" t="s">
        <v>67</v>
      </c>
      <c r="AR379" s="5" t="s">
        <v>1795</v>
      </c>
      <c r="AS379" s="5" t="s">
        <v>1796</v>
      </c>
      <c r="AT379" s="5" t="s">
        <v>66</v>
      </c>
      <c r="AU379" s="5" t="s">
        <v>66</v>
      </c>
      <c r="AV379" s="5" t="s">
        <v>66</v>
      </c>
      <c r="AW379" s="5" t="s">
        <v>200</v>
      </c>
      <c r="AX379" s="5" t="s">
        <v>1797</v>
      </c>
      <c r="AY379" s="5" t="s">
        <v>69</v>
      </c>
      <c r="AZ379" s="5" t="s">
        <v>145</v>
      </c>
      <c r="BA379" s="19" t="s">
        <v>1761</v>
      </c>
      <c r="BB379" s="17" t="s">
        <v>94</v>
      </c>
      <c r="BC379" s="5" t="s">
        <v>1798</v>
      </c>
      <c r="BD379" s="5" t="s">
        <v>1799</v>
      </c>
    </row>
    <row r="380" spans="1:56" ht="72" hidden="1" x14ac:dyDescent="0.25">
      <c r="A380" s="78" t="s">
        <v>1749</v>
      </c>
      <c r="B380" s="5" t="s">
        <v>1750</v>
      </c>
      <c r="C380" s="5" t="s">
        <v>3293</v>
      </c>
      <c r="D380" s="5" t="s">
        <v>56</v>
      </c>
      <c r="E380" s="99" t="str">
        <f>VLOOKUP(D380,'Dropdown List'!$F$26:$G$40,2,0)</f>
        <v>India</v>
      </c>
      <c r="F380" s="8" t="s">
        <v>1751</v>
      </c>
      <c r="G380" s="96">
        <v>5</v>
      </c>
      <c r="H380" s="5" t="s">
        <v>57</v>
      </c>
      <c r="I380" s="8" t="s">
        <v>58</v>
      </c>
      <c r="J380" s="8" t="s">
        <v>146</v>
      </c>
      <c r="K380" s="8" t="s">
        <v>1752</v>
      </c>
      <c r="L380" s="8" t="s">
        <v>1806</v>
      </c>
      <c r="M380" s="8" t="s">
        <v>1807</v>
      </c>
      <c r="N380" s="5" t="s">
        <v>1034</v>
      </c>
      <c r="O380" s="5" t="s">
        <v>61</v>
      </c>
      <c r="P380" s="5" t="s">
        <v>1755</v>
      </c>
      <c r="Q380" s="9" t="s">
        <v>75</v>
      </c>
      <c r="R380" s="5" t="s">
        <v>76</v>
      </c>
      <c r="S380" s="5" t="s">
        <v>90</v>
      </c>
      <c r="T380" s="96">
        <v>1</v>
      </c>
      <c r="U380" s="96">
        <v>3</v>
      </c>
      <c r="V380" s="96" t="s">
        <v>1811</v>
      </c>
      <c r="W380" s="5" t="s">
        <v>91</v>
      </c>
      <c r="X380" s="10" t="s">
        <v>79</v>
      </c>
      <c r="Y380" s="11">
        <v>25140.33</v>
      </c>
      <c r="Z380" s="12">
        <v>5.85</v>
      </c>
      <c r="AA380" s="12">
        <v>0</v>
      </c>
      <c r="AB380" s="12">
        <v>0</v>
      </c>
      <c r="AC380" s="13">
        <v>0</v>
      </c>
      <c r="AD380" s="14">
        <f t="shared" si="12"/>
        <v>5.85</v>
      </c>
      <c r="AE380" s="15">
        <f t="shared" si="13"/>
        <v>0</v>
      </c>
      <c r="AF380" s="16">
        <v>1191</v>
      </c>
      <c r="AG380" s="16">
        <v>1191</v>
      </c>
      <c r="AH380" s="17" t="s">
        <v>1792</v>
      </c>
      <c r="AI380" s="18" t="s">
        <v>1757</v>
      </c>
      <c r="AJ380" s="19">
        <v>0.98499999999999999</v>
      </c>
      <c r="AK380" s="20">
        <v>0.95</v>
      </c>
      <c r="AL380" s="17" t="s">
        <v>92</v>
      </c>
      <c r="AM380" s="5" t="s">
        <v>66</v>
      </c>
      <c r="AN380" s="5" t="s">
        <v>66</v>
      </c>
      <c r="AO380" s="5" t="s">
        <v>1793</v>
      </c>
      <c r="AP380" s="5" t="s">
        <v>1794</v>
      </c>
      <c r="AQ380" s="5" t="s">
        <v>1808</v>
      </c>
      <c r="AR380" s="5" t="s">
        <v>1809</v>
      </c>
      <c r="AS380" s="5" t="s">
        <v>1796</v>
      </c>
      <c r="AT380" s="5" t="s">
        <v>66</v>
      </c>
      <c r="AU380" s="5" t="s">
        <v>66</v>
      </c>
      <c r="AV380" s="5" t="s">
        <v>66</v>
      </c>
      <c r="AW380" s="5" t="s">
        <v>200</v>
      </c>
      <c r="AX380" s="5" t="s">
        <v>1797</v>
      </c>
      <c r="AY380" s="5" t="s">
        <v>69</v>
      </c>
      <c r="AZ380" s="5" t="s">
        <v>145</v>
      </c>
      <c r="BA380" s="19" t="s">
        <v>1761</v>
      </c>
      <c r="BB380" s="17" t="s">
        <v>94</v>
      </c>
      <c r="BC380" s="5" t="s">
        <v>1798</v>
      </c>
      <c r="BD380" s="5" t="s">
        <v>1799</v>
      </c>
    </row>
    <row r="381" spans="1:56" ht="72" hidden="1" x14ac:dyDescent="0.25">
      <c r="A381" s="78" t="s">
        <v>1749</v>
      </c>
      <c r="B381" s="5" t="s">
        <v>1750</v>
      </c>
      <c r="C381" s="5" t="s">
        <v>3293</v>
      </c>
      <c r="D381" s="5" t="s">
        <v>56</v>
      </c>
      <c r="E381" s="99" t="str">
        <f>VLOOKUP(D381,'Dropdown List'!$F$26:$G$40,2,0)</f>
        <v>India</v>
      </c>
      <c r="F381" s="8" t="s">
        <v>1751</v>
      </c>
      <c r="G381" s="96">
        <v>5</v>
      </c>
      <c r="H381" s="5" t="s">
        <v>57</v>
      </c>
      <c r="I381" s="8" t="s">
        <v>58</v>
      </c>
      <c r="J381" s="8" t="s">
        <v>146</v>
      </c>
      <c r="K381" s="8" t="s">
        <v>931</v>
      </c>
      <c r="L381" s="8" t="s">
        <v>1810</v>
      </c>
      <c r="M381" s="8" t="s">
        <v>1807</v>
      </c>
      <c r="N381" s="5" t="s">
        <v>1034</v>
      </c>
      <c r="O381" s="5" t="s">
        <v>61</v>
      </c>
      <c r="P381" s="5" t="s">
        <v>1755</v>
      </c>
      <c r="Q381" s="9" t="s">
        <v>75</v>
      </c>
      <c r="R381" s="5" t="s">
        <v>76</v>
      </c>
      <c r="S381" s="5" t="s">
        <v>90</v>
      </c>
      <c r="T381" s="96">
        <v>1</v>
      </c>
      <c r="U381" s="96">
        <v>5</v>
      </c>
      <c r="V381" s="96" t="s">
        <v>1811</v>
      </c>
      <c r="W381" s="5" t="s">
        <v>91</v>
      </c>
      <c r="X381" s="10" t="s">
        <v>79</v>
      </c>
      <c r="Y381" s="11">
        <v>25140.33</v>
      </c>
      <c r="Z381" s="12">
        <v>0.06</v>
      </c>
      <c r="AA381" s="12">
        <v>0</v>
      </c>
      <c r="AB381" s="12">
        <v>0</v>
      </c>
      <c r="AC381" s="13">
        <v>0</v>
      </c>
      <c r="AD381" s="14">
        <f t="shared" si="12"/>
        <v>0.06</v>
      </c>
      <c r="AE381" s="15">
        <f t="shared" si="13"/>
        <v>0</v>
      </c>
      <c r="AF381" s="16">
        <v>76</v>
      </c>
      <c r="AG381" s="16">
        <v>76</v>
      </c>
      <c r="AH381" s="17" t="s">
        <v>1792</v>
      </c>
      <c r="AI381" s="18" t="s">
        <v>1812</v>
      </c>
      <c r="AJ381" s="19">
        <v>0.98499999999999999</v>
      </c>
      <c r="AK381" s="20">
        <v>0.95</v>
      </c>
      <c r="AL381" s="17" t="s">
        <v>92</v>
      </c>
      <c r="AM381" s="5" t="s">
        <v>66</v>
      </c>
      <c r="AN381" s="5" t="s">
        <v>66</v>
      </c>
      <c r="AO381" s="5" t="s">
        <v>1793</v>
      </c>
      <c r="AP381" s="5" t="s">
        <v>1794</v>
      </c>
      <c r="AQ381" s="5" t="s">
        <v>67</v>
      </c>
      <c r="AR381" s="5" t="s">
        <v>1795</v>
      </c>
      <c r="AS381" s="5" t="s">
        <v>1796</v>
      </c>
      <c r="AT381" s="5" t="s">
        <v>66</v>
      </c>
      <c r="AU381" s="5" t="s">
        <v>66</v>
      </c>
      <c r="AV381" s="5" t="s">
        <v>66</v>
      </c>
      <c r="AW381" s="5" t="s">
        <v>200</v>
      </c>
      <c r="AX381" s="5" t="s">
        <v>1797</v>
      </c>
      <c r="AY381" s="5" t="s">
        <v>69</v>
      </c>
      <c r="AZ381" s="5" t="s">
        <v>145</v>
      </c>
      <c r="BA381" s="19" t="s">
        <v>1761</v>
      </c>
      <c r="BB381" s="17" t="s">
        <v>94</v>
      </c>
      <c r="BC381" s="5" t="s">
        <v>1798</v>
      </c>
      <c r="BD381" s="5" t="s">
        <v>1799</v>
      </c>
    </row>
    <row r="382" spans="1:56" ht="72" hidden="1" x14ac:dyDescent="0.25">
      <c r="A382" s="78" t="s">
        <v>1749</v>
      </c>
      <c r="B382" s="5" t="s">
        <v>1750</v>
      </c>
      <c r="C382" s="5" t="s">
        <v>3293</v>
      </c>
      <c r="D382" s="5" t="s">
        <v>56</v>
      </c>
      <c r="E382" s="99" t="str">
        <f>VLOOKUP(D382,'Dropdown List'!$F$26:$G$40,2,0)</f>
        <v>India</v>
      </c>
      <c r="F382" s="8" t="s">
        <v>1751</v>
      </c>
      <c r="G382" s="96">
        <v>5</v>
      </c>
      <c r="H382" s="5" t="s">
        <v>57</v>
      </c>
      <c r="I382" s="8" t="s">
        <v>58</v>
      </c>
      <c r="J382" s="8" t="s">
        <v>146</v>
      </c>
      <c r="K382" s="8" t="s">
        <v>931</v>
      </c>
      <c r="L382" s="8" t="s">
        <v>1813</v>
      </c>
      <c r="M382" s="8" t="s">
        <v>1814</v>
      </c>
      <c r="N382" s="5" t="s">
        <v>1034</v>
      </c>
      <c r="O382" s="5" t="s">
        <v>61</v>
      </c>
      <c r="P382" s="5" t="s">
        <v>1755</v>
      </c>
      <c r="Q382" s="9" t="s">
        <v>75</v>
      </c>
      <c r="R382" s="5" t="s">
        <v>76</v>
      </c>
      <c r="S382" s="5" t="s">
        <v>90</v>
      </c>
      <c r="T382" s="96">
        <v>1</v>
      </c>
      <c r="U382" s="96">
        <v>5</v>
      </c>
      <c r="V382" s="96" t="s">
        <v>1811</v>
      </c>
      <c r="W382" s="5" t="s">
        <v>91</v>
      </c>
      <c r="X382" s="10" t="s">
        <v>79</v>
      </c>
      <c r="Y382" s="11">
        <v>25140.33</v>
      </c>
      <c r="Z382" s="12">
        <v>0.13</v>
      </c>
      <c r="AA382" s="12">
        <v>0</v>
      </c>
      <c r="AB382" s="12">
        <v>0</v>
      </c>
      <c r="AC382" s="13">
        <v>0</v>
      </c>
      <c r="AD382" s="14">
        <f t="shared" si="12"/>
        <v>0.13</v>
      </c>
      <c r="AE382" s="15">
        <f t="shared" si="13"/>
        <v>0</v>
      </c>
      <c r="AF382" s="16">
        <v>505</v>
      </c>
      <c r="AG382" s="16">
        <v>505</v>
      </c>
      <c r="AH382" s="17" t="s">
        <v>1792</v>
      </c>
      <c r="AI382" s="18" t="s">
        <v>1757</v>
      </c>
      <c r="AJ382" s="19">
        <v>0.98499999999999999</v>
      </c>
      <c r="AK382" s="20">
        <v>0.95</v>
      </c>
      <c r="AL382" s="17" t="s">
        <v>92</v>
      </c>
      <c r="AM382" s="5" t="s">
        <v>66</v>
      </c>
      <c r="AN382" s="5" t="s">
        <v>66</v>
      </c>
      <c r="AO382" s="5" t="s">
        <v>1793</v>
      </c>
      <c r="AP382" s="5" t="s">
        <v>1794</v>
      </c>
      <c r="AQ382" s="5" t="s">
        <v>67</v>
      </c>
      <c r="AR382" s="5" t="s">
        <v>1795</v>
      </c>
      <c r="AS382" s="5" t="s">
        <v>1796</v>
      </c>
      <c r="AT382" s="5" t="s">
        <v>66</v>
      </c>
      <c r="AU382" s="5" t="s">
        <v>66</v>
      </c>
      <c r="AV382" s="5" t="s">
        <v>66</v>
      </c>
      <c r="AW382" s="5" t="s">
        <v>200</v>
      </c>
      <c r="AX382" s="5" t="s">
        <v>1797</v>
      </c>
      <c r="AY382" s="5" t="s">
        <v>69</v>
      </c>
      <c r="AZ382" s="5" t="s">
        <v>145</v>
      </c>
      <c r="BA382" s="19" t="s">
        <v>1761</v>
      </c>
      <c r="BB382" s="17" t="s">
        <v>94</v>
      </c>
      <c r="BC382" s="5" t="s">
        <v>1798</v>
      </c>
      <c r="BD382" s="5" t="s">
        <v>1799</v>
      </c>
    </row>
    <row r="383" spans="1:56" ht="72" hidden="1" x14ac:dyDescent="0.25">
      <c r="A383" s="78" t="s">
        <v>1749</v>
      </c>
      <c r="B383" s="5" t="s">
        <v>1750</v>
      </c>
      <c r="C383" s="5" t="s">
        <v>3293</v>
      </c>
      <c r="D383" s="5" t="s">
        <v>56</v>
      </c>
      <c r="E383" s="99" t="str">
        <f>VLOOKUP(D383,'Dropdown List'!$F$26:$G$40,2,0)</f>
        <v>India</v>
      </c>
      <c r="F383" s="8" t="s">
        <v>1751</v>
      </c>
      <c r="G383" s="96">
        <v>5</v>
      </c>
      <c r="H383" s="5" t="s">
        <v>57</v>
      </c>
      <c r="I383" s="8" t="s">
        <v>58</v>
      </c>
      <c r="J383" s="8" t="s">
        <v>146</v>
      </c>
      <c r="K383" s="8" t="s">
        <v>931</v>
      </c>
      <c r="L383" s="8" t="s">
        <v>1815</v>
      </c>
      <c r="M383" s="8" t="s">
        <v>1816</v>
      </c>
      <c r="N383" s="5" t="s">
        <v>1034</v>
      </c>
      <c r="O383" s="5" t="s">
        <v>61</v>
      </c>
      <c r="P383" s="5" t="s">
        <v>1755</v>
      </c>
      <c r="Q383" s="9" t="s">
        <v>75</v>
      </c>
      <c r="R383" s="5" t="s">
        <v>76</v>
      </c>
      <c r="S383" s="5" t="s">
        <v>90</v>
      </c>
      <c r="T383" s="96">
        <v>1</v>
      </c>
      <c r="U383" s="96">
        <v>5</v>
      </c>
      <c r="V383" s="96" t="s">
        <v>1811</v>
      </c>
      <c r="W383" s="5" t="s">
        <v>91</v>
      </c>
      <c r="X383" s="10" t="s">
        <v>79</v>
      </c>
      <c r="Y383" s="11">
        <v>25140.33</v>
      </c>
      <c r="Z383" s="12">
        <v>0.09</v>
      </c>
      <c r="AA383" s="12">
        <v>0</v>
      </c>
      <c r="AB383" s="12">
        <v>0</v>
      </c>
      <c r="AC383" s="13">
        <v>0</v>
      </c>
      <c r="AD383" s="14">
        <f t="shared" si="12"/>
        <v>0.09</v>
      </c>
      <c r="AE383" s="15">
        <f t="shared" si="13"/>
        <v>0</v>
      </c>
      <c r="AF383" s="16">
        <v>379</v>
      </c>
      <c r="AG383" s="16">
        <v>379</v>
      </c>
      <c r="AH383" s="17" t="s">
        <v>1792</v>
      </c>
      <c r="AI383" s="18" t="s">
        <v>1757</v>
      </c>
      <c r="AJ383" s="19">
        <v>0.98</v>
      </c>
      <c r="AK383" s="20">
        <v>0.95</v>
      </c>
      <c r="AL383" s="17" t="s">
        <v>92</v>
      </c>
      <c r="AM383" s="5" t="s">
        <v>66</v>
      </c>
      <c r="AN383" s="5" t="s">
        <v>66</v>
      </c>
      <c r="AO383" s="5" t="s">
        <v>1793</v>
      </c>
      <c r="AP383" s="5" t="s">
        <v>1794</v>
      </c>
      <c r="AQ383" s="5" t="s">
        <v>67</v>
      </c>
      <c r="AR383" s="5" t="s">
        <v>1795</v>
      </c>
      <c r="AS383" s="5" t="s">
        <v>1796</v>
      </c>
      <c r="AT383" s="5" t="s">
        <v>66</v>
      </c>
      <c r="AU383" s="5" t="s">
        <v>66</v>
      </c>
      <c r="AV383" s="5" t="s">
        <v>66</v>
      </c>
      <c r="AW383" s="5" t="s">
        <v>200</v>
      </c>
      <c r="AX383" s="5" t="s">
        <v>1797</v>
      </c>
      <c r="AY383" s="5" t="s">
        <v>69</v>
      </c>
      <c r="AZ383" s="5" t="s">
        <v>145</v>
      </c>
      <c r="BA383" s="19" t="s">
        <v>1761</v>
      </c>
      <c r="BB383" s="17" t="s">
        <v>94</v>
      </c>
      <c r="BC383" s="5" t="s">
        <v>1798</v>
      </c>
      <c r="BD383" s="5" t="s">
        <v>1799</v>
      </c>
    </row>
    <row r="384" spans="1:56" ht="72" hidden="1" x14ac:dyDescent="0.25">
      <c r="A384" s="78" t="s">
        <v>1749</v>
      </c>
      <c r="B384" s="5" t="s">
        <v>1750</v>
      </c>
      <c r="C384" s="5" t="s">
        <v>3293</v>
      </c>
      <c r="D384" s="5" t="s">
        <v>56</v>
      </c>
      <c r="E384" s="99" t="str">
        <f>VLOOKUP(D384,'Dropdown List'!$F$26:$G$40,2,0)</f>
        <v>India</v>
      </c>
      <c r="F384" s="8" t="s">
        <v>1751</v>
      </c>
      <c r="G384" s="96">
        <v>5</v>
      </c>
      <c r="H384" s="5" t="s">
        <v>57</v>
      </c>
      <c r="I384" s="8" t="s">
        <v>58</v>
      </c>
      <c r="J384" s="8" t="s">
        <v>146</v>
      </c>
      <c r="K384" s="8" t="s">
        <v>931</v>
      </c>
      <c r="L384" s="8" t="s">
        <v>1817</v>
      </c>
      <c r="M384" s="8" t="s">
        <v>1818</v>
      </c>
      <c r="N384" s="5" t="s">
        <v>1034</v>
      </c>
      <c r="O384" s="5" t="s">
        <v>61</v>
      </c>
      <c r="P384" s="5" t="s">
        <v>1755</v>
      </c>
      <c r="Q384" s="9" t="s">
        <v>75</v>
      </c>
      <c r="R384" s="5" t="s">
        <v>76</v>
      </c>
      <c r="S384" s="5" t="s">
        <v>90</v>
      </c>
      <c r="T384" s="96">
        <v>1</v>
      </c>
      <c r="U384" s="96">
        <v>5</v>
      </c>
      <c r="V384" s="96" t="s">
        <v>1811</v>
      </c>
      <c r="W384" s="5" t="s">
        <v>91</v>
      </c>
      <c r="X384" s="10" t="s">
        <v>79</v>
      </c>
      <c r="Y384" s="11">
        <v>25140.33</v>
      </c>
      <c r="Z384" s="12">
        <v>0.02</v>
      </c>
      <c r="AA384" s="12">
        <v>0</v>
      </c>
      <c r="AB384" s="12">
        <v>0</v>
      </c>
      <c r="AC384" s="13">
        <v>0</v>
      </c>
      <c r="AD384" s="14">
        <f t="shared" si="12"/>
        <v>0.02</v>
      </c>
      <c r="AE384" s="15">
        <f t="shared" si="13"/>
        <v>0</v>
      </c>
      <c r="AF384" s="16">
        <v>379</v>
      </c>
      <c r="AG384" s="16">
        <v>379</v>
      </c>
      <c r="AH384" s="17" t="s">
        <v>1792</v>
      </c>
      <c r="AI384" s="18" t="s">
        <v>1802</v>
      </c>
      <c r="AJ384" s="19">
        <v>0.98</v>
      </c>
      <c r="AK384" s="20">
        <v>0.95</v>
      </c>
      <c r="AL384" s="17" t="s">
        <v>92</v>
      </c>
      <c r="AM384" s="5" t="s">
        <v>66</v>
      </c>
      <c r="AN384" s="5" t="s">
        <v>66</v>
      </c>
      <c r="AO384" s="5" t="s">
        <v>1793</v>
      </c>
      <c r="AP384" s="5" t="s">
        <v>1794</v>
      </c>
      <c r="AQ384" s="5" t="s">
        <v>67</v>
      </c>
      <c r="AR384" s="5" t="s">
        <v>1795</v>
      </c>
      <c r="AS384" s="5" t="s">
        <v>1796</v>
      </c>
      <c r="AT384" s="5" t="s">
        <v>66</v>
      </c>
      <c r="AU384" s="5" t="s">
        <v>66</v>
      </c>
      <c r="AV384" s="5" t="s">
        <v>66</v>
      </c>
      <c r="AW384" s="5" t="s">
        <v>200</v>
      </c>
      <c r="AX384" s="5" t="s">
        <v>1797</v>
      </c>
      <c r="AY384" s="5" t="s">
        <v>69</v>
      </c>
      <c r="AZ384" s="5" t="s">
        <v>145</v>
      </c>
      <c r="BA384" s="19" t="s">
        <v>1761</v>
      </c>
      <c r="BB384" s="17" t="s">
        <v>94</v>
      </c>
      <c r="BC384" s="5" t="s">
        <v>1798</v>
      </c>
      <c r="BD384" s="5" t="s">
        <v>1799</v>
      </c>
    </row>
    <row r="385" spans="1:56" ht="72" hidden="1" x14ac:dyDescent="0.25">
      <c r="A385" s="78" t="s">
        <v>1749</v>
      </c>
      <c r="B385" s="5" t="s">
        <v>1750</v>
      </c>
      <c r="C385" s="5" t="s">
        <v>3293</v>
      </c>
      <c r="D385" s="5" t="s">
        <v>56</v>
      </c>
      <c r="E385" s="99" t="str">
        <f>VLOOKUP(D385,'Dropdown List'!$F$26:$G$40,2,0)</f>
        <v>India</v>
      </c>
      <c r="F385" s="8" t="s">
        <v>1751</v>
      </c>
      <c r="G385" s="96">
        <v>5</v>
      </c>
      <c r="H385" s="5" t="s">
        <v>57</v>
      </c>
      <c r="I385" s="8" t="s">
        <v>58</v>
      </c>
      <c r="J385" s="8" t="s">
        <v>146</v>
      </c>
      <c r="K385" s="8" t="s">
        <v>1752</v>
      </c>
      <c r="L385" s="8" t="s">
        <v>1819</v>
      </c>
      <c r="M385" s="8" t="s">
        <v>1820</v>
      </c>
      <c r="N385" s="5" t="s">
        <v>1034</v>
      </c>
      <c r="O385" s="5" t="s">
        <v>61</v>
      </c>
      <c r="P385" s="5" t="s">
        <v>1755</v>
      </c>
      <c r="Q385" s="9" t="s">
        <v>75</v>
      </c>
      <c r="R385" s="5" t="s">
        <v>76</v>
      </c>
      <c r="S385" s="5" t="s">
        <v>90</v>
      </c>
      <c r="T385" s="96">
        <v>1</v>
      </c>
      <c r="U385" s="96">
        <v>3</v>
      </c>
      <c r="V385" s="96" t="s">
        <v>1811</v>
      </c>
      <c r="W385" s="5" t="s">
        <v>91</v>
      </c>
      <c r="X385" s="10" t="s">
        <v>79</v>
      </c>
      <c r="Y385" s="11">
        <v>25140.33</v>
      </c>
      <c r="Z385" s="12">
        <v>0.72</v>
      </c>
      <c r="AA385" s="12">
        <v>0</v>
      </c>
      <c r="AB385" s="12">
        <v>0</v>
      </c>
      <c r="AC385" s="13">
        <v>0</v>
      </c>
      <c r="AD385" s="14">
        <f t="shared" si="12"/>
        <v>0.72</v>
      </c>
      <c r="AE385" s="15">
        <f t="shared" si="13"/>
        <v>0</v>
      </c>
      <c r="AF385" s="16">
        <v>275</v>
      </c>
      <c r="AG385" s="16">
        <v>275</v>
      </c>
      <c r="AH385" s="17" t="s">
        <v>1792</v>
      </c>
      <c r="AI385" s="18" t="s">
        <v>1778</v>
      </c>
      <c r="AJ385" s="19">
        <v>0.98</v>
      </c>
      <c r="AK385" s="20">
        <v>0.95</v>
      </c>
      <c r="AL385" s="17" t="s">
        <v>92</v>
      </c>
      <c r="AM385" s="5" t="s">
        <v>66</v>
      </c>
      <c r="AN385" s="5" t="s">
        <v>66</v>
      </c>
      <c r="AO385" s="5" t="s">
        <v>1793</v>
      </c>
      <c r="AP385" s="5" t="s">
        <v>1794</v>
      </c>
      <c r="AQ385" s="5" t="s">
        <v>67</v>
      </c>
      <c r="AR385" s="5" t="s">
        <v>1795</v>
      </c>
      <c r="AS385" s="5" t="s">
        <v>1796</v>
      </c>
      <c r="AT385" s="5" t="s">
        <v>66</v>
      </c>
      <c r="AU385" s="5" t="s">
        <v>66</v>
      </c>
      <c r="AV385" s="5" t="s">
        <v>66</v>
      </c>
      <c r="AW385" s="5" t="s">
        <v>200</v>
      </c>
      <c r="AX385" s="5" t="s">
        <v>1797</v>
      </c>
      <c r="AY385" s="5" t="s">
        <v>69</v>
      </c>
      <c r="AZ385" s="5" t="s">
        <v>145</v>
      </c>
      <c r="BA385" s="19" t="s">
        <v>1761</v>
      </c>
      <c r="BB385" s="17" t="s">
        <v>94</v>
      </c>
      <c r="BC385" s="5" t="s">
        <v>1798</v>
      </c>
      <c r="BD385" s="5" t="s">
        <v>1799</v>
      </c>
    </row>
    <row r="386" spans="1:56" ht="72" hidden="1" x14ac:dyDescent="0.25">
      <c r="A386" s="78" t="s">
        <v>1749</v>
      </c>
      <c r="B386" s="5" t="s">
        <v>1750</v>
      </c>
      <c r="C386" s="5" t="s">
        <v>3293</v>
      </c>
      <c r="D386" s="5" t="s">
        <v>56</v>
      </c>
      <c r="E386" s="99" t="str">
        <f>VLOOKUP(D386,'Dropdown List'!$F$26:$G$40,2,0)</f>
        <v>India</v>
      </c>
      <c r="F386" s="8" t="s">
        <v>1751</v>
      </c>
      <c r="G386" s="96">
        <v>5</v>
      </c>
      <c r="H386" s="5" t="s">
        <v>57</v>
      </c>
      <c r="I386" s="8" t="s">
        <v>58</v>
      </c>
      <c r="J386" s="8" t="s">
        <v>146</v>
      </c>
      <c r="K386" s="8" t="s">
        <v>1752</v>
      </c>
      <c r="L386" s="8" t="s">
        <v>1821</v>
      </c>
      <c r="M386" s="8" t="s">
        <v>1822</v>
      </c>
      <c r="N386" s="5" t="s">
        <v>1034</v>
      </c>
      <c r="O386" s="5" t="s">
        <v>61</v>
      </c>
      <c r="P386" s="5" t="s">
        <v>1755</v>
      </c>
      <c r="Q386" s="9" t="s">
        <v>75</v>
      </c>
      <c r="R386" s="5" t="s">
        <v>76</v>
      </c>
      <c r="S386" s="5" t="s">
        <v>90</v>
      </c>
      <c r="T386" s="96">
        <v>1</v>
      </c>
      <c r="U386" s="96">
        <v>3</v>
      </c>
      <c r="V386" s="96" t="s">
        <v>1811</v>
      </c>
      <c r="W386" s="5" t="s">
        <v>91</v>
      </c>
      <c r="X386" s="10" t="s">
        <v>79</v>
      </c>
      <c r="Y386" s="11">
        <v>25140.33</v>
      </c>
      <c r="Z386" s="12">
        <v>3.5</v>
      </c>
      <c r="AA386" s="12">
        <v>0</v>
      </c>
      <c r="AB386" s="12">
        <v>0</v>
      </c>
      <c r="AC386" s="13">
        <v>0</v>
      </c>
      <c r="AD386" s="14">
        <f t="shared" si="12"/>
        <v>3.5</v>
      </c>
      <c r="AE386" s="15">
        <f t="shared" si="13"/>
        <v>0</v>
      </c>
      <c r="AF386" s="16">
        <v>810</v>
      </c>
      <c r="AG386" s="16">
        <v>810</v>
      </c>
      <c r="AH386" s="17" t="s">
        <v>1792</v>
      </c>
      <c r="AI386" s="18" t="s">
        <v>1823</v>
      </c>
      <c r="AJ386" s="19">
        <v>0.98499999999999999</v>
      </c>
      <c r="AK386" s="20">
        <v>0.95</v>
      </c>
      <c r="AL386" s="17" t="s">
        <v>92</v>
      </c>
      <c r="AM386" s="5" t="s">
        <v>66</v>
      </c>
      <c r="AN386" s="5" t="s">
        <v>66</v>
      </c>
      <c r="AO386" s="5" t="s">
        <v>1793</v>
      </c>
      <c r="AP386" s="5" t="s">
        <v>1794</v>
      </c>
      <c r="AQ386" s="5" t="s">
        <v>67</v>
      </c>
      <c r="AR386" s="5" t="s">
        <v>1795</v>
      </c>
      <c r="AS386" s="5" t="s">
        <v>1796</v>
      </c>
      <c r="AT386" s="5" t="s">
        <v>66</v>
      </c>
      <c r="AU386" s="5" t="s">
        <v>66</v>
      </c>
      <c r="AV386" s="5" t="s">
        <v>66</v>
      </c>
      <c r="AW386" s="5" t="s">
        <v>200</v>
      </c>
      <c r="AX386" s="5" t="s">
        <v>1797</v>
      </c>
      <c r="AY386" s="5" t="s">
        <v>69</v>
      </c>
      <c r="AZ386" s="5" t="s">
        <v>145</v>
      </c>
      <c r="BA386" s="19" t="s">
        <v>1761</v>
      </c>
      <c r="BB386" s="17" t="s">
        <v>94</v>
      </c>
      <c r="BC386" s="5" t="s">
        <v>1798</v>
      </c>
      <c r="BD386" s="5" t="s">
        <v>1799</v>
      </c>
    </row>
    <row r="387" spans="1:56" ht="120" hidden="1" x14ac:dyDescent="0.25">
      <c r="A387" s="78" t="s">
        <v>1749</v>
      </c>
      <c r="B387" s="5" t="s">
        <v>1750</v>
      </c>
      <c r="C387" s="5" t="s">
        <v>3293</v>
      </c>
      <c r="D387" s="5" t="s">
        <v>56</v>
      </c>
      <c r="E387" s="99" t="str">
        <f>VLOOKUP(D387,'Dropdown List'!$F$26:$G$40,2,0)</f>
        <v>India</v>
      </c>
      <c r="F387" s="8" t="s">
        <v>1751</v>
      </c>
      <c r="G387" s="96">
        <v>5</v>
      </c>
      <c r="H387" s="5" t="s">
        <v>57</v>
      </c>
      <c r="I387" s="8" t="s">
        <v>58</v>
      </c>
      <c r="J387" s="8" t="s">
        <v>146</v>
      </c>
      <c r="K387" s="8" t="s">
        <v>1752</v>
      </c>
      <c r="L387" s="8" t="s">
        <v>1824</v>
      </c>
      <c r="M387" s="8" t="s">
        <v>1825</v>
      </c>
      <c r="N387" s="5" t="s">
        <v>1034</v>
      </c>
      <c r="O387" s="5" t="s">
        <v>61</v>
      </c>
      <c r="P387" s="5" t="s">
        <v>1755</v>
      </c>
      <c r="Q387" s="9" t="s">
        <v>75</v>
      </c>
      <c r="R387" s="5" t="s">
        <v>76</v>
      </c>
      <c r="S387" s="5" t="s">
        <v>90</v>
      </c>
      <c r="T387" s="96">
        <v>1</v>
      </c>
      <c r="U387" s="96">
        <v>3</v>
      </c>
      <c r="V387" s="96" t="s">
        <v>1811</v>
      </c>
      <c r="W387" s="5" t="s">
        <v>91</v>
      </c>
      <c r="X387" s="10" t="s">
        <v>79</v>
      </c>
      <c r="Y387" s="11">
        <v>25140.33</v>
      </c>
      <c r="Z387" s="12">
        <v>1.43</v>
      </c>
      <c r="AA387" s="12">
        <v>0</v>
      </c>
      <c r="AB387" s="12">
        <v>0</v>
      </c>
      <c r="AC387" s="13">
        <v>0</v>
      </c>
      <c r="AD387" s="14">
        <f t="shared" si="12"/>
        <v>1.43</v>
      </c>
      <c r="AE387" s="15">
        <f t="shared" si="13"/>
        <v>0</v>
      </c>
      <c r="AF387" s="16">
        <v>226</v>
      </c>
      <c r="AG387" s="16">
        <v>226</v>
      </c>
      <c r="AH387" s="17" t="s">
        <v>1792</v>
      </c>
      <c r="AI387" s="18" t="s">
        <v>1771</v>
      </c>
      <c r="AJ387" s="19">
        <v>0.98</v>
      </c>
      <c r="AK387" s="20">
        <v>0.95</v>
      </c>
      <c r="AL387" s="17" t="s">
        <v>92</v>
      </c>
      <c r="AM387" s="5" t="s">
        <v>66</v>
      </c>
      <c r="AN387" s="5" t="s">
        <v>66</v>
      </c>
      <c r="AO387" s="5" t="s">
        <v>1793</v>
      </c>
      <c r="AP387" s="5" t="s">
        <v>1794</v>
      </c>
      <c r="AQ387" s="5" t="s">
        <v>67</v>
      </c>
      <c r="AR387" s="5" t="s">
        <v>1795</v>
      </c>
      <c r="AS387" s="5" t="s">
        <v>1796</v>
      </c>
      <c r="AT387" s="5" t="s">
        <v>66</v>
      </c>
      <c r="AU387" s="5" t="s">
        <v>66</v>
      </c>
      <c r="AV387" s="5" t="s">
        <v>66</v>
      </c>
      <c r="AW387" s="5" t="s">
        <v>200</v>
      </c>
      <c r="AX387" s="5" t="s">
        <v>1797</v>
      </c>
      <c r="AY387" s="5" t="s">
        <v>69</v>
      </c>
      <c r="AZ387" s="5" t="s">
        <v>145</v>
      </c>
      <c r="BA387" s="19" t="s">
        <v>1761</v>
      </c>
      <c r="BB387" s="17" t="s">
        <v>94</v>
      </c>
      <c r="BC387" s="5" t="s">
        <v>1798</v>
      </c>
      <c r="BD387" s="5" t="s">
        <v>1826</v>
      </c>
    </row>
    <row r="388" spans="1:56" ht="72" hidden="1" x14ac:dyDescent="0.25">
      <c r="A388" s="78" t="s">
        <v>1749</v>
      </c>
      <c r="B388" s="5" t="s">
        <v>1750</v>
      </c>
      <c r="C388" s="5" t="s">
        <v>3293</v>
      </c>
      <c r="D388" s="5" t="s">
        <v>56</v>
      </c>
      <c r="E388" s="99" t="str">
        <f>VLOOKUP(D388,'Dropdown List'!$F$26:$G$40,2,0)</f>
        <v>India</v>
      </c>
      <c r="F388" s="8" t="s">
        <v>1751</v>
      </c>
      <c r="G388" s="96">
        <v>5</v>
      </c>
      <c r="H388" s="5" t="s">
        <v>57</v>
      </c>
      <c r="I388" s="8" t="s">
        <v>58</v>
      </c>
      <c r="J388" s="8" t="s">
        <v>146</v>
      </c>
      <c r="K388" s="8" t="s">
        <v>931</v>
      </c>
      <c r="L388" s="8" t="s">
        <v>1827</v>
      </c>
      <c r="M388" s="8" t="s">
        <v>1828</v>
      </c>
      <c r="N388" s="5" t="s">
        <v>1034</v>
      </c>
      <c r="O388" s="5" t="s">
        <v>61</v>
      </c>
      <c r="P388" s="5" t="s">
        <v>1755</v>
      </c>
      <c r="Q388" s="9" t="s">
        <v>75</v>
      </c>
      <c r="R388" s="5" t="s">
        <v>76</v>
      </c>
      <c r="S388" s="5" t="s">
        <v>90</v>
      </c>
      <c r="T388" s="96">
        <v>1</v>
      </c>
      <c r="U388" s="96">
        <v>1</v>
      </c>
      <c r="V388" s="96" t="s">
        <v>1777</v>
      </c>
      <c r="W388" s="5" t="s">
        <v>91</v>
      </c>
      <c r="X388" s="10" t="s">
        <v>79</v>
      </c>
      <c r="Y388" s="11">
        <v>25140.33</v>
      </c>
      <c r="Z388" s="12">
        <v>0</v>
      </c>
      <c r="AA388" s="12">
        <v>0</v>
      </c>
      <c r="AB388" s="12">
        <v>0</v>
      </c>
      <c r="AC388" s="13">
        <v>0</v>
      </c>
      <c r="AD388" s="14">
        <f t="shared" si="12"/>
        <v>0</v>
      </c>
      <c r="AE388" s="15" t="e">
        <f t="shared" si="13"/>
        <v>#DIV/0!</v>
      </c>
      <c r="AF388" s="16">
        <v>116</v>
      </c>
      <c r="AG388" s="16">
        <v>116</v>
      </c>
      <c r="AH388" s="17" t="s">
        <v>1792</v>
      </c>
      <c r="AI388" s="18" t="s">
        <v>1812</v>
      </c>
      <c r="AJ388" s="19">
        <v>0.98499999999999999</v>
      </c>
      <c r="AK388" s="20">
        <v>0.95</v>
      </c>
      <c r="AL388" s="17" t="s">
        <v>92</v>
      </c>
      <c r="AM388" s="5" t="s">
        <v>66</v>
      </c>
      <c r="AN388" s="5" t="s">
        <v>66</v>
      </c>
      <c r="AO388" s="5" t="s">
        <v>1829</v>
      </c>
      <c r="AP388" s="5" t="s">
        <v>1830</v>
      </c>
      <c r="AQ388" s="5" t="s">
        <v>67</v>
      </c>
      <c r="AR388" s="5" t="s">
        <v>1795</v>
      </c>
      <c r="AS388" s="5" t="s">
        <v>1796</v>
      </c>
      <c r="AT388" s="5" t="s">
        <v>66</v>
      </c>
      <c r="AU388" s="5" t="s">
        <v>66</v>
      </c>
      <c r="AV388" s="5" t="s">
        <v>66</v>
      </c>
      <c r="AW388" s="5" t="s">
        <v>200</v>
      </c>
      <c r="AX388" s="5" t="s">
        <v>1831</v>
      </c>
      <c r="AY388" s="5" t="s">
        <v>69</v>
      </c>
      <c r="AZ388" s="5" t="s">
        <v>145</v>
      </c>
      <c r="BA388" s="19" t="s">
        <v>1761</v>
      </c>
      <c r="BB388" s="17" t="s">
        <v>94</v>
      </c>
      <c r="BC388" s="5" t="s">
        <v>1798</v>
      </c>
      <c r="BD388" s="5" t="s">
        <v>1832</v>
      </c>
    </row>
    <row r="389" spans="1:56" ht="72" hidden="1" x14ac:dyDescent="0.25">
      <c r="A389" s="78" t="s">
        <v>1749</v>
      </c>
      <c r="B389" s="5" t="s">
        <v>1750</v>
      </c>
      <c r="C389" s="5" t="s">
        <v>3293</v>
      </c>
      <c r="D389" s="5" t="s">
        <v>56</v>
      </c>
      <c r="E389" s="99" t="str">
        <f>VLOOKUP(D389,'Dropdown List'!$F$26:$G$40,2,0)</f>
        <v>India</v>
      </c>
      <c r="F389" s="8" t="s">
        <v>1751</v>
      </c>
      <c r="G389" s="96">
        <v>5</v>
      </c>
      <c r="H389" s="5" t="s">
        <v>57</v>
      </c>
      <c r="I389" s="8" t="s">
        <v>58</v>
      </c>
      <c r="J389" s="8" t="s">
        <v>146</v>
      </c>
      <c r="K389" s="8" t="s">
        <v>931</v>
      </c>
      <c r="L389" s="8" t="s">
        <v>1833</v>
      </c>
      <c r="M389" s="8" t="s">
        <v>1834</v>
      </c>
      <c r="N389" s="5" t="s">
        <v>1034</v>
      </c>
      <c r="O389" s="5" t="s">
        <v>61</v>
      </c>
      <c r="P389" s="5" t="s">
        <v>1755</v>
      </c>
      <c r="Q389" s="9" t="s">
        <v>75</v>
      </c>
      <c r="R389" s="5" t="s">
        <v>76</v>
      </c>
      <c r="S389" s="5" t="s">
        <v>90</v>
      </c>
      <c r="T389" s="96">
        <v>1</v>
      </c>
      <c r="U389" s="96">
        <v>1</v>
      </c>
      <c r="V389" s="96" t="s">
        <v>1777</v>
      </c>
      <c r="W389" s="5" t="s">
        <v>91</v>
      </c>
      <c r="X389" s="10" t="s">
        <v>79</v>
      </c>
      <c r="Y389" s="11">
        <v>25140.33</v>
      </c>
      <c r="Z389" s="12">
        <v>0.5</v>
      </c>
      <c r="AA389" s="12">
        <v>0</v>
      </c>
      <c r="AB389" s="12">
        <v>0</v>
      </c>
      <c r="AC389" s="13">
        <v>0</v>
      </c>
      <c r="AD389" s="14">
        <f t="shared" ref="AD389:AD452" si="14">SUM(Z389:AC389)</f>
        <v>0.5</v>
      </c>
      <c r="AE389" s="15">
        <f t="shared" ref="AE389:AE452" si="15">AC389/AD389</f>
        <v>0</v>
      </c>
      <c r="AF389" s="16">
        <v>144</v>
      </c>
      <c r="AG389" s="16">
        <v>144</v>
      </c>
      <c r="AH389" s="17" t="s">
        <v>1792</v>
      </c>
      <c r="AI389" s="18" t="s">
        <v>1812</v>
      </c>
      <c r="AJ389" s="19">
        <v>0.98499999999999999</v>
      </c>
      <c r="AK389" s="20">
        <v>0.95</v>
      </c>
      <c r="AL389" s="17" t="s">
        <v>92</v>
      </c>
      <c r="AM389" s="5" t="s">
        <v>66</v>
      </c>
      <c r="AN389" s="5" t="s">
        <v>66</v>
      </c>
      <c r="AO389" s="5" t="s">
        <v>1829</v>
      </c>
      <c r="AP389" s="5" t="s">
        <v>1830</v>
      </c>
      <c r="AQ389" s="5" t="s">
        <v>67</v>
      </c>
      <c r="AR389" s="5" t="s">
        <v>1795</v>
      </c>
      <c r="AS389" s="5" t="s">
        <v>1796</v>
      </c>
      <c r="AT389" s="5" t="s">
        <v>66</v>
      </c>
      <c r="AU389" s="5" t="s">
        <v>66</v>
      </c>
      <c r="AV389" s="5" t="s">
        <v>66</v>
      </c>
      <c r="AW389" s="5" t="s">
        <v>200</v>
      </c>
      <c r="AX389" s="5" t="s">
        <v>1831</v>
      </c>
      <c r="AY389" s="5" t="s">
        <v>69</v>
      </c>
      <c r="AZ389" s="5" t="s">
        <v>145</v>
      </c>
      <c r="BA389" s="19" t="s">
        <v>1761</v>
      </c>
      <c r="BB389" s="17" t="s">
        <v>94</v>
      </c>
      <c r="BC389" s="5" t="s">
        <v>1798</v>
      </c>
      <c r="BD389" s="5" t="s">
        <v>1832</v>
      </c>
    </row>
    <row r="390" spans="1:56" ht="72" hidden="1" x14ac:dyDescent="0.25">
      <c r="A390" s="78" t="s">
        <v>1749</v>
      </c>
      <c r="B390" s="5" t="s">
        <v>1750</v>
      </c>
      <c r="C390" s="5" t="s">
        <v>3293</v>
      </c>
      <c r="D390" s="5" t="s">
        <v>56</v>
      </c>
      <c r="E390" s="99" t="str">
        <f>VLOOKUP(D390,'Dropdown List'!$F$26:$G$40,2,0)</f>
        <v>India</v>
      </c>
      <c r="F390" s="8" t="s">
        <v>1751</v>
      </c>
      <c r="G390" s="96">
        <v>5</v>
      </c>
      <c r="H390" s="5" t="s">
        <v>57</v>
      </c>
      <c r="I390" s="8" t="s">
        <v>58</v>
      </c>
      <c r="J390" s="8" t="s">
        <v>146</v>
      </c>
      <c r="K390" s="8" t="s">
        <v>931</v>
      </c>
      <c r="L390" s="8" t="s">
        <v>1836</v>
      </c>
      <c r="M390" s="8" t="s">
        <v>1837</v>
      </c>
      <c r="N390" s="5" t="s">
        <v>1034</v>
      </c>
      <c r="O390" s="5" t="s">
        <v>61</v>
      </c>
      <c r="P390" s="5" t="s">
        <v>1755</v>
      </c>
      <c r="Q390" s="9" t="s">
        <v>75</v>
      </c>
      <c r="R390" s="5" t="s">
        <v>76</v>
      </c>
      <c r="S390" s="5" t="s">
        <v>90</v>
      </c>
      <c r="T390" s="96">
        <v>1</v>
      </c>
      <c r="U390" s="96">
        <v>1</v>
      </c>
      <c r="V390" s="96" t="s">
        <v>1777</v>
      </c>
      <c r="W390" s="5" t="s">
        <v>91</v>
      </c>
      <c r="X390" s="10" t="s">
        <v>79</v>
      </c>
      <c r="Y390" s="11">
        <v>25140.33</v>
      </c>
      <c r="Z390" s="12">
        <v>1.19</v>
      </c>
      <c r="AA390" s="12">
        <v>0</v>
      </c>
      <c r="AB390" s="12">
        <v>0</v>
      </c>
      <c r="AC390" s="13">
        <v>0</v>
      </c>
      <c r="AD390" s="14">
        <f t="shared" si="14"/>
        <v>1.19</v>
      </c>
      <c r="AE390" s="15">
        <f t="shared" si="15"/>
        <v>0</v>
      </c>
      <c r="AF390" s="16">
        <v>274</v>
      </c>
      <c r="AG390" s="16">
        <v>274</v>
      </c>
      <c r="AH390" s="17" t="s">
        <v>1792</v>
      </c>
      <c r="AI390" s="18" t="s">
        <v>1838</v>
      </c>
      <c r="AJ390" s="19">
        <v>0.98499999999999999</v>
      </c>
      <c r="AK390" s="20">
        <v>0.95</v>
      </c>
      <c r="AL390" s="17" t="s">
        <v>92</v>
      </c>
      <c r="AM390" s="5" t="s">
        <v>66</v>
      </c>
      <c r="AN390" s="5" t="s">
        <v>66</v>
      </c>
      <c r="AO390" s="5" t="s">
        <v>1829</v>
      </c>
      <c r="AP390" s="5" t="s">
        <v>1830</v>
      </c>
      <c r="AQ390" s="5" t="s">
        <v>67</v>
      </c>
      <c r="AR390" s="5" t="s">
        <v>1795</v>
      </c>
      <c r="AS390" s="5" t="s">
        <v>1796</v>
      </c>
      <c r="AT390" s="5" t="s">
        <v>66</v>
      </c>
      <c r="AU390" s="5" t="s">
        <v>66</v>
      </c>
      <c r="AV390" s="5" t="s">
        <v>66</v>
      </c>
      <c r="AW390" s="5" t="s">
        <v>200</v>
      </c>
      <c r="AX390" s="5" t="s">
        <v>1831</v>
      </c>
      <c r="AY390" s="5" t="s">
        <v>69</v>
      </c>
      <c r="AZ390" s="5" t="s">
        <v>145</v>
      </c>
      <c r="BA390" s="19" t="s">
        <v>1761</v>
      </c>
      <c r="BB390" s="17" t="s">
        <v>94</v>
      </c>
      <c r="BC390" s="5" t="s">
        <v>1798</v>
      </c>
      <c r="BD390" s="5" t="s">
        <v>1832</v>
      </c>
    </row>
    <row r="391" spans="1:56" ht="72" hidden="1" x14ac:dyDescent="0.25">
      <c r="A391" s="78" t="s">
        <v>1749</v>
      </c>
      <c r="B391" s="5" t="s">
        <v>1750</v>
      </c>
      <c r="C391" s="5" t="s">
        <v>3293</v>
      </c>
      <c r="D391" s="5" t="s">
        <v>56</v>
      </c>
      <c r="E391" s="99" t="str">
        <f>VLOOKUP(D391,'Dropdown List'!$F$26:$G$40,2,0)</f>
        <v>India</v>
      </c>
      <c r="F391" s="8" t="s">
        <v>1751</v>
      </c>
      <c r="G391" s="96">
        <v>5</v>
      </c>
      <c r="H391" s="5" t="s">
        <v>57</v>
      </c>
      <c r="I391" s="8" t="s">
        <v>58</v>
      </c>
      <c r="J391" s="8" t="s">
        <v>146</v>
      </c>
      <c r="K391" s="8" t="s">
        <v>931</v>
      </c>
      <c r="L391" s="8" t="s">
        <v>1839</v>
      </c>
      <c r="M391" s="8" t="s">
        <v>1840</v>
      </c>
      <c r="N391" s="5" t="s">
        <v>1034</v>
      </c>
      <c r="O391" s="5" t="s">
        <v>61</v>
      </c>
      <c r="P391" s="5" t="s">
        <v>1755</v>
      </c>
      <c r="Q391" s="9" t="s">
        <v>75</v>
      </c>
      <c r="R391" s="5" t="s">
        <v>76</v>
      </c>
      <c r="S391" s="5" t="s">
        <v>90</v>
      </c>
      <c r="T391" s="96">
        <v>1</v>
      </c>
      <c r="U391" s="96">
        <v>1</v>
      </c>
      <c r="V391" s="96" t="s">
        <v>1777</v>
      </c>
      <c r="W391" s="5" t="s">
        <v>91</v>
      </c>
      <c r="X391" s="10" t="s">
        <v>79</v>
      </c>
      <c r="Y391" s="11">
        <v>25140.33</v>
      </c>
      <c r="Z391" s="12">
        <v>0.19</v>
      </c>
      <c r="AA391" s="12">
        <v>0</v>
      </c>
      <c r="AB391" s="12">
        <v>0</v>
      </c>
      <c r="AC391" s="13">
        <v>0</v>
      </c>
      <c r="AD391" s="14">
        <f t="shared" si="14"/>
        <v>0.19</v>
      </c>
      <c r="AE391" s="15">
        <f t="shared" si="15"/>
        <v>0</v>
      </c>
      <c r="AF391" s="16">
        <v>237</v>
      </c>
      <c r="AG391" s="16">
        <v>237</v>
      </c>
      <c r="AH391" s="17" t="s">
        <v>1792</v>
      </c>
      <c r="AI391" s="18" t="s">
        <v>1841</v>
      </c>
      <c r="AJ391" s="19">
        <v>0.98</v>
      </c>
      <c r="AK391" s="20">
        <v>0.95</v>
      </c>
      <c r="AL391" s="17" t="s">
        <v>92</v>
      </c>
      <c r="AM391" s="5" t="s">
        <v>66</v>
      </c>
      <c r="AN391" s="5" t="s">
        <v>66</v>
      </c>
      <c r="AO391" s="5" t="s">
        <v>1829</v>
      </c>
      <c r="AP391" s="5" t="s">
        <v>1830</v>
      </c>
      <c r="AQ391" s="5" t="s">
        <v>67</v>
      </c>
      <c r="AR391" s="5" t="s">
        <v>1795</v>
      </c>
      <c r="AS391" s="5" t="s">
        <v>1796</v>
      </c>
      <c r="AT391" s="5" t="s">
        <v>66</v>
      </c>
      <c r="AU391" s="5" t="s">
        <v>66</v>
      </c>
      <c r="AV391" s="5" t="s">
        <v>66</v>
      </c>
      <c r="AW391" s="5" t="s">
        <v>200</v>
      </c>
      <c r="AX391" s="5" t="s">
        <v>1831</v>
      </c>
      <c r="AY391" s="5" t="s">
        <v>69</v>
      </c>
      <c r="AZ391" s="5" t="s">
        <v>145</v>
      </c>
      <c r="BA391" s="19" t="s">
        <v>1761</v>
      </c>
      <c r="BB391" s="17" t="s">
        <v>94</v>
      </c>
      <c r="BC391" s="5" t="s">
        <v>1798</v>
      </c>
      <c r="BD391" s="5" t="s">
        <v>1832</v>
      </c>
    </row>
    <row r="392" spans="1:56" ht="72" hidden="1" x14ac:dyDescent="0.25">
      <c r="A392" s="78" t="s">
        <v>1749</v>
      </c>
      <c r="B392" s="5" t="s">
        <v>1750</v>
      </c>
      <c r="C392" s="5" t="s">
        <v>3293</v>
      </c>
      <c r="D392" s="5" t="s">
        <v>56</v>
      </c>
      <c r="E392" s="99" t="str">
        <f>VLOOKUP(D392,'Dropdown List'!$F$26:$G$40,2,0)</f>
        <v>India</v>
      </c>
      <c r="F392" s="8" t="s">
        <v>1751</v>
      </c>
      <c r="G392" s="96">
        <v>5</v>
      </c>
      <c r="H392" s="5" t="s">
        <v>57</v>
      </c>
      <c r="I392" s="8" t="s">
        <v>58</v>
      </c>
      <c r="J392" s="8" t="s">
        <v>146</v>
      </c>
      <c r="K392" s="8" t="s">
        <v>931</v>
      </c>
      <c r="L392" s="8" t="s">
        <v>1842</v>
      </c>
      <c r="M392" s="8" t="s">
        <v>1843</v>
      </c>
      <c r="N392" s="5" t="s">
        <v>1034</v>
      </c>
      <c r="O392" s="5" t="s">
        <v>61</v>
      </c>
      <c r="P392" s="5" t="s">
        <v>1755</v>
      </c>
      <c r="Q392" s="9" t="s">
        <v>75</v>
      </c>
      <c r="R392" s="5" t="s">
        <v>76</v>
      </c>
      <c r="S392" s="5" t="s">
        <v>90</v>
      </c>
      <c r="T392" s="96">
        <v>1</v>
      </c>
      <c r="U392" s="96">
        <v>1</v>
      </c>
      <c r="V392" s="96" t="s">
        <v>1777</v>
      </c>
      <c r="W392" s="5" t="s">
        <v>91</v>
      </c>
      <c r="X392" s="10" t="s">
        <v>79</v>
      </c>
      <c r="Y392" s="11">
        <v>25140.33</v>
      </c>
      <c r="Z392" s="12">
        <v>0.19</v>
      </c>
      <c r="AA392" s="12">
        <v>0</v>
      </c>
      <c r="AB392" s="12">
        <v>0</v>
      </c>
      <c r="AC392" s="13">
        <v>0</v>
      </c>
      <c r="AD392" s="14">
        <f t="shared" si="14"/>
        <v>0.19</v>
      </c>
      <c r="AE392" s="15">
        <f t="shared" si="15"/>
        <v>0</v>
      </c>
      <c r="AF392" s="16">
        <v>237</v>
      </c>
      <c r="AG392" s="16">
        <v>237</v>
      </c>
      <c r="AH392" s="17" t="s">
        <v>1792</v>
      </c>
      <c r="AI392" s="18" t="s">
        <v>1787</v>
      </c>
      <c r="AJ392" s="19">
        <v>0.98</v>
      </c>
      <c r="AK392" s="20">
        <v>0.95</v>
      </c>
      <c r="AL392" s="17" t="s">
        <v>92</v>
      </c>
      <c r="AM392" s="5" t="s">
        <v>66</v>
      </c>
      <c r="AN392" s="5" t="s">
        <v>66</v>
      </c>
      <c r="AO392" s="5" t="s">
        <v>1829</v>
      </c>
      <c r="AP392" s="5" t="s">
        <v>1830</v>
      </c>
      <c r="AQ392" s="5" t="s">
        <v>67</v>
      </c>
      <c r="AR392" s="5" t="s">
        <v>1795</v>
      </c>
      <c r="AS392" s="5" t="s">
        <v>1796</v>
      </c>
      <c r="AT392" s="5" t="s">
        <v>66</v>
      </c>
      <c r="AU392" s="5" t="s">
        <v>66</v>
      </c>
      <c r="AV392" s="5" t="s">
        <v>66</v>
      </c>
      <c r="AW392" s="5" t="s">
        <v>200</v>
      </c>
      <c r="AX392" s="5" t="s">
        <v>1831</v>
      </c>
      <c r="AY392" s="5" t="s">
        <v>69</v>
      </c>
      <c r="AZ392" s="5" t="s">
        <v>145</v>
      </c>
      <c r="BA392" s="19" t="s">
        <v>1761</v>
      </c>
      <c r="BB392" s="17" t="s">
        <v>94</v>
      </c>
      <c r="BC392" s="5" t="s">
        <v>1798</v>
      </c>
      <c r="BD392" s="5" t="s">
        <v>1832</v>
      </c>
    </row>
    <row r="393" spans="1:56" ht="72" hidden="1" x14ac:dyDescent="0.25">
      <c r="A393" s="78" t="s">
        <v>1749</v>
      </c>
      <c r="B393" s="5" t="s">
        <v>1750</v>
      </c>
      <c r="C393" s="5" t="s">
        <v>3293</v>
      </c>
      <c r="D393" s="5" t="s">
        <v>56</v>
      </c>
      <c r="E393" s="99" t="str">
        <f>VLOOKUP(D393,'Dropdown List'!$F$26:$G$40,2,0)</f>
        <v>India</v>
      </c>
      <c r="F393" s="8" t="s">
        <v>1751</v>
      </c>
      <c r="G393" s="96">
        <v>5</v>
      </c>
      <c r="H393" s="5" t="s">
        <v>57</v>
      </c>
      <c r="I393" s="8" t="s">
        <v>58</v>
      </c>
      <c r="J393" s="8" t="s">
        <v>146</v>
      </c>
      <c r="K393" s="8" t="s">
        <v>931</v>
      </c>
      <c r="L393" s="8" t="s">
        <v>1844</v>
      </c>
      <c r="M393" s="8" t="s">
        <v>1845</v>
      </c>
      <c r="N393" s="5" t="s">
        <v>1034</v>
      </c>
      <c r="O393" s="5" t="s">
        <v>61</v>
      </c>
      <c r="P393" s="5" t="s">
        <v>1755</v>
      </c>
      <c r="Q393" s="9" t="s">
        <v>75</v>
      </c>
      <c r="R393" s="5" t="s">
        <v>76</v>
      </c>
      <c r="S393" s="5" t="s">
        <v>90</v>
      </c>
      <c r="T393" s="96">
        <v>1</v>
      </c>
      <c r="U393" s="96">
        <v>1</v>
      </c>
      <c r="V393" s="96" t="s">
        <v>1777</v>
      </c>
      <c r="W393" s="5" t="s">
        <v>91</v>
      </c>
      <c r="X393" s="10" t="s">
        <v>79</v>
      </c>
      <c r="Y393" s="11">
        <v>25140.33</v>
      </c>
      <c r="Z393" s="12">
        <v>0.5</v>
      </c>
      <c r="AA393" s="12">
        <v>0</v>
      </c>
      <c r="AB393" s="12">
        <v>0</v>
      </c>
      <c r="AC393" s="13">
        <v>0</v>
      </c>
      <c r="AD393" s="14">
        <f t="shared" si="14"/>
        <v>0.5</v>
      </c>
      <c r="AE393" s="15">
        <f t="shared" si="15"/>
        <v>0</v>
      </c>
      <c r="AF393" s="16">
        <v>365</v>
      </c>
      <c r="AG393" s="16">
        <v>365</v>
      </c>
      <c r="AH393" s="17" t="s">
        <v>1792</v>
      </c>
      <c r="AI393" s="18" t="s">
        <v>1835</v>
      </c>
      <c r="AJ393" s="19">
        <v>0.98</v>
      </c>
      <c r="AK393" s="20">
        <v>0.95</v>
      </c>
      <c r="AL393" s="17" t="s">
        <v>92</v>
      </c>
      <c r="AM393" s="5" t="s">
        <v>66</v>
      </c>
      <c r="AN393" s="5" t="s">
        <v>66</v>
      </c>
      <c r="AO393" s="5" t="s">
        <v>1829</v>
      </c>
      <c r="AP393" s="5" t="s">
        <v>1830</v>
      </c>
      <c r="AQ393" s="5" t="s">
        <v>67</v>
      </c>
      <c r="AR393" s="5" t="s">
        <v>1795</v>
      </c>
      <c r="AS393" s="5" t="s">
        <v>1796</v>
      </c>
      <c r="AT393" s="5" t="s">
        <v>66</v>
      </c>
      <c r="AU393" s="5" t="s">
        <v>66</v>
      </c>
      <c r="AV393" s="5" t="s">
        <v>66</v>
      </c>
      <c r="AW393" s="5" t="s">
        <v>200</v>
      </c>
      <c r="AX393" s="5" t="s">
        <v>1831</v>
      </c>
      <c r="AY393" s="5" t="s">
        <v>69</v>
      </c>
      <c r="AZ393" s="5" t="s">
        <v>145</v>
      </c>
      <c r="BA393" s="19" t="s">
        <v>1761</v>
      </c>
      <c r="BB393" s="17" t="s">
        <v>94</v>
      </c>
      <c r="BC393" s="5" t="s">
        <v>1798</v>
      </c>
      <c r="BD393" s="5" t="s">
        <v>1832</v>
      </c>
    </row>
    <row r="394" spans="1:56" ht="72" hidden="1" x14ac:dyDescent="0.25">
      <c r="A394" s="78" t="s">
        <v>1749</v>
      </c>
      <c r="B394" s="5" t="s">
        <v>1750</v>
      </c>
      <c r="C394" s="5" t="s">
        <v>3293</v>
      </c>
      <c r="D394" s="5" t="s">
        <v>56</v>
      </c>
      <c r="E394" s="99" t="str">
        <f>VLOOKUP(D394,'Dropdown List'!$F$26:$G$40,2,0)</f>
        <v>India</v>
      </c>
      <c r="F394" s="8" t="s">
        <v>1751</v>
      </c>
      <c r="G394" s="96">
        <v>5</v>
      </c>
      <c r="H394" s="5" t="s">
        <v>57</v>
      </c>
      <c r="I394" s="8" t="s">
        <v>58</v>
      </c>
      <c r="J394" s="8" t="s">
        <v>146</v>
      </c>
      <c r="K394" s="8" t="s">
        <v>1752</v>
      </c>
      <c r="L394" s="8" t="s">
        <v>1846</v>
      </c>
      <c r="M394" s="8" t="s">
        <v>1820</v>
      </c>
      <c r="N394" s="5" t="s">
        <v>1034</v>
      </c>
      <c r="O394" s="5" t="s">
        <v>61</v>
      </c>
      <c r="P394" s="5" t="s">
        <v>1755</v>
      </c>
      <c r="Q394" s="9" t="s">
        <v>75</v>
      </c>
      <c r="R394" s="5" t="s">
        <v>76</v>
      </c>
      <c r="S394" s="5" t="s">
        <v>90</v>
      </c>
      <c r="T394" s="96">
        <v>1</v>
      </c>
      <c r="U394" s="96">
        <v>3</v>
      </c>
      <c r="V394" s="96" t="s">
        <v>1811</v>
      </c>
      <c r="W394" s="5" t="s">
        <v>91</v>
      </c>
      <c r="X394" s="10" t="s">
        <v>79</v>
      </c>
      <c r="Y394" s="11">
        <v>41076.14</v>
      </c>
      <c r="Z394" s="12">
        <v>0</v>
      </c>
      <c r="AA394" s="12">
        <v>0</v>
      </c>
      <c r="AB394" s="12">
        <v>1</v>
      </c>
      <c r="AC394" s="13">
        <v>0</v>
      </c>
      <c r="AD394" s="14">
        <f t="shared" si="14"/>
        <v>1</v>
      </c>
      <c r="AE394" s="15">
        <f t="shared" si="15"/>
        <v>0</v>
      </c>
      <c r="AF394" s="16">
        <v>122</v>
      </c>
      <c r="AG394" s="16">
        <v>122</v>
      </c>
      <c r="AH394" s="17" t="s">
        <v>1792</v>
      </c>
      <c r="AI394" s="18" t="s">
        <v>1778</v>
      </c>
      <c r="AJ394" s="19">
        <v>0.98</v>
      </c>
      <c r="AK394" s="20">
        <v>0.95</v>
      </c>
      <c r="AL394" s="17" t="s">
        <v>92</v>
      </c>
      <c r="AM394" s="5" t="s">
        <v>66</v>
      </c>
      <c r="AN394" s="5" t="s">
        <v>66</v>
      </c>
      <c r="AO394" s="5" t="s">
        <v>1829</v>
      </c>
      <c r="AP394" s="5" t="s">
        <v>1830</v>
      </c>
      <c r="AQ394" s="5" t="s">
        <v>67</v>
      </c>
      <c r="AR394" s="5" t="s">
        <v>1795</v>
      </c>
      <c r="AS394" s="5" t="s">
        <v>1796</v>
      </c>
      <c r="AT394" s="5" t="s">
        <v>66</v>
      </c>
      <c r="AU394" s="5" t="s">
        <v>66</v>
      </c>
      <c r="AV394" s="5" t="s">
        <v>66</v>
      </c>
      <c r="AW394" s="5" t="s">
        <v>200</v>
      </c>
      <c r="AX394" s="5" t="s">
        <v>1831</v>
      </c>
      <c r="AY394" s="5" t="s">
        <v>69</v>
      </c>
      <c r="AZ394" s="5" t="s">
        <v>145</v>
      </c>
      <c r="BA394" s="19" t="s">
        <v>1761</v>
      </c>
      <c r="BB394" s="17" t="s">
        <v>94</v>
      </c>
      <c r="BC394" s="5" t="s">
        <v>1798</v>
      </c>
      <c r="BD394" s="5" t="s">
        <v>1832</v>
      </c>
    </row>
    <row r="395" spans="1:56" ht="72" hidden="1" x14ac:dyDescent="0.25">
      <c r="A395" s="78" t="s">
        <v>1749</v>
      </c>
      <c r="B395" s="5" t="s">
        <v>1750</v>
      </c>
      <c r="C395" s="5" t="s">
        <v>3293</v>
      </c>
      <c r="D395" s="5" t="s">
        <v>56</v>
      </c>
      <c r="E395" s="99" t="str">
        <f>VLOOKUP(D395,'Dropdown List'!$F$26:$G$40,2,0)</f>
        <v>India</v>
      </c>
      <c r="F395" s="8" t="s">
        <v>1751</v>
      </c>
      <c r="G395" s="96">
        <v>5</v>
      </c>
      <c r="H395" s="5" t="s">
        <v>57</v>
      </c>
      <c r="I395" s="8" t="s">
        <v>58</v>
      </c>
      <c r="J395" s="8" t="s">
        <v>146</v>
      </c>
      <c r="K395" s="8" t="s">
        <v>1752</v>
      </c>
      <c r="L395" s="8" t="s">
        <v>1847</v>
      </c>
      <c r="M395" s="8" t="s">
        <v>1848</v>
      </c>
      <c r="N395" s="5" t="s">
        <v>1034</v>
      </c>
      <c r="O395" s="5" t="s">
        <v>61</v>
      </c>
      <c r="P395" s="5" t="s">
        <v>1755</v>
      </c>
      <c r="Q395" s="9" t="s">
        <v>75</v>
      </c>
      <c r="R395" s="5" t="s">
        <v>76</v>
      </c>
      <c r="S395" s="5" t="s">
        <v>90</v>
      </c>
      <c r="T395" s="96">
        <v>1</v>
      </c>
      <c r="U395" s="96">
        <v>3</v>
      </c>
      <c r="V395" s="96" t="s">
        <v>1811</v>
      </c>
      <c r="W395" s="5" t="s">
        <v>91</v>
      </c>
      <c r="X395" s="10" t="s">
        <v>79</v>
      </c>
      <c r="Y395" s="11">
        <v>25140.33</v>
      </c>
      <c r="Z395" s="12">
        <v>4.21</v>
      </c>
      <c r="AA395" s="12">
        <v>0</v>
      </c>
      <c r="AB395" s="12">
        <v>0</v>
      </c>
      <c r="AC395" s="13">
        <v>0</v>
      </c>
      <c r="AD395" s="14">
        <f t="shared" si="14"/>
        <v>4.21</v>
      </c>
      <c r="AE395" s="15">
        <f t="shared" si="15"/>
        <v>0</v>
      </c>
      <c r="AF395" s="16">
        <v>222</v>
      </c>
      <c r="AG395" s="16">
        <v>222</v>
      </c>
      <c r="AH395" s="17" t="s">
        <v>1792</v>
      </c>
      <c r="AI395" s="18" t="s">
        <v>1823</v>
      </c>
      <c r="AJ395" s="19">
        <v>0.98499999999999999</v>
      </c>
      <c r="AK395" s="20">
        <v>0.95</v>
      </c>
      <c r="AL395" s="17" t="s">
        <v>92</v>
      </c>
      <c r="AM395" s="5" t="s">
        <v>66</v>
      </c>
      <c r="AN395" s="5" t="s">
        <v>66</v>
      </c>
      <c r="AO395" s="5" t="s">
        <v>1829</v>
      </c>
      <c r="AP395" s="5" t="s">
        <v>1830</v>
      </c>
      <c r="AQ395" s="5" t="s">
        <v>67</v>
      </c>
      <c r="AR395" s="5" t="s">
        <v>1795</v>
      </c>
      <c r="AS395" s="5" t="s">
        <v>1796</v>
      </c>
      <c r="AT395" s="5" t="s">
        <v>66</v>
      </c>
      <c r="AU395" s="5" t="s">
        <v>66</v>
      </c>
      <c r="AV395" s="5" t="s">
        <v>66</v>
      </c>
      <c r="AW395" s="5" t="s">
        <v>200</v>
      </c>
      <c r="AX395" s="5" t="s">
        <v>1831</v>
      </c>
      <c r="AY395" s="5" t="s">
        <v>69</v>
      </c>
      <c r="AZ395" s="5" t="s">
        <v>145</v>
      </c>
      <c r="BA395" s="19" t="s">
        <v>1761</v>
      </c>
      <c r="BB395" s="17" t="s">
        <v>94</v>
      </c>
      <c r="BC395" s="5" t="s">
        <v>1798</v>
      </c>
      <c r="BD395" s="5" t="s">
        <v>1832</v>
      </c>
    </row>
    <row r="396" spans="1:56" ht="72" hidden="1" x14ac:dyDescent="0.25">
      <c r="A396" s="78" t="s">
        <v>1749</v>
      </c>
      <c r="B396" s="5" t="s">
        <v>1750</v>
      </c>
      <c r="C396" s="5" t="s">
        <v>3293</v>
      </c>
      <c r="D396" s="5" t="s">
        <v>56</v>
      </c>
      <c r="E396" s="99" t="str">
        <f>VLOOKUP(D396,'Dropdown List'!$F$26:$G$40,2,0)</f>
        <v>India</v>
      </c>
      <c r="F396" s="8" t="s">
        <v>1751</v>
      </c>
      <c r="G396" s="96">
        <v>5</v>
      </c>
      <c r="H396" s="5" t="s">
        <v>57</v>
      </c>
      <c r="I396" s="8" t="s">
        <v>58</v>
      </c>
      <c r="J396" s="8" t="s">
        <v>146</v>
      </c>
      <c r="K396" s="8" t="s">
        <v>1752</v>
      </c>
      <c r="L396" s="8" t="s">
        <v>1849</v>
      </c>
      <c r="M396" s="8" t="s">
        <v>1850</v>
      </c>
      <c r="N396" s="5" t="s">
        <v>1034</v>
      </c>
      <c r="O396" s="5" t="s">
        <v>61</v>
      </c>
      <c r="P396" s="5" t="s">
        <v>1755</v>
      </c>
      <c r="Q396" s="9" t="s">
        <v>75</v>
      </c>
      <c r="R396" s="5" t="s">
        <v>76</v>
      </c>
      <c r="S396" s="5" t="s">
        <v>90</v>
      </c>
      <c r="T396" s="96">
        <v>1</v>
      </c>
      <c r="U396" s="96">
        <v>3</v>
      </c>
      <c r="V396" s="96" t="s">
        <v>1811</v>
      </c>
      <c r="W396" s="5" t="s">
        <v>91</v>
      </c>
      <c r="X396" s="10" t="s">
        <v>79</v>
      </c>
      <c r="Y396" s="11">
        <v>25140.33</v>
      </c>
      <c r="Z396" s="12">
        <v>4.42</v>
      </c>
      <c r="AA396" s="12">
        <v>0</v>
      </c>
      <c r="AB396" s="12">
        <v>0</v>
      </c>
      <c r="AC396" s="13">
        <v>0</v>
      </c>
      <c r="AD396" s="14">
        <f t="shared" si="14"/>
        <v>4.42</v>
      </c>
      <c r="AE396" s="15">
        <f t="shared" si="15"/>
        <v>0</v>
      </c>
      <c r="AF396" s="16">
        <v>2711</v>
      </c>
      <c r="AG396" s="16">
        <v>2711</v>
      </c>
      <c r="AH396" s="17" t="s">
        <v>1792</v>
      </c>
      <c r="AI396" s="18" t="s">
        <v>1757</v>
      </c>
      <c r="AJ396" s="19">
        <v>0.98499999999999999</v>
      </c>
      <c r="AK396" s="20">
        <v>0.95</v>
      </c>
      <c r="AL396" s="17" t="s">
        <v>92</v>
      </c>
      <c r="AM396" s="5" t="s">
        <v>66</v>
      </c>
      <c r="AN396" s="5" t="s">
        <v>66</v>
      </c>
      <c r="AO396" s="5" t="s">
        <v>1829</v>
      </c>
      <c r="AP396" s="5" t="s">
        <v>1830</v>
      </c>
      <c r="AQ396" s="5" t="s">
        <v>1808</v>
      </c>
      <c r="AR396" s="5" t="s">
        <v>1809</v>
      </c>
      <c r="AS396" s="5" t="s">
        <v>1796</v>
      </c>
      <c r="AT396" s="5" t="s">
        <v>66</v>
      </c>
      <c r="AU396" s="5" t="s">
        <v>66</v>
      </c>
      <c r="AV396" s="5" t="s">
        <v>66</v>
      </c>
      <c r="AW396" s="5" t="s">
        <v>200</v>
      </c>
      <c r="AX396" s="5" t="s">
        <v>1831</v>
      </c>
      <c r="AY396" s="5" t="s">
        <v>69</v>
      </c>
      <c r="AZ396" s="5" t="s">
        <v>145</v>
      </c>
      <c r="BA396" s="19" t="s">
        <v>1761</v>
      </c>
      <c r="BB396" s="17" t="s">
        <v>94</v>
      </c>
      <c r="BC396" s="5" t="s">
        <v>1798</v>
      </c>
      <c r="BD396" s="5" t="s">
        <v>1832</v>
      </c>
    </row>
    <row r="397" spans="1:56" ht="72" hidden="1" x14ac:dyDescent="0.25">
      <c r="A397" s="78" t="s">
        <v>1749</v>
      </c>
      <c r="B397" s="5" t="s">
        <v>1750</v>
      </c>
      <c r="C397" s="5" t="s">
        <v>3293</v>
      </c>
      <c r="D397" s="5" t="s">
        <v>56</v>
      </c>
      <c r="E397" s="99" t="str">
        <f>VLOOKUP(D397,'Dropdown List'!$F$26:$G$40,2,0)</f>
        <v>India</v>
      </c>
      <c r="F397" s="8" t="s">
        <v>1751</v>
      </c>
      <c r="G397" s="96">
        <v>5</v>
      </c>
      <c r="H397" s="5" t="s">
        <v>57</v>
      </c>
      <c r="I397" s="8" t="s">
        <v>58</v>
      </c>
      <c r="J397" s="8" t="s">
        <v>146</v>
      </c>
      <c r="K397" s="8" t="s">
        <v>1752</v>
      </c>
      <c r="L397" s="8" t="s">
        <v>1851</v>
      </c>
      <c r="M397" s="8" t="s">
        <v>1850</v>
      </c>
      <c r="N397" s="5" t="s">
        <v>1034</v>
      </c>
      <c r="O397" s="5" t="s">
        <v>61</v>
      </c>
      <c r="P397" s="5" t="s">
        <v>1755</v>
      </c>
      <c r="Q397" s="9" t="s">
        <v>75</v>
      </c>
      <c r="R397" s="5" t="s">
        <v>76</v>
      </c>
      <c r="S397" s="5" t="s">
        <v>90</v>
      </c>
      <c r="T397" s="96">
        <v>1</v>
      </c>
      <c r="U397" s="96">
        <v>3</v>
      </c>
      <c r="V397" s="96" t="s">
        <v>1811</v>
      </c>
      <c r="W397" s="5" t="s">
        <v>91</v>
      </c>
      <c r="X397" s="10" t="s">
        <v>79</v>
      </c>
      <c r="Y397" s="11">
        <v>25140.33</v>
      </c>
      <c r="Z397" s="12">
        <v>0.5</v>
      </c>
      <c r="AA397" s="12">
        <v>0</v>
      </c>
      <c r="AB397" s="12">
        <v>0</v>
      </c>
      <c r="AC397" s="13">
        <v>0</v>
      </c>
      <c r="AD397" s="14">
        <f t="shared" si="14"/>
        <v>0.5</v>
      </c>
      <c r="AE397" s="15">
        <f t="shared" si="15"/>
        <v>0</v>
      </c>
      <c r="AF397" s="16">
        <v>222</v>
      </c>
      <c r="AG397" s="16">
        <v>222</v>
      </c>
      <c r="AH397" s="17" t="s">
        <v>1792</v>
      </c>
      <c r="AI397" s="18" t="s">
        <v>1757</v>
      </c>
      <c r="AJ397" s="19">
        <v>0.98499999999999999</v>
      </c>
      <c r="AK397" s="20">
        <v>0.95</v>
      </c>
      <c r="AL397" s="17" t="s">
        <v>92</v>
      </c>
      <c r="AM397" s="5" t="s">
        <v>66</v>
      </c>
      <c r="AN397" s="5" t="s">
        <v>66</v>
      </c>
      <c r="AO397" s="5" t="s">
        <v>1829</v>
      </c>
      <c r="AP397" s="5" t="s">
        <v>1830</v>
      </c>
      <c r="AQ397" s="5" t="s">
        <v>1808</v>
      </c>
      <c r="AR397" s="5" t="s">
        <v>1809</v>
      </c>
      <c r="AS397" s="5" t="s">
        <v>1796</v>
      </c>
      <c r="AT397" s="5" t="s">
        <v>66</v>
      </c>
      <c r="AU397" s="5" t="s">
        <v>66</v>
      </c>
      <c r="AV397" s="5" t="s">
        <v>66</v>
      </c>
      <c r="AW397" s="5" t="s">
        <v>200</v>
      </c>
      <c r="AX397" s="5" t="s">
        <v>1831</v>
      </c>
      <c r="AY397" s="5" t="s">
        <v>69</v>
      </c>
      <c r="AZ397" s="5" t="s">
        <v>145</v>
      </c>
      <c r="BA397" s="19" t="s">
        <v>1761</v>
      </c>
      <c r="BB397" s="17" t="s">
        <v>94</v>
      </c>
      <c r="BC397" s="5" t="s">
        <v>1798</v>
      </c>
      <c r="BD397" s="5" t="s">
        <v>1832</v>
      </c>
    </row>
    <row r="398" spans="1:56" ht="72" hidden="1" x14ac:dyDescent="0.25">
      <c r="A398" s="78" t="s">
        <v>1749</v>
      </c>
      <c r="B398" s="5" t="s">
        <v>1750</v>
      </c>
      <c r="C398" s="5" t="s">
        <v>3293</v>
      </c>
      <c r="D398" s="5" t="s">
        <v>56</v>
      </c>
      <c r="E398" s="99" t="str">
        <f>VLOOKUP(D398,'Dropdown List'!$F$26:$G$40,2,0)</f>
        <v>India</v>
      </c>
      <c r="F398" s="8" t="s">
        <v>1751</v>
      </c>
      <c r="G398" s="96">
        <v>5</v>
      </c>
      <c r="H398" s="5" t="s">
        <v>57</v>
      </c>
      <c r="I398" s="8" t="s">
        <v>58</v>
      </c>
      <c r="J398" s="8" t="s">
        <v>146</v>
      </c>
      <c r="K398" s="8" t="s">
        <v>1752</v>
      </c>
      <c r="L398" s="8" t="s">
        <v>1852</v>
      </c>
      <c r="M398" s="8" t="s">
        <v>1791</v>
      </c>
      <c r="N398" s="5" t="s">
        <v>1034</v>
      </c>
      <c r="O398" s="5" t="s">
        <v>61</v>
      </c>
      <c r="P398" s="5" t="s">
        <v>1755</v>
      </c>
      <c r="Q398" s="9" t="s">
        <v>75</v>
      </c>
      <c r="R398" s="5" t="s">
        <v>76</v>
      </c>
      <c r="S398" s="5" t="s">
        <v>90</v>
      </c>
      <c r="T398" s="96">
        <v>1</v>
      </c>
      <c r="U398" s="96">
        <v>3</v>
      </c>
      <c r="V398" s="96" t="s">
        <v>1811</v>
      </c>
      <c r="W398" s="5" t="s">
        <v>91</v>
      </c>
      <c r="X398" s="10" t="s">
        <v>79</v>
      </c>
      <c r="Y398" s="11">
        <v>25140.33</v>
      </c>
      <c r="Z398" s="12">
        <v>0.28000000000000003</v>
      </c>
      <c r="AA398" s="12">
        <v>0</v>
      </c>
      <c r="AB398" s="12">
        <v>0</v>
      </c>
      <c r="AC398" s="13">
        <v>0</v>
      </c>
      <c r="AD398" s="14">
        <f t="shared" si="14"/>
        <v>0.28000000000000003</v>
      </c>
      <c r="AE398" s="15">
        <f t="shared" si="15"/>
        <v>0</v>
      </c>
      <c r="AF398" s="16">
        <v>162</v>
      </c>
      <c r="AG398" s="16">
        <v>162</v>
      </c>
      <c r="AH398" s="17" t="s">
        <v>1792</v>
      </c>
      <c r="AI398" s="18" t="s">
        <v>2983</v>
      </c>
      <c r="AJ398" s="19">
        <v>0.98</v>
      </c>
      <c r="AK398" s="20">
        <v>0.95</v>
      </c>
      <c r="AL398" s="17" t="s">
        <v>92</v>
      </c>
      <c r="AM398" s="5" t="s">
        <v>66</v>
      </c>
      <c r="AN398" s="5" t="s">
        <v>66</v>
      </c>
      <c r="AO398" s="5" t="s">
        <v>1829</v>
      </c>
      <c r="AP398" s="5" t="s">
        <v>1830</v>
      </c>
      <c r="AQ398" s="5" t="s">
        <v>67</v>
      </c>
      <c r="AR398" s="5" t="s">
        <v>1795</v>
      </c>
      <c r="AS398" s="5" t="s">
        <v>1796</v>
      </c>
      <c r="AT398" s="5" t="s">
        <v>66</v>
      </c>
      <c r="AU398" s="5" t="s">
        <v>66</v>
      </c>
      <c r="AV398" s="5" t="s">
        <v>66</v>
      </c>
      <c r="AW398" s="5" t="s">
        <v>200</v>
      </c>
      <c r="AX398" s="5" t="s">
        <v>1831</v>
      </c>
      <c r="AY398" s="5" t="s">
        <v>69</v>
      </c>
      <c r="AZ398" s="5" t="s">
        <v>145</v>
      </c>
      <c r="BA398" s="19" t="s">
        <v>1761</v>
      </c>
      <c r="BB398" s="17" t="s">
        <v>94</v>
      </c>
      <c r="BC398" s="5" t="s">
        <v>1798</v>
      </c>
      <c r="BD398" s="5" t="s">
        <v>1832</v>
      </c>
    </row>
    <row r="399" spans="1:56" ht="72" hidden="1" x14ac:dyDescent="0.25">
      <c r="A399" s="78" t="s">
        <v>1749</v>
      </c>
      <c r="B399" s="5" t="s">
        <v>1750</v>
      </c>
      <c r="C399" s="5" t="s">
        <v>3293</v>
      </c>
      <c r="D399" s="5" t="s">
        <v>56</v>
      </c>
      <c r="E399" s="99" t="str">
        <f>VLOOKUP(D399,'Dropdown List'!$F$26:$G$40,2,0)</f>
        <v>India</v>
      </c>
      <c r="F399" s="8" t="s">
        <v>1751</v>
      </c>
      <c r="G399" s="96">
        <v>5</v>
      </c>
      <c r="H399" s="5" t="s">
        <v>57</v>
      </c>
      <c r="I399" s="8" t="s">
        <v>58</v>
      </c>
      <c r="J399" s="8" t="s">
        <v>146</v>
      </c>
      <c r="K399" s="8" t="s">
        <v>1752</v>
      </c>
      <c r="L399" s="8" t="s">
        <v>1853</v>
      </c>
      <c r="M399" s="8" t="s">
        <v>1805</v>
      </c>
      <c r="N399" s="5" t="s">
        <v>1034</v>
      </c>
      <c r="O399" s="5" t="s">
        <v>61</v>
      </c>
      <c r="P399" s="5" t="s">
        <v>1755</v>
      </c>
      <c r="Q399" s="9" t="s">
        <v>75</v>
      </c>
      <c r="R399" s="5" t="s">
        <v>76</v>
      </c>
      <c r="S399" s="5" t="s">
        <v>90</v>
      </c>
      <c r="T399" s="96">
        <v>1</v>
      </c>
      <c r="U399" s="96">
        <v>3</v>
      </c>
      <c r="V399" s="96" t="s">
        <v>1811</v>
      </c>
      <c r="W399" s="5" t="s">
        <v>91</v>
      </c>
      <c r="X399" s="10" t="s">
        <v>79</v>
      </c>
      <c r="Y399" s="11">
        <v>25140.33</v>
      </c>
      <c r="Z399" s="12">
        <v>0.02</v>
      </c>
      <c r="AA399" s="12">
        <v>0</v>
      </c>
      <c r="AB399" s="12">
        <v>0</v>
      </c>
      <c r="AC399" s="13">
        <v>0</v>
      </c>
      <c r="AD399" s="14">
        <f t="shared" si="14"/>
        <v>0.02</v>
      </c>
      <c r="AE399" s="15">
        <f t="shared" si="15"/>
        <v>0</v>
      </c>
      <c r="AF399" s="16">
        <v>7</v>
      </c>
      <c r="AG399" s="16">
        <v>7</v>
      </c>
      <c r="AH399" s="17" t="s">
        <v>1792</v>
      </c>
      <c r="AI399" s="18" t="s">
        <v>1757</v>
      </c>
      <c r="AJ399" s="19">
        <v>0.98</v>
      </c>
      <c r="AK399" s="20">
        <v>0.95</v>
      </c>
      <c r="AL399" s="17" t="s">
        <v>92</v>
      </c>
      <c r="AM399" s="5" t="s">
        <v>66</v>
      </c>
      <c r="AN399" s="5" t="s">
        <v>66</v>
      </c>
      <c r="AO399" s="5" t="s">
        <v>1829</v>
      </c>
      <c r="AP399" s="5" t="s">
        <v>1830</v>
      </c>
      <c r="AQ399" s="5" t="s">
        <v>67</v>
      </c>
      <c r="AR399" s="5" t="s">
        <v>1795</v>
      </c>
      <c r="AS399" s="5" t="s">
        <v>1796</v>
      </c>
      <c r="AT399" s="5" t="s">
        <v>66</v>
      </c>
      <c r="AU399" s="5" t="s">
        <v>66</v>
      </c>
      <c r="AV399" s="5" t="s">
        <v>66</v>
      </c>
      <c r="AW399" s="5" t="s">
        <v>200</v>
      </c>
      <c r="AX399" s="5" t="s">
        <v>1831</v>
      </c>
      <c r="AY399" s="5" t="s">
        <v>69</v>
      </c>
      <c r="AZ399" s="5" t="s">
        <v>145</v>
      </c>
      <c r="BA399" s="19" t="s">
        <v>1761</v>
      </c>
      <c r="BB399" s="17" t="s">
        <v>94</v>
      </c>
      <c r="BC399" s="5" t="s">
        <v>1798</v>
      </c>
      <c r="BD399" s="5" t="s">
        <v>1832</v>
      </c>
    </row>
    <row r="400" spans="1:56" ht="72" hidden="1" x14ac:dyDescent="0.25">
      <c r="A400" s="78" t="s">
        <v>1749</v>
      </c>
      <c r="B400" s="5" t="s">
        <v>1750</v>
      </c>
      <c r="C400" s="5" t="s">
        <v>3293</v>
      </c>
      <c r="D400" s="5" t="s">
        <v>56</v>
      </c>
      <c r="E400" s="99" t="str">
        <f>VLOOKUP(D400,'Dropdown List'!$F$26:$G$40,2,0)</f>
        <v>India</v>
      </c>
      <c r="F400" s="8" t="s">
        <v>1751</v>
      </c>
      <c r="G400" s="96">
        <v>5</v>
      </c>
      <c r="H400" s="5" t="s">
        <v>57</v>
      </c>
      <c r="I400" s="8" t="s">
        <v>58</v>
      </c>
      <c r="J400" s="8" t="s">
        <v>146</v>
      </c>
      <c r="K400" s="8" t="s">
        <v>1752</v>
      </c>
      <c r="L400" s="8" t="s">
        <v>1854</v>
      </c>
      <c r="M400" s="8" t="s">
        <v>1855</v>
      </c>
      <c r="N400" s="5" t="s">
        <v>1034</v>
      </c>
      <c r="O400" s="5" t="s">
        <v>61</v>
      </c>
      <c r="P400" s="5" t="s">
        <v>1755</v>
      </c>
      <c r="Q400" s="9" t="s">
        <v>75</v>
      </c>
      <c r="R400" s="5" t="s">
        <v>76</v>
      </c>
      <c r="S400" s="5" t="s">
        <v>90</v>
      </c>
      <c r="T400" s="96">
        <v>1</v>
      </c>
      <c r="U400" s="96">
        <v>3</v>
      </c>
      <c r="V400" s="96" t="s">
        <v>1811</v>
      </c>
      <c r="W400" s="5" t="s">
        <v>91</v>
      </c>
      <c r="X400" s="10" t="s">
        <v>79</v>
      </c>
      <c r="Y400" s="11">
        <v>25140.33</v>
      </c>
      <c r="Z400" s="12">
        <v>0.88</v>
      </c>
      <c r="AA400" s="12">
        <v>0</v>
      </c>
      <c r="AB400" s="12">
        <v>0</v>
      </c>
      <c r="AC400" s="13">
        <v>0</v>
      </c>
      <c r="AD400" s="14">
        <f t="shared" si="14"/>
        <v>0.88</v>
      </c>
      <c r="AE400" s="15">
        <f t="shared" si="15"/>
        <v>0</v>
      </c>
      <c r="AF400" s="16">
        <v>196</v>
      </c>
      <c r="AG400" s="16">
        <v>196</v>
      </c>
      <c r="AH400" s="17" t="s">
        <v>1792</v>
      </c>
      <c r="AI400" s="18" t="s">
        <v>1771</v>
      </c>
      <c r="AJ400" s="19">
        <v>0.98</v>
      </c>
      <c r="AK400" s="20">
        <v>0.95</v>
      </c>
      <c r="AL400" s="17" t="s">
        <v>92</v>
      </c>
      <c r="AM400" s="5" t="s">
        <v>66</v>
      </c>
      <c r="AN400" s="5" t="s">
        <v>66</v>
      </c>
      <c r="AO400" s="5" t="s">
        <v>1829</v>
      </c>
      <c r="AP400" s="5" t="s">
        <v>1830</v>
      </c>
      <c r="AQ400" s="5" t="s">
        <v>67</v>
      </c>
      <c r="AR400" s="5" t="s">
        <v>1795</v>
      </c>
      <c r="AS400" s="5" t="s">
        <v>1796</v>
      </c>
      <c r="AT400" s="5" t="s">
        <v>66</v>
      </c>
      <c r="AU400" s="5" t="s">
        <v>66</v>
      </c>
      <c r="AV400" s="5" t="s">
        <v>66</v>
      </c>
      <c r="AW400" s="5" t="s">
        <v>200</v>
      </c>
      <c r="AX400" s="5" t="s">
        <v>1831</v>
      </c>
      <c r="AY400" s="5" t="s">
        <v>69</v>
      </c>
      <c r="AZ400" s="5" t="s">
        <v>145</v>
      </c>
      <c r="BA400" s="19" t="s">
        <v>1761</v>
      </c>
      <c r="BB400" s="17" t="s">
        <v>94</v>
      </c>
      <c r="BC400" s="5" t="s">
        <v>1798</v>
      </c>
      <c r="BD400" s="5" t="s">
        <v>1832</v>
      </c>
    </row>
    <row r="401" spans="1:56" ht="72" hidden="1" x14ac:dyDescent="0.25">
      <c r="A401" s="78" t="s">
        <v>1749</v>
      </c>
      <c r="B401" s="5" t="s">
        <v>1750</v>
      </c>
      <c r="C401" s="5" t="s">
        <v>3293</v>
      </c>
      <c r="D401" s="5" t="s">
        <v>56</v>
      </c>
      <c r="E401" s="99" t="str">
        <f>VLOOKUP(D401,'Dropdown List'!$F$26:$G$40,2,0)</f>
        <v>India</v>
      </c>
      <c r="F401" s="8" t="s">
        <v>1751</v>
      </c>
      <c r="G401" s="96">
        <v>5</v>
      </c>
      <c r="H401" s="5" t="s">
        <v>57</v>
      </c>
      <c r="I401" s="8" t="s">
        <v>58</v>
      </c>
      <c r="J401" s="8" t="s">
        <v>146</v>
      </c>
      <c r="K401" s="8" t="s">
        <v>1752</v>
      </c>
      <c r="L401" s="8" t="s">
        <v>1856</v>
      </c>
      <c r="M401" s="8" t="s">
        <v>1801</v>
      </c>
      <c r="N401" s="5" t="s">
        <v>1034</v>
      </c>
      <c r="O401" s="5" t="s">
        <v>61</v>
      </c>
      <c r="P401" s="5" t="s">
        <v>1755</v>
      </c>
      <c r="Q401" s="9" t="s">
        <v>75</v>
      </c>
      <c r="R401" s="5" t="s">
        <v>76</v>
      </c>
      <c r="S401" s="5" t="s">
        <v>90</v>
      </c>
      <c r="T401" s="96">
        <v>1</v>
      </c>
      <c r="U401" s="96">
        <v>3</v>
      </c>
      <c r="V401" s="96" t="s">
        <v>1811</v>
      </c>
      <c r="W401" s="5" t="s">
        <v>91</v>
      </c>
      <c r="X401" s="10" t="s">
        <v>79</v>
      </c>
      <c r="Y401" s="11">
        <v>25140.33</v>
      </c>
      <c r="Z401" s="12">
        <v>0.4</v>
      </c>
      <c r="AA401" s="12">
        <v>0</v>
      </c>
      <c r="AB401" s="12">
        <v>0</v>
      </c>
      <c r="AC401" s="13">
        <v>0</v>
      </c>
      <c r="AD401" s="14">
        <f t="shared" si="14"/>
        <v>0.4</v>
      </c>
      <c r="AE401" s="15">
        <f t="shared" si="15"/>
        <v>0</v>
      </c>
      <c r="AF401" s="16">
        <v>139</v>
      </c>
      <c r="AG401" s="16">
        <v>139</v>
      </c>
      <c r="AH401" s="17" t="s">
        <v>1792</v>
      </c>
      <c r="AI401" s="18" t="s">
        <v>1787</v>
      </c>
      <c r="AJ401" s="19">
        <v>0.98</v>
      </c>
      <c r="AK401" s="20">
        <v>0.95</v>
      </c>
      <c r="AL401" s="17" t="s">
        <v>92</v>
      </c>
      <c r="AM401" s="5" t="s">
        <v>66</v>
      </c>
      <c r="AN401" s="5" t="s">
        <v>66</v>
      </c>
      <c r="AO401" s="5" t="s">
        <v>1829</v>
      </c>
      <c r="AP401" s="5" t="s">
        <v>1830</v>
      </c>
      <c r="AQ401" s="5" t="s">
        <v>67</v>
      </c>
      <c r="AR401" s="5" t="s">
        <v>1795</v>
      </c>
      <c r="AS401" s="5" t="s">
        <v>1796</v>
      </c>
      <c r="AT401" s="5" t="s">
        <v>66</v>
      </c>
      <c r="AU401" s="5" t="s">
        <v>66</v>
      </c>
      <c r="AV401" s="5" t="s">
        <v>66</v>
      </c>
      <c r="AW401" s="5" t="s">
        <v>200</v>
      </c>
      <c r="AX401" s="5" t="s">
        <v>1831</v>
      </c>
      <c r="AY401" s="5" t="s">
        <v>69</v>
      </c>
      <c r="AZ401" s="5" t="s">
        <v>145</v>
      </c>
      <c r="BA401" s="19" t="s">
        <v>1761</v>
      </c>
      <c r="BB401" s="17" t="s">
        <v>94</v>
      </c>
      <c r="BC401" s="5" t="s">
        <v>1798</v>
      </c>
      <c r="BD401" s="5" t="s">
        <v>1832</v>
      </c>
    </row>
    <row r="402" spans="1:56" ht="72" hidden="1" x14ac:dyDescent="0.25">
      <c r="A402" s="78" t="s">
        <v>1749</v>
      </c>
      <c r="B402" s="5" t="s">
        <v>1750</v>
      </c>
      <c r="C402" s="5" t="s">
        <v>3293</v>
      </c>
      <c r="D402" s="5" t="s">
        <v>56</v>
      </c>
      <c r="E402" s="99" t="str">
        <f>VLOOKUP(D402,'Dropdown List'!$F$26:$G$40,2,0)</f>
        <v>India</v>
      </c>
      <c r="F402" s="8" t="s">
        <v>1751</v>
      </c>
      <c r="G402" s="96">
        <v>5</v>
      </c>
      <c r="H402" s="5" t="s">
        <v>57</v>
      </c>
      <c r="I402" s="8" t="s">
        <v>58</v>
      </c>
      <c r="J402" s="8" t="s">
        <v>146</v>
      </c>
      <c r="K402" s="8" t="s">
        <v>1752</v>
      </c>
      <c r="L402" s="8" t="s">
        <v>1857</v>
      </c>
      <c r="M402" s="8" t="s">
        <v>1801</v>
      </c>
      <c r="N402" s="5" t="s">
        <v>1034</v>
      </c>
      <c r="O402" s="5" t="s">
        <v>61</v>
      </c>
      <c r="P402" s="5" t="s">
        <v>1755</v>
      </c>
      <c r="Q402" s="9" t="s">
        <v>75</v>
      </c>
      <c r="R402" s="5" t="s">
        <v>76</v>
      </c>
      <c r="S402" s="5" t="s">
        <v>90</v>
      </c>
      <c r="T402" s="96">
        <v>1</v>
      </c>
      <c r="U402" s="96">
        <v>3</v>
      </c>
      <c r="V402" s="96" t="s">
        <v>1811</v>
      </c>
      <c r="W402" s="5" t="s">
        <v>91</v>
      </c>
      <c r="X402" s="10" t="s">
        <v>79</v>
      </c>
      <c r="Y402" s="11">
        <v>25140.33</v>
      </c>
      <c r="Z402" s="12">
        <v>0.4</v>
      </c>
      <c r="AA402" s="12">
        <v>0</v>
      </c>
      <c r="AB402" s="12">
        <v>0</v>
      </c>
      <c r="AC402" s="13">
        <v>0</v>
      </c>
      <c r="AD402" s="14">
        <f t="shared" si="14"/>
        <v>0.4</v>
      </c>
      <c r="AE402" s="15">
        <f t="shared" si="15"/>
        <v>0</v>
      </c>
      <c r="AF402" s="16">
        <v>89</v>
      </c>
      <c r="AG402" s="16">
        <v>89</v>
      </c>
      <c r="AH402" s="17" t="s">
        <v>1792</v>
      </c>
      <c r="AI402" s="18" t="s">
        <v>1858</v>
      </c>
      <c r="AJ402" s="19">
        <v>0.98</v>
      </c>
      <c r="AK402" s="20">
        <v>0.95</v>
      </c>
      <c r="AL402" s="17" t="s">
        <v>92</v>
      </c>
      <c r="AM402" s="5" t="s">
        <v>66</v>
      </c>
      <c r="AN402" s="5" t="s">
        <v>66</v>
      </c>
      <c r="AO402" s="5" t="s">
        <v>1829</v>
      </c>
      <c r="AP402" s="5" t="s">
        <v>1830</v>
      </c>
      <c r="AQ402" s="5" t="s">
        <v>67</v>
      </c>
      <c r="AR402" s="5" t="s">
        <v>1795</v>
      </c>
      <c r="AS402" s="5" t="s">
        <v>1796</v>
      </c>
      <c r="AT402" s="5" t="s">
        <v>66</v>
      </c>
      <c r="AU402" s="5" t="s">
        <v>66</v>
      </c>
      <c r="AV402" s="5" t="s">
        <v>66</v>
      </c>
      <c r="AW402" s="5" t="s">
        <v>200</v>
      </c>
      <c r="AX402" s="5" t="s">
        <v>1831</v>
      </c>
      <c r="AY402" s="5" t="s">
        <v>69</v>
      </c>
      <c r="AZ402" s="5" t="s">
        <v>145</v>
      </c>
      <c r="BA402" s="19" t="s">
        <v>1761</v>
      </c>
      <c r="BB402" s="17" t="s">
        <v>94</v>
      </c>
      <c r="BC402" s="5" t="s">
        <v>1798</v>
      </c>
      <c r="BD402" s="5" t="s">
        <v>1832</v>
      </c>
    </row>
    <row r="403" spans="1:56" ht="72" hidden="1" x14ac:dyDescent="0.25">
      <c r="A403" s="78" t="s">
        <v>1749</v>
      </c>
      <c r="B403" s="5" t="s">
        <v>1750</v>
      </c>
      <c r="C403" s="5" t="s">
        <v>3293</v>
      </c>
      <c r="D403" s="5" t="s">
        <v>56</v>
      </c>
      <c r="E403" s="99" t="str">
        <f>VLOOKUP(D403,'Dropdown List'!$F$26:$G$40,2,0)</f>
        <v>India</v>
      </c>
      <c r="F403" s="8" t="s">
        <v>1751</v>
      </c>
      <c r="G403" s="96">
        <v>5</v>
      </c>
      <c r="H403" s="5" t="s">
        <v>57</v>
      </c>
      <c r="I403" s="8" t="s">
        <v>58</v>
      </c>
      <c r="J403" s="8" t="s">
        <v>146</v>
      </c>
      <c r="K403" s="8" t="s">
        <v>1752</v>
      </c>
      <c r="L403" s="8" t="s">
        <v>1859</v>
      </c>
      <c r="M403" s="8" t="s">
        <v>1801</v>
      </c>
      <c r="N403" s="5" t="s">
        <v>1034</v>
      </c>
      <c r="O403" s="5" t="s">
        <v>61</v>
      </c>
      <c r="P403" s="5" t="s">
        <v>1755</v>
      </c>
      <c r="Q403" s="9" t="s">
        <v>75</v>
      </c>
      <c r="R403" s="5" t="s">
        <v>76</v>
      </c>
      <c r="S403" s="5" t="s">
        <v>90</v>
      </c>
      <c r="T403" s="96">
        <v>1</v>
      </c>
      <c r="U403" s="96">
        <v>3</v>
      </c>
      <c r="V403" s="96" t="s">
        <v>1811</v>
      </c>
      <c r="W403" s="5" t="s">
        <v>91</v>
      </c>
      <c r="X403" s="10" t="s">
        <v>79</v>
      </c>
      <c r="Y403" s="11">
        <v>25140.33</v>
      </c>
      <c r="Z403" s="12">
        <v>0.5</v>
      </c>
      <c r="AA403" s="12">
        <v>0</v>
      </c>
      <c r="AB403" s="12">
        <v>0</v>
      </c>
      <c r="AC403" s="13">
        <v>0</v>
      </c>
      <c r="AD403" s="14">
        <f t="shared" si="14"/>
        <v>0.5</v>
      </c>
      <c r="AE403" s="15">
        <f t="shared" si="15"/>
        <v>0</v>
      </c>
      <c r="AF403" s="16">
        <v>267</v>
      </c>
      <c r="AG403" s="16">
        <v>267</v>
      </c>
      <c r="AH403" s="17" t="s">
        <v>1792</v>
      </c>
      <c r="AI403" s="18" t="s">
        <v>1787</v>
      </c>
      <c r="AJ403" s="19">
        <v>0.98</v>
      </c>
      <c r="AK403" s="20">
        <v>0.95</v>
      </c>
      <c r="AL403" s="17" t="s">
        <v>92</v>
      </c>
      <c r="AM403" s="5" t="s">
        <v>66</v>
      </c>
      <c r="AN403" s="5" t="s">
        <v>66</v>
      </c>
      <c r="AO403" s="5" t="s">
        <v>1829</v>
      </c>
      <c r="AP403" s="5" t="s">
        <v>1830</v>
      </c>
      <c r="AQ403" s="5" t="s">
        <v>67</v>
      </c>
      <c r="AR403" s="5" t="s">
        <v>1795</v>
      </c>
      <c r="AS403" s="5" t="s">
        <v>1796</v>
      </c>
      <c r="AT403" s="5" t="s">
        <v>66</v>
      </c>
      <c r="AU403" s="5" t="s">
        <v>66</v>
      </c>
      <c r="AV403" s="5" t="s">
        <v>66</v>
      </c>
      <c r="AW403" s="5" t="s">
        <v>200</v>
      </c>
      <c r="AX403" s="5" t="s">
        <v>1831</v>
      </c>
      <c r="AY403" s="5" t="s">
        <v>69</v>
      </c>
      <c r="AZ403" s="5" t="s">
        <v>145</v>
      </c>
      <c r="BA403" s="19" t="s">
        <v>1761</v>
      </c>
      <c r="BB403" s="17" t="s">
        <v>94</v>
      </c>
      <c r="BC403" s="5" t="s">
        <v>1798</v>
      </c>
      <c r="BD403" s="5" t="s">
        <v>1832</v>
      </c>
    </row>
    <row r="404" spans="1:56" ht="72" hidden="1" x14ac:dyDescent="0.25">
      <c r="A404" s="78" t="s">
        <v>1749</v>
      </c>
      <c r="B404" s="5" t="s">
        <v>1750</v>
      </c>
      <c r="C404" s="5" t="s">
        <v>3293</v>
      </c>
      <c r="D404" s="5" t="s">
        <v>56</v>
      </c>
      <c r="E404" s="99" t="str">
        <f>VLOOKUP(D404,'Dropdown List'!$F$26:$G$40,2,0)</f>
        <v>India</v>
      </c>
      <c r="F404" s="8" t="s">
        <v>1751</v>
      </c>
      <c r="G404" s="96">
        <v>5</v>
      </c>
      <c r="H404" s="5" t="s">
        <v>57</v>
      </c>
      <c r="I404" s="8" t="s">
        <v>58</v>
      </c>
      <c r="J404" s="8" t="s">
        <v>146</v>
      </c>
      <c r="K404" s="8" t="s">
        <v>1752</v>
      </c>
      <c r="L404" s="8" t="s">
        <v>1860</v>
      </c>
      <c r="M404" s="8" t="s">
        <v>1791</v>
      </c>
      <c r="N404" s="5" t="s">
        <v>1034</v>
      </c>
      <c r="O404" s="5" t="s">
        <v>61</v>
      </c>
      <c r="P404" s="5" t="s">
        <v>1755</v>
      </c>
      <c r="Q404" s="9" t="s">
        <v>75</v>
      </c>
      <c r="R404" s="5" t="s">
        <v>76</v>
      </c>
      <c r="S404" s="5" t="s">
        <v>90</v>
      </c>
      <c r="T404" s="96">
        <v>1</v>
      </c>
      <c r="U404" s="96">
        <v>3</v>
      </c>
      <c r="V404" s="96" t="s">
        <v>1811</v>
      </c>
      <c r="W404" s="5" t="s">
        <v>91</v>
      </c>
      <c r="X404" s="10" t="s">
        <v>79</v>
      </c>
      <c r="Y404" s="11">
        <v>25140.33</v>
      </c>
      <c r="Z404" s="12">
        <v>3</v>
      </c>
      <c r="AA404" s="12">
        <v>0</v>
      </c>
      <c r="AB404" s="12">
        <v>0</v>
      </c>
      <c r="AC404" s="13">
        <v>0</v>
      </c>
      <c r="AD404" s="14">
        <f t="shared" si="14"/>
        <v>3</v>
      </c>
      <c r="AE404" s="15">
        <f t="shared" si="15"/>
        <v>0</v>
      </c>
      <c r="AF404" s="16">
        <v>54</v>
      </c>
      <c r="AG404" s="16">
        <v>54</v>
      </c>
      <c r="AH404" s="17" t="s">
        <v>1792</v>
      </c>
      <c r="AI404" s="18" t="s">
        <v>2983</v>
      </c>
      <c r="AJ404" s="19">
        <v>0.98</v>
      </c>
      <c r="AK404" s="20">
        <v>0.95</v>
      </c>
      <c r="AL404" s="17" t="s">
        <v>92</v>
      </c>
      <c r="AM404" s="5" t="s">
        <v>66</v>
      </c>
      <c r="AN404" s="5" t="s">
        <v>66</v>
      </c>
      <c r="AO404" s="5" t="s">
        <v>1793</v>
      </c>
      <c r="AP404" s="5" t="s">
        <v>1794</v>
      </c>
      <c r="AQ404" s="5" t="s">
        <v>67</v>
      </c>
      <c r="AR404" s="5" t="s">
        <v>1795</v>
      </c>
      <c r="AS404" s="5" t="s">
        <v>1796</v>
      </c>
      <c r="AT404" s="5" t="s">
        <v>66</v>
      </c>
      <c r="AU404" s="5" t="s">
        <v>66</v>
      </c>
      <c r="AV404" s="5" t="s">
        <v>66</v>
      </c>
      <c r="AW404" s="5" t="s">
        <v>200</v>
      </c>
      <c r="AX404" s="5" t="s">
        <v>1797</v>
      </c>
      <c r="AY404" s="5" t="s">
        <v>69</v>
      </c>
      <c r="AZ404" s="5" t="s">
        <v>145</v>
      </c>
      <c r="BA404" s="19" t="s">
        <v>1761</v>
      </c>
      <c r="BB404" s="17" t="s">
        <v>94</v>
      </c>
      <c r="BC404" s="5" t="s">
        <v>1798</v>
      </c>
      <c r="BD404" s="5" t="s">
        <v>1861</v>
      </c>
    </row>
    <row r="405" spans="1:56" ht="72" hidden="1" x14ac:dyDescent="0.25">
      <c r="A405" s="78" t="s">
        <v>1749</v>
      </c>
      <c r="B405" s="5" t="s">
        <v>1750</v>
      </c>
      <c r="C405" s="5" t="s">
        <v>3293</v>
      </c>
      <c r="D405" s="5" t="s">
        <v>56</v>
      </c>
      <c r="E405" s="99" t="str">
        <f>VLOOKUP(D405,'Dropdown List'!$F$26:$G$40,2,0)</f>
        <v>India</v>
      </c>
      <c r="F405" s="8" t="s">
        <v>1751</v>
      </c>
      <c r="G405" s="96">
        <v>5</v>
      </c>
      <c r="H405" s="5" t="s">
        <v>57</v>
      </c>
      <c r="I405" s="8" t="s">
        <v>58</v>
      </c>
      <c r="J405" s="8" t="s">
        <v>146</v>
      </c>
      <c r="K405" s="8" t="s">
        <v>1752</v>
      </c>
      <c r="L405" s="8" t="s">
        <v>1862</v>
      </c>
      <c r="M405" s="8" t="s">
        <v>1801</v>
      </c>
      <c r="N405" s="5" t="s">
        <v>1034</v>
      </c>
      <c r="O405" s="5" t="s">
        <v>61</v>
      </c>
      <c r="P405" s="5" t="s">
        <v>1755</v>
      </c>
      <c r="Q405" s="9" t="s">
        <v>75</v>
      </c>
      <c r="R405" s="5" t="s">
        <v>76</v>
      </c>
      <c r="S405" s="5" t="s">
        <v>90</v>
      </c>
      <c r="T405" s="96">
        <v>1</v>
      </c>
      <c r="U405" s="96">
        <v>3</v>
      </c>
      <c r="V405" s="96" t="s">
        <v>1811</v>
      </c>
      <c r="W405" s="5" t="s">
        <v>91</v>
      </c>
      <c r="X405" s="10" t="s">
        <v>79</v>
      </c>
      <c r="Y405" s="11">
        <v>25140.33</v>
      </c>
      <c r="Z405" s="12">
        <v>0</v>
      </c>
      <c r="AA405" s="12">
        <v>0</v>
      </c>
      <c r="AB405" s="12">
        <v>0</v>
      </c>
      <c r="AC405" s="13">
        <v>0</v>
      </c>
      <c r="AD405" s="14">
        <f t="shared" si="14"/>
        <v>0</v>
      </c>
      <c r="AE405" s="15" t="e">
        <f t="shared" si="15"/>
        <v>#DIV/0!</v>
      </c>
      <c r="AF405" s="16">
        <v>37</v>
      </c>
      <c r="AG405" s="16">
        <v>37</v>
      </c>
      <c r="AH405" s="17" t="s">
        <v>1792</v>
      </c>
      <c r="AI405" s="18" t="s">
        <v>1787</v>
      </c>
      <c r="AJ405" s="19">
        <v>0.98</v>
      </c>
      <c r="AK405" s="20">
        <v>0.95</v>
      </c>
      <c r="AL405" s="17" t="s">
        <v>92</v>
      </c>
      <c r="AM405" s="5" t="s">
        <v>66</v>
      </c>
      <c r="AN405" s="5" t="s">
        <v>66</v>
      </c>
      <c r="AO405" s="5" t="s">
        <v>1793</v>
      </c>
      <c r="AP405" s="5" t="s">
        <v>1794</v>
      </c>
      <c r="AQ405" s="5" t="s">
        <v>67</v>
      </c>
      <c r="AR405" s="5" t="s">
        <v>1795</v>
      </c>
      <c r="AS405" s="5" t="s">
        <v>1796</v>
      </c>
      <c r="AT405" s="5" t="s">
        <v>66</v>
      </c>
      <c r="AU405" s="5" t="s">
        <v>66</v>
      </c>
      <c r="AV405" s="5" t="s">
        <v>66</v>
      </c>
      <c r="AW405" s="5" t="s">
        <v>200</v>
      </c>
      <c r="AX405" s="5" t="s">
        <v>1797</v>
      </c>
      <c r="AY405" s="5" t="s">
        <v>69</v>
      </c>
      <c r="AZ405" s="5" t="s">
        <v>145</v>
      </c>
      <c r="BA405" s="19" t="s">
        <v>1761</v>
      </c>
      <c r="BB405" s="17" t="s">
        <v>94</v>
      </c>
      <c r="BC405" s="5" t="s">
        <v>1798</v>
      </c>
      <c r="BD405" s="5" t="s">
        <v>1861</v>
      </c>
    </row>
    <row r="406" spans="1:56" ht="72" hidden="1" x14ac:dyDescent="0.25">
      <c r="A406" s="78" t="s">
        <v>1749</v>
      </c>
      <c r="B406" s="5" t="s">
        <v>1750</v>
      </c>
      <c r="C406" s="5" t="s">
        <v>3293</v>
      </c>
      <c r="D406" s="5" t="s">
        <v>56</v>
      </c>
      <c r="E406" s="99" t="str">
        <f>VLOOKUP(D406,'Dropdown List'!$F$26:$G$40,2,0)</f>
        <v>India</v>
      </c>
      <c r="F406" s="8" t="s">
        <v>1751</v>
      </c>
      <c r="G406" s="96">
        <v>5</v>
      </c>
      <c r="H406" s="5" t="s">
        <v>57</v>
      </c>
      <c r="I406" s="8" t="s">
        <v>58</v>
      </c>
      <c r="J406" s="8" t="s">
        <v>146</v>
      </c>
      <c r="K406" s="8" t="s">
        <v>1752</v>
      </c>
      <c r="L406" s="8" t="s">
        <v>1863</v>
      </c>
      <c r="M406" s="8" t="s">
        <v>1805</v>
      </c>
      <c r="N406" s="5" t="s">
        <v>1034</v>
      </c>
      <c r="O406" s="5" t="s">
        <v>61</v>
      </c>
      <c r="P406" s="5" t="s">
        <v>1755</v>
      </c>
      <c r="Q406" s="9" t="s">
        <v>75</v>
      </c>
      <c r="R406" s="5" t="s">
        <v>76</v>
      </c>
      <c r="S406" s="5" t="s">
        <v>90</v>
      </c>
      <c r="T406" s="96">
        <v>1</v>
      </c>
      <c r="U406" s="96">
        <v>3</v>
      </c>
      <c r="V406" s="96" t="s">
        <v>1811</v>
      </c>
      <c r="W406" s="5" t="s">
        <v>91</v>
      </c>
      <c r="X406" s="10" t="s">
        <v>79</v>
      </c>
      <c r="Y406" s="11">
        <v>25140.33</v>
      </c>
      <c r="Z406" s="12">
        <v>0</v>
      </c>
      <c r="AA406" s="12">
        <v>0</v>
      </c>
      <c r="AB406" s="12">
        <v>0</v>
      </c>
      <c r="AC406" s="13">
        <v>0</v>
      </c>
      <c r="AD406" s="14">
        <f t="shared" si="14"/>
        <v>0</v>
      </c>
      <c r="AE406" s="15" t="e">
        <f t="shared" si="15"/>
        <v>#DIV/0!</v>
      </c>
      <c r="AF406" s="16">
        <v>3</v>
      </c>
      <c r="AG406" s="16">
        <v>3</v>
      </c>
      <c r="AH406" s="17" t="s">
        <v>1792</v>
      </c>
      <c r="AI406" s="18" t="s">
        <v>1778</v>
      </c>
      <c r="AJ406" s="19">
        <v>0.98</v>
      </c>
      <c r="AK406" s="20">
        <v>0.95</v>
      </c>
      <c r="AL406" s="17" t="s">
        <v>92</v>
      </c>
      <c r="AM406" s="5" t="s">
        <v>66</v>
      </c>
      <c r="AN406" s="5" t="s">
        <v>66</v>
      </c>
      <c r="AO406" s="5" t="s">
        <v>1793</v>
      </c>
      <c r="AP406" s="5" t="s">
        <v>1794</v>
      </c>
      <c r="AQ406" s="5" t="s">
        <v>67</v>
      </c>
      <c r="AR406" s="5" t="s">
        <v>1795</v>
      </c>
      <c r="AS406" s="5" t="s">
        <v>1796</v>
      </c>
      <c r="AT406" s="5" t="s">
        <v>66</v>
      </c>
      <c r="AU406" s="5" t="s">
        <v>66</v>
      </c>
      <c r="AV406" s="5" t="s">
        <v>66</v>
      </c>
      <c r="AW406" s="5" t="s">
        <v>200</v>
      </c>
      <c r="AX406" s="5" t="s">
        <v>1797</v>
      </c>
      <c r="AY406" s="5" t="s">
        <v>69</v>
      </c>
      <c r="AZ406" s="5" t="s">
        <v>145</v>
      </c>
      <c r="BA406" s="19" t="s">
        <v>1761</v>
      </c>
      <c r="BB406" s="17" t="s">
        <v>94</v>
      </c>
      <c r="BC406" s="5" t="s">
        <v>1798</v>
      </c>
      <c r="BD406" s="5" t="s">
        <v>1861</v>
      </c>
    </row>
    <row r="407" spans="1:56" ht="72" hidden="1" x14ac:dyDescent="0.25">
      <c r="A407" s="78" t="s">
        <v>1749</v>
      </c>
      <c r="B407" s="5" t="s">
        <v>1750</v>
      </c>
      <c r="C407" s="5" t="s">
        <v>3293</v>
      </c>
      <c r="D407" s="5" t="s">
        <v>56</v>
      </c>
      <c r="E407" s="99" t="str">
        <f>VLOOKUP(D407,'Dropdown List'!$F$26:$G$40,2,0)</f>
        <v>India</v>
      </c>
      <c r="F407" s="8" t="s">
        <v>1751</v>
      </c>
      <c r="G407" s="96">
        <v>5</v>
      </c>
      <c r="H407" s="5" t="s">
        <v>57</v>
      </c>
      <c r="I407" s="8" t="s">
        <v>58</v>
      </c>
      <c r="J407" s="8" t="s">
        <v>146</v>
      </c>
      <c r="K407" s="8" t="s">
        <v>1752</v>
      </c>
      <c r="L407" s="8" t="s">
        <v>1864</v>
      </c>
      <c r="M407" s="8" t="s">
        <v>1807</v>
      </c>
      <c r="N407" s="5" t="s">
        <v>1034</v>
      </c>
      <c r="O407" s="5" t="s">
        <v>61</v>
      </c>
      <c r="P407" s="5" t="s">
        <v>1755</v>
      </c>
      <c r="Q407" s="9" t="s">
        <v>75</v>
      </c>
      <c r="R407" s="5" t="s">
        <v>76</v>
      </c>
      <c r="S407" s="5" t="s">
        <v>90</v>
      </c>
      <c r="T407" s="96">
        <v>1</v>
      </c>
      <c r="U407" s="96">
        <v>3</v>
      </c>
      <c r="V407" s="96" t="s">
        <v>1811</v>
      </c>
      <c r="W407" s="5" t="s">
        <v>91</v>
      </c>
      <c r="X407" s="10" t="s">
        <v>79</v>
      </c>
      <c r="Y407" s="11">
        <v>25140.33</v>
      </c>
      <c r="Z407" s="12">
        <v>0</v>
      </c>
      <c r="AA407" s="12">
        <v>0</v>
      </c>
      <c r="AB407" s="12">
        <v>0</v>
      </c>
      <c r="AC407" s="13">
        <v>0</v>
      </c>
      <c r="AD407" s="14">
        <f t="shared" si="14"/>
        <v>0</v>
      </c>
      <c r="AE407" s="15" t="e">
        <f t="shared" si="15"/>
        <v>#DIV/0!</v>
      </c>
      <c r="AF407" s="16">
        <v>641</v>
      </c>
      <c r="AG407" s="16">
        <v>641</v>
      </c>
      <c r="AH407" s="17" t="s">
        <v>1792</v>
      </c>
      <c r="AI407" s="18" t="s">
        <v>1757</v>
      </c>
      <c r="AJ407" s="19">
        <v>0.98499999999999999</v>
      </c>
      <c r="AK407" s="20">
        <v>0.95</v>
      </c>
      <c r="AL407" s="17" t="s">
        <v>92</v>
      </c>
      <c r="AM407" s="5" t="s">
        <v>66</v>
      </c>
      <c r="AN407" s="5" t="s">
        <v>66</v>
      </c>
      <c r="AO407" s="5" t="s">
        <v>1793</v>
      </c>
      <c r="AP407" s="5" t="s">
        <v>1794</v>
      </c>
      <c r="AQ407" s="5" t="s">
        <v>1808</v>
      </c>
      <c r="AR407" s="5" t="s">
        <v>1809</v>
      </c>
      <c r="AS407" s="5" t="s">
        <v>1796</v>
      </c>
      <c r="AT407" s="5" t="s">
        <v>66</v>
      </c>
      <c r="AU407" s="5" t="s">
        <v>66</v>
      </c>
      <c r="AV407" s="5" t="s">
        <v>66</v>
      </c>
      <c r="AW407" s="5" t="s">
        <v>200</v>
      </c>
      <c r="AX407" s="5" t="s">
        <v>1797</v>
      </c>
      <c r="AY407" s="5" t="s">
        <v>69</v>
      </c>
      <c r="AZ407" s="5" t="s">
        <v>145</v>
      </c>
      <c r="BA407" s="19" t="s">
        <v>1761</v>
      </c>
      <c r="BB407" s="17" t="s">
        <v>94</v>
      </c>
      <c r="BC407" s="5" t="s">
        <v>1798</v>
      </c>
      <c r="BD407" s="5" t="s">
        <v>1861</v>
      </c>
    </row>
    <row r="408" spans="1:56" ht="72" hidden="1" x14ac:dyDescent="0.25">
      <c r="A408" s="78" t="s">
        <v>1749</v>
      </c>
      <c r="B408" s="5" t="s">
        <v>1750</v>
      </c>
      <c r="C408" s="5" t="s">
        <v>3293</v>
      </c>
      <c r="D408" s="5" t="s">
        <v>56</v>
      </c>
      <c r="E408" s="99" t="str">
        <f>VLOOKUP(D408,'Dropdown List'!$F$26:$G$40,2,0)</f>
        <v>India</v>
      </c>
      <c r="F408" s="8" t="s">
        <v>1751</v>
      </c>
      <c r="G408" s="96">
        <v>5</v>
      </c>
      <c r="H408" s="5" t="s">
        <v>57</v>
      </c>
      <c r="I408" s="8" t="s">
        <v>58</v>
      </c>
      <c r="J408" s="8" t="s">
        <v>146</v>
      </c>
      <c r="K408" s="8" t="s">
        <v>1752</v>
      </c>
      <c r="L408" s="8" t="s">
        <v>1865</v>
      </c>
      <c r="M408" s="8" t="s">
        <v>1801</v>
      </c>
      <c r="N408" s="5" t="s">
        <v>1034</v>
      </c>
      <c r="O408" s="5" t="s">
        <v>61</v>
      </c>
      <c r="P408" s="5" t="s">
        <v>1755</v>
      </c>
      <c r="Q408" s="9" t="s">
        <v>75</v>
      </c>
      <c r="R408" s="5" t="s">
        <v>76</v>
      </c>
      <c r="S408" s="5" t="s">
        <v>90</v>
      </c>
      <c r="T408" s="96">
        <v>1</v>
      </c>
      <c r="U408" s="96">
        <v>3</v>
      </c>
      <c r="V408" s="96" t="s">
        <v>1811</v>
      </c>
      <c r="W408" s="5" t="s">
        <v>91</v>
      </c>
      <c r="X408" s="10" t="s">
        <v>79</v>
      </c>
      <c r="Y408" s="11">
        <v>25140.33</v>
      </c>
      <c r="Z408" s="12">
        <v>0</v>
      </c>
      <c r="AA408" s="12">
        <v>0</v>
      </c>
      <c r="AB408" s="12">
        <v>0</v>
      </c>
      <c r="AC408" s="13">
        <v>0</v>
      </c>
      <c r="AD408" s="14">
        <f t="shared" si="14"/>
        <v>0</v>
      </c>
      <c r="AE408" s="15" t="e">
        <f t="shared" si="15"/>
        <v>#DIV/0!</v>
      </c>
      <c r="AF408" s="16">
        <v>18</v>
      </c>
      <c r="AG408" s="16">
        <v>18</v>
      </c>
      <c r="AH408" s="17" t="s">
        <v>1792</v>
      </c>
      <c r="AI408" s="18" t="s">
        <v>2984</v>
      </c>
      <c r="AJ408" s="19">
        <v>0.98</v>
      </c>
      <c r="AK408" s="20">
        <v>0.95</v>
      </c>
      <c r="AL408" s="17" t="s">
        <v>92</v>
      </c>
      <c r="AM408" s="5" t="s">
        <v>66</v>
      </c>
      <c r="AN408" s="5" t="s">
        <v>66</v>
      </c>
      <c r="AO408" s="5" t="s">
        <v>1793</v>
      </c>
      <c r="AP408" s="5" t="s">
        <v>1794</v>
      </c>
      <c r="AQ408" s="5" t="s">
        <v>67</v>
      </c>
      <c r="AR408" s="5" t="s">
        <v>1795</v>
      </c>
      <c r="AS408" s="5" t="s">
        <v>1796</v>
      </c>
      <c r="AT408" s="5" t="s">
        <v>66</v>
      </c>
      <c r="AU408" s="5" t="s">
        <v>66</v>
      </c>
      <c r="AV408" s="5" t="s">
        <v>66</v>
      </c>
      <c r="AW408" s="5" t="s">
        <v>200</v>
      </c>
      <c r="AX408" s="5" t="s">
        <v>1797</v>
      </c>
      <c r="AY408" s="5" t="s">
        <v>69</v>
      </c>
      <c r="AZ408" s="5" t="s">
        <v>145</v>
      </c>
      <c r="BA408" s="19" t="s">
        <v>1761</v>
      </c>
      <c r="BB408" s="17" t="s">
        <v>94</v>
      </c>
      <c r="BC408" s="5" t="s">
        <v>1798</v>
      </c>
      <c r="BD408" s="5" t="s">
        <v>1861</v>
      </c>
    </row>
    <row r="409" spans="1:56" ht="72" hidden="1" x14ac:dyDescent="0.25">
      <c r="A409" s="78" t="s">
        <v>1749</v>
      </c>
      <c r="B409" s="5" t="s">
        <v>1750</v>
      </c>
      <c r="C409" s="5" t="s">
        <v>3293</v>
      </c>
      <c r="D409" s="5" t="s">
        <v>56</v>
      </c>
      <c r="E409" s="99" t="str">
        <f>VLOOKUP(D409,'Dropdown List'!$F$26:$G$40,2,0)</f>
        <v>India</v>
      </c>
      <c r="F409" s="8" t="s">
        <v>1751</v>
      </c>
      <c r="G409" s="96">
        <v>5</v>
      </c>
      <c r="H409" s="5" t="s">
        <v>57</v>
      </c>
      <c r="I409" s="8" t="s">
        <v>58</v>
      </c>
      <c r="J409" s="8" t="s">
        <v>146</v>
      </c>
      <c r="K409" s="8" t="s">
        <v>931</v>
      </c>
      <c r="L409" s="8" t="s">
        <v>1866</v>
      </c>
      <c r="M409" s="8" t="s">
        <v>1807</v>
      </c>
      <c r="N409" s="5" t="s">
        <v>1034</v>
      </c>
      <c r="O409" s="5" t="s">
        <v>61</v>
      </c>
      <c r="P409" s="5" t="s">
        <v>1755</v>
      </c>
      <c r="Q409" s="9" t="s">
        <v>75</v>
      </c>
      <c r="R409" s="5" t="s">
        <v>76</v>
      </c>
      <c r="S409" s="5" t="s">
        <v>90</v>
      </c>
      <c r="T409" s="96">
        <v>1</v>
      </c>
      <c r="U409" s="96">
        <v>5</v>
      </c>
      <c r="V409" s="96" t="s">
        <v>1811</v>
      </c>
      <c r="W409" s="5" t="s">
        <v>91</v>
      </c>
      <c r="X409" s="10" t="s">
        <v>79</v>
      </c>
      <c r="Y409" s="11">
        <v>25140.33</v>
      </c>
      <c r="Z409" s="12">
        <v>0</v>
      </c>
      <c r="AA409" s="12">
        <v>0</v>
      </c>
      <c r="AB409" s="12">
        <v>0</v>
      </c>
      <c r="AC409" s="13">
        <v>0</v>
      </c>
      <c r="AD409" s="14">
        <f t="shared" si="14"/>
        <v>0</v>
      </c>
      <c r="AE409" s="15" t="e">
        <f t="shared" si="15"/>
        <v>#DIV/0!</v>
      </c>
      <c r="AF409" s="16">
        <v>40</v>
      </c>
      <c r="AG409" s="16">
        <v>40</v>
      </c>
      <c r="AH409" s="17" t="s">
        <v>1792</v>
      </c>
      <c r="AI409" s="18" t="s">
        <v>1812</v>
      </c>
      <c r="AJ409" s="19">
        <v>0.98499999999999999</v>
      </c>
      <c r="AK409" s="20">
        <v>0.95</v>
      </c>
      <c r="AL409" s="17" t="s">
        <v>92</v>
      </c>
      <c r="AM409" s="5" t="s">
        <v>66</v>
      </c>
      <c r="AN409" s="5" t="s">
        <v>66</v>
      </c>
      <c r="AO409" s="5" t="s">
        <v>1793</v>
      </c>
      <c r="AP409" s="5" t="s">
        <v>1794</v>
      </c>
      <c r="AQ409" s="5" t="s">
        <v>67</v>
      </c>
      <c r="AR409" s="5" t="s">
        <v>1795</v>
      </c>
      <c r="AS409" s="5" t="s">
        <v>1796</v>
      </c>
      <c r="AT409" s="5" t="s">
        <v>66</v>
      </c>
      <c r="AU409" s="5" t="s">
        <v>66</v>
      </c>
      <c r="AV409" s="5" t="s">
        <v>66</v>
      </c>
      <c r="AW409" s="5" t="s">
        <v>200</v>
      </c>
      <c r="AX409" s="5" t="s">
        <v>1797</v>
      </c>
      <c r="AY409" s="5" t="s">
        <v>69</v>
      </c>
      <c r="AZ409" s="5" t="s">
        <v>145</v>
      </c>
      <c r="BA409" s="19" t="s">
        <v>1761</v>
      </c>
      <c r="BB409" s="17" t="s">
        <v>94</v>
      </c>
      <c r="BC409" s="5" t="s">
        <v>1798</v>
      </c>
      <c r="BD409" s="5" t="s">
        <v>1861</v>
      </c>
    </row>
    <row r="410" spans="1:56" ht="72" hidden="1" x14ac:dyDescent="0.25">
      <c r="A410" s="78" t="s">
        <v>1749</v>
      </c>
      <c r="B410" s="5" t="s">
        <v>1750</v>
      </c>
      <c r="C410" s="5" t="s">
        <v>3293</v>
      </c>
      <c r="D410" s="5" t="s">
        <v>56</v>
      </c>
      <c r="E410" s="99" t="str">
        <f>VLOOKUP(D410,'Dropdown List'!$F$26:$G$40,2,0)</f>
        <v>India</v>
      </c>
      <c r="F410" s="8" t="s">
        <v>1751</v>
      </c>
      <c r="G410" s="96">
        <v>5</v>
      </c>
      <c r="H410" s="5" t="s">
        <v>57</v>
      </c>
      <c r="I410" s="8" t="s">
        <v>58</v>
      </c>
      <c r="J410" s="8" t="s">
        <v>146</v>
      </c>
      <c r="K410" s="8" t="s">
        <v>931</v>
      </c>
      <c r="L410" s="8" t="s">
        <v>1867</v>
      </c>
      <c r="M410" s="8" t="s">
        <v>1814</v>
      </c>
      <c r="N410" s="5" t="s">
        <v>1034</v>
      </c>
      <c r="O410" s="5" t="s">
        <v>61</v>
      </c>
      <c r="P410" s="5" t="s">
        <v>1755</v>
      </c>
      <c r="Q410" s="9" t="s">
        <v>75</v>
      </c>
      <c r="R410" s="5" t="s">
        <v>76</v>
      </c>
      <c r="S410" s="5" t="s">
        <v>90</v>
      </c>
      <c r="T410" s="96">
        <v>1</v>
      </c>
      <c r="U410" s="96">
        <v>5</v>
      </c>
      <c r="V410" s="96" t="s">
        <v>1811</v>
      </c>
      <c r="W410" s="5" t="s">
        <v>91</v>
      </c>
      <c r="X410" s="10" t="s">
        <v>79</v>
      </c>
      <c r="Y410" s="11">
        <v>25140.33</v>
      </c>
      <c r="Z410" s="12">
        <v>0</v>
      </c>
      <c r="AA410" s="12">
        <v>0</v>
      </c>
      <c r="AB410" s="12">
        <v>0</v>
      </c>
      <c r="AC410" s="13">
        <v>0</v>
      </c>
      <c r="AD410" s="14">
        <f t="shared" si="14"/>
        <v>0</v>
      </c>
      <c r="AE410" s="15" t="e">
        <f t="shared" si="15"/>
        <v>#DIV/0!</v>
      </c>
      <c r="AF410" s="16">
        <v>68</v>
      </c>
      <c r="AG410" s="16">
        <v>68</v>
      </c>
      <c r="AH410" s="17" t="s">
        <v>1792</v>
      </c>
      <c r="AI410" s="18" t="s">
        <v>1757</v>
      </c>
      <c r="AJ410" s="19">
        <v>0.98499999999999999</v>
      </c>
      <c r="AK410" s="20">
        <v>0.95</v>
      </c>
      <c r="AL410" s="17" t="s">
        <v>92</v>
      </c>
      <c r="AM410" s="5" t="s">
        <v>66</v>
      </c>
      <c r="AN410" s="5" t="s">
        <v>66</v>
      </c>
      <c r="AO410" s="5" t="s">
        <v>1793</v>
      </c>
      <c r="AP410" s="5" t="s">
        <v>1794</v>
      </c>
      <c r="AQ410" s="5" t="s">
        <v>67</v>
      </c>
      <c r="AR410" s="5" t="s">
        <v>1795</v>
      </c>
      <c r="AS410" s="5" t="s">
        <v>1796</v>
      </c>
      <c r="AT410" s="5" t="s">
        <v>66</v>
      </c>
      <c r="AU410" s="5" t="s">
        <v>66</v>
      </c>
      <c r="AV410" s="5" t="s">
        <v>66</v>
      </c>
      <c r="AW410" s="5" t="s">
        <v>200</v>
      </c>
      <c r="AX410" s="5" t="s">
        <v>1797</v>
      </c>
      <c r="AY410" s="5" t="s">
        <v>69</v>
      </c>
      <c r="AZ410" s="5" t="s">
        <v>145</v>
      </c>
      <c r="BA410" s="19" t="s">
        <v>1761</v>
      </c>
      <c r="BB410" s="17" t="s">
        <v>94</v>
      </c>
      <c r="BC410" s="5" t="s">
        <v>1798</v>
      </c>
      <c r="BD410" s="5" t="s">
        <v>1861</v>
      </c>
    </row>
    <row r="411" spans="1:56" ht="72" hidden="1" x14ac:dyDescent="0.25">
      <c r="A411" s="78" t="s">
        <v>1749</v>
      </c>
      <c r="B411" s="5" t="s">
        <v>1750</v>
      </c>
      <c r="C411" s="5" t="s">
        <v>3293</v>
      </c>
      <c r="D411" s="5" t="s">
        <v>56</v>
      </c>
      <c r="E411" s="99" t="str">
        <f>VLOOKUP(D411,'Dropdown List'!$F$26:$G$40,2,0)</f>
        <v>India</v>
      </c>
      <c r="F411" s="8" t="s">
        <v>1751</v>
      </c>
      <c r="G411" s="96">
        <v>5</v>
      </c>
      <c r="H411" s="5" t="s">
        <v>57</v>
      </c>
      <c r="I411" s="8" t="s">
        <v>58</v>
      </c>
      <c r="J411" s="8" t="s">
        <v>146</v>
      </c>
      <c r="K411" s="8" t="s">
        <v>931</v>
      </c>
      <c r="L411" s="8" t="s">
        <v>1868</v>
      </c>
      <c r="M411" s="8" t="s">
        <v>1816</v>
      </c>
      <c r="N411" s="5" t="s">
        <v>1034</v>
      </c>
      <c r="O411" s="5" t="s">
        <v>61</v>
      </c>
      <c r="P411" s="5" t="s">
        <v>1755</v>
      </c>
      <c r="Q411" s="9" t="s">
        <v>75</v>
      </c>
      <c r="R411" s="5" t="s">
        <v>76</v>
      </c>
      <c r="S411" s="5" t="s">
        <v>90</v>
      </c>
      <c r="T411" s="96">
        <v>1</v>
      </c>
      <c r="U411" s="96">
        <v>5</v>
      </c>
      <c r="V411" s="96" t="s">
        <v>1811</v>
      </c>
      <c r="W411" s="5" t="s">
        <v>91</v>
      </c>
      <c r="X411" s="10" t="s">
        <v>79</v>
      </c>
      <c r="Y411" s="11">
        <v>25140.33</v>
      </c>
      <c r="Z411" s="12">
        <v>0</v>
      </c>
      <c r="AA411" s="12">
        <v>0</v>
      </c>
      <c r="AB411" s="12">
        <v>0</v>
      </c>
      <c r="AC411" s="13">
        <v>0</v>
      </c>
      <c r="AD411" s="14">
        <f t="shared" si="14"/>
        <v>0</v>
      </c>
      <c r="AE411" s="15" t="e">
        <f t="shared" si="15"/>
        <v>#DIV/0!</v>
      </c>
      <c r="AF411" s="16">
        <v>50</v>
      </c>
      <c r="AG411" s="16">
        <v>50</v>
      </c>
      <c r="AH411" s="17" t="s">
        <v>1792</v>
      </c>
      <c r="AI411" s="18" t="s">
        <v>1757</v>
      </c>
      <c r="AJ411" s="19">
        <v>0.98</v>
      </c>
      <c r="AK411" s="20">
        <v>0.95</v>
      </c>
      <c r="AL411" s="17" t="s">
        <v>92</v>
      </c>
      <c r="AM411" s="5" t="s">
        <v>66</v>
      </c>
      <c r="AN411" s="5" t="s">
        <v>66</v>
      </c>
      <c r="AO411" s="5" t="s">
        <v>1793</v>
      </c>
      <c r="AP411" s="5" t="s">
        <v>1794</v>
      </c>
      <c r="AQ411" s="5" t="s">
        <v>67</v>
      </c>
      <c r="AR411" s="5" t="s">
        <v>1795</v>
      </c>
      <c r="AS411" s="5" t="s">
        <v>1796</v>
      </c>
      <c r="AT411" s="5" t="s">
        <v>66</v>
      </c>
      <c r="AU411" s="5" t="s">
        <v>66</v>
      </c>
      <c r="AV411" s="5" t="s">
        <v>66</v>
      </c>
      <c r="AW411" s="5" t="s">
        <v>200</v>
      </c>
      <c r="AX411" s="5" t="s">
        <v>1797</v>
      </c>
      <c r="AY411" s="5" t="s">
        <v>69</v>
      </c>
      <c r="AZ411" s="5" t="s">
        <v>145</v>
      </c>
      <c r="BA411" s="19" t="s">
        <v>1761</v>
      </c>
      <c r="BB411" s="17" t="s">
        <v>94</v>
      </c>
      <c r="BC411" s="5" t="s">
        <v>1798</v>
      </c>
      <c r="BD411" s="5" t="s">
        <v>1861</v>
      </c>
    </row>
    <row r="412" spans="1:56" ht="72" hidden="1" x14ac:dyDescent="0.25">
      <c r="A412" s="78" t="s">
        <v>1749</v>
      </c>
      <c r="B412" s="5" t="s">
        <v>1750</v>
      </c>
      <c r="C412" s="5" t="s">
        <v>3293</v>
      </c>
      <c r="D412" s="5" t="s">
        <v>56</v>
      </c>
      <c r="E412" s="99" t="str">
        <f>VLOOKUP(D412,'Dropdown List'!$F$26:$G$40,2,0)</f>
        <v>India</v>
      </c>
      <c r="F412" s="8" t="s">
        <v>1751</v>
      </c>
      <c r="G412" s="96">
        <v>5</v>
      </c>
      <c r="H412" s="5" t="s">
        <v>57</v>
      </c>
      <c r="I412" s="8" t="s">
        <v>58</v>
      </c>
      <c r="J412" s="8" t="s">
        <v>146</v>
      </c>
      <c r="K412" s="8" t="s">
        <v>931</v>
      </c>
      <c r="L412" s="8" t="s">
        <v>1869</v>
      </c>
      <c r="M412" s="8" t="s">
        <v>1818</v>
      </c>
      <c r="N412" s="5" t="s">
        <v>1034</v>
      </c>
      <c r="O412" s="5" t="s">
        <v>61</v>
      </c>
      <c r="P412" s="5" t="s">
        <v>1755</v>
      </c>
      <c r="Q412" s="9" t="s">
        <v>75</v>
      </c>
      <c r="R412" s="5" t="s">
        <v>76</v>
      </c>
      <c r="S412" s="5" t="s">
        <v>90</v>
      </c>
      <c r="T412" s="96">
        <v>1</v>
      </c>
      <c r="U412" s="96">
        <v>5</v>
      </c>
      <c r="V412" s="96" t="s">
        <v>1811</v>
      </c>
      <c r="W412" s="5" t="s">
        <v>91</v>
      </c>
      <c r="X412" s="10" t="s">
        <v>79</v>
      </c>
      <c r="Y412" s="11">
        <v>25140.33</v>
      </c>
      <c r="Z412" s="12">
        <v>0</v>
      </c>
      <c r="AA412" s="12">
        <v>0</v>
      </c>
      <c r="AB412" s="12">
        <v>0</v>
      </c>
      <c r="AC412" s="13">
        <v>0</v>
      </c>
      <c r="AD412" s="14">
        <f t="shared" si="14"/>
        <v>0</v>
      </c>
      <c r="AE412" s="15" t="e">
        <f t="shared" si="15"/>
        <v>#DIV/0!</v>
      </c>
      <c r="AF412" s="16">
        <v>50</v>
      </c>
      <c r="AG412" s="16">
        <v>50</v>
      </c>
      <c r="AH412" s="17" t="s">
        <v>1792</v>
      </c>
      <c r="AI412" s="18" t="s">
        <v>1802</v>
      </c>
      <c r="AJ412" s="19">
        <v>0.98</v>
      </c>
      <c r="AK412" s="20">
        <v>0.95</v>
      </c>
      <c r="AL412" s="17" t="s">
        <v>92</v>
      </c>
      <c r="AM412" s="5" t="s">
        <v>66</v>
      </c>
      <c r="AN412" s="5" t="s">
        <v>66</v>
      </c>
      <c r="AO412" s="5" t="s">
        <v>1793</v>
      </c>
      <c r="AP412" s="5" t="s">
        <v>1794</v>
      </c>
      <c r="AQ412" s="5" t="s">
        <v>67</v>
      </c>
      <c r="AR412" s="5" t="s">
        <v>1795</v>
      </c>
      <c r="AS412" s="5" t="s">
        <v>1796</v>
      </c>
      <c r="AT412" s="5" t="s">
        <v>66</v>
      </c>
      <c r="AU412" s="5" t="s">
        <v>66</v>
      </c>
      <c r="AV412" s="5" t="s">
        <v>66</v>
      </c>
      <c r="AW412" s="5" t="s">
        <v>200</v>
      </c>
      <c r="AX412" s="5" t="s">
        <v>1797</v>
      </c>
      <c r="AY412" s="5" t="s">
        <v>69</v>
      </c>
      <c r="AZ412" s="5" t="s">
        <v>145</v>
      </c>
      <c r="BA412" s="19" t="s">
        <v>1761</v>
      </c>
      <c r="BB412" s="17" t="s">
        <v>94</v>
      </c>
      <c r="BC412" s="5" t="s">
        <v>1798</v>
      </c>
      <c r="BD412" s="5" t="s">
        <v>1861</v>
      </c>
    </row>
    <row r="413" spans="1:56" ht="72" hidden="1" x14ac:dyDescent="0.25">
      <c r="A413" s="78" t="s">
        <v>1749</v>
      </c>
      <c r="B413" s="5" t="s">
        <v>1750</v>
      </c>
      <c r="C413" s="5" t="s">
        <v>3293</v>
      </c>
      <c r="D413" s="5" t="s">
        <v>56</v>
      </c>
      <c r="E413" s="99" t="str">
        <f>VLOOKUP(D413,'Dropdown List'!$F$26:$G$40,2,0)</f>
        <v>India</v>
      </c>
      <c r="F413" s="8" t="s">
        <v>1751</v>
      </c>
      <c r="G413" s="96">
        <v>5</v>
      </c>
      <c r="H413" s="5" t="s">
        <v>57</v>
      </c>
      <c r="I413" s="8" t="s">
        <v>58</v>
      </c>
      <c r="J413" s="8" t="s">
        <v>146</v>
      </c>
      <c r="K413" s="8" t="s">
        <v>1752</v>
      </c>
      <c r="L413" s="8" t="s">
        <v>1870</v>
      </c>
      <c r="M413" s="8" t="s">
        <v>1820</v>
      </c>
      <c r="N413" s="5" t="s">
        <v>1034</v>
      </c>
      <c r="O413" s="5" t="s">
        <v>61</v>
      </c>
      <c r="P413" s="5" t="s">
        <v>1755</v>
      </c>
      <c r="Q413" s="9" t="s">
        <v>75</v>
      </c>
      <c r="R413" s="5" t="s">
        <v>76</v>
      </c>
      <c r="S413" s="5" t="s">
        <v>90</v>
      </c>
      <c r="T413" s="96">
        <v>1</v>
      </c>
      <c r="U413" s="96">
        <v>3</v>
      </c>
      <c r="V413" s="96" t="s">
        <v>1811</v>
      </c>
      <c r="W413" s="5" t="s">
        <v>91</v>
      </c>
      <c r="X413" s="10" t="s">
        <v>79</v>
      </c>
      <c r="Y413" s="11">
        <v>25140.33</v>
      </c>
      <c r="Z413" s="12">
        <v>0</v>
      </c>
      <c r="AA413" s="12">
        <v>0</v>
      </c>
      <c r="AB413" s="12">
        <v>0</v>
      </c>
      <c r="AC413" s="13">
        <v>0</v>
      </c>
      <c r="AD413" s="14">
        <f t="shared" si="14"/>
        <v>0</v>
      </c>
      <c r="AE413" s="15" t="e">
        <f t="shared" si="15"/>
        <v>#DIV/0!</v>
      </c>
      <c r="AF413" s="16">
        <v>44</v>
      </c>
      <c r="AG413" s="16">
        <v>44</v>
      </c>
      <c r="AH413" s="17" t="s">
        <v>1792</v>
      </c>
      <c r="AI413" s="18" t="s">
        <v>1778</v>
      </c>
      <c r="AJ413" s="19">
        <v>0.98</v>
      </c>
      <c r="AK413" s="20">
        <v>0.95</v>
      </c>
      <c r="AL413" s="17" t="s">
        <v>92</v>
      </c>
      <c r="AM413" s="5" t="s">
        <v>66</v>
      </c>
      <c r="AN413" s="5" t="s">
        <v>66</v>
      </c>
      <c r="AO413" s="5" t="s">
        <v>1793</v>
      </c>
      <c r="AP413" s="5" t="s">
        <v>1794</v>
      </c>
      <c r="AQ413" s="5" t="s">
        <v>67</v>
      </c>
      <c r="AR413" s="5" t="s">
        <v>1795</v>
      </c>
      <c r="AS413" s="5" t="s">
        <v>1796</v>
      </c>
      <c r="AT413" s="5" t="s">
        <v>66</v>
      </c>
      <c r="AU413" s="5" t="s">
        <v>66</v>
      </c>
      <c r="AV413" s="5" t="s">
        <v>66</v>
      </c>
      <c r="AW413" s="5" t="s">
        <v>200</v>
      </c>
      <c r="AX413" s="5" t="s">
        <v>1797</v>
      </c>
      <c r="AY413" s="5" t="s">
        <v>69</v>
      </c>
      <c r="AZ413" s="5" t="s">
        <v>145</v>
      </c>
      <c r="BA413" s="19" t="s">
        <v>1761</v>
      </c>
      <c r="BB413" s="17" t="s">
        <v>94</v>
      </c>
      <c r="BC413" s="5" t="s">
        <v>1798</v>
      </c>
      <c r="BD413" s="5" t="s">
        <v>1861</v>
      </c>
    </row>
    <row r="414" spans="1:56" ht="72" hidden="1" x14ac:dyDescent="0.25">
      <c r="A414" s="78" t="s">
        <v>1749</v>
      </c>
      <c r="B414" s="5" t="s">
        <v>1750</v>
      </c>
      <c r="C414" s="5" t="s">
        <v>3293</v>
      </c>
      <c r="D414" s="5" t="s">
        <v>56</v>
      </c>
      <c r="E414" s="99" t="str">
        <f>VLOOKUP(D414,'Dropdown List'!$F$26:$G$40,2,0)</f>
        <v>India</v>
      </c>
      <c r="F414" s="8" t="s">
        <v>1751</v>
      </c>
      <c r="G414" s="96">
        <v>5</v>
      </c>
      <c r="H414" s="5" t="s">
        <v>57</v>
      </c>
      <c r="I414" s="8" t="s">
        <v>58</v>
      </c>
      <c r="J414" s="8" t="s">
        <v>146</v>
      </c>
      <c r="K414" s="8" t="s">
        <v>1752</v>
      </c>
      <c r="L414" s="8" t="s">
        <v>1871</v>
      </c>
      <c r="M414" s="8" t="s">
        <v>1822</v>
      </c>
      <c r="N414" s="5" t="s">
        <v>1034</v>
      </c>
      <c r="O414" s="5" t="s">
        <v>61</v>
      </c>
      <c r="P414" s="5" t="s">
        <v>1755</v>
      </c>
      <c r="Q414" s="9" t="s">
        <v>75</v>
      </c>
      <c r="R414" s="5" t="s">
        <v>76</v>
      </c>
      <c r="S414" s="5" t="s">
        <v>90</v>
      </c>
      <c r="T414" s="96">
        <v>1</v>
      </c>
      <c r="U414" s="96">
        <v>3</v>
      </c>
      <c r="V414" s="96" t="s">
        <v>1811</v>
      </c>
      <c r="W414" s="5" t="s">
        <v>91</v>
      </c>
      <c r="X414" s="10" t="s">
        <v>79</v>
      </c>
      <c r="Y414" s="11">
        <v>25140.33</v>
      </c>
      <c r="Z414" s="12">
        <v>0</v>
      </c>
      <c r="AA414" s="12">
        <v>0</v>
      </c>
      <c r="AB414" s="12">
        <v>0</v>
      </c>
      <c r="AC414" s="13">
        <v>0</v>
      </c>
      <c r="AD414" s="14">
        <f t="shared" si="14"/>
        <v>0</v>
      </c>
      <c r="AE414" s="15" t="e">
        <f t="shared" si="15"/>
        <v>#DIV/0!</v>
      </c>
      <c r="AF414" s="16">
        <v>306</v>
      </c>
      <c r="AG414" s="16">
        <v>306</v>
      </c>
      <c r="AH414" s="17" t="s">
        <v>1792</v>
      </c>
      <c r="AI414" s="18" t="s">
        <v>1823</v>
      </c>
      <c r="AJ414" s="19">
        <v>0.98499999999999999</v>
      </c>
      <c r="AK414" s="20">
        <v>0.95</v>
      </c>
      <c r="AL414" s="17" t="s">
        <v>92</v>
      </c>
      <c r="AM414" s="5" t="s">
        <v>66</v>
      </c>
      <c r="AN414" s="5" t="s">
        <v>66</v>
      </c>
      <c r="AO414" s="5" t="s">
        <v>1793</v>
      </c>
      <c r="AP414" s="5" t="s">
        <v>1794</v>
      </c>
      <c r="AQ414" s="5" t="s">
        <v>67</v>
      </c>
      <c r="AR414" s="5" t="s">
        <v>1795</v>
      </c>
      <c r="AS414" s="5" t="s">
        <v>1796</v>
      </c>
      <c r="AT414" s="5" t="s">
        <v>66</v>
      </c>
      <c r="AU414" s="5" t="s">
        <v>66</v>
      </c>
      <c r="AV414" s="5" t="s">
        <v>66</v>
      </c>
      <c r="AW414" s="5" t="s">
        <v>200</v>
      </c>
      <c r="AX414" s="5" t="s">
        <v>1797</v>
      </c>
      <c r="AY414" s="5" t="s">
        <v>69</v>
      </c>
      <c r="AZ414" s="5" t="s">
        <v>145</v>
      </c>
      <c r="BA414" s="19" t="s">
        <v>1761</v>
      </c>
      <c r="BB414" s="17" t="s">
        <v>94</v>
      </c>
      <c r="BC414" s="5" t="s">
        <v>1798</v>
      </c>
      <c r="BD414" s="5" t="s">
        <v>1861</v>
      </c>
    </row>
    <row r="415" spans="1:56" ht="72" hidden="1" x14ac:dyDescent="0.25">
      <c r="A415" s="78" t="s">
        <v>1749</v>
      </c>
      <c r="B415" s="5" t="s">
        <v>1750</v>
      </c>
      <c r="C415" s="5" t="s">
        <v>3293</v>
      </c>
      <c r="D415" s="5" t="s">
        <v>56</v>
      </c>
      <c r="E415" s="99" t="str">
        <f>VLOOKUP(D415,'Dropdown List'!$F$26:$G$40,2,0)</f>
        <v>India</v>
      </c>
      <c r="F415" s="8" t="s">
        <v>1751</v>
      </c>
      <c r="G415" s="96">
        <v>5</v>
      </c>
      <c r="H415" s="5" t="s">
        <v>57</v>
      </c>
      <c r="I415" s="8" t="s">
        <v>58</v>
      </c>
      <c r="J415" s="8" t="s">
        <v>146</v>
      </c>
      <c r="K415" s="8" t="s">
        <v>1752</v>
      </c>
      <c r="L415" s="8" t="s">
        <v>1872</v>
      </c>
      <c r="M415" s="8" t="s">
        <v>1825</v>
      </c>
      <c r="N415" s="5" t="s">
        <v>1034</v>
      </c>
      <c r="O415" s="5" t="s">
        <v>61</v>
      </c>
      <c r="P415" s="5" t="s">
        <v>1755</v>
      </c>
      <c r="Q415" s="9" t="s">
        <v>75</v>
      </c>
      <c r="R415" s="5" t="s">
        <v>76</v>
      </c>
      <c r="S415" s="5" t="s">
        <v>90</v>
      </c>
      <c r="T415" s="96">
        <v>1</v>
      </c>
      <c r="U415" s="96">
        <v>3</v>
      </c>
      <c r="V415" s="96" t="s">
        <v>1811</v>
      </c>
      <c r="W415" s="5" t="s">
        <v>91</v>
      </c>
      <c r="X415" s="10" t="s">
        <v>79</v>
      </c>
      <c r="Y415" s="11">
        <v>25140.33</v>
      </c>
      <c r="Z415" s="12">
        <v>0</v>
      </c>
      <c r="AA415" s="12">
        <v>0</v>
      </c>
      <c r="AB415" s="12">
        <v>0</v>
      </c>
      <c r="AC415" s="13">
        <v>1</v>
      </c>
      <c r="AD415" s="14">
        <f t="shared" si="14"/>
        <v>1</v>
      </c>
      <c r="AE415" s="15">
        <f t="shared" si="15"/>
        <v>1</v>
      </c>
      <c r="AF415" s="16">
        <v>62</v>
      </c>
      <c r="AG415" s="16">
        <v>62</v>
      </c>
      <c r="AH415" s="17" t="s">
        <v>1792</v>
      </c>
      <c r="AI415" s="18" t="s">
        <v>1771</v>
      </c>
      <c r="AJ415" s="19">
        <v>0.98</v>
      </c>
      <c r="AK415" s="20">
        <v>0.95</v>
      </c>
      <c r="AL415" s="17" t="s">
        <v>92</v>
      </c>
      <c r="AM415" s="5" t="s">
        <v>66</v>
      </c>
      <c r="AN415" s="5" t="s">
        <v>66</v>
      </c>
      <c r="AO415" s="5" t="s">
        <v>1793</v>
      </c>
      <c r="AP415" s="5" t="s">
        <v>1794</v>
      </c>
      <c r="AQ415" s="5" t="s">
        <v>67</v>
      </c>
      <c r="AR415" s="5" t="s">
        <v>1795</v>
      </c>
      <c r="AS415" s="5" t="s">
        <v>1796</v>
      </c>
      <c r="AT415" s="5" t="s">
        <v>66</v>
      </c>
      <c r="AU415" s="5" t="s">
        <v>66</v>
      </c>
      <c r="AV415" s="5" t="s">
        <v>66</v>
      </c>
      <c r="AW415" s="5" t="s">
        <v>200</v>
      </c>
      <c r="AX415" s="5" t="s">
        <v>1797</v>
      </c>
      <c r="AY415" s="5" t="s">
        <v>69</v>
      </c>
      <c r="AZ415" s="5" t="s">
        <v>145</v>
      </c>
      <c r="BA415" s="19" t="s">
        <v>1761</v>
      </c>
      <c r="BB415" s="17" t="s">
        <v>94</v>
      </c>
      <c r="BC415" s="5" t="s">
        <v>1798</v>
      </c>
      <c r="BD415" s="5" t="s">
        <v>1861</v>
      </c>
    </row>
    <row r="416" spans="1:56" ht="48" hidden="1" x14ac:dyDescent="0.25">
      <c r="A416" s="78" t="s">
        <v>1749</v>
      </c>
      <c r="B416" s="5" t="s">
        <v>1750</v>
      </c>
      <c r="C416" s="5" t="s">
        <v>3293</v>
      </c>
      <c r="D416" s="5" t="s">
        <v>56</v>
      </c>
      <c r="E416" s="99" t="str">
        <f>VLOOKUP(D416,'Dropdown List'!$F$26:$G$40,2,0)</f>
        <v>India</v>
      </c>
      <c r="F416" s="8" t="s">
        <v>1751</v>
      </c>
      <c r="G416" s="96">
        <v>5</v>
      </c>
      <c r="H416" s="5" t="s">
        <v>57</v>
      </c>
      <c r="I416" s="8" t="s">
        <v>58</v>
      </c>
      <c r="J416" s="8" t="s">
        <v>146</v>
      </c>
      <c r="K416" s="8" t="s">
        <v>1367</v>
      </c>
      <c r="L416" s="8" t="s">
        <v>1905</v>
      </c>
      <c r="M416" s="8" t="s">
        <v>1906</v>
      </c>
      <c r="N416" s="5" t="s">
        <v>1034</v>
      </c>
      <c r="O416" s="5" t="s">
        <v>61</v>
      </c>
      <c r="P416" s="5" t="s">
        <v>1907</v>
      </c>
      <c r="Q416" s="9" t="s">
        <v>75</v>
      </c>
      <c r="R416" s="5" t="s">
        <v>76</v>
      </c>
      <c r="S416" s="5" t="s">
        <v>90</v>
      </c>
      <c r="T416" s="96">
        <v>1</v>
      </c>
      <c r="U416" s="96" t="s">
        <v>77</v>
      </c>
      <c r="V416" s="96" t="s">
        <v>1908</v>
      </c>
      <c r="W416" s="5" t="s">
        <v>91</v>
      </c>
      <c r="X416" s="10" t="s">
        <v>79</v>
      </c>
      <c r="Y416" s="11">
        <v>23196</v>
      </c>
      <c r="Z416" s="12">
        <v>12.27</v>
      </c>
      <c r="AA416" s="12">
        <v>1</v>
      </c>
      <c r="AB416" s="12">
        <v>1</v>
      </c>
      <c r="AC416" s="13">
        <v>3.7300000000000004</v>
      </c>
      <c r="AD416" s="14">
        <f t="shared" si="14"/>
        <v>18</v>
      </c>
      <c r="AE416" s="15">
        <f t="shared" si="15"/>
        <v>0.20722222222222225</v>
      </c>
      <c r="AF416" s="16">
        <v>28011</v>
      </c>
      <c r="AG416" s="16">
        <v>28011</v>
      </c>
      <c r="AH416" s="17" t="s">
        <v>1909</v>
      </c>
      <c r="AI416" s="18" t="s">
        <v>1908</v>
      </c>
      <c r="AJ416" s="19">
        <v>0.98</v>
      </c>
      <c r="AK416" s="20">
        <v>0.97</v>
      </c>
      <c r="AL416" s="17" t="s">
        <v>92</v>
      </c>
      <c r="AM416" s="5" t="s">
        <v>1910</v>
      </c>
      <c r="AN416" s="5" t="s">
        <v>66</v>
      </c>
      <c r="AO416" s="5" t="s">
        <v>66</v>
      </c>
      <c r="AP416" s="5" t="s">
        <v>66</v>
      </c>
      <c r="AQ416" s="5" t="s">
        <v>66</v>
      </c>
      <c r="AR416" s="5" t="s">
        <v>66</v>
      </c>
      <c r="AS416" s="5" t="s">
        <v>66</v>
      </c>
      <c r="AT416" s="5" t="s">
        <v>66</v>
      </c>
      <c r="AU416" s="5" t="s">
        <v>66</v>
      </c>
      <c r="AV416" s="5" t="s">
        <v>66</v>
      </c>
      <c r="AW416" s="5" t="s">
        <v>66</v>
      </c>
      <c r="AX416" s="5" t="s">
        <v>2985</v>
      </c>
      <c r="AY416" s="5" t="s">
        <v>2986</v>
      </c>
      <c r="AZ416" s="5" t="s">
        <v>80</v>
      </c>
      <c r="BA416" s="19" t="s">
        <v>66</v>
      </c>
      <c r="BB416" s="17" t="s">
        <v>2987</v>
      </c>
      <c r="BC416" s="5" t="s">
        <v>2985</v>
      </c>
      <c r="BD416" s="5" t="s">
        <v>2988</v>
      </c>
    </row>
    <row r="417" spans="1:56" ht="48" hidden="1" x14ac:dyDescent="0.25">
      <c r="A417" s="78" t="s">
        <v>1749</v>
      </c>
      <c r="B417" s="5" t="s">
        <v>1750</v>
      </c>
      <c r="C417" s="5" t="s">
        <v>3293</v>
      </c>
      <c r="D417" s="5" t="s">
        <v>56</v>
      </c>
      <c r="E417" s="99" t="str">
        <f>VLOOKUP(D417,'Dropdown List'!$F$26:$G$40,2,0)</f>
        <v>India</v>
      </c>
      <c r="F417" s="8" t="s">
        <v>1751</v>
      </c>
      <c r="G417" s="96">
        <v>6</v>
      </c>
      <c r="H417" s="5" t="s">
        <v>57</v>
      </c>
      <c r="I417" s="8" t="s">
        <v>58</v>
      </c>
      <c r="J417" s="8" t="s">
        <v>146</v>
      </c>
      <c r="K417" s="8" t="s">
        <v>190</v>
      </c>
      <c r="L417" s="8" t="s">
        <v>1912</v>
      </c>
      <c r="M417" s="8" t="s">
        <v>1913</v>
      </c>
      <c r="N417" s="5" t="s">
        <v>1034</v>
      </c>
      <c r="O417" s="5" t="s">
        <v>61</v>
      </c>
      <c r="P417" s="5" t="s">
        <v>1907</v>
      </c>
      <c r="Q417" s="9" t="s">
        <v>75</v>
      </c>
      <c r="R417" s="5" t="s">
        <v>76</v>
      </c>
      <c r="S417" s="5" t="s">
        <v>90</v>
      </c>
      <c r="T417" s="96">
        <v>1</v>
      </c>
      <c r="U417" s="96" t="s">
        <v>77</v>
      </c>
      <c r="V417" s="96" t="s">
        <v>1908</v>
      </c>
      <c r="W417" s="5" t="s">
        <v>91</v>
      </c>
      <c r="X417" s="10" t="s">
        <v>79</v>
      </c>
      <c r="Y417" s="11">
        <v>23196</v>
      </c>
      <c r="Z417" s="12">
        <v>2.67</v>
      </c>
      <c r="AA417" s="12">
        <v>1</v>
      </c>
      <c r="AB417" s="12">
        <v>0</v>
      </c>
      <c r="AC417" s="13">
        <v>2.33</v>
      </c>
      <c r="AD417" s="14">
        <f t="shared" si="14"/>
        <v>6</v>
      </c>
      <c r="AE417" s="15">
        <f t="shared" si="15"/>
        <v>0.38833333333333336</v>
      </c>
      <c r="AF417" s="16">
        <v>10415</v>
      </c>
      <c r="AG417" s="16">
        <v>10415</v>
      </c>
      <c r="AH417" s="17" t="s">
        <v>1909</v>
      </c>
      <c r="AI417" s="18" t="s">
        <v>1908</v>
      </c>
      <c r="AJ417" s="19">
        <v>0.98</v>
      </c>
      <c r="AK417" s="20">
        <v>0.94</v>
      </c>
      <c r="AL417" s="17" t="s">
        <v>92</v>
      </c>
      <c r="AM417" s="5" t="s">
        <v>1910</v>
      </c>
      <c r="AN417" s="5" t="s">
        <v>66</v>
      </c>
      <c r="AO417" s="5" t="s">
        <v>66</v>
      </c>
      <c r="AP417" s="5" t="s">
        <v>66</v>
      </c>
      <c r="AQ417" s="5" t="s">
        <v>66</v>
      </c>
      <c r="AR417" s="5" t="s">
        <v>66</v>
      </c>
      <c r="AS417" s="5" t="s">
        <v>66</v>
      </c>
      <c r="AT417" s="5" t="s">
        <v>66</v>
      </c>
      <c r="AU417" s="5" t="s">
        <v>66</v>
      </c>
      <c r="AV417" s="5" t="s">
        <v>66</v>
      </c>
      <c r="AW417" s="5" t="s">
        <v>66</v>
      </c>
      <c r="AX417" s="5" t="s">
        <v>2989</v>
      </c>
      <c r="AY417" s="5" t="s">
        <v>2990</v>
      </c>
      <c r="AZ417" s="5" t="s">
        <v>80</v>
      </c>
      <c r="BA417" s="19" t="s">
        <v>66</v>
      </c>
      <c r="BB417" s="17" t="s">
        <v>2991</v>
      </c>
      <c r="BC417" s="5" t="s">
        <v>394</v>
      </c>
      <c r="BD417" s="5" t="s">
        <v>2992</v>
      </c>
    </row>
    <row r="418" spans="1:56" ht="48" hidden="1" x14ac:dyDescent="0.25">
      <c r="A418" s="78" t="s">
        <v>1749</v>
      </c>
      <c r="B418" s="5" t="s">
        <v>1750</v>
      </c>
      <c r="C418" s="5" t="s">
        <v>3293</v>
      </c>
      <c r="D418" s="5" t="s">
        <v>56</v>
      </c>
      <c r="E418" s="99" t="str">
        <f>VLOOKUP(D418,'Dropdown List'!$F$26:$G$40,2,0)</f>
        <v>India</v>
      </c>
      <c r="F418" s="8" t="s">
        <v>1751</v>
      </c>
      <c r="G418" s="96">
        <v>6</v>
      </c>
      <c r="H418" s="5" t="s">
        <v>57</v>
      </c>
      <c r="I418" s="8" t="s">
        <v>58</v>
      </c>
      <c r="J418" s="8" t="s">
        <v>146</v>
      </c>
      <c r="K418" s="8" t="s">
        <v>190</v>
      </c>
      <c r="L418" s="8" t="s">
        <v>1914</v>
      </c>
      <c r="M418" s="8" t="s">
        <v>1915</v>
      </c>
      <c r="N418" s="5" t="s">
        <v>1034</v>
      </c>
      <c r="O418" s="5" t="s">
        <v>61</v>
      </c>
      <c r="P418" s="5" t="s">
        <v>1907</v>
      </c>
      <c r="Q418" s="9" t="s">
        <v>75</v>
      </c>
      <c r="R418" s="5" t="s">
        <v>76</v>
      </c>
      <c r="S418" s="5" t="s">
        <v>90</v>
      </c>
      <c r="T418" s="96">
        <v>1</v>
      </c>
      <c r="U418" s="96" t="s">
        <v>77</v>
      </c>
      <c r="V418" s="96" t="s">
        <v>1908</v>
      </c>
      <c r="W418" s="5" t="s">
        <v>91</v>
      </c>
      <c r="X418" s="10" t="s">
        <v>79</v>
      </c>
      <c r="Y418" s="11">
        <v>23196</v>
      </c>
      <c r="Z418" s="12">
        <v>0.83</v>
      </c>
      <c r="AA418" s="12">
        <v>1</v>
      </c>
      <c r="AB418" s="12">
        <v>0</v>
      </c>
      <c r="AC418" s="13">
        <v>1.17</v>
      </c>
      <c r="AD418" s="14">
        <f t="shared" si="14"/>
        <v>3</v>
      </c>
      <c r="AE418" s="15">
        <f t="shared" si="15"/>
        <v>0.38999999999999996</v>
      </c>
      <c r="AF418" s="16">
        <v>1811</v>
      </c>
      <c r="AG418" s="16">
        <v>1811</v>
      </c>
      <c r="AH418" s="17" t="s">
        <v>1909</v>
      </c>
      <c r="AI418" s="18" t="s">
        <v>1908</v>
      </c>
      <c r="AJ418" s="19">
        <v>0.98</v>
      </c>
      <c r="AK418" s="20">
        <v>0.94</v>
      </c>
      <c r="AL418" s="17" t="s">
        <v>92</v>
      </c>
      <c r="AM418" s="5" t="s">
        <v>1910</v>
      </c>
      <c r="AN418" s="5" t="s">
        <v>66</v>
      </c>
      <c r="AO418" s="5" t="s">
        <v>66</v>
      </c>
      <c r="AP418" s="5" t="s">
        <v>66</v>
      </c>
      <c r="AQ418" s="5" t="s">
        <v>66</v>
      </c>
      <c r="AR418" s="5" t="s">
        <v>66</v>
      </c>
      <c r="AS418" s="5" t="s">
        <v>66</v>
      </c>
      <c r="AT418" s="5" t="s">
        <v>66</v>
      </c>
      <c r="AU418" s="5" t="s">
        <v>66</v>
      </c>
      <c r="AV418" s="5" t="s">
        <v>66</v>
      </c>
      <c r="AW418" s="5" t="s">
        <v>66</v>
      </c>
      <c r="AX418" s="5" t="s">
        <v>2993</v>
      </c>
      <c r="AY418" s="5" t="s">
        <v>2990</v>
      </c>
      <c r="AZ418" s="5" t="s">
        <v>80</v>
      </c>
      <c r="BA418" s="19" t="s">
        <v>66</v>
      </c>
      <c r="BB418" s="17" t="s">
        <v>2994</v>
      </c>
      <c r="BC418" s="5" t="s">
        <v>1493</v>
      </c>
      <c r="BD418" s="5" t="s">
        <v>2995</v>
      </c>
    </row>
    <row r="419" spans="1:56" ht="48" hidden="1" x14ac:dyDescent="0.25">
      <c r="A419" s="78" t="s">
        <v>1749</v>
      </c>
      <c r="B419" s="5" t="s">
        <v>1750</v>
      </c>
      <c r="C419" s="5" t="s">
        <v>3293</v>
      </c>
      <c r="D419" s="5" t="s">
        <v>56</v>
      </c>
      <c r="E419" s="99" t="str">
        <f>VLOOKUP(D419,'Dropdown List'!$F$26:$G$40,2,0)</f>
        <v>India</v>
      </c>
      <c r="F419" s="8" t="s">
        <v>1751</v>
      </c>
      <c r="G419" s="96">
        <v>6</v>
      </c>
      <c r="H419" s="5" t="s">
        <v>57</v>
      </c>
      <c r="I419" s="8" t="s">
        <v>58</v>
      </c>
      <c r="J419" s="8" t="s">
        <v>163</v>
      </c>
      <c r="K419" s="8" t="s">
        <v>1916</v>
      </c>
      <c r="L419" s="8" t="s">
        <v>1917</v>
      </c>
      <c r="M419" s="8" t="s">
        <v>1918</v>
      </c>
      <c r="N419" s="5" t="s">
        <v>1034</v>
      </c>
      <c r="O419" s="5" t="s">
        <v>61</v>
      </c>
      <c r="P419" s="5" t="s">
        <v>1069</v>
      </c>
      <c r="Q419" s="9" t="s">
        <v>75</v>
      </c>
      <c r="R419" s="5" t="s">
        <v>76</v>
      </c>
      <c r="S419" s="5" t="s">
        <v>90</v>
      </c>
      <c r="T419" s="96">
        <v>1</v>
      </c>
      <c r="U419" s="96" t="s">
        <v>2533</v>
      </c>
      <c r="V419" s="96" t="s">
        <v>1908</v>
      </c>
      <c r="W419" s="5" t="s">
        <v>91</v>
      </c>
      <c r="X419" s="10" t="s">
        <v>79</v>
      </c>
      <c r="Y419" s="11">
        <v>23196</v>
      </c>
      <c r="Z419" s="12">
        <v>2.36</v>
      </c>
      <c r="AA419" s="12">
        <v>1</v>
      </c>
      <c r="AB419" s="12">
        <v>0</v>
      </c>
      <c r="AC419" s="13">
        <v>0.64000000000000012</v>
      </c>
      <c r="AD419" s="14">
        <f t="shared" si="14"/>
        <v>4</v>
      </c>
      <c r="AE419" s="15">
        <f t="shared" si="15"/>
        <v>0.16000000000000003</v>
      </c>
      <c r="AF419" s="16">
        <v>1878</v>
      </c>
      <c r="AG419" s="16">
        <v>1878</v>
      </c>
      <c r="AH419" s="17" t="s">
        <v>1909</v>
      </c>
      <c r="AI419" s="18" t="s">
        <v>1908</v>
      </c>
      <c r="AJ419" s="19">
        <v>0.98</v>
      </c>
      <c r="AK419" s="20">
        <v>0.97</v>
      </c>
      <c r="AL419" s="17" t="s">
        <v>92</v>
      </c>
      <c r="AM419" s="5" t="s">
        <v>1910</v>
      </c>
      <c r="AN419" s="5" t="s">
        <v>66</v>
      </c>
      <c r="AO419" s="5" t="s">
        <v>66</v>
      </c>
      <c r="AP419" s="5" t="s">
        <v>66</v>
      </c>
      <c r="AQ419" s="5" t="s">
        <v>66</v>
      </c>
      <c r="AR419" s="5" t="s">
        <v>66</v>
      </c>
      <c r="AS419" s="5" t="s">
        <v>66</v>
      </c>
      <c r="AT419" s="5" t="s">
        <v>66</v>
      </c>
      <c r="AU419" s="5" t="s">
        <v>66</v>
      </c>
      <c r="AV419" s="5" t="s">
        <v>66</v>
      </c>
      <c r="AW419" s="5" t="s">
        <v>66</v>
      </c>
      <c r="AX419" s="5" t="s">
        <v>2996</v>
      </c>
      <c r="AY419" s="5" t="s">
        <v>2997</v>
      </c>
      <c r="AZ419" s="5" t="s">
        <v>80</v>
      </c>
      <c r="BA419" s="19" t="s">
        <v>66</v>
      </c>
      <c r="BB419" s="17" t="s">
        <v>2998</v>
      </c>
      <c r="BC419" s="5" t="s">
        <v>394</v>
      </c>
      <c r="BD419" s="5" t="s">
        <v>2999</v>
      </c>
    </row>
    <row r="420" spans="1:56" ht="120" hidden="1" x14ac:dyDescent="0.25">
      <c r="A420" s="78" t="s">
        <v>1749</v>
      </c>
      <c r="B420" s="5" t="s">
        <v>1750</v>
      </c>
      <c r="C420" s="5" t="s">
        <v>3293</v>
      </c>
      <c r="D420" s="5" t="s">
        <v>56</v>
      </c>
      <c r="E420" s="99" t="str">
        <f>VLOOKUP(D420,'Dropdown List'!$F$26:$G$40,2,0)</f>
        <v>India</v>
      </c>
      <c r="F420" s="8" t="s">
        <v>1751</v>
      </c>
      <c r="G420" s="96">
        <v>6</v>
      </c>
      <c r="H420" s="5" t="s">
        <v>57</v>
      </c>
      <c r="I420" s="8" t="s">
        <v>58</v>
      </c>
      <c r="J420" s="8" t="s">
        <v>163</v>
      </c>
      <c r="K420" s="8" t="s">
        <v>1919</v>
      </c>
      <c r="L420" s="8" t="s">
        <v>1920</v>
      </c>
      <c r="M420" s="8" t="s">
        <v>1921</v>
      </c>
      <c r="N420" s="5" t="s">
        <v>1034</v>
      </c>
      <c r="O420" s="5" t="s">
        <v>61</v>
      </c>
      <c r="P420" s="5" t="s">
        <v>1907</v>
      </c>
      <c r="Q420" s="9" t="s">
        <v>75</v>
      </c>
      <c r="R420" s="5" t="s">
        <v>76</v>
      </c>
      <c r="S420" s="5" t="s">
        <v>90</v>
      </c>
      <c r="T420" s="96">
        <v>1</v>
      </c>
      <c r="U420" s="96" t="s">
        <v>77</v>
      </c>
      <c r="V420" s="96" t="s">
        <v>1908</v>
      </c>
      <c r="W420" s="5" t="s">
        <v>91</v>
      </c>
      <c r="X420" s="10" t="s">
        <v>79</v>
      </c>
      <c r="Y420" s="11">
        <v>23196</v>
      </c>
      <c r="Z420" s="12">
        <v>20.6</v>
      </c>
      <c r="AA420" s="12">
        <v>1</v>
      </c>
      <c r="AB420" s="12">
        <v>1</v>
      </c>
      <c r="AC420" s="13">
        <v>5.3999999999999986</v>
      </c>
      <c r="AD420" s="14">
        <f t="shared" si="14"/>
        <v>28</v>
      </c>
      <c r="AE420" s="15">
        <f t="shared" si="15"/>
        <v>0.19285714285714281</v>
      </c>
      <c r="AF420" s="16">
        <v>36477</v>
      </c>
      <c r="AG420" s="16">
        <v>36477</v>
      </c>
      <c r="AH420" s="17" t="s">
        <v>1909</v>
      </c>
      <c r="AI420" s="18" t="s">
        <v>1908</v>
      </c>
      <c r="AJ420" s="19">
        <v>0.98</v>
      </c>
      <c r="AK420" s="20">
        <v>0.94</v>
      </c>
      <c r="AL420" s="17" t="s">
        <v>92</v>
      </c>
      <c r="AM420" s="5" t="s">
        <v>1910</v>
      </c>
      <c r="AN420" s="5" t="s">
        <v>66</v>
      </c>
      <c r="AO420" s="5" t="s">
        <v>66</v>
      </c>
      <c r="AP420" s="5" t="s">
        <v>66</v>
      </c>
      <c r="AQ420" s="5" t="s">
        <v>66</v>
      </c>
      <c r="AR420" s="5" t="s">
        <v>66</v>
      </c>
      <c r="AS420" s="5" t="s">
        <v>66</v>
      </c>
      <c r="AT420" s="5" t="s">
        <v>66</v>
      </c>
      <c r="AU420" s="5" t="s">
        <v>66</v>
      </c>
      <c r="AV420" s="5" t="s">
        <v>66</v>
      </c>
      <c r="AW420" s="5" t="s">
        <v>66</v>
      </c>
      <c r="AX420" s="5" t="s">
        <v>2993</v>
      </c>
      <c r="AY420" s="5" t="s">
        <v>3000</v>
      </c>
      <c r="AZ420" s="5" t="s">
        <v>145</v>
      </c>
      <c r="BA420" s="19" t="s">
        <v>66</v>
      </c>
      <c r="BB420" s="17" t="s">
        <v>3001</v>
      </c>
      <c r="BC420" s="5" t="s">
        <v>3002</v>
      </c>
      <c r="BD420" s="5" t="s">
        <v>3003</v>
      </c>
    </row>
    <row r="421" spans="1:56" ht="48" hidden="1" x14ac:dyDescent="0.25">
      <c r="A421" s="78" t="s">
        <v>1749</v>
      </c>
      <c r="B421" s="5" t="s">
        <v>1750</v>
      </c>
      <c r="C421" s="5" t="s">
        <v>3293</v>
      </c>
      <c r="D421" s="5" t="s">
        <v>56</v>
      </c>
      <c r="E421" s="99" t="str">
        <f>VLOOKUP(D421,'Dropdown List'!$F$26:$G$40,2,0)</f>
        <v>India</v>
      </c>
      <c r="F421" s="8" t="s">
        <v>1751</v>
      </c>
      <c r="G421" s="96">
        <v>6</v>
      </c>
      <c r="H421" s="5" t="s">
        <v>57</v>
      </c>
      <c r="I421" s="8" t="s">
        <v>58</v>
      </c>
      <c r="J421" s="8" t="s">
        <v>146</v>
      </c>
      <c r="K421" s="8" t="s">
        <v>147</v>
      </c>
      <c r="L421" s="8" t="s">
        <v>1922</v>
      </c>
      <c r="M421" s="8" t="s">
        <v>1923</v>
      </c>
      <c r="N421" s="5" t="s">
        <v>1034</v>
      </c>
      <c r="O421" s="5" t="s">
        <v>61</v>
      </c>
      <c r="P421" s="5" t="s">
        <v>1907</v>
      </c>
      <c r="Q421" s="9" t="s">
        <v>75</v>
      </c>
      <c r="R421" s="5" t="s">
        <v>76</v>
      </c>
      <c r="S421" s="5" t="s">
        <v>90</v>
      </c>
      <c r="T421" s="96">
        <v>1</v>
      </c>
      <c r="U421" s="96" t="s">
        <v>77</v>
      </c>
      <c r="V421" s="96" t="s">
        <v>1908</v>
      </c>
      <c r="W421" s="5" t="s">
        <v>91</v>
      </c>
      <c r="X421" s="10" t="s">
        <v>79</v>
      </c>
      <c r="Y421" s="11">
        <v>21178</v>
      </c>
      <c r="Z421" s="12">
        <v>10.76</v>
      </c>
      <c r="AA421" s="12">
        <v>1</v>
      </c>
      <c r="AB421" s="12">
        <v>1</v>
      </c>
      <c r="AC421" s="13">
        <v>3.24</v>
      </c>
      <c r="AD421" s="14">
        <f t="shared" si="14"/>
        <v>16</v>
      </c>
      <c r="AE421" s="15">
        <f t="shared" si="15"/>
        <v>0.20250000000000001</v>
      </c>
      <c r="AF421" s="16">
        <v>43063</v>
      </c>
      <c r="AG421" s="16">
        <v>43063</v>
      </c>
      <c r="AH421" s="17" t="s">
        <v>1909</v>
      </c>
      <c r="AI421" s="18" t="s">
        <v>1908</v>
      </c>
      <c r="AJ421" s="19">
        <v>0.98</v>
      </c>
      <c r="AK421" s="20">
        <v>0.94</v>
      </c>
      <c r="AL421" s="17" t="s">
        <v>92</v>
      </c>
      <c r="AM421" s="5" t="s">
        <v>1910</v>
      </c>
      <c r="AN421" s="5" t="s">
        <v>66</v>
      </c>
      <c r="AO421" s="5" t="s">
        <v>66</v>
      </c>
      <c r="AP421" s="5" t="s">
        <v>66</v>
      </c>
      <c r="AQ421" s="5" t="s">
        <v>66</v>
      </c>
      <c r="AR421" s="5" t="s">
        <v>66</v>
      </c>
      <c r="AS421" s="5" t="s">
        <v>66</v>
      </c>
      <c r="AT421" s="5" t="s">
        <v>66</v>
      </c>
      <c r="AU421" s="5" t="s">
        <v>66</v>
      </c>
      <c r="AV421" s="5" t="s">
        <v>66</v>
      </c>
      <c r="AW421" s="5" t="s">
        <v>66</v>
      </c>
      <c r="AX421" s="5" t="s">
        <v>394</v>
      </c>
      <c r="AY421" s="5" t="s">
        <v>3004</v>
      </c>
      <c r="AZ421" s="5" t="s">
        <v>80</v>
      </c>
      <c r="BA421" s="19" t="s">
        <v>66</v>
      </c>
      <c r="BB421" s="17" t="s">
        <v>3005</v>
      </c>
      <c r="BC421" s="5" t="s">
        <v>394</v>
      </c>
      <c r="BD421" s="5" t="s">
        <v>3006</v>
      </c>
    </row>
    <row r="422" spans="1:56" ht="48" hidden="1" x14ac:dyDescent="0.25">
      <c r="A422" s="78" t="s">
        <v>1749</v>
      </c>
      <c r="B422" s="5" t="s">
        <v>1750</v>
      </c>
      <c r="C422" s="5" t="s">
        <v>3293</v>
      </c>
      <c r="D422" s="5" t="s">
        <v>56</v>
      </c>
      <c r="E422" s="99" t="str">
        <f>VLOOKUP(D422,'Dropdown List'!$F$26:$G$40,2,0)</f>
        <v>India</v>
      </c>
      <c r="F422" s="8" t="s">
        <v>66</v>
      </c>
      <c r="G422" s="96">
        <v>0</v>
      </c>
      <c r="H422" s="5" t="s">
        <v>85</v>
      </c>
      <c r="I422" s="8" t="s">
        <v>58</v>
      </c>
      <c r="J422" s="8" t="s">
        <v>146</v>
      </c>
      <c r="K422" s="8" t="s">
        <v>147</v>
      </c>
      <c r="L422" s="8" t="s">
        <v>1924</v>
      </c>
      <c r="M422" s="8" t="s">
        <v>1925</v>
      </c>
      <c r="N422" s="5" t="s">
        <v>1034</v>
      </c>
      <c r="O422" s="5" t="s">
        <v>61</v>
      </c>
      <c r="P422" s="5" t="s">
        <v>1907</v>
      </c>
      <c r="Q422" s="9" t="s">
        <v>75</v>
      </c>
      <c r="R422" s="5" t="s">
        <v>76</v>
      </c>
      <c r="S422" s="5" t="s">
        <v>90</v>
      </c>
      <c r="T422" s="96">
        <v>1</v>
      </c>
      <c r="U422" s="96" t="s">
        <v>77</v>
      </c>
      <c r="V422" s="96" t="s">
        <v>1908</v>
      </c>
      <c r="W422" s="5" t="s">
        <v>91</v>
      </c>
      <c r="X422" s="10" t="s">
        <v>79</v>
      </c>
      <c r="Y422" s="11" t="s">
        <v>66</v>
      </c>
      <c r="Z422" s="12">
        <v>0</v>
      </c>
      <c r="AA422" s="12">
        <v>0</v>
      </c>
      <c r="AB422" s="12">
        <v>0</v>
      </c>
      <c r="AC422" s="13">
        <v>0</v>
      </c>
      <c r="AD422" s="14">
        <f t="shared" si="14"/>
        <v>0</v>
      </c>
      <c r="AE422" s="15" t="e">
        <f t="shared" si="15"/>
        <v>#DIV/0!</v>
      </c>
      <c r="AF422" s="16">
        <v>0</v>
      </c>
      <c r="AG422" s="16">
        <v>0</v>
      </c>
      <c r="AH422" s="17" t="s">
        <v>1909</v>
      </c>
      <c r="AI422" s="18" t="s">
        <v>1908</v>
      </c>
      <c r="AJ422" s="19" t="s">
        <v>66</v>
      </c>
      <c r="AK422" s="20" t="s">
        <v>66</v>
      </c>
      <c r="AL422" s="17" t="s">
        <v>66</v>
      </c>
      <c r="AM422" s="5" t="s">
        <v>66</v>
      </c>
      <c r="AN422" s="5" t="s">
        <v>66</v>
      </c>
      <c r="AO422" s="5" t="s">
        <v>66</v>
      </c>
      <c r="AP422" s="5" t="s">
        <v>66</v>
      </c>
      <c r="AQ422" s="5" t="s">
        <v>66</v>
      </c>
      <c r="AR422" s="5" t="s">
        <v>66</v>
      </c>
      <c r="AS422" s="5" t="s">
        <v>66</v>
      </c>
      <c r="AT422" s="5" t="s">
        <v>66</v>
      </c>
      <c r="AU422" s="5" t="s">
        <v>66</v>
      </c>
      <c r="AV422" s="5" t="s">
        <v>66</v>
      </c>
      <c r="AW422" s="5" t="s">
        <v>66</v>
      </c>
      <c r="AX422" s="5" t="s">
        <v>66</v>
      </c>
      <c r="AY422" s="5" t="s">
        <v>66</v>
      </c>
      <c r="AZ422" s="5" t="s">
        <v>66</v>
      </c>
      <c r="BA422" s="19" t="s">
        <v>66</v>
      </c>
      <c r="BB422" s="17" t="s">
        <v>66</v>
      </c>
      <c r="BC422" s="5" t="s">
        <v>66</v>
      </c>
      <c r="BD422" s="5" t="s">
        <v>66</v>
      </c>
    </row>
    <row r="423" spans="1:56" ht="48" hidden="1" x14ac:dyDescent="0.25">
      <c r="A423" s="78" t="s">
        <v>1749</v>
      </c>
      <c r="B423" s="5" t="s">
        <v>1750</v>
      </c>
      <c r="C423" s="5" t="s">
        <v>3293</v>
      </c>
      <c r="D423" s="5" t="s">
        <v>56</v>
      </c>
      <c r="E423" s="99" t="str">
        <f>VLOOKUP(D423,'Dropdown List'!$F$26:$G$40,2,0)</f>
        <v>India</v>
      </c>
      <c r="F423" s="8" t="s">
        <v>66</v>
      </c>
      <c r="G423" s="96">
        <v>0</v>
      </c>
      <c r="H423" s="5" t="s">
        <v>85</v>
      </c>
      <c r="I423" s="8" t="s">
        <v>58</v>
      </c>
      <c r="J423" s="8" t="s">
        <v>146</v>
      </c>
      <c r="K423" s="8" t="s">
        <v>190</v>
      </c>
      <c r="L423" s="8" t="s">
        <v>1926</v>
      </c>
      <c r="M423" s="8" t="s">
        <v>1927</v>
      </c>
      <c r="N423" s="5" t="s">
        <v>1034</v>
      </c>
      <c r="O423" s="5" t="s">
        <v>61</v>
      </c>
      <c r="P423" s="5" t="s">
        <v>1907</v>
      </c>
      <c r="Q423" s="9" t="s">
        <v>75</v>
      </c>
      <c r="R423" s="5" t="s">
        <v>76</v>
      </c>
      <c r="S423" s="5" t="s">
        <v>90</v>
      </c>
      <c r="T423" s="96">
        <v>1</v>
      </c>
      <c r="U423" s="96" t="s">
        <v>77</v>
      </c>
      <c r="V423" s="96" t="s">
        <v>1908</v>
      </c>
      <c r="W423" s="5" t="s">
        <v>91</v>
      </c>
      <c r="X423" s="10" t="s">
        <v>79</v>
      </c>
      <c r="Y423" s="11" t="s">
        <v>66</v>
      </c>
      <c r="Z423" s="12">
        <v>0</v>
      </c>
      <c r="AA423" s="12">
        <v>0</v>
      </c>
      <c r="AB423" s="12">
        <v>0</v>
      </c>
      <c r="AC423" s="13">
        <v>0</v>
      </c>
      <c r="AD423" s="14">
        <f t="shared" si="14"/>
        <v>0</v>
      </c>
      <c r="AE423" s="15" t="e">
        <f t="shared" si="15"/>
        <v>#DIV/0!</v>
      </c>
      <c r="AF423" s="16">
        <v>0</v>
      </c>
      <c r="AG423" s="16">
        <v>0</v>
      </c>
      <c r="AH423" s="17" t="s">
        <v>1909</v>
      </c>
      <c r="AI423" s="18" t="s">
        <v>1908</v>
      </c>
      <c r="AJ423" s="19" t="s">
        <v>66</v>
      </c>
      <c r="AK423" s="20" t="s">
        <v>66</v>
      </c>
      <c r="AL423" s="17" t="s">
        <v>66</v>
      </c>
      <c r="AM423" s="5" t="s">
        <v>66</v>
      </c>
      <c r="AN423" s="5" t="s">
        <v>66</v>
      </c>
      <c r="AO423" s="5" t="s">
        <v>66</v>
      </c>
      <c r="AP423" s="5" t="s">
        <v>66</v>
      </c>
      <c r="AQ423" s="5" t="s">
        <v>66</v>
      </c>
      <c r="AR423" s="5" t="s">
        <v>66</v>
      </c>
      <c r="AS423" s="5" t="s">
        <v>66</v>
      </c>
      <c r="AT423" s="5" t="s">
        <v>66</v>
      </c>
      <c r="AU423" s="5" t="s">
        <v>66</v>
      </c>
      <c r="AV423" s="5" t="s">
        <v>66</v>
      </c>
      <c r="AW423" s="5" t="s">
        <v>66</v>
      </c>
      <c r="AX423" s="5" t="s">
        <v>66</v>
      </c>
      <c r="AY423" s="5" t="s">
        <v>66</v>
      </c>
      <c r="AZ423" s="5" t="s">
        <v>66</v>
      </c>
      <c r="BA423" s="19" t="s">
        <v>66</v>
      </c>
      <c r="BB423" s="17" t="s">
        <v>66</v>
      </c>
      <c r="BC423" s="5" t="s">
        <v>66</v>
      </c>
      <c r="BD423" s="5" t="s">
        <v>66</v>
      </c>
    </row>
    <row r="424" spans="1:56" ht="60" hidden="1" x14ac:dyDescent="0.25">
      <c r="A424" s="78" t="s">
        <v>1749</v>
      </c>
      <c r="B424" s="5" t="s">
        <v>1750</v>
      </c>
      <c r="C424" s="5" t="s">
        <v>3293</v>
      </c>
      <c r="D424" s="5" t="s">
        <v>56</v>
      </c>
      <c r="E424" s="99" t="str">
        <f>VLOOKUP(D424,'Dropdown List'!$F$26:$G$40,2,0)</f>
        <v>India</v>
      </c>
      <c r="F424" s="8" t="s">
        <v>1751</v>
      </c>
      <c r="G424" s="96">
        <v>6</v>
      </c>
      <c r="H424" s="5" t="s">
        <v>57</v>
      </c>
      <c r="I424" s="8" t="s">
        <v>58</v>
      </c>
      <c r="J424" s="8" t="s">
        <v>163</v>
      </c>
      <c r="K424" s="8" t="s">
        <v>307</v>
      </c>
      <c r="L424" s="8" t="s">
        <v>1928</v>
      </c>
      <c r="M424" s="8" t="s">
        <v>1929</v>
      </c>
      <c r="N424" s="5" t="s">
        <v>1034</v>
      </c>
      <c r="O424" s="5" t="s">
        <v>61</v>
      </c>
      <c r="P424" s="5" t="s">
        <v>1907</v>
      </c>
      <c r="Q424" s="9" t="s">
        <v>75</v>
      </c>
      <c r="R424" s="5" t="s">
        <v>76</v>
      </c>
      <c r="S424" s="5" t="s">
        <v>90</v>
      </c>
      <c r="T424" s="96">
        <v>1</v>
      </c>
      <c r="U424" s="96" t="s">
        <v>77</v>
      </c>
      <c r="V424" s="96" t="s">
        <v>1908</v>
      </c>
      <c r="W424" s="5" t="s">
        <v>91</v>
      </c>
      <c r="X424" s="10" t="s">
        <v>79</v>
      </c>
      <c r="Y424" s="11">
        <v>23196</v>
      </c>
      <c r="Z424" s="12">
        <v>6.04</v>
      </c>
      <c r="AA424" s="12">
        <v>1</v>
      </c>
      <c r="AB424" s="12">
        <v>0</v>
      </c>
      <c r="AC424" s="13">
        <v>1.96</v>
      </c>
      <c r="AD424" s="14">
        <f t="shared" si="14"/>
        <v>9</v>
      </c>
      <c r="AE424" s="15">
        <f t="shared" si="15"/>
        <v>0.21777777777777776</v>
      </c>
      <c r="AF424" s="16">
        <v>42248</v>
      </c>
      <c r="AG424" s="16">
        <v>42248</v>
      </c>
      <c r="AH424" s="17" t="s">
        <v>1909</v>
      </c>
      <c r="AI424" s="18" t="s">
        <v>1908</v>
      </c>
      <c r="AJ424" s="19">
        <v>0.98</v>
      </c>
      <c r="AK424" s="20">
        <v>0.94</v>
      </c>
      <c r="AL424" s="17" t="s">
        <v>92</v>
      </c>
      <c r="AM424" s="5" t="s">
        <v>1910</v>
      </c>
      <c r="AN424" s="5" t="s">
        <v>66</v>
      </c>
      <c r="AO424" s="5" t="s">
        <v>66</v>
      </c>
      <c r="AP424" s="5" t="s">
        <v>66</v>
      </c>
      <c r="AQ424" s="5" t="s">
        <v>66</v>
      </c>
      <c r="AR424" s="5" t="s">
        <v>66</v>
      </c>
      <c r="AS424" s="5" t="s">
        <v>66</v>
      </c>
      <c r="AT424" s="5" t="s">
        <v>66</v>
      </c>
      <c r="AU424" s="5" t="s">
        <v>66</v>
      </c>
      <c r="AV424" s="5" t="s">
        <v>66</v>
      </c>
      <c r="AW424" s="5" t="s">
        <v>66</v>
      </c>
      <c r="AX424" s="5" t="s">
        <v>3007</v>
      </c>
      <c r="AY424" s="5" t="s">
        <v>3008</v>
      </c>
      <c r="AZ424" s="5" t="s">
        <v>145</v>
      </c>
      <c r="BA424" s="19" t="s">
        <v>66</v>
      </c>
      <c r="BB424" s="17" t="s">
        <v>3009</v>
      </c>
      <c r="BC424" s="5" t="s">
        <v>3010</v>
      </c>
      <c r="BD424" s="5" t="s">
        <v>3011</v>
      </c>
    </row>
    <row r="425" spans="1:56" ht="84" hidden="1" x14ac:dyDescent="0.25">
      <c r="A425" s="78" t="s">
        <v>1749</v>
      </c>
      <c r="B425" s="5" t="s">
        <v>1750</v>
      </c>
      <c r="C425" s="5" t="s">
        <v>3293</v>
      </c>
      <c r="D425" s="5" t="s">
        <v>56</v>
      </c>
      <c r="E425" s="99" t="str">
        <f>VLOOKUP(D425,'Dropdown List'!$F$26:$G$40,2,0)</f>
        <v>India</v>
      </c>
      <c r="F425" s="8" t="s">
        <v>1751</v>
      </c>
      <c r="G425" s="96">
        <v>6</v>
      </c>
      <c r="H425" s="5" t="s">
        <v>57</v>
      </c>
      <c r="I425" s="8" t="s">
        <v>58</v>
      </c>
      <c r="J425" s="8" t="s">
        <v>396</v>
      </c>
      <c r="K425" s="8" t="s">
        <v>2188</v>
      </c>
      <c r="L425" s="8" t="s">
        <v>1930</v>
      </c>
      <c r="M425" s="8" t="s">
        <v>1931</v>
      </c>
      <c r="N425" s="5" t="s">
        <v>1034</v>
      </c>
      <c r="O425" s="5" t="s">
        <v>61</v>
      </c>
      <c r="P425" s="5" t="s">
        <v>1907</v>
      </c>
      <c r="Q425" s="9" t="s">
        <v>75</v>
      </c>
      <c r="R425" s="5" t="s">
        <v>76</v>
      </c>
      <c r="S425" s="5" t="s">
        <v>90</v>
      </c>
      <c r="T425" s="96">
        <v>1</v>
      </c>
      <c r="U425" s="96" t="s">
        <v>77</v>
      </c>
      <c r="V425" s="96" t="s">
        <v>1908</v>
      </c>
      <c r="W425" s="5" t="s">
        <v>91</v>
      </c>
      <c r="X425" s="10" t="s">
        <v>79</v>
      </c>
      <c r="Y425" s="11">
        <v>23196</v>
      </c>
      <c r="Z425" s="12">
        <v>8.16</v>
      </c>
      <c r="AA425" s="12">
        <v>1</v>
      </c>
      <c r="AB425" s="12">
        <v>1</v>
      </c>
      <c r="AC425" s="13">
        <v>2.84</v>
      </c>
      <c r="AD425" s="14">
        <f t="shared" si="14"/>
        <v>13</v>
      </c>
      <c r="AE425" s="15">
        <f t="shared" si="15"/>
        <v>0.21846153846153846</v>
      </c>
      <c r="AF425" s="16">
        <v>14575</v>
      </c>
      <c r="AG425" s="16">
        <v>14575</v>
      </c>
      <c r="AH425" s="17" t="s">
        <v>1909</v>
      </c>
      <c r="AI425" s="18" t="s">
        <v>1908</v>
      </c>
      <c r="AJ425" s="19">
        <v>0.98</v>
      </c>
      <c r="AK425" s="20">
        <v>0.94</v>
      </c>
      <c r="AL425" s="17" t="s">
        <v>92</v>
      </c>
      <c r="AM425" s="5" t="s">
        <v>1910</v>
      </c>
      <c r="AN425" s="5" t="s">
        <v>66</v>
      </c>
      <c r="AO425" s="5" t="s">
        <v>66</v>
      </c>
      <c r="AP425" s="5" t="s">
        <v>66</v>
      </c>
      <c r="AQ425" s="5" t="s">
        <v>66</v>
      </c>
      <c r="AR425" s="5" t="s">
        <v>66</v>
      </c>
      <c r="AS425" s="5" t="s">
        <v>66</v>
      </c>
      <c r="AT425" s="5" t="s">
        <v>66</v>
      </c>
      <c r="AU425" s="5" t="s">
        <v>66</v>
      </c>
      <c r="AV425" s="5" t="s">
        <v>66</v>
      </c>
      <c r="AW425" s="5" t="s">
        <v>66</v>
      </c>
      <c r="AX425" s="5" t="s">
        <v>2993</v>
      </c>
      <c r="AY425" s="5" t="s">
        <v>3012</v>
      </c>
      <c r="AZ425" s="5" t="s">
        <v>145</v>
      </c>
      <c r="BA425" s="19" t="s">
        <v>66</v>
      </c>
      <c r="BB425" s="17" t="s">
        <v>3013</v>
      </c>
      <c r="BC425" s="5" t="s">
        <v>3014</v>
      </c>
      <c r="BD425" s="5" t="s">
        <v>3015</v>
      </c>
    </row>
    <row r="426" spans="1:56" ht="48" hidden="1" x14ac:dyDescent="0.25">
      <c r="A426" s="78" t="s">
        <v>1749</v>
      </c>
      <c r="B426" s="5" t="s">
        <v>1750</v>
      </c>
      <c r="C426" s="5" t="s">
        <v>3293</v>
      </c>
      <c r="D426" s="5" t="s">
        <v>56</v>
      </c>
      <c r="E426" s="99" t="str">
        <f>VLOOKUP(D426,'Dropdown List'!$F$26:$G$40,2,0)</f>
        <v>India</v>
      </c>
      <c r="F426" s="8" t="s">
        <v>1751</v>
      </c>
      <c r="G426" s="96">
        <v>6</v>
      </c>
      <c r="H426" s="5" t="s">
        <v>57</v>
      </c>
      <c r="I426" s="8" t="s">
        <v>58</v>
      </c>
      <c r="J426" s="8" t="s">
        <v>146</v>
      </c>
      <c r="K426" s="8" t="s">
        <v>147</v>
      </c>
      <c r="L426" s="8" t="s">
        <v>3016</v>
      </c>
      <c r="M426" s="8" t="s">
        <v>1932</v>
      </c>
      <c r="N426" s="5" t="s">
        <v>1034</v>
      </c>
      <c r="O426" s="5" t="s">
        <v>61</v>
      </c>
      <c r="P426" s="5" t="s">
        <v>1069</v>
      </c>
      <c r="Q426" s="9" t="s">
        <v>75</v>
      </c>
      <c r="R426" s="5" t="s">
        <v>76</v>
      </c>
      <c r="S426" s="5" t="s">
        <v>90</v>
      </c>
      <c r="T426" s="96">
        <v>1</v>
      </c>
      <c r="U426" s="96" t="s">
        <v>77</v>
      </c>
      <c r="V426" s="96" t="s">
        <v>1908</v>
      </c>
      <c r="W426" s="5" t="s">
        <v>91</v>
      </c>
      <c r="X426" s="10" t="s">
        <v>79</v>
      </c>
      <c r="Y426" s="11">
        <v>23196</v>
      </c>
      <c r="Z426" s="12">
        <v>4.8499999999999996</v>
      </c>
      <c r="AA426" s="12">
        <v>1</v>
      </c>
      <c r="AB426" s="12">
        <v>1</v>
      </c>
      <c r="AC426" s="13">
        <v>3.1500000000000004</v>
      </c>
      <c r="AD426" s="14">
        <f t="shared" si="14"/>
        <v>10</v>
      </c>
      <c r="AE426" s="15">
        <f t="shared" si="15"/>
        <v>0.31500000000000006</v>
      </c>
      <c r="AF426" s="16">
        <v>9647</v>
      </c>
      <c r="AG426" s="16">
        <v>9647</v>
      </c>
      <c r="AH426" s="17" t="s">
        <v>1909</v>
      </c>
      <c r="AI426" s="18" t="s">
        <v>1908</v>
      </c>
      <c r="AJ426" s="19">
        <v>0.98</v>
      </c>
      <c r="AK426" s="20">
        <v>0.94</v>
      </c>
      <c r="AL426" s="17" t="s">
        <v>92</v>
      </c>
      <c r="AM426" s="5" t="s">
        <v>1910</v>
      </c>
      <c r="AN426" s="5" t="s">
        <v>66</v>
      </c>
      <c r="AO426" s="5" t="s">
        <v>66</v>
      </c>
      <c r="AP426" s="5" t="s">
        <v>66</v>
      </c>
      <c r="AQ426" s="5" t="s">
        <v>66</v>
      </c>
      <c r="AR426" s="5" t="s">
        <v>66</v>
      </c>
      <c r="AS426" s="5" t="s">
        <v>66</v>
      </c>
      <c r="AT426" s="5" t="s">
        <v>66</v>
      </c>
      <c r="AU426" s="5" t="s">
        <v>66</v>
      </c>
      <c r="AV426" s="5" t="s">
        <v>66</v>
      </c>
      <c r="AW426" s="5" t="s">
        <v>66</v>
      </c>
      <c r="AX426" s="5" t="s">
        <v>3017</v>
      </c>
      <c r="AY426" s="5" t="s">
        <v>3018</v>
      </c>
      <c r="AZ426" s="5" t="s">
        <v>80</v>
      </c>
      <c r="BA426" s="19" t="s">
        <v>66</v>
      </c>
      <c r="BB426" s="17" t="s">
        <v>3019</v>
      </c>
      <c r="BC426" s="5" t="s">
        <v>3010</v>
      </c>
      <c r="BD426" s="5" t="s">
        <v>3020</v>
      </c>
    </row>
    <row r="427" spans="1:56" ht="48" hidden="1" x14ac:dyDescent="0.25">
      <c r="A427" s="78" t="s">
        <v>1749</v>
      </c>
      <c r="B427" s="5" t="s">
        <v>1750</v>
      </c>
      <c r="C427" s="5" t="s">
        <v>3293</v>
      </c>
      <c r="D427" s="5" t="s">
        <v>56</v>
      </c>
      <c r="E427" s="99" t="str">
        <f>VLOOKUP(D427,'Dropdown List'!$F$26:$G$40,2,0)</f>
        <v>India</v>
      </c>
      <c r="F427" s="8" t="s">
        <v>1751</v>
      </c>
      <c r="G427" s="96">
        <v>5</v>
      </c>
      <c r="H427" s="5" t="s">
        <v>57</v>
      </c>
      <c r="I427" s="8" t="s">
        <v>58</v>
      </c>
      <c r="J427" s="8" t="s">
        <v>396</v>
      </c>
      <c r="K427" s="8" t="s">
        <v>397</v>
      </c>
      <c r="L427" s="8" t="s">
        <v>1934</v>
      </c>
      <c r="M427" s="8" t="s">
        <v>1935</v>
      </c>
      <c r="N427" s="5" t="s">
        <v>1034</v>
      </c>
      <c r="O427" s="5" t="s">
        <v>61</v>
      </c>
      <c r="P427" s="5" t="s">
        <v>1907</v>
      </c>
      <c r="Q427" s="9" t="s">
        <v>75</v>
      </c>
      <c r="R427" s="5" t="s">
        <v>76</v>
      </c>
      <c r="S427" s="5" t="s">
        <v>90</v>
      </c>
      <c r="T427" s="96">
        <v>1</v>
      </c>
      <c r="U427" s="96" t="s">
        <v>77</v>
      </c>
      <c r="V427" s="96" t="s">
        <v>1908</v>
      </c>
      <c r="W427" s="5" t="s">
        <v>91</v>
      </c>
      <c r="X427" s="10" t="s">
        <v>79</v>
      </c>
      <c r="Y427" s="11">
        <v>23196</v>
      </c>
      <c r="Z427" s="12">
        <v>5</v>
      </c>
      <c r="AA427" s="12">
        <v>1</v>
      </c>
      <c r="AB427" s="12">
        <v>0</v>
      </c>
      <c r="AC427" s="13">
        <v>2</v>
      </c>
      <c r="AD427" s="14">
        <f t="shared" si="14"/>
        <v>8</v>
      </c>
      <c r="AE427" s="15">
        <f t="shared" si="15"/>
        <v>0.25</v>
      </c>
      <c r="AF427" s="16">
        <v>2298</v>
      </c>
      <c r="AG427" s="16">
        <v>2298</v>
      </c>
      <c r="AH427" s="17" t="s">
        <v>1909</v>
      </c>
      <c r="AI427" s="18" t="s">
        <v>1908</v>
      </c>
      <c r="AJ427" s="19">
        <v>0.98</v>
      </c>
      <c r="AK427" s="20">
        <v>0.98</v>
      </c>
      <c r="AL427" s="17" t="s">
        <v>92</v>
      </c>
      <c r="AM427" s="5" t="s">
        <v>3021</v>
      </c>
      <c r="AN427" s="5" t="s">
        <v>1910</v>
      </c>
      <c r="AO427" s="5" t="s">
        <v>66</v>
      </c>
      <c r="AP427" s="5" t="s">
        <v>66</v>
      </c>
      <c r="AQ427" s="5" t="s">
        <v>66</v>
      </c>
      <c r="AR427" s="5" t="s">
        <v>66</v>
      </c>
      <c r="AS427" s="5" t="s">
        <v>66</v>
      </c>
      <c r="AT427" s="5" t="s">
        <v>66</v>
      </c>
      <c r="AU427" s="5" t="s">
        <v>66</v>
      </c>
      <c r="AV427" s="5" t="s">
        <v>66</v>
      </c>
      <c r="AW427" s="5" t="s">
        <v>66</v>
      </c>
      <c r="AX427" s="5" t="s">
        <v>1933</v>
      </c>
      <c r="AY427" s="5" t="s">
        <v>3022</v>
      </c>
      <c r="AZ427" s="5" t="s">
        <v>145</v>
      </c>
      <c r="BA427" s="19" t="s">
        <v>66</v>
      </c>
      <c r="BB427" s="17" t="s">
        <v>3023</v>
      </c>
      <c r="BC427" s="5" t="s">
        <v>1933</v>
      </c>
      <c r="BD427" s="5" t="s">
        <v>3024</v>
      </c>
    </row>
    <row r="428" spans="1:56" ht="48" hidden="1" x14ac:dyDescent="0.25">
      <c r="A428" s="78" t="s">
        <v>1749</v>
      </c>
      <c r="B428" s="5" t="s">
        <v>1750</v>
      </c>
      <c r="C428" s="5" t="s">
        <v>3293</v>
      </c>
      <c r="D428" s="5" t="s">
        <v>56</v>
      </c>
      <c r="E428" s="99" t="str">
        <f>VLOOKUP(D428,'Dropdown List'!$F$26:$G$40,2,0)</f>
        <v>India</v>
      </c>
      <c r="F428" s="8" t="s">
        <v>1751</v>
      </c>
      <c r="G428" s="96">
        <v>6</v>
      </c>
      <c r="H428" s="5" t="s">
        <v>57</v>
      </c>
      <c r="I428" s="8" t="s">
        <v>58</v>
      </c>
      <c r="J428" s="8" t="s">
        <v>396</v>
      </c>
      <c r="K428" s="8" t="s">
        <v>397</v>
      </c>
      <c r="L428" s="8" t="s">
        <v>1936</v>
      </c>
      <c r="M428" s="8" t="s">
        <v>1937</v>
      </c>
      <c r="N428" s="5" t="s">
        <v>1034</v>
      </c>
      <c r="O428" s="5" t="s">
        <v>61</v>
      </c>
      <c r="P428" s="5" t="s">
        <v>1069</v>
      </c>
      <c r="Q428" s="9" t="s">
        <v>75</v>
      </c>
      <c r="R428" s="5" t="s">
        <v>76</v>
      </c>
      <c r="S428" s="5" t="s">
        <v>64</v>
      </c>
      <c r="T428" s="96">
        <v>1</v>
      </c>
      <c r="U428" s="96" t="s">
        <v>3025</v>
      </c>
      <c r="V428" s="96" t="s">
        <v>1908</v>
      </c>
      <c r="W428" s="5" t="s">
        <v>91</v>
      </c>
      <c r="X428" s="10" t="s">
        <v>79</v>
      </c>
      <c r="Y428" s="11">
        <v>23196</v>
      </c>
      <c r="Z428" s="12">
        <v>8.19</v>
      </c>
      <c r="AA428" s="12">
        <v>1</v>
      </c>
      <c r="AB428" s="12">
        <v>1</v>
      </c>
      <c r="AC428" s="13">
        <v>3.8100000000000005</v>
      </c>
      <c r="AD428" s="14">
        <f t="shared" si="14"/>
        <v>14</v>
      </c>
      <c r="AE428" s="15">
        <f t="shared" si="15"/>
        <v>0.27214285714285719</v>
      </c>
      <c r="AF428" s="16">
        <v>8790</v>
      </c>
      <c r="AG428" s="16">
        <v>8790</v>
      </c>
      <c r="AH428" s="17" t="s">
        <v>1909</v>
      </c>
      <c r="AI428" s="18" t="s">
        <v>1908</v>
      </c>
      <c r="AJ428" s="19">
        <v>0.98</v>
      </c>
      <c r="AK428" s="20">
        <v>0.97</v>
      </c>
      <c r="AL428" s="17" t="s">
        <v>92</v>
      </c>
      <c r="AM428" s="5" t="s">
        <v>1910</v>
      </c>
      <c r="AN428" s="5" t="s">
        <v>66</v>
      </c>
      <c r="AO428" s="5" t="s">
        <v>66</v>
      </c>
      <c r="AP428" s="5" t="s">
        <v>66</v>
      </c>
      <c r="AQ428" s="5" t="s">
        <v>66</v>
      </c>
      <c r="AR428" s="5" t="s">
        <v>66</v>
      </c>
      <c r="AS428" s="5" t="s">
        <v>66</v>
      </c>
      <c r="AT428" s="5" t="s">
        <v>66</v>
      </c>
      <c r="AU428" s="5" t="s">
        <v>66</v>
      </c>
      <c r="AV428" s="5" t="s">
        <v>66</v>
      </c>
      <c r="AW428" s="5" t="s">
        <v>66</v>
      </c>
      <c r="AX428" s="5" t="s">
        <v>2993</v>
      </c>
      <c r="AY428" s="5" t="s">
        <v>3026</v>
      </c>
      <c r="AZ428" s="5" t="s">
        <v>145</v>
      </c>
      <c r="BA428" s="19" t="s">
        <v>66</v>
      </c>
      <c r="BB428" s="17" t="s">
        <v>3027</v>
      </c>
      <c r="BC428" s="5" t="s">
        <v>3028</v>
      </c>
      <c r="BD428" s="5" t="s">
        <v>3029</v>
      </c>
    </row>
    <row r="429" spans="1:56" ht="48" hidden="1" x14ac:dyDescent="0.25">
      <c r="A429" s="78" t="s">
        <v>1749</v>
      </c>
      <c r="B429" s="5" t="s">
        <v>1750</v>
      </c>
      <c r="C429" s="5" t="s">
        <v>3293</v>
      </c>
      <c r="D429" s="5" t="s">
        <v>56</v>
      </c>
      <c r="E429" s="99" t="str">
        <f>VLOOKUP(D429,'Dropdown List'!$F$26:$G$40,2,0)</f>
        <v>India</v>
      </c>
      <c r="F429" s="8" t="s">
        <v>1751</v>
      </c>
      <c r="G429" s="96">
        <v>6</v>
      </c>
      <c r="H429" s="5" t="s">
        <v>57</v>
      </c>
      <c r="I429" s="8" t="s">
        <v>58</v>
      </c>
      <c r="J429" s="8" t="s">
        <v>396</v>
      </c>
      <c r="K429" s="8" t="s">
        <v>397</v>
      </c>
      <c r="L429" s="8" t="s">
        <v>1938</v>
      </c>
      <c r="M429" s="8" t="s">
        <v>1939</v>
      </c>
      <c r="N429" s="5" t="s">
        <v>1034</v>
      </c>
      <c r="O429" s="5" t="s">
        <v>61</v>
      </c>
      <c r="P429" s="5" t="s">
        <v>1907</v>
      </c>
      <c r="Q429" s="9" t="s">
        <v>75</v>
      </c>
      <c r="R429" s="5" t="s">
        <v>76</v>
      </c>
      <c r="S429" s="5" t="s">
        <v>64</v>
      </c>
      <c r="T429" s="96">
        <v>1</v>
      </c>
      <c r="U429" s="96" t="s">
        <v>77</v>
      </c>
      <c r="V429" s="96" t="s">
        <v>1908</v>
      </c>
      <c r="W429" s="5" t="s">
        <v>91</v>
      </c>
      <c r="X429" s="10" t="s">
        <v>79</v>
      </c>
      <c r="Y429" s="11">
        <v>23196</v>
      </c>
      <c r="Z429" s="12">
        <v>10.76</v>
      </c>
      <c r="AA429" s="12">
        <v>1</v>
      </c>
      <c r="AB429" s="12">
        <v>0</v>
      </c>
      <c r="AC429" s="13">
        <v>4.24</v>
      </c>
      <c r="AD429" s="14">
        <f t="shared" si="14"/>
        <v>16</v>
      </c>
      <c r="AE429" s="15">
        <f t="shared" si="15"/>
        <v>0.26500000000000001</v>
      </c>
      <c r="AF429" s="16">
        <v>21419</v>
      </c>
      <c r="AG429" s="16">
        <v>21419</v>
      </c>
      <c r="AH429" s="17" t="s">
        <v>1909</v>
      </c>
      <c r="AI429" s="18" t="s">
        <v>1908</v>
      </c>
      <c r="AJ429" s="19">
        <v>0.98</v>
      </c>
      <c r="AK429" s="20">
        <v>0.97</v>
      </c>
      <c r="AL429" s="17" t="s">
        <v>92</v>
      </c>
      <c r="AM429" s="5" t="s">
        <v>1910</v>
      </c>
      <c r="AN429" s="5" t="s">
        <v>66</v>
      </c>
      <c r="AO429" s="5" t="s">
        <v>66</v>
      </c>
      <c r="AP429" s="5" t="s">
        <v>66</v>
      </c>
      <c r="AQ429" s="5" t="s">
        <v>66</v>
      </c>
      <c r="AR429" s="5" t="s">
        <v>66</v>
      </c>
      <c r="AS429" s="5" t="s">
        <v>66</v>
      </c>
      <c r="AT429" s="5" t="s">
        <v>66</v>
      </c>
      <c r="AU429" s="5" t="s">
        <v>66</v>
      </c>
      <c r="AV429" s="5" t="s">
        <v>66</v>
      </c>
      <c r="AW429" s="5" t="s">
        <v>66</v>
      </c>
      <c r="AX429" s="5" t="s">
        <v>3030</v>
      </c>
      <c r="AY429" s="5" t="s">
        <v>3026</v>
      </c>
      <c r="AZ429" s="5" t="s">
        <v>80</v>
      </c>
      <c r="BA429" s="19" t="s">
        <v>66</v>
      </c>
      <c r="BB429" s="17" t="s">
        <v>3031</v>
      </c>
      <c r="BC429" s="5" t="s">
        <v>3032</v>
      </c>
      <c r="BD429" s="5" t="s">
        <v>3033</v>
      </c>
    </row>
    <row r="430" spans="1:56" ht="48" hidden="1" x14ac:dyDescent="0.25">
      <c r="A430" s="78" t="s">
        <v>1749</v>
      </c>
      <c r="B430" s="5" t="s">
        <v>1750</v>
      </c>
      <c r="C430" s="5" t="s">
        <v>3293</v>
      </c>
      <c r="D430" s="5" t="s">
        <v>56</v>
      </c>
      <c r="E430" s="99" t="str">
        <f>VLOOKUP(D430,'Dropdown List'!$F$26:$G$40,2,0)</f>
        <v>India</v>
      </c>
      <c r="F430" s="8" t="s">
        <v>1751</v>
      </c>
      <c r="G430" s="96">
        <v>6</v>
      </c>
      <c r="H430" s="5" t="s">
        <v>57</v>
      </c>
      <c r="I430" s="8" t="s">
        <v>58</v>
      </c>
      <c r="J430" s="8" t="s">
        <v>396</v>
      </c>
      <c r="K430" s="8" t="s">
        <v>397</v>
      </c>
      <c r="L430" s="8" t="s">
        <v>1940</v>
      </c>
      <c r="M430" s="8" t="s">
        <v>1941</v>
      </c>
      <c r="N430" s="5" t="s">
        <v>1034</v>
      </c>
      <c r="O430" s="5" t="s">
        <v>61</v>
      </c>
      <c r="P430" s="5" t="s">
        <v>1907</v>
      </c>
      <c r="Q430" s="9" t="s">
        <v>75</v>
      </c>
      <c r="R430" s="5" t="s">
        <v>76</v>
      </c>
      <c r="S430" s="5" t="s">
        <v>64</v>
      </c>
      <c r="T430" s="96">
        <v>1</v>
      </c>
      <c r="U430" s="96" t="s">
        <v>3025</v>
      </c>
      <c r="V430" s="96" t="s">
        <v>1908</v>
      </c>
      <c r="W430" s="5" t="s">
        <v>91</v>
      </c>
      <c r="X430" s="10" t="s">
        <v>79</v>
      </c>
      <c r="Y430" s="11">
        <v>23196</v>
      </c>
      <c r="Z430" s="12">
        <v>5.1100000000000003</v>
      </c>
      <c r="AA430" s="12">
        <v>1</v>
      </c>
      <c r="AB430" s="12">
        <v>1</v>
      </c>
      <c r="AC430" s="13">
        <v>3.8899999999999997</v>
      </c>
      <c r="AD430" s="14">
        <f t="shared" si="14"/>
        <v>11</v>
      </c>
      <c r="AE430" s="15">
        <f t="shared" si="15"/>
        <v>0.35363636363636358</v>
      </c>
      <c r="AF430" s="16">
        <v>4345</v>
      </c>
      <c r="AG430" s="16">
        <v>4345</v>
      </c>
      <c r="AH430" s="17" t="s">
        <v>3034</v>
      </c>
      <c r="AI430" s="18" t="s">
        <v>1908</v>
      </c>
      <c r="AJ430" s="19">
        <v>0.98</v>
      </c>
      <c r="AK430" s="20">
        <v>0.94</v>
      </c>
      <c r="AL430" s="17" t="s">
        <v>92</v>
      </c>
      <c r="AM430" s="5" t="s">
        <v>1910</v>
      </c>
      <c r="AN430" s="5" t="s">
        <v>66</v>
      </c>
      <c r="AO430" s="5" t="s">
        <v>66</v>
      </c>
      <c r="AP430" s="5" t="s">
        <v>66</v>
      </c>
      <c r="AQ430" s="5" t="s">
        <v>66</v>
      </c>
      <c r="AR430" s="5" t="s">
        <v>66</v>
      </c>
      <c r="AS430" s="5" t="s">
        <v>66</v>
      </c>
      <c r="AT430" s="5" t="s">
        <v>66</v>
      </c>
      <c r="AU430" s="5" t="s">
        <v>66</v>
      </c>
      <c r="AV430" s="5" t="s">
        <v>66</v>
      </c>
      <c r="AW430" s="5" t="s">
        <v>66</v>
      </c>
      <c r="AX430" s="5" t="s">
        <v>3035</v>
      </c>
      <c r="AY430" s="5" t="s">
        <v>3036</v>
      </c>
      <c r="AZ430" s="5" t="s">
        <v>145</v>
      </c>
      <c r="BA430" s="19" t="s">
        <v>66</v>
      </c>
      <c r="BB430" s="17" t="s">
        <v>3037</v>
      </c>
      <c r="BC430" s="5" t="s">
        <v>3035</v>
      </c>
      <c r="BD430" s="5" t="s">
        <v>3038</v>
      </c>
    </row>
    <row r="431" spans="1:56" ht="48" hidden="1" x14ac:dyDescent="0.25">
      <c r="A431" s="78" t="s">
        <v>1749</v>
      </c>
      <c r="B431" s="5" t="s">
        <v>1750</v>
      </c>
      <c r="C431" s="5" t="s">
        <v>3293</v>
      </c>
      <c r="D431" s="5" t="s">
        <v>56</v>
      </c>
      <c r="E431" s="99" t="str">
        <f>VLOOKUP(D431,'Dropdown List'!$F$26:$G$40,2,0)</f>
        <v>India</v>
      </c>
      <c r="F431" s="8" t="s">
        <v>1751</v>
      </c>
      <c r="G431" s="96">
        <v>6</v>
      </c>
      <c r="H431" s="5" t="s">
        <v>57</v>
      </c>
      <c r="I431" s="8" t="s">
        <v>58</v>
      </c>
      <c r="J431" s="8" t="s">
        <v>396</v>
      </c>
      <c r="K431" s="8" t="s">
        <v>397</v>
      </c>
      <c r="L431" s="8" t="s">
        <v>1942</v>
      </c>
      <c r="M431" s="8" t="s">
        <v>1943</v>
      </c>
      <c r="N431" s="5" t="s">
        <v>1034</v>
      </c>
      <c r="O431" s="5" t="s">
        <v>61</v>
      </c>
      <c r="P431" s="5" t="s">
        <v>1907</v>
      </c>
      <c r="Q431" s="9" t="s">
        <v>75</v>
      </c>
      <c r="R431" s="5" t="s">
        <v>76</v>
      </c>
      <c r="S431" s="5" t="s">
        <v>64</v>
      </c>
      <c r="T431" s="96">
        <v>1</v>
      </c>
      <c r="U431" s="96" t="s">
        <v>77</v>
      </c>
      <c r="V431" s="96" t="s">
        <v>1908</v>
      </c>
      <c r="W431" s="5" t="s">
        <v>91</v>
      </c>
      <c r="X431" s="10" t="s">
        <v>79</v>
      </c>
      <c r="Y431" s="11">
        <v>23196</v>
      </c>
      <c r="Z431" s="12">
        <v>1.75</v>
      </c>
      <c r="AA431" s="12">
        <v>1</v>
      </c>
      <c r="AB431" s="12">
        <v>0</v>
      </c>
      <c r="AC431" s="13">
        <v>2.25</v>
      </c>
      <c r="AD431" s="14">
        <f t="shared" si="14"/>
        <v>5</v>
      </c>
      <c r="AE431" s="15">
        <f t="shared" si="15"/>
        <v>0.45</v>
      </c>
      <c r="AF431" s="16">
        <v>3257</v>
      </c>
      <c r="AG431" s="16">
        <v>3257</v>
      </c>
      <c r="AH431" s="17" t="s">
        <v>1909</v>
      </c>
      <c r="AI431" s="18" t="s">
        <v>1908</v>
      </c>
      <c r="AJ431" s="19">
        <v>0.98</v>
      </c>
      <c r="AK431" s="20">
        <v>0.97</v>
      </c>
      <c r="AL431" s="17" t="s">
        <v>92</v>
      </c>
      <c r="AM431" s="5" t="s">
        <v>1910</v>
      </c>
      <c r="AN431" s="5" t="s">
        <v>66</v>
      </c>
      <c r="AO431" s="5" t="s">
        <v>66</v>
      </c>
      <c r="AP431" s="5" t="s">
        <v>66</v>
      </c>
      <c r="AQ431" s="5" t="s">
        <v>66</v>
      </c>
      <c r="AR431" s="5" t="s">
        <v>66</v>
      </c>
      <c r="AS431" s="5" t="s">
        <v>66</v>
      </c>
      <c r="AT431" s="5" t="s">
        <v>66</v>
      </c>
      <c r="AU431" s="5" t="s">
        <v>66</v>
      </c>
      <c r="AV431" s="5" t="s">
        <v>66</v>
      </c>
      <c r="AW431" s="5" t="s">
        <v>66</v>
      </c>
      <c r="AX431" s="5" t="s">
        <v>1911</v>
      </c>
      <c r="AY431" s="5" t="s">
        <v>3039</v>
      </c>
      <c r="AZ431" s="5" t="s">
        <v>80</v>
      </c>
      <c r="BA431" s="19" t="s">
        <v>66</v>
      </c>
      <c r="BB431" s="17" t="s">
        <v>3040</v>
      </c>
      <c r="BC431" s="5" t="s">
        <v>394</v>
      </c>
      <c r="BD431" s="5" t="s">
        <v>3041</v>
      </c>
    </row>
    <row r="432" spans="1:56" ht="72" hidden="1" x14ac:dyDescent="0.25">
      <c r="A432" s="78" t="s">
        <v>1749</v>
      </c>
      <c r="B432" s="5" t="s">
        <v>1750</v>
      </c>
      <c r="C432" s="5" t="s">
        <v>3293</v>
      </c>
      <c r="D432" s="5" t="s">
        <v>56</v>
      </c>
      <c r="E432" s="99" t="str">
        <f>VLOOKUP(D432,'Dropdown List'!$F$26:$G$40,2,0)</f>
        <v>India</v>
      </c>
      <c r="F432" s="8" t="s">
        <v>1751</v>
      </c>
      <c r="G432" s="96">
        <v>6</v>
      </c>
      <c r="H432" s="5" t="s">
        <v>57</v>
      </c>
      <c r="I432" s="8" t="s">
        <v>58</v>
      </c>
      <c r="J432" s="8" t="s">
        <v>163</v>
      </c>
      <c r="K432" s="8" t="s">
        <v>1052</v>
      </c>
      <c r="L432" s="8" t="s">
        <v>1944</v>
      </c>
      <c r="M432" s="8" t="s">
        <v>1945</v>
      </c>
      <c r="N432" s="5" t="s">
        <v>1034</v>
      </c>
      <c r="O432" s="5" t="s">
        <v>61</v>
      </c>
      <c r="P432" s="5" t="s">
        <v>1907</v>
      </c>
      <c r="Q432" s="9" t="s">
        <v>75</v>
      </c>
      <c r="R432" s="5" t="s">
        <v>76</v>
      </c>
      <c r="S432" s="5" t="s">
        <v>90</v>
      </c>
      <c r="T432" s="96">
        <v>1</v>
      </c>
      <c r="U432" s="96" t="s">
        <v>77</v>
      </c>
      <c r="V432" s="96" t="s">
        <v>1908</v>
      </c>
      <c r="W432" s="5" t="s">
        <v>91</v>
      </c>
      <c r="X432" s="10" t="s">
        <v>79</v>
      </c>
      <c r="Y432" s="11">
        <v>23196</v>
      </c>
      <c r="Z432" s="12">
        <v>3.47</v>
      </c>
      <c r="AA432" s="12">
        <v>1</v>
      </c>
      <c r="AB432" s="12">
        <v>0</v>
      </c>
      <c r="AC432" s="13">
        <v>2.5299999999999998</v>
      </c>
      <c r="AD432" s="14">
        <f t="shared" si="14"/>
        <v>7</v>
      </c>
      <c r="AE432" s="15">
        <f t="shared" si="15"/>
        <v>0.36142857142857138</v>
      </c>
      <c r="AF432" s="16">
        <v>6983</v>
      </c>
      <c r="AG432" s="16">
        <v>6983</v>
      </c>
      <c r="AH432" s="17" t="s">
        <v>1909</v>
      </c>
      <c r="AI432" s="18" t="s">
        <v>1908</v>
      </c>
      <c r="AJ432" s="19">
        <v>0.98</v>
      </c>
      <c r="AK432" s="20">
        <v>0.94</v>
      </c>
      <c r="AL432" s="17" t="s">
        <v>92</v>
      </c>
      <c r="AM432" s="5" t="s">
        <v>1910</v>
      </c>
      <c r="AN432" s="5" t="s">
        <v>66</v>
      </c>
      <c r="AO432" s="5" t="s">
        <v>66</v>
      </c>
      <c r="AP432" s="5" t="s">
        <v>66</v>
      </c>
      <c r="AQ432" s="5" t="s">
        <v>66</v>
      </c>
      <c r="AR432" s="5" t="s">
        <v>66</v>
      </c>
      <c r="AS432" s="5" t="s">
        <v>66</v>
      </c>
      <c r="AT432" s="5" t="s">
        <v>66</v>
      </c>
      <c r="AU432" s="5" t="s">
        <v>66</v>
      </c>
      <c r="AV432" s="5" t="s">
        <v>66</v>
      </c>
      <c r="AW432" s="5" t="s">
        <v>66</v>
      </c>
      <c r="AX432" s="5" t="s">
        <v>3042</v>
      </c>
      <c r="AY432" s="5" t="s">
        <v>3043</v>
      </c>
      <c r="AZ432" s="5" t="s">
        <v>80</v>
      </c>
      <c r="BA432" s="19" t="s">
        <v>66</v>
      </c>
      <c r="BB432" s="17" t="s">
        <v>3044</v>
      </c>
      <c r="BC432" s="5" t="s">
        <v>3042</v>
      </c>
      <c r="BD432" s="5" t="s">
        <v>3045</v>
      </c>
    </row>
    <row r="433" spans="1:56" ht="120" hidden="1" x14ac:dyDescent="0.25">
      <c r="A433" s="78" t="s">
        <v>1749</v>
      </c>
      <c r="B433" s="5" t="s">
        <v>1750</v>
      </c>
      <c r="C433" s="5" t="s">
        <v>3293</v>
      </c>
      <c r="D433" s="5" t="s">
        <v>56</v>
      </c>
      <c r="E433" s="99" t="str">
        <f>VLOOKUP(D433,'Dropdown List'!$F$26:$G$40,2,0)</f>
        <v>India</v>
      </c>
      <c r="F433" s="8" t="s">
        <v>1751</v>
      </c>
      <c r="G433" s="96">
        <v>7</v>
      </c>
      <c r="H433" s="5" t="s">
        <v>57</v>
      </c>
      <c r="I433" s="8" t="s">
        <v>58</v>
      </c>
      <c r="J433" s="8" t="s">
        <v>163</v>
      </c>
      <c r="K433" s="8" t="s">
        <v>1919</v>
      </c>
      <c r="L433" s="8" t="s">
        <v>3046</v>
      </c>
      <c r="M433" s="8" t="s">
        <v>1946</v>
      </c>
      <c r="N433" s="5" t="s">
        <v>1034</v>
      </c>
      <c r="O433" s="5" t="s">
        <v>61</v>
      </c>
      <c r="P433" s="5" t="s">
        <v>1907</v>
      </c>
      <c r="Q433" s="9" t="s">
        <v>75</v>
      </c>
      <c r="R433" s="5" t="s">
        <v>76</v>
      </c>
      <c r="S433" s="5" t="s">
        <v>90</v>
      </c>
      <c r="T433" s="96">
        <v>1</v>
      </c>
      <c r="U433" s="96" t="s">
        <v>77</v>
      </c>
      <c r="V433" s="96" t="s">
        <v>1908</v>
      </c>
      <c r="W433" s="5" t="s">
        <v>91</v>
      </c>
      <c r="X433" s="10" t="s">
        <v>79</v>
      </c>
      <c r="Y433" s="11">
        <v>21178</v>
      </c>
      <c r="Z433" s="12">
        <v>5.54</v>
      </c>
      <c r="AA433" s="12">
        <v>1</v>
      </c>
      <c r="AB433" s="12">
        <v>0</v>
      </c>
      <c r="AC433" s="13">
        <v>2.46</v>
      </c>
      <c r="AD433" s="14">
        <f t="shared" si="14"/>
        <v>9</v>
      </c>
      <c r="AE433" s="15">
        <f t="shared" si="15"/>
        <v>0.27333333333333332</v>
      </c>
      <c r="AF433" s="16">
        <v>6244</v>
      </c>
      <c r="AG433" s="16">
        <v>6244</v>
      </c>
      <c r="AH433" s="17" t="s">
        <v>1909</v>
      </c>
      <c r="AI433" s="18" t="s">
        <v>1908</v>
      </c>
      <c r="AJ433" s="19">
        <v>0.98</v>
      </c>
      <c r="AK433" s="20">
        <v>0.94</v>
      </c>
      <c r="AL433" s="17" t="s">
        <v>92</v>
      </c>
      <c r="AM433" s="5" t="s">
        <v>1910</v>
      </c>
      <c r="AN433" s="5" t="s">
        <v>66</v>
      </c>
      <c r="AO433" s="5" t="s">
        <v>66</v>
      </c>
      <c r="AP433" s="5" t="s">
        <v>66</v>
      </c>
      <c r="AQ433" s="5" t="s">
        <v>66</v>
      </c>
      <c r="AR433" s="5" t="s">
        <v>66</v>
      </c>
      <c r="AS433" s="5" t="s">
        <v>66</v>
      </c>
      <c r="AT433" s="5" t="s">
        <v>66</v>
      </c>
      <c r="AU433" s="5" t="s">
        <v>66</v>
      </c>
      <c r="AV433" s="5" t="s">
        <v>66</v>
      </c>
      <c r="AW433" s="5" t="s">
        <v>66</v>
      </c>
      <c r="AX433" s="5" t="s">
        <v>2993</v>
      </c>
      <c r="AY433" s="5" t="s">
        <v>3047</v>
      </c>
      <c r="AZ433" s="5" t="s">
        <v>80</v>
      </c>
      <c r="BA433" s="19" t="s">
        <v>66</v>
      </c>
      <c r="BB433" s="17" t="s">
        <v>3048</v>
      </c>
      <c r="BC433" s="5" t="s">
        <v>3049</v>
      </c>
      <c r="BD433" s="5" t="s">
        <v>3050</v>
      </c>
    </row>
    <row r="434" spans="1:56" ht="108" hidden="1" x14ac:dyDescent="0.25">
      <c r="A434" s="78" t="s">
        <v>1749</v>
      </c>
      <c r="B434" s="5" t="s">
        <v>1750</v>
      </c>
      <c r="C434" s="5" t="s">
        <v>3293</v>
      </c>
      <c r="D434" s="5" t="s">
        <v>56</v>
      </c>
      <c r="E434" s="99" t="str">
        <f>VLOOKUP(D434,'Dropdown List'!$F$26:$G$40,2,0)</f>
        <v>India</v>
      </c>
      <c r="F434" s="8" t="s">
        <v>1751</v>
      </c>
      <c r="G434" s="96">
        <v>4</v>
      </c>
      <c r="H434" s="5" t="s">
        <v>57</v>
      </c>
      <c r="I434" s="8" t="s">
        <v>58</v>
      </c>
      <c r="J434" s="8" t="s">
        <v>163</v>
      </c>
      <c r="K434" s="8" t="s">
        <v>1050</v>
      </c>
      <c r="L434" s="8" t="s">
        <v>1947</v>
      </c>
      <c r="M434" s="8" t="s">
        <v>1948</v>
      </c>
      <c r="N434" s="5" t="s">
        <v>1034</v>
      </c>
      <c r="O434" s="5" t="s">
        <v>61</v>
      </c>
      <c r="P434" s="5" t="s">
        <v>1907</v>
      </c>
      <c r="Q434" s="9" t="s">
        <v>75</v>
      </c>
      <c r="R434" s="5" t="s">
        <v>76</v>
      </c>
      <c r="S434" s="5" t="s">
        <v>90</v>
      </c>
      <c r="T434" s="96">
        <v>1</v>
      </c>
      <c r="U434" s="96" t="s">
        <v>77</v>
      </c>
      <c r="V434" s="96">
        <v>4</v>
      </c>
      <c r="W434" s="5" t="s">
        <v>91</v>
      </c>
      <c r="X434" s="10" t="s">
        <v>79</v>
      </c>
      <c r="Y434" s="11">
        <v>23196</v>
      </c>
      <c r="Z434" s="12">
        <v>10.9</v>
      </c>
      <c r="AA434" s="12">
        <v>1</v>
      </c>
      <c r="AB434" s="12">
        <v>1</v>
      </c>
      <c r="AC434" s="13">
        <v>3.0999999999999996</v>
      </c>
      <c r="AD434" s="14">
        <f t="shared" si="14"/>
        <v>16</v>
      </c>
      <c r="AE434" s="15">
        <f t="shared" si="15"/>
        <v>0.19374999999999998</v>
      </c>
      <c r="AF434" s="16">
        <v>10573</v>
      </c>
      <c r="AG434" s="16">
        <v>10573</v>
      </c>
      <c r="AH434" s="17" t="s">
        <v>3051</v>
      </c>
      <c r="AI434" s="18" t="s">
        <v>1908</v>
      </c>
      <c r="AJ434" s="19">
        <v>0.98</v>
      </c>
      <c r="AK434" s="20">
        <v>0.94</v>
      </c>
      <c r="AL434" s="17" t="s">
        <v>92</v>
      </c>
      <c r="AM434" s="5" t="s">
        <v>1910</v>
      </c>
      <c r="AN434" s="5" t="s">
        <v>66</v>
      </c>
      <c r="AO434" s="5" t="s">
        <v>66</v>
      </c>
      <c r="AP434" s="5" t="s">
        <v>66</v>
      </c>
      <c r="AQ434" s="5" t="s">
        <v>66</v>
      </c>
      <c r="AR434" s="5" t="s">
        <v>66</v>
      </c>
      <c r="AS434" s="5" t="s">
        <v>66</v>
      </c>
      <c r="AT434" s="5" t="s">
        <v>66</v>
      </c>
      <c r="AU434" s="5" t="s">
        <v>66</v>
      </c>
      <c r="AV434" s="5" t="s">
        <v>66</v>
      </c>
      <c r="AW434" s="5" t="s">
        <v>66</v>
      </c>
      <c r="AX434" s="5" t="s">
        <v>2993</v>
      </c>
      <c r="AY434" s="5" t="s">
        <v>3052</v>
      </c>
      <c r="AZ434" s="5" t="s">
        <v>145</v>
      </c>
      <c r="BA434" s="19" t="s">
        <v>66</v>
      </c>
      <c r="BB434" s="17" t="s">
        <v>3053</v>
      </c>
      <c r="BC434" s="5" t="s">
        <v>2993</v>
      </c>
      <c r="BD434" s="5" t="s">
        <v>3054</v>
      </c>
    </row>
    <row r="435" spans="1:56" ht="72" hidden="1" x14ac:dyDescent="0.25">
      <c r="A435" s="78" t="s">
        <v>1749</v>
      </c>
      <c r="B435" s="5" t="s">
        <v>1750</v>
      </c>
      <c r="C435" s="5" t="s">
        <v>3293</v>
      </c>
      <c r="D435" s="5" t="s">
        <v>56</v>
      </c>
      <c r="E435" s="99" t="str">
        <f>VLOOKUP(D435,'Dropdown List'!$F$26:$G$40,2,0)</f>
        <v>India</v>
      </c>
      <c r="F435" s="8" t="s">
        <v>1751</v>
      </c>
      <c r="G435" s="96">
        <v>5</v>
      </c>
      <c r="H435" s="5" t="s">
        <v>57</v>
      </c>
      <c r="I435" s="8" t="s">
        <v>58</v>
      </c>
      <c r="J435" s="8" t="s">
        <v>881</v>
      </c>
      <c r="K435" s="8" t="s">
        <v>1055</v>
      </c>
      <c r="L435" s="8" t="s">
        <v>3055</v>
      </c>
      <c r="M435" s="8" t="s">
        <v>1949</v>
      </c>
      <c r="N435" s="5" t="s">
        <v>1034</v>
      </c>
      <c r="O435" s="5" t="s">
        <v>61</v>
      </c>
      <c r="P435" s="5" t="s">
        <v>1069</v>
      </c>
      <c r="Q435" s="9" t="s">
        <v>75</v>
      </c>
      <c r="R435" s="5" t="s">
        <v>76</v>
      </c>
      <c r="S435" s="5" t="s">
        <v>90</v>
      </c>
      <c r="T435" s="96">
        <v>1</v>
      </c>
      <c r="U435" s="96" t="s">
        <v>77</v>
      </c>
      <c r="V435" s="96" t="s">
        <v>1908</v>
      </c>
      <c r="W435" s="5" t="s">
        <v>91</v>
      </c>
      <c r="X435" s="10" t="s">
        <v>79</v>
      </c>
      <c r="Y435" s="11">
        <v>23196</v>
      </c>
      <c r="Z435" s="12">
        <v>4.75</v>
      </c>
      <c r="AA435" s="12">
        <v>1</v>
      </c>
      <c r="AB435" s="12">
        <v>0</v>
      </c>
      <c r="AC435" s="13">
        <v>2.25</v>
      </c>
      <c r="AD435" s="14">
        <f t="shared" si="14"/>
        <v>8</v>
      </c>
      <c r="AE435" s="15">
        <f t="shared" si="15"/>
        <v>0.28125</v>
      </c>
      <c r="AF435" s="16">
        <v>14037</v>
      </c>
      <c r="AG435" s="16">
        <v>14037</v>
      </c>
      <c r="AH435" s="17" t="s">
        <v>3056</v>
      </c>
      <c r="AI435" s="18" t="s">
        <v>1908</v>
      </c>
      <c r="AJ435" s="19">
        <v>0.98</v>
      </c>
      <c r="AK435" s="20">
        <v>0.94</v>
      </c>
      <c r="AL435" s="17" t="s">
        <v>92</v>
      </c>
      <c r="AM435" s="5" t="s">
        <v>1910</v>
      </c>
      <c r="AN435" s="5" t="s">
        <v>66</v>
      </c>
      <c r="AO435" s="5" t="s">
        <v>66</v>
      </c>
      <c r="AP435" s="5" t="s">
        <v>66</v>
      </c>
      <c r="AQ435" s="5" t="s">
        <v>66</v>
      </c>
      <c r="AR435" s="5" t="s">
        <v>66</v>
      </c>
      <c r="AS435" s="5" t="s">
        <v>66</v>
      </c>
      <c r="AT435" s="5" t="s">
        <v>66</v>
      </c>
      <c r="AU435" s="5" t="s">
        <v>66</v>
      </c>
      <c r="AV435" s="5" t="s">
        <v>66</v>
      </c>
      <c r="AW435" s="5" t="s">
        <v>66</v>
      </c>
      <c r="AX435" s="5" t="s">
        <v>3057</v>
      </c>
      <c r="AY435" s="5" t="s">
        <v>3058</v>
      </c>
      <c r="AZ435" s="5" t="s">
        <v>80</v>
      </c>
      <c r="BA435" s="19" t="s">
        <v>66</v>
      </c>
      <c r="BB435" s="17" t="s">
        <v>3059</v>
      </c>
      <c r="BC435" s="5" t="s">
        <v>3057</v>
      </c>
      <c r="BD435" s="5" t="s">
        <v>3060</v>
      </c>
    </row>
    <row r="436" spans="1:56" ht="168" hidden="1" x14ac:dyDescent="0.25">
      <c r="A436" s="78" t="s">
        <v>1749</v>
      </c>
      <c r="B436" s="5" t="s">
        <v>1750</v>
      </c>
      <c r="C436" s="5" t="s">
        <v>3293</v>
      </c>
      <c r="D436" s="5" t="s">
        <v>56</v>
      </c>
      <c r="E436" s="99" t="str">
        <f>VLOOKUP(D436,'Dropdown List'!$F$26:$G$40,2,0)</f>
        <v>India</v>
      </c>
      <c r="F436" s="8" t="s">
        <v>1751</v>
      </c>
      <c r="G436" s="96">
        <v>2.5</v>
      </c>
      <c r="H436" s="5" t="s">
        <v>57</v>
      </c>
      <c r="I436" s="8" t="s">
        <v>58</v>
      </c>
      <c r="J436" s="8" t="s">
        <v>146</v>
      </c>
      <c r="K436" s="8" t="s">
        <v>147</v>
      </c>
      <c r="L436" s="8" t="s">
        <v>3061</v>
      </c>
      <c r="M436" s="8" t="s">
        <v>1950</v>
      </c>
      <c r="N436" s="5" t="s">
        <v>1034</v>
      </c>
      <c r="O436" s="5" t="s">
        <v>1951</v>
      </c>
      <c r="P436" s="5" t="s">
        <v>1952</v>
      </c>
      <c r="Q436" s="9" t="s">
        <v>418</v>
      </c>
      <c r="R436" s="5" t="s">
        <v>132</v>
      </c>
      <c r="S436" s="5" t="s">
        <v>64</v>
      </c>
      <c r="T436" s="96">
        <v>1</v>
      </c>
      <c r="U436" s="96" t="s">
        <v>271</v>
      </c>
      <c r="V436" s="96">
        <v>4</v>
      </c>
      <c r="W436" s="5" t="s">
        <v>91</v>
      </c>
      <c r="X436" s="10" t="s">
        <v>79</v>
      </c>
      <c r="Y436" s="11">
        <v>27745</v>
      </c>
      <c r="Z436" s="12">
        <v>5.58</v>
      </c>
      <c r="AA436" s="12">
        <v>1</v>
      </c>
      <c r="AB436" s="12">
        <v>0</v>
      </c>
      <c r="AC436" s="13">
        <v>2.42</v>
      </c>
      <c r="AD436" s="14">
        <f t="shared" si="14"/>
        <v>9</v>
      </c>
      <c r="AE436" s="15">
        <f t="shared" si="15"/>
        <v>0.2688888888888889</v>
      </c>
      <c r="AF436" s="16">
        <v>2486</v>
      </c>
      <c r="AG436" s="16">
        <v>2486</v>
      </c>
      <c r="AH436" s="17" t="s">
        <v>3051</v>
      </c>
      <c r="AI436" s="18" t="s">
        <v>3062</v>
      </c>
      <c r="AJ436" s="19">
        <v>0.98</v>
      </c>
      <c r="AK436" s="20">
        <v>0.94</v>
      </c>
      <c r="AL436" s="17" t="s">
        <v>92</v>
      </c>
      <c r="AM436" s="5" t="s">
        <v>1910</v>
      </c>
      <c r="AN436" s="5" t="s">
        <v>66</v>
      </c>
      <c r="AO436" s="5" t="s">
        <v>66</v>
      </c>
      <c r="AP436" s="5" t="s">
        <v>66</v>
      </c>
      <c r="AQ436" s="5" t="s">
        <v>66</v>
      </c>
      <c r="AR436" s="5" t="s">
        <v>66</v>
      </c>
      <c r="AS436" s="5" t="s">
        <v>66</v>
      </c>
      <c r="AT436" s="5" t="s">
        <v>66</v>
      </c>
      <c r="AU436" s="5" t="s">
        <v>66</v>
      </c>
      <c r="AV436" s="5" t="s">
        <v>66</v>
      </c>
      <c r="AW436" s="5" t="s">
        <v>66</v>
      </c>
      <c r="AX436" s="5" t="s">
        <v>2993</v>
      </c>
      <c r="AY436" s="5" t="s">
        <v>3052</v>
      </c>
      <c r="AZ436" s="5" t="s">
        <v>70</v>
      </c>
      <c r="BA436" s="19" t="s">
        <v>66</v>
      </c>
      <c r="BB436" s="17" t="s">
        <v>3053</v>
      </c>
      <c r="BC436" s="5" t="s">
        <v>2993</v>
      </c>
      <c r="BD436" s="5" t="s">
        <v>3063</v>
      </c>
    </row>
    <row r="437" spans="1:56" ht="72" hidden="1" x14ac:dyDescent="0.25">
      <c r="A437" s="78" t="s">
        <v>1749</v>
      </c>
      <c r="B437" s="5" t="s">
        <v>1750</v>
      </c>
      <c r="C437" s="5" t="s">
        <v>3293</v>
      </c>
      <c r="D437" s="5" t="s">
        <v>56</v>
      </c>
      <c r="E437" s="99" t="str">
        <f>VLOOKUP(D437,'Dropdown List'!$F$26:$G$40,2,0)</f>
        <v>India</v>
      </c>
      <c r="F437" s="8" t="s">
        <v>1751</v>
      </c>
      <c r="G437" s="96">
        <v>0.1</v>
      </c>
      <c r="H437" s="5" t="s">
        <v>57</v>
      </c>
      <c r="I437" s="8" t="s">
        <v>58</v>
      </c>
      <c r="J437" s="8" t="s">
        <v>146</v>
      </c>
      <c r="K437" s="8" t="s">
        <v>147</v>
      </c>
      <c r="L437" s="8" t="s">
        <v>3064</v>
      </c>
      <c r="M437" s="8" t="s">
        <v>3065</v>
      </c>
      <c r="N437" s="5" t="s">
        <v>1034</v>
      </c>
      <c r="O437" s="5" t="s">
        <v>61</v>
      </c>
      <c r="P437" s="5" t="s">
        <v>1907</v>
      </c>
      <c r="Q437" s="9" t="s">
        <v>75</v>
      </c>
      <c r="R437" s="5" t="s">
        <v>76</v>
      </c>
      <c r="S437" s="5" t="s">
        <v>64</v>
      </c>
      <c r="T437" s="96">
        <v>1</v>
      </c>
      <c r="U437" s="96" t="s">
        <v>271</v>
      </c>
      <c r="V437" s="96" t="s">
        <v>1908</v>
      </c>
      <c r="W437" s="5" t="s">
        <v>91</v>
      </c>
      <c r="X437" s="10" t="s">
        <v>79</v>
      </c>
      <c r="Y437" s="11">
        <v>23196</v>
      </c>
      <c r="Z437" s="12">
        <v>5.09</v>
      </c>
      <c r="AA437" s="12">
        <v>1</v>
      </c>
      <c r="AB437" s="12">
        <v>0</v>
      </c>
      <c r="AC437" s="13">
        <v>2.91</v>
      </c>
      <c r="AD437" s="14">
        <f t="shared" si="14"/>
        <v>9</v>
      </c>
      <c r="AE437" s="15">
        <f t="shared" si="15"/>
        <v>0.32333333333333336</v>
      </c>
      <c r="AF437" s="16">
        <v>564</v>
      </c>
      <c r="AG437" s="16">
        <v>564</v>
      </c>
      <c r="AH437" s="17" t="s">
        <v>1909</v>
      </c>
      <c r="AI437" s="18">
        <v>130</v>
      </c>
      <c r="AJ437" s="19">
        <v>0.98</v>
      </c>
      <c r="AK437" s="20">
        <v>0.94</v>
      </c>
      <c r="AL437" s="17" t="s">
        <v>92</v>
      </c>
      <c r="AM437" s="5" t="s">
        <v>1910</v>
      </c>
      <c r="AN437" s="5" t="s">
        <v>66</v>
      </c>
      <c r="AO437" s="5" t="s">
        <v>66</v>
      </c>
      <c r="AP437" s="5" t="s">
        <v>66</v>
      </c>
      <c r="AQ437" s="5" t="s">
        <v>66</v>
      </c>
      <c r="AR437" s="5" t="s">
        <v>66</v>
      </c>
      <c r="AS437" s="5" t="s">
        <v>66</v>
      </c>
      <c r="AT437" s="5" t="s">
        <v>66</v>
      </c>
      <c r="AU437" s="5" t="s">
        <v>66</v>
      </c>
      <c r="AV437" s="5" t="s">
        <v>66</v>
      </c>
      <c r="AW437" s="5" t="s">
        <v>66</v>
      </c>
      <c r="AX437" s="5" t="s">
        <v>3066</v>
      </c>
      <c r="AY437" s="5" t="s">
        <v>3067</v>
      </c>
      <c r="AZ437" s="5" t="s">
        <v>145</v>
      </c>
      <c r="BA437" s="19" t="s">
        <v>66</v>
      </c>
      <c r="BB437" s="17" t="s">
        <v>3068</v>
      </c>
      <c r="BC437" s="5" t="s">
        <v>3069</v>
      </c>
      <c r="BD437" s="5" t="s">
        <v>3070</v>
      </c>
    </row>
    <row r="438" spans="1:56" ht="48" hidden="1" x14ac:dyDescent="0.25">
      <c r="A438" s="78" t="s">
        <v>1749</v>
      </c>
      <c r="B438" s="5" t="s">
        <v>1750</v>
      </c>
      <c r="C438" s="5" t="s">
        <v>3293</v>
      </c>
      <c r="D438" s="5" t="s">
        <v>56</v>
      </c>
      <c r="E438" s="99" t="str">
        <f>VLOOKUP(D438,'Dropdown List'!$F$26:$G$40,2,0)</f>
        <v>India</v>
      </c>
      <c r="F438" s="8" t="s">
        <v>1751</v>
      </c>
      <c r="G438" s="96">
        <v>0.1</v>
      </c>
      <c r="H438" s="5" t="s">
        <v>57</v>
      </c>
      <c r="I438" s="8" t="s">
        <v>58</v>
      </c>
      <c r="J438" s="8" t="s">
        <v>396</v>
      </c>
      <c r="K438" s="8" t="s">
        <v>397</v>
      </c>
      <c r="L438" s="8" t="s">
        <v>3071</v>
      </c>
      <c r="M438" s="8" t="s">
        <v>3072</v>
      </c>
      <c r="N438" s="5" t="s">
        <v>1034</v>
      </c>
      <c r="O438" s="5" t="s">
        <v>61</v>
      </c>
      <c r="P438" s="5" t="s">
        <v>1907</v>
      </c>
      <c r="Q438" s="9" t="s">
        <v>75</v>
      </c>
      <c r="R438" s="5" t="s">
        <v>76</v>
      </c>
      <c r="S438" s="5" t="s">
        <v>64</v>
      </c>
      <c r="T438" s="96">
        <v>1</v>
      </c>
      <c r="U438" s="96" t="s">
        <v>271</v>
      </c>
      <c r="V438" s="96" t="s">
        <v>1908</v>
      </c>
      <c r="W438" s="5" t="s">
        <v>91</v>
      </c>
      <c r="X438" s="10" t="s">
        <v>79</v>
      </c>
      <c r="Y438" s="11">
        <v>23196</v>
      </c>
      <c r="Z438" s="12">
        <v>6.14</v>
      </c>
      <c r="AA438" s="12">
        <v>1</v>
      </c>
      <c r="AB438" s="12">
        <v>1</v>
      </c>
      <c r="AC438" s="13">
        <v>4.8600000000000003</v>
      </c>
      <c r="AD438" s="14">
        <f t="shared" si="14"/>
        <v>13</v>
      </c>
      <c r="AE438" s="15">
        <f t="shared" si="15"/>
        <v>0.37384615384615388</v>
      </c>
      <c r="AF438" s="16">
        <v>33757</v>
      </c>
      <c r="AG438" s="16">
        <v>33757</v>
      </c>
      <c r="AH438" s="17" t="s">
        <v>1909</v>
      </c>
      <c r="AI438" s="18" t="s">
        <v>3073</v>
      </c>
      <c r="AJ438" s="19">
        <v>0.98</v>
      </c>
      <c r="AK438" s="20">
        <v>0.97</v>
      </c>
      <c r="AL438" s="17" t="s">
        <v>92</v>
      </c>
      <c r="AM438" s="5" t="s">
        <v>1910</v>
      </c>
      <c r="AN438" s="5" t="s">
        <v>66</v>
      </c>
      <c r="AO438" s="5" t="s">
        <v>66</v>
      </c>
      <c r="AP438" s="5" t="s">
        <v>66</v>
      </c>
      <c r="AQ438" s="5" t="s">
        <v>66</v>
      </c>
      <c r="AR438" s="5" t="s">
        <v>66</v>
      </c>
      <c r="AS438" s="5" t="s">
        <v>66</v>
      </c>
      <c r="AT438" s="5" t="s">
        <v>66</v>
      </c>
      <c r="AU438" s="5" t="s">
        <v>66</v>
      </c>
      <c r="AV438" s="5" t="s">
        <v>66</v>
      </c>
      <c r="AW438" s="5" t="s">
        <v>66</v>
      </c>
      <c r="AX438" s="5" t="s">
        <v>3074</v>
      </c>
      <c r="AY438" s="5" t="s">
        <v>3075</v>
      </c>
      <c r="AZ438" s="5" t="s">
        <v>145</v>
      </c>
      <c r="BA438" s="19" t="s">
        <v>66</v>
      </c>
      <c r="BB438" s="17" t="s">
        <v>3076</v>
      </c>
      <c r="BC438" s="5" t="s">
        <v>3077</v>
      </c>
      <c r="BD438" s="5" t="s">
        <v>3078</v>
      </c>
    </row>
    <row r="439" spans="1:56" ht="108" hidden="1" x14ac:dyDescent="0.25">
      <c r="A439" s="78" t="s">
        <v>1749</v>
      </c>
      <c r="B439" s="5" t="s">
        <v>1750</v>
      </c>
      <c r="C439" s="5" t="s">
        <v>3293</v>
      </c>
      <c r="D439" s="5" t="s">
        <v>56</v>
      </c>
      <c r="E439" s="99" t="str">
        <f>VLOOKUP(D439,'Dropdown List'!$F$26:$G$40,2,0)</f>
        <v>India</v>
      </c>
      <c r="F439" s="8" t="s">
        <v>1751</v>
      </c>
      <c r="G439" s="96">
        <v>6</v>
      </c>
      <c r="H439" s="5" t="s">
        <v>57</v>
      </c>
      <c r="I439" s="8" t="s">
        <v>58</v>
      </c>
      <c r="J439" s="8" t="s">
        <v>396</v>
      </c>
      <c r="K439" s="8" t="s">
        <v>1054</v>
      </c>
      <c r="L439" s="8" t="s">
        <v>3079</v>
      </c>
      <c r="M439" s="8" t="s">
        <v>1873</v>
      </c>
      <c r="N439" s="5" t="s">
        <v>1034</v>
      </c>
      <c r="O439" s="5" t="s">
        <v>1069</v>
      </c>
      <c r="P439" s="5" t="s">
        <v>1069</v>
      </c>
      <c r="Q439" s="9" t="s">
        <v>75</v>
      </c>
      <c r="R439" s="5" t="s">
        <v>76</v>
      </c>
      <c r="S439" s="5" t="s">
        <v>90</v>
      </c>
      <c r="T439" s="96">
        <v>1</v>
      </c>
      <c r="U439" s="96">
        <v>4</v>
      </c>
      <c r="V439" s="96" t="s">
        <v>1811</v>
      </c>
      <c r="W439" s="5" t="s">
        <v>91</v>
      </c>
      <c r="X439" s="10" t="s">
        <v>79</v>
      </c>
      <c r="Y439" s="11">
        <v>27577</v>
      </c>
      <c r="Z439" s="12">
        <v>11.82</v>
      </c>
      <c r="AA439" s="12">
        <v>2</v>
      </c>
      <c r="AB439" s="12">
        <v>1</v>
      </c>
      <c r="AC439" s="13">
        <v>2.1799999999999997</v>
      </c>
      <c r="AD439" s="14">
        <f t="shared" si="14"/>
        <v>17</v>
      </c>
      <c r="AE439" s="15">
        <f t="shared" si="15"/>
        <v>0.12823529411764703</v>
      </c>
      <c r="AF439" s="16">
        <v>71354</v>
      </c>
      <c r="AG439" s="16">
        <v>71354</v>
      </c>
      <c r="AH439" s="17" t="s">
        <v>1874</v>
      </c>
      <c r="AI439" s="18" t="s">
        <v>1875</v>
      </c>
      <c r="AJ439" s="19" t="s">
        <v>66</v>
      </c>
      <c r="AK439" s="20">
        <v>0.96</v>
      </c>
      <c r="AL439" s="17" t="s">
        <v>261</v>
      </c>
      <c r="AM439" s="5" t="s">
        <v>66</v>
      </c>
      <c r="AN439" s="5" t="s">
        <v>66</v>
      </c>
      <c r="AO439" s="5" t="s">
        <v>1876</v>
      </c>
      <c r="AP439" s="5" t="s">
        <v>1877</v>
      </c>
      <c r="AQ439" s="5" t="s">
        <v>1878</v>
      </c>
      <c r="AR439" s="5" t="s">
        <v>1879</v>
      </c>
      <c r="AS439" s="5">
        <v>5.58</v>
      </c>
      <c r="AT439" s="5" t="s">
        <v>66</v>
      </c>
      <c r="AU439" s="5" t="s">
        <v>66</v>
      </c>
      <c r="AV439" s="5" t="s">
        <v>66</v>
      </c>
      <c r="AW439" s="5" t="s">
        <v>66</v>
      </c>
      <c r="AX439" s="5" t="s">
        <v>1880</v>
      </c>
      <c r="AY439" s="5" t="s">
        <v>353</v>
      </c>
      <c r="AZ439" s="5" t="s">
        <v>70</v>
      </c>
      <c r="BA439" s="19" t="s">
        <v>1761</v>
      </c>
      <c r="BB439" s="17" t="s">
        <v>353</v>
      </c>
      <c r="BC439" s="5" t="s">
        <v>1880</v>
      </c>
      <c r="BD439" s="5" t="s">
        <v>1881</v>
      </c>
    </row>
    <row r="440" spans="1:56" ht="132" hidden="1" x14ac:dyDescent="0.25">
      <c r="A440" s="78" t="s">
        <v>1749</v>
      </c>
      <c r="B440" s="5" t="s">
        <v>1750</v>
      </c>
      <c r="C440" s="5" t="s">
        <v>3293</v>
      </c>
      <c r="D440" s="5" t="s">
        <v>56</v>
      </c>
      <c r="E440" s="99" t="str">
        <f>VLOOKUP(D440,'Dropdown List'!$F$26:$G$40,2,0)</f>
        <v>India</v>
      </c>
      <c r="F440" s="8" t="s">
        <v>1751</v>
      </c>
      <c r="G440" s="96">
        <v>6</v>
      </c>
      <c r="H440" s="5" t="s">
        <v>57</v>
      </c>
      <c r="I440" s="8" t="s">
        <v>58</v>
      </c>
      <c r="J440" s="8" t="s">
        <v>396</v>
      </c>
      <c r="K440" s="8" t="s">
        <v>1054</v>
      </c>
      <c r="L440" s="8" t="s">
        <v>1882</v>
      </c>
      <c r="M440" s="8" t="s">
        <v>1883</v>
      </c>
      <c r="N440" s="5" t="s">
        <v>1034</v>
      </c>
      <c r="O440" s="5" t="s">
        <v>1069</v>
      </c>
      <c r="P440" s="5" t="s">
        <v>1069</v>
      </c>
      <c r="Q440" s="9" t="s">
        <v>75</v>
      </c>
      <c r="R440" s="5" t="s">
        <v>76</v>
      </c>
      <c r="S440" s="5" t="s">
        <v>64</v>
      </c>
      <c r="T440" s="96">
        <v>2</v>
      </c>
      <c r="U440" s="96">
        <v>4</v>
      </c>
      <c r="V440" s="96" t="s">
        <v>1811</v>
      </c>
      <c r="W440" s="5" t="s">
        <v>91</v>
      </c>
      <c r="X440" s="10" t="s">
        <v>79</v>
      </c>
      <c r="Y440" s="11">
        <v>27577</v>
      </c>
      <c r="Z440" s="12">
        <v>37.43</v>
      </c>
      <c r="AA440" s="12">
        <v>5</v>
      </c>
      <c r="AB440" s="12">
        <v>3</v>
      </c>
      <c r="AC440" s="13">
        <v>8.57</v>
      </c>
      <c r="AD440" s="14">
        <f t="shared" si="14"/>
        <v>54</v>
      </c>
      <c r="AE440" s="15">
        <f t="shared" si="15"/>
        <v>0.15870370370370371</v>
      </c>
      <c r="AF440" s="16">
        <v>153142</v>
      </c>
      <c r="AG440" s="16">
        <v>153142</v>
      </c>
      <c r="AH440" s="17" t="s">
        <v>1874</v>
      </c>
      <c r="AI440" s="18" t="s">
        <v>1884</v>
      </c>
      <c r="AJ440" s="19" t="s">
        <v>66</v>
      </c>
      <c r="AK440" s="20">
        <v>0.96</v>
      </c>
      <c r="AL440" s="17" t="s">
        <v>261</v>
      </c>
      <c r="AM440" s="5" t="s">
        <v>66</v>
      </c>
      <c r="AN440" s="5" t="s">
        <v>66</v>
      </c>
      <c r="AO440" s="5" t="s">
        <v>1885</v>
      </c>
      <c r="AP440" s="5" t="s">
        <v>1886</v>
      </c>
      <c r="AQ440" s="5" t="s">
        <v>1887</v>
      </c>
      <c r="AR440" s="5" t="s">
        <v>1795</v>
      </c>
      <c r="AS440" s="5" t="s">
        <v>1888</v>
      </c>
      <c r="AT440" s="5" t="s">
        <v>66</v>
      </c>
      <c r="AU440" s="5" t="s">
        <v>66</v>
      </c>
      <c r="AV440" s="5" t="s">
        <v>66</v>
      </c>
      <c r="AW440" s="5" t="s">
        <v>66</v>
      </c>
      <c r="AX440" s="5" t="s">
        <v>1880</v>
      </c>
      <c r="AY440" s="5" t="s">
        <v>353</v>
      </c>
      <c r="AZ440" s="5" t="s">
        <v>145</v>
      </c>
      <c r="BA440" s="19" t="s">
        <v>1761</v>
      </c>
      <c r="BB440" s="17" t="s">
        <v>94</v>
      </c>
      <c r="BC440" s="5" t="s">
        <v>1880</v>
      </c>
      <c r="BD440" s="5" t="s">
        <v>1889</v>
      </c>
    </row>
    <row r="441" spans="1:56" ht="132" hidden="1" x14ac:dyDescent="0.25">
      <c r="A441" s="78" t="s">
        <v>1749</v>
      </c>
      <c r="B441" s="5" t="s">
        <v>1750</v>
      </c>
      <c r="C441" s="5" t="s">
        <v>3293</v>
      </c>
      <c r="D441" s="5" t="s">
        <v>56</v>
      </c>
      <c r="E441" s="99" t="str">
        <f>VLOOKUP(D441,'Dropdown List'!$F$26:$G$40,2,0)</f>
        <v>India</v>
      </c>
      <c r="F441" s="8" t="s">
        <v>1751</v>
      </c>
      <c r="G441" s="96">
        <v>4</v>
      </c>
      <c r="H441" s="5" t="s">
        <v>57</v>
      </c>
      <c r="I441" s="8" t="s">
        <v>58</v>
      </c>
      <c r="J441" s="8" t="s">
        <v>396</v>
      </c>
      <c r="K441" s="8" t="s">
        <v>1054</v>
      </c>
      <c r="L441" s="8" t="s">
        <v>1890</v>
      </c>
      <c r="M441" s="8" t="s">
        <v>1891</v>
      </c>
      <c r="N441" s="5" t="s">
        <v>1034</v>
      </c>
      <c r="O441" s="5" t="s">
        <v>1069</v>
      </c>
      <c r="P441" s="5" t="s">
        <v>1069</v>
      </c>
      <c r="Q441" s="9" t="s">
        <v>75</v>
      </c>
      <c r="R441" s="5" t="s">
        <v>76</v>
      </c>
      <c r="S441" s="5" t="s">
        <v>120</v>
      </c>
      <c r="T441" s="96">
        <v>2</v>
      </c>
      <c r="U441" s="96">
        <v>6</v>
      </c>
      <c r="V441" s="96" t="s">
        <v>1811</v>
      </c>
      <c r="W441" s="5" t="s">
        <v>91</v>
      </c>
      <c r="X441" s="10" t="s">
        <v>79</v>
      </c>
      <c r="Y441" s="11">
        <v>30330</v>
      </c>
      <c r="Z441" s="12">
        <v>18.63</v>
      </c>
      <c r="AA441" s="12">
        <v>2</v>
      </c>
      <c r="AB441" s="12">
        <v>1</v>
      </c>
      <c r="AC441" s="13">
        <v>6.370000000000001</v>
      </c>
      <c r="AD441" s="14">
        <f t="shared" si="14"/>
        <v>28</v>
      </c>
      <c r="AE441" s="15">
        <f t="shared" si="15"/>
        <v>0.22750000000000004</v>
      </c>
      <c r="AF441" s="16">
        <v>6880</v>
      </c>
      <c r="AG441" s="16">
        <v>6880</v>
      </c>
      <c r="AH441" s="17" t="s">
        <v>1874</v>
      </c>
      <c r="AI441" s="18">
        <v>8</v>
      </c>
      <c r="AJ441" s="19" t="s">
        <v>66</v>
      </c>
      <c r="AK441" s="20">
        <v>0.96</v>
      </c>
      <c r="AL441" s="17" t="s">
        <v>261</v>
      </c>
      <c r="AM441" s="5" t="s">
        <v>66</v>
      </c>
      <c r="AN441" s="5" t="s">
        <v>66</v>
      </c>
      <c r="AO441" s="5" t="s">
        <v>1885</v>
      </c>
      <c r="AP441" s="5" t="s">
        <v>1886</v>
      </c>
      <c r="AQ441" s="5" t="s">
        <v>66</v>
      </c>
      <c r="AR441" s="5" t="s">
        <v>66</v>
      </c>
      <c r="AS441" s="5" t="s">
        <v>1795</v>
      </c>
      <c r="AT441" s="5" t="s">
        <v>66</v>
      </c>
      <c r="AU441" s="5" t="s">
        <v>66</v>
      </c>
      <c r="AV441" s="5" t="s">
        <v>66</v>
      </c>
      <c r="AW441" s="5" t="s">
        <v>66</v>
      </c>
      <c r="AX441" s="5" t="s">
        <v>1880</v>
      </c>
      <c r="AY441" s="5" t="s">
        <v>353</v>
      </c>
      <c r="AZ441" s="5" t="s">
        <v>145</v>
      </c>
      <c r="BA441" s="19" t="s">
        <v>1761</v>
      </c>
      <c r="BB441" s="17" t="s">
        <v>94</v>
      </c>
      <c r="BC441" s="5" t="s">
        <v>1880</v>
      </c>
      <c r="BD441" s="5" t="s">
        <v>1889</v>
      </c>
    </row>
    <row r="442" spans="1:56" ht="72" hidden="1" x14ac:dyDescent="0.25">
      <c r="A442" s="78" t="s">
        <v>1749</v>
      </c>
      <c r="B442" s="5" t="s">
        <v>1750</v>
      </c>
      <c r="C442" s="5" t="s">
        <v>3293</v>
      </c>
      <c r="D442" s="5" t="s">
        <v>56</v>
      </c>
      <c r="E442" s="99" t="str">
        <f>VLOOKUP(D442,'Dropdown List'!$F$26:$G$40,2,0)</f>
        <v>India</v>
      </c>
      <c r="F442" s="8" t="s">
        <v>1751</v>
      </c>
      <c r="G442" s="96">
        <v>4</v>
      </c>
      <c r="H442" s="5" t="s">
        <v>57</v>
      </c>
      <c r="I442" s="8" t="s">
        <v>58</v>
      </c>
      <c r="J442" s="8" t="s">
        <v>396</v>
      </c>
      <c r="K442" s="8" t="s">
        <v>1054</v>
      </c>
      <c r="L442" s="8" t="s">
        <v>1892</v>
      </c>
      <c r="M442" s="8" t="s">
        <v>1893</v>
      </c>
      <c r="N442" s="5" t="s">
        <v>1034</v>
      </c>
      <c r="O442" s="5" t="s">
        <v>1069</v>
      </c>
      <c r="P442" s="5" t="s">
        <v>1069</v>
      </c>
      <c r="Q442" s="9" t="s">
        <v>75</v>
      </c>
      <c r="R442" s="5" t="s">
        <v>76</v>
      </c>
      <c r="S442" s="5" t="s">
        <v>64</v>
      </c>
      <c r="T442" s="96">
        <v>1</v>
      </c>
      <c r="U442" s="96">
        <v>4</v>
      </c>
      <c r="V442" s="96" t="s">
        <v>1898</v>
      </c>
      <c r="W442" s="5" t="s">
        <v>91</v>
      </c>
      <c r="X442" s="10" t="s">
        <v>79</v>
      </c>
      <c r="Y442" s="11">
        <v>27577.483830000001</v>
      </c>
      <c r="Z442" s="12">
        <v>8.5</v>
      </c>
      <c r="AA442" s="12">
        <v>1</v>
      </c>
      <c r="AB442" s="12">
        <v>1</v>
      </c>
      <c r="AC442" s="13">
        <v>3.5</v>
      </c>
      <c r="AD442" s="14">
        <f t="shared" si="14"/>
        <v>14</v>
      </c>
      <c r="AE442" s="15">
        <f t="shared" si="15"/>
        <v>0.25</v>
      </c>
      <c r="AF442" s="16">
        <v>5464</v>
      </c>
      <c r="AG442" s="16">
        <v>5464</v>
      </c>
      <c r="AH442" s="17" t="s">
        <v>758</v>
      </c>
      <c r="AI442" s="18">
        <v>18.96</v>
      </c>
      <c r="AJ442" s="19" t="s">
        <v>66</v>
      </c>
      <c r="AK442" s="20">
        <v>0.96</v>
      </c>
      <c r="AL442" s="17" t="s">
        <v>261</v>
      </c>
      <c r="AM442" s="5" t="s">
        <v>66</v>
      </c>
      <c r="AN442" s="5" t="s">
        <v>66</v>
      </c>
      <c r="AO442" s="5" t="s">
        <v>66</v>
      </c>
      <c r="AP442" s="5" t="s">
        <v>1894</v>
      </c>
      <c r="AQ442" s="5" t="s">
        <v>66</v>
      </c>
      <c r="AR442" s="5" t="s">
        <v>66</v>
      </c>
      <c r="AS442" s="5" t="s">
        <v>66</v>
      </c>
      <c r="AT442" s="5" t="s">
        <v>66</v>
      </c>
      <c r="AU442" s="5" t="s">
        <v>66</v>
      </c>
      <c r="AV442" s="5" t="s">
        <v>66</v>
      </c>
      <c r="AW442" s="5" t="s">
        <v>66</v>
      </c>
      <c r="AX442" s="5" t="s">
        <v>1880</v>
      </c>
      <c r="AY442" s="5" t="s">
        <v>353</v>
      </c>
      <c r="AZ442" s="5" t="s">
        <v>145</v>
      </c>
      <c r="BA442" s="19" t="s">
        <v>66</v>
      </c>
      <c r="BB442" s="17" t="s">
        <v>353</v>
      </c>
      <c r="BC442" s="5" t="s">
        <v>1880</v>
      </c>
      <c r="BD442" s="5" t="s">
        <v>1895</v>
      </c>
    </row>
    <row r="443" spans="1:56" ht="72" hidden="1" x14ac:dyDescent="0.25">
      <c r="A443" s="78" t="s">
        <v>1749</v>
      </c>
      <c r="B443" s="5" t="s">
        <v>1750</v>
      </c>
      <c r="C443" s="5" t="s">
        <v>3293</v>
      </c>
      <c r="D443" s="5" t="s">
        <v>56</v>
      </c>
      <c r="E443" s="99" t="str">
        <f>VLOOKUP(D443,'Dropdown List'!$F$26:$G$40,2,0)</f>
        <v>India</v>
      </c>
      <c r="F443" s="8" t="s">
        <v>1751</v>
      </c>
      <c r="G443" s="96">
        <v>4</v>
      </c>
      <c r="H443" s="5" t="s">
        <v>57</v>
      </c>
      <c r="I443" s="8" t="s">
        <v>58</v>
      </c>
      <c r="J443" s="8" t="s">
        <v>396</v>
      </c>
      <c r="K443" s="8" t="s">
        <v>1715</v>
      </c>
      <c r="L443" s="8" t="s">
        <v>1896</v>
      </c>
      <c r="M443" s="8" t="s">
        <v>1897</v>
      </c>
      <c r="N443" s="5" t="s">
        <v>1034</v>
      </c>
      <c r="O443" s="5" t="s">
        <v>1069</v>
      </c>
      <c r="P443" s="5" t="s">
        <v>1069</v>
      </c>
      <c r="Q443" s="9" t="s">
        <v>75</v>
      </c>
      <c r="R443" s="5" t="s">
        <v>76</v>
      </c>
      <c r="S443" s="5" t="s">
        <v>64</v>
      </c>
      <c r="T443" s="96">
        <v>1</v>
      </c>
      <c r="U443" s="96">
        <v>4</v>
      </c>
      <c r="V443" s="96" t="s">
        <v>1898</v>
      </c>
      <c r="W443" s="5" t="s">
        <v>91</v>
      </c>
      <c r="X443" s="10" t="s">
        <v>79</v>
      </c>
      <c r="Y443" s="11">
        <v>27577.483830000001</v>
      </c>
      <c r="Z443" s="12">
        <v>2.2999999999999998</v>
      </c>
      <c r="AA443" s="12">
        <v>1</v>
      </c>
      <c r="AB443" s="12">
        <v>1</v>
      </c>
      <c r="AC443" s="13">
        <v>0.70000000000000018</v>
      </c>
      <c r="AD443" s="14">
        <f t="shared" si="14"/>
        <v>5</v>
      </c>
      <c r="AE443" s="15">
        <f t="shared" si="15"/>
        <v>0.14000000000000004</v>
      </c>
      <c r="AF443" s="16">
        <v>3432</v>
      </c>
      <c r="AG443" s="16">
        <v>3432</v>
      </c>
      <c r="AH443" s="17" t="s">
        <v>1874</v>
      </c>
      <c r="AI443" s="18">
        <v>12</v>
      </c>
      <c r="AJ443" s="19" t="s">
        <v>1899</v>
      </c>
      <c r="AK443" s="20">
        <v>0.96</v>
      </c>
      <c r="AL443" s="17" t="s">
        <v>261</v>
      </c>
      <c r="AM443" s="5" t="s">
        <v>66</v>
      </c>
      <c r="AN443" s="5" t="s">
        <v>66</v>
      </c>
      <c r="AO443" s="5" t="s">
        <v>66</v>
      </c>
      <c r="AP443" s="5" t="s">
        <v>1894</v>
      </c>
      <c r="AQ443" s="5" t="s">
        <v>66</v>
      </c>
      <c r="AR443" s="5" t="s">
        <v>66</v>
      </c>
      <c r="AS443" s="5" t="s">
        <v>66</v>
      </c>
      <c r="AT443" s="5" t="s">
        <v>66</v>
      </c>
      <c r="AU443" s="5" t="s">
        <v>66</v>
      </c>
      <c r="AV443" s="5" t="s">
        <v>66</v>
      </c>
      <c r="AW443" s="5" t="s">
        <v>66</v>
      </c>
      <c r="AX443" s="5" t="s">
        <v>1880</v>
      </c>
      <c r="AY443" s="5" t="s">
        <v>353</v>
      </c>
      <c r="AZ443" s="5" t="s">
        <v>145</v>
      </c>
      <c r="BA443" s="19" t="s">
        <v>66</v>
      </c>
      <c r="BB443" s="17" t="s">
        <v>353</v>
      </c>
      <c r="BC443" s="5" t="s">
        <v>1880</v>
      </c>
      <c r="BD443" s="5" t="s">
        <v>1900</v>
      </c>
    </row>
    <row r="444" spans="1:56" ht="72" hidden="1" x14ac:dyDescent="0.25">
      <c r="A444" s="78" t="s">
        <v>1749</v>
      </c>
      <c r="B444" s="5" t="s">
        <v>1750</v>
      </c>
      <c r="C444" s="5" t="s">
        <v>3293</v>
      </c>
      <c r="D444" s="5" t="s">
        <v>56</v>
      </c>
      <c r="E444" s="99" t="str">
        <f>VLOOKUP(D444,'Dropdown List'!$F$26:$G$40,2,0)</f>
        <v>India</v>
      </c>
      <c r="F444" s="8" t="s">
        <v>1751</v>
      </c>
      <c r="G444" s="96">
        <v>4</v>
      </c>
      <c r="H444" s="5" t="s">
        <v>57</v>
      </c>
      <c r="I444" s="8" t="s">
        <v>58</v>
      </c>
      <c r="J444" s="8" t="s">
        <v>396</v>
      </c>
      <c r="K444" s="8" t="s">
        <v>1715</v>
      </c>
      <c r="L444" s="8" t="s">
        <v>1901</v>
      </c>
      <c r="M444" s="8" t="s">
        <v>1902</v>
      </c>
      <c r="N444" s="5" t="s">
        <v>1034</v>
      </c>
      <c r="O444" s="5" t="s">
        <v>1069</v>
      </c>
      <c r="P444" s="5" t="s">
        <v>1069</v>
      </c>
      <c r="Q444" s="9" t="s">
        <v>75</v>
      </c>
      <c r="R444" s="5" t="s">
        <v>76</v>
      </c>
      <c r="S444" s="5" t="s">
        <v>64</v>
      </c>
      <c r="T444" s="96">
        <v>1</v>
      </c>
      <c r="U444" s="96">
        <v>4</v>
      </c>
      <c r="V444" s="96" t="s">
        <v>1898</v>
      </c>
      <c r="W444" s="5" t="s">
        <v>91</v>
      </c>
      <c r="X444" s="10" t="s">
        <v>79</v>
      </c>
      <c r="Y444" s="11">
        <v>27577.483830000001</v>
      </c>
      <c r="Z444" s="12">
        <v>0.8</v>
      </c>
      <c r="AA444" s="12">
        <v>0</v>
      </c>
      <c r="AB444" s="12">
        <v>0</v>
      </c>
      <c r="AC444" s="13">
        <v>0.19999999999999996</v>
      </c>
      <c r="AD444" s="14">
        <f t="shared" si="14"/>
        <v>1</v>
      </c>
      <c r="AE444" s="15">
        <f t="shared" si="15"/>
        <v>0.19999999999999996</v>
      </c>
      <c r="AF444" s="16">
        <v>285</v>
      </c>
      <c r="AG444" s="16">
        <v>285</v>
      </c>
      <c r="AH444" s="17" t="s">
        <v>1874</v>
      </c>
      <c r="AI444" s="18">
        <v>15</v>
      </c>
      <c r="AJ444" s="19"/>
      <c r="AK444" s="20">
        <v>0.96</v>
      </c>
      <c r="AL444" s="17" t="s">
        <v>261</v>
      </c>
      <c r="AM444" s="5" t="s">
        <v>66</v>
      </c>
      <c r="AN444" s="5" t="s">
        <v>66</v>
      </c>
      <c r="AO444" s="5" t="s">
        <v>66</v>
      </c>
      <c r="AP444" s="5" t="s">
        <v>66</v>
      </c>
      <c r="AQ444" s="5" t="s">
        <v>66</v>
      </c>
      <c r="AR444" s="5" t="s">
        <v>66</v>
      </c>
      <c r="AS444" s="5" t="s">
        <v>66</v>
      </c>
      <c r="AT444" s="5" t="s">
        <v>66</v>
      </c>
      <c r="AU444" s="5" t="s">
        <v>66</v>
      </c>
      <c r="AV444" s="5" t="s">
        <v>66</v>
      </c>
      <c r="AW444" s="5" t="s">
        <v>66</v>
      </c>
      <c r="AX444" s="5" t="s">
        <v>1880</v>
      </c>
      <c r="AY444" s="5" t="s">
        <v>353</v>
      </c>
      <c r="AZ444" s="5" t="s">
        <v>145</v>
      </c>
      <c r="BA444" s="19" t="s">
        <v>66</v>
      </c>
      <c r="BB444" s="17" t="s">
        <v>353</v>
      </c>
      <c r="BC444" s="5" t="s">
        <v>1880</v>
      </c>
      <c r="BD444" s="5" t="s">
        <v>1900</v>
      </c>
    </row>
    <row r="445" spans="1:56" ht="60" hidden="1" x14ac:dyDescent="0.25">
      <c r="A445" s="78" t="s">
        <v>1749</v>
      </c>
      <c r="B445" s="5" t="s">
        <v>1750</v>
      </c>
      <c r="C445" s="5" t="s">
        <v>3293</v>
      </c>
      <c r="D445" s="5" t="s">
        <v>56</v>
      </c>
      <c r="E445" s="99" t="str">
        <f>VLOOKUP(D445,'Dropdown List'!$F$26:$G$40,2,0)</f>
        <v>India</v>
      </c>
      <c r="F445" s="8" t="s">
        <v>1751</v>
      </c>
      <c r="G445" s="96">
        <v>4</v>
      </c>
      <c r="H445" s="5" t="s">
        <v>57</v>
      </c>
      <c r="I445" s="8" t="s">
        <v>58</v>
      </c>
      <c r="J445" s="8" t="s">
        <v>396</v>
      </c>
      <c r="K445" s="8" t="s">
        <v>397</v>
      </c>
      <c r="L445" s="8" t="s">
        <v>3080</v>
      </c>
      <c r="M445" s="8" t="s">
        <v>1903</v>
      </c>
      <c r="N445" s="5" t="s">
        <v>1034</v>
      </c>
      <c r="O445" s="5" t="s">
        <v>1069</v>
      </c>
      <c r="P445" s="5" t="s">
        <v>1069</v>
      </c>
      <c r="Q445" s="9" t="s">
        <v>75</v>
      </c>
      <c r="R445" s="5" t="s">
        <v>76</v>
      </c>
      <c r="S445" s="5" t="s">
        <v>334</v>
      </c>
      <c r="T445" s="96">
        <v>1</v>
      </c>
      <c r="U445" s="96">
        <v>4</v>
      </c>
      <c r="V445" s="96" t="s">
        <v>1898</v>
      </c>
      <c r="W445" s="5" t="s">
        <v>91</v>
      </c>
      <c r="X445" s="10" t="s">
        <v>79</v>
      </c>
      <c r="Y445" s="11">
        <v>20502</v>
      </c>
      <c r="Z445" s="12">
        <v>7.8</v>
      </c>
      <c r="AA445" s="12">
        <v>0</v>
      </c>
      <c r="AB445" s="12">
        <v>0</v>
      </c>
      <c r="AC445" s="13">
        <v>2.2000000000000002</v>
      </c>
      <c r="AD445" s="14">
        <f t="shared" si="14"/>
        <v>10</v>
      </c>
      <c r="AE445" s="15">
        <f t="shared" si="15"/>
        <v>0.22000000000000003</v>
      </c>
      <c r="AF445" s="16">
        <v>2593</v>
      </c>
      <c r="AG445" s="16">
        <v>2593</v>
      </c>
      <c r="AH445" s="17" t="s">
        <v>758</v>
      </c>
      <c r="AI445" s="18">
        <v>18.399999999999999</v>
      </c>
      <c r="AJ445" s="19" t="s">
        <v>66</v>
      </c>
      <c r="AK445" s="20">
        <v>0.96</v>
      </c>
      <c r="AL445" s="17" t="s">
        <v>261</v>
      </c>
      <c r="AM445" s="5" t="s">
        <v>66</v>
      </c>
      <c r="AN445" s="5" t="s">
        <v>66</v>
      </c>
      <c r="AO445" s="5" t="s">
        <v>66</v>
      </c>
      <c r="AP445" s="5" t="s">
        <v>66</v>
      </c>
      <c r="AQ445" s="5" t="s">
        <v>66</v>
      </c>
      <c r="AR445" s="5" t="s">
        <v>66</v>
      </c>
      <c r="AS445" s="5" t="s">
        <v>66</v>
      </c>
      <c r="AT445" s="5" t="s">
        <v>66</v>
      </c>
      <c r="AU445" s="5" t="s">
        <v>66</v>
      </c>
      <c r="AV445" s="5" t="s">
        <v>66</v>
      </c>
      <c r="AW445" s="5" t="s">
        <v>66</v>
      </c>
      <c r="AX445" s="5" t="s">
        <v>1880</v>
      </c>
      <c r="AY445" s="5" t="s">
        <v>353</v>
      </c>
      <c r="AZ445" s="5" t="s">
        <v>145</v>
      </c>
      <c r="BA445" s="19" t="s">
        <v>66</v>
      </c>
      <c r="BB445" s="17" t="s">
        <v>353</v>
      </c>
      <c r="BC445" s="5" t="s">
        <v>1880</v>
      </c>
      <c r="BD445" s="5" t="s">
        <v>1904</v>
      </c>
    </row>
    <row r="446" spans="1:56" ht="132" hidden="1" x14ac:dyDescent="0.25">
      <c r="A446" s="78" t="s">
        <v>1749</v>
      </c>
      <c r="B446" s="5" t="s">
        <v>1750</v>
      </c>
      <c r="C446" s="5" t="s">
        <v>3293</v>
      </c>
      <c r="D446" s="5" t="s">
        <v>56</v>
      </c>
      <c r="E446" s="99" t="str">
        <f>VLOOKUP(D446,'Dropdown List'!$F$26:$G$40,2,0)</f>
        <v>India</v>
      </c>
      <c r="F446" s="8" t="s">
        <v>1751</v>
      </c>
      <c r="G446" s="96">
        <v>0.1</v>
      </c>
      <c r="H446" s="5" t="s">
        <v>57</v>
      </c>
      <c r="I446" s="8" t="s">
        <v>58</v>
      </c>
      <c r="J446" s="8" t="s">
        <v>396</v>
      </c>
      <c r="K446" s="8" t="s">
        <v>397</v>
      </c>
      <c r="L446" s="8" t="s">
        <v>3081</v>
      </c>
      <c r="M446" s="8" t="s">
        <v>3082</v>
      </c>
      <c r="N446" s="5" t="s">
        <v>1034</v>
      </c>
      <c r="O446" s="5" t="s">
        <v>1069</v>
      </c>
      <c r="P446" s="5" t="s">
        <v>1370</v>
      </c>
      <c r="Q446" s="9" t="s">
        <v>75</v>
      </c>
      <c r="R446" s="5" t="s">
        <v>76</v>
      </c>
      <c r="S446" s="5" t="s">
        <v>120</v>
      </c>
      <c r="T446" s="96">
        <v>2</v>
      </c>
      <c r="U446" s="96">
        <v>12</v>
      </c>
      <c r="V446" s="96">
        <v>10</v>
      </c>
      <c r="W446" s="5" t="s">
        <v>91</v>
      </c>
      <c r="X446" s="10" t="s">
        <v>79</v>
      </c>
      <c r="Y446" s="11">
        <v>26460</v>
      </c>
      <c r="Z446" s="12">
        <v>10.53</v>
      </c>
      <c r="AA446" s="12">
        <v>0</v>
      </c>
      <c r="AB446" s="12">
        <v>1</v>
      </c>
      <c r="AC446" s="13">
        <v>5.47</v>
      </c>
      <c r="AD446" s="14">
        <f t="shared" si="14"/>
        <v>17</v>
      </c>
      <c r="AE446" s="15">
        <f t="shared" si="15"/>
        <v>0.32176470588235295</v>
      </c>
      <c r="AF446" s="16">
        <v>5000</v>
      </c>
      <c r="AG446" s="16">
        <v>5000</v>
      </c>
      <c r="AH446" s="17" t="s">
        <v>3083</v>
      </c>
      <c r="AI446" s="18">
        <v>25</v>
      </c>
      <c r="AJ446" s="19">
        <v>0.9</v>
      </c>
      <c r="AK446" s="20">
        <v>0.95</v>
      </c>
      <c r="AL446" s="17" t="s">
        <v>261</v>
      </c>
      <c r="AM446" s="5" t="s">
        <v>3084</v>
      </c>
      <c r="AN446" s="5" t="s">
        <v>3085</v>
      </c>
      <c r="AO446" s="5" t="s">
        <v>3086</v>
      </c>
      <c r="AP446" s="5" t="s">
        <v>3087</v>
      </c>
      <c r="AQ446" s="5" t="s">
        <v>66</v>
      </c>
      <c r="AR446" s="5" t="s">
        <v>66</v>
      </c>
      <c r="AS446" s="5" t="s">
        <v>66</v>
      </c>
      <c r="AT446" s="5" t="s">
        <v>66</v>
      </c>
      <c r="AU446" s="5" t="s">
        <v>66</v>
      </c>
      <c r="AV446" s="5" t="s">
        <v>66</v>
      </c>
      <c r="AW446" s="5" t="s">
        <v>66</v>
      </c>
      <c r="AX446" s="5" t="s">
        <v>3088</v>
      </c>
      <c r="AY446" s="5" t="s">
        <v>3089</v>
      </c>
      <c r="AZ446" s="5" t="s">
        <v>80</v>
      </c>
      <c r="BA446" s="19" t="s">
        <v>3090</v>
      </c>
      <c r="BB446" s="17" t="s">
        <v>3091</v>
      </c>
      <c r="BC446" s="5" t="s">
        <v>3092</v>
      </c>
      <c r="BD446" s="5" t="s">
        <v>3093</v>
      </c>
    </row>
    <row r="447" spans="1:56" ht="24" hidden="1" x14ac:dyDescent="0.25">
      <c r="A447" s="78" t="s">
        <v>81</v>
      </c>
      <c r="B447" s="5" t="s">
        <v>82</v>
      </c>
      <c r="C447" s="5" t="s">
        <v>3293</v>
      </c>
      <c r="D447" s="5" t="s">
        <v>83</v>
      </c>
      <c r="E447" s="99" t="e">
        <f>VLOOKUP(D447,'Dropdown List'!$F$26:$G$40,2,0)</f>
        <v>#N/A</v>
      </c>
      <c r="F447" s="8" t="s">
        <v>84</v>
      </c>
      <c r="G447" s="96">
        <v>1.2</v>
      </c>
      <c r="H447" s="5" t="s">
        <v>85</v>
      </c>
      <c r="I447" s="8" t="s">
        <v>58</v>
      </c>
      <c r="J447" s="8" t="s">
        <v>59</v>
      </c>
      <c r="K447" s="8" t="s">
        <v>86</v>
      </c>
      <c r="L447" s="8" t="s">
        <v>87</v>
      </c>
      <c r="M447" s="8" t="s">
        <v>88</v>
      </c>
      <c r="N447" s="5" t="s">
        <v>319</v>
      </c>
      <c r="O447" s="5" t="s">
        <v>89</v>
      </c>
      <c r="P447" s="5" t="s">
        <v>89</v>
      </c>
      <c r="Q447" s="9" t="s">
        <v>75</v>
      </c>
      <c r="R447" s="5" t="s">
        <v>63</v>
      </c>
      <c r="S447" s="5" t="s">
        <v>90</v>
      </c>
      <c r="T447" s="96">
        <v>1</v>
      </c>
      <c r="U447" s="96">
        <v>2</v>
      </c>
      <c r="V447" s="96">
        <v>4</v>
      </c>
      <c r="W447" s="5" t="s">
        <v>91</v>
      </c>
      <c r="X447" s="10" t="s">
        <v>79</v>
      </c>
      <c r="Y447" s="11">
        <v>27648</v>
      </c>
      <c r="Z447" s="12">
        <v>30</v>
      </c>
      <c r="AA447" s="12">
        <v>0</v>
      </c>
      <c r="AB447" s="12">
        <v>2</v>
      </c>
      <c r="AC447" s="13">
        <v>6</v>
      </c>
      <c r="AD447" s="14">
        <f t="shared" si="14"/>
        <v>38</v>
      </c>
      <c r="AE447" s="15">
        <f t="shared" si="15"/>
        <v>0.15789473684210525</v>
      </c>
      <c r="AF447" s="16">
        <v>21139</v>
      </c>
      <c r="AG447" s="16" t="s">
        <v>66</v>
      </c>
      <c r="AH447" s="17" t="s">
        <v>66</v>
      </c>
      <c r="AI447" s="18" t="s">
        <v>66</v>
      </c>
      <c r="AJ447" s="19" t="s">
        <v>66</v>
      </c>
      <c r="AK447" s="20" t="s">
        <v>66</v>
      </c>
      <c r="AL447" s="17" t="s">
        <v>92</v>
      </c>
      <c r="AM447" s="5" t="s">
        <v>93</v>
      </c>
      <c r="AN447" s="5" t="s">
        <v>66</v>
      </c>
      <c r="AO447" s="5" t="s">
        <v>66</v>
      </c>
      <c r="AP447" s="5" t="s">
        <v>66</v>
      </c>
      <c r="AQ447" s="5" t="s">
        <v>66</v>
      </c>
      <c r="AR447" s="5" t="s">
        <v>66</v>
      </c>
      <c r="AS447" s="5" t="s">
        <v>66</v>
      </c>
      <c r="AT447" s="5" t="s">
        <v>66</v>
      </c>
      <c r="AU447" s="5" t="s">
        <v>66</v>
      </c>
      <c r="AV447" s="5" t="s">
        <v>66</v>
      </c>
      <c r="AW447" s="5" t="s">
        <v>66</v>
      </c>
      <c r="AX447" s="5" t="s">
        <v>0</v>
      </c>
      <c r="AY447" s="5" t="s">
        <v>94</v>
      </c>
      <c r="AZ447" s="5" t="s">
        <v>80</v>
      </c>
      <c r="BA447" s="19">
        <v>1</v>
      </c>
      <c r="BB447" s="17" t="s">
        <v>94</v>
      </c>
      <c r="BC447" s="5" t="s">
        <v>95</v>
      </c>
      <c r="BD447" s="5" t="s">
        <v>96</v>
      </c>
    </row>
    <row r="448" spans="1:56" ht="24" hidden="1" x14ac:dyDescent="0.25">
      <c r="A448" s="78" t="s">
        <v>81</v>
      </c>
      <c r="B448" s="5" t="s">
        <v>82</v>
      </c>
      <c r="C448" s="5" t="s">
        <v>3293</v>
      </c>
      <c r="D448" s="5" t="s">
        <v>83</v>
      </c>
      <c r="E448" s="99" t="e">
        <f>VLOOKUP(D448,'Dropdown List'!$F$26:$G$40,2,0)</f>
        <v>#N/A</v>
      </c>
      <c r="F448" s="8" t="s">
        <v>84</v>
      </c>
      <c r="G448" s="96">
        <v>1.2</v>
      </c>
      <c r="H448" s="5" t="s">
        <v>85</v>
      </c>
      <c r="I448" s="8" t="s">
        <v>58</v>
      </c>
      <c r="J448" s="8" t="s">
        <v>59</v>
      </c>
      <c r="K448" s="8" t="s">
        <v>86</v>
      </c>
      <c r="L448" s="8" t="s">
        <v>97</v>
      </c>
      <c r="M448" s="8" t="s">
        <v>98</v>
      </c>
      <c r="N448" s="5" t="s">
        <v>319</v>
      </c>
      <c r="O448" s="5" t="s">
        <v>89</v>
      </c>
      <c r="P448" s="5" t="s">
        <v>89</v>
      </c>
      <c r="Q448" s="9" t="s">
        <v>75</v>
      </c>
      <c r="R448" s="5" t="s">
        <v>63</v>
      </c>
      <c r="S448" s="5" t="s">
        <v>90</v>
      </c>
      <c r="T448" s="96">
        <v>1</v>
      </c>
      <c r="U448" s="96">
        <v>2</v>
      </c>
      <c r="V448" s="96">
        <v>4</v>
      </c>
      <c r="W448" s="5" t="s">
        <v>91</v>
      </c>
      <c r="X448" s="10" t="s">
        <v>79</v>
      </c>
      <c r="Y448" s="11">
        <v>27648</v>
      </c>
      <c r="Z448" s="12">
        <v>30</v>
      </c>
      <c r="AA448" s="12">
        <v>0</v>
      </c>
      <c r="AB448" s="12">
        <v>2</v>
      </c>
      <c r="AC448" s="13">
        <v>6</v>
      </c>
      <c r="AD448" s="14">
        <f t="shared" si="14"/>
        <v>38</v>
      </c>
      <c r="AE448" s="15">
        <f t="shared" si="15"/>
        <v>0.15789473684210525</v>
      </c>
      <c r="AF448" s="16">
        <v>21139</v>
      </c>
      <c r="AG448" s="16" t="s">
        <v>66</v>
      </c>
      <c r="AH448" s="17" t="s">
        <v>66</v>
      </c>
      <c r="AI448" s="18" t="s">
        <v>66</v>
      </c>
      <c r="AJ448" s="19" t="s">
        <v>66</v>
      </c>
      <c r="AK448" s="20" t="s">
        <v>66</v>
      </c>
      <c r="AL448" s="17" t="s">
        <v>92</v>
      </c>
      <c r="AM448" s="5" t="s">
        <v>93</v>
      </c>
      <c r="AN448" s="5" t="s">
        <v>66</v>
      </c>
      <c r="AO448" s="5" t="s">
        <v>66</v>
      </c>
      <c r="AP448" s="5" t="s">
        <v>66</v>
      </c>
      <c r="AQ448" s="5" t="s">
        <v>66</v>
      </c>
      <c r="AR448" s="5" t="s">
        <v>66</v>
      </c>
      <c r="AS448" s="5" t="s">
        <v>66</v>
      </c>
      <c r="AT448" s="5" t="s">
        <v>66</v>
      </c>
      <c r="AU448" s="5" t="s">
        <v>66</v>
      </c>
      <c r="AV448" s="5" t="s">
        <v>66</v>
      </c>
      <c r="AW448" s="5" t="s">
        <v>66</v>
      </c>
      <c r="AX448" s="5" t="s">
        <v>0</v>
      </c>
      <c r="AY448" s="5" t="s">
        <v>94</v>
      </c>
      <c r="AZ448" s="5" t="s">
        <v>80</v>
      </c>
      <c r="BA448" s="19">
        <v>1</v>
      </c>
      <c r="BB448" s="17" t="s">
        <v>94</v>
      </c>
      <c r="BC448" s="5" t="s">
        <v>95</v>
      </c>
      <c r="BD448" s="5" t="s">
        <v>96</v>
      </c>
    </row>
    <row r="449" spans="1:56" ht="48" hidden="1" x14ac:dyDescent="0.25">
      <c r="A449" s="78" t="s">
        <v>81</v>
      </c>
      <c r="B449" s="5" t="s">
        <v>82</v>
      </c>
      <c r="C449" s="5" t="s">
        <v>3293</v>
      </c>
      <c r="D449" s="5" t="s">
        <v>83</v>
      </c>
      <c r="E449" s="99" t="e">
        <f>VLOOKUP(D449,'Dropdown List'!$F$26:$G$40,2,0)</f>
        <v>#N/A</v>
      </c>
      <c r="F449" s="8" t="s">
        <v>84</v>
      </c>
      <c r="G449" s="96">
        <v>1.2</v>
      </c>
      <c r="H449" s="5" t="s">
        <v>85</v>
      </c>
      <c r="I449" s="8" t="s">
        <v>58</v>
      </c>
      <c r="J449" s="8" t="s">
        <v>59</v>
      </c>
      <c r="K449" s="8" t="s">
        <v>86</v>
      </c>
      <c r="L449" s="8" t="s">
        <v>99</v>
      </c>
      <c r="M449" s="8" t="s">
        <v>100</v>
      </c>
      <c r="N449" s="5" t="s">
        <v>319</v>
      </c>
      <c r="O449" s="5" t="s">
        <v>89</v>
      </c>
      <c r="P449" s="5" t="s">
        <v>89</v>
      </c>
      <c r="Q449" s="9" t="s">
        <v>75</v>
      </c>
      <c r="R449" s="5" t="s">
        <v>63</v>
      </c>
      <c r="S449" s="5" t="s">
        <v>64</v>
      </c>
      <c r="T449" s="96">
        <v>1</v>
      </c>
      <c r="U449" s="96">
        <v>3</v>
      </c>
      <c r="V449" s="96">
        <v>4</v>
      </c>
      <c r="W449" s="5" t="s">
        <v>91</v>
      </c>
      <c r="X449" s="10" t="s">
        <v>79</v>
      </c>
      <c r="Y449" s="11">
        <v>30658.560000000001</v>
      </c>
      <c r="Z449" s="12">
        <v>20</v>
      </c>
      <c r="AA449" s="12">
        <v>0</v>
      </c>
      <c r="AB449" s="12">
        <v>1</v>
      </c>
      <c r="AC449" s="13">
        <v>4</v>
      </c>
      <c r="AD449" s="14">
        <f t="shared" si="14"/>
        <v>25</v>
      </c>
      <c r="AE449" s="15">
        <f t="shared" si="15"/>
        <v>0.16</v>
      </c>
      <c r="AF449" s="16">
        <v>4572.75</v>
      </c>
      <c r="AG449" s="16" t="s">
        <v>66</v>
      </c>
      <c r="AH449" s="17" t="s">
        <v>66</v>
      </c>
      <c r="AI449" s="18" t="s">
        <v>66</v>
      </c>
      <c r="AJ449" s="19" t="s">
        <v>66</v>
      </c>
      <c r="AK449" s="20" t="s">
        <v>66</v>
      </c>
      <c r="AL449" s="17" t="s">
        <v>92</v>
      </c>
      <c r="AM449" s="5" t="s">
        <v>93</v>
      </c>
      <c r="AN449" s="5" t="s">
        <v>66</v>
      </c>
      <c r="AO449" s="5" t="s">
        <v>66</v>
      </c>
      <c r="AP449" s="5" t="s">
        <v>66</v>
      </c>
      <c r="AQ449" s="5" t="s">
        <v>66</v>
      </c>
      <c r="AR449" s="5" t="s">
        <v>66</v>
      </c>
      <c r="AS449" s="5" t="s">
        <v>66</v>
      </c>
      <c r="AT449" s="5" t="s">
        <v>66</v>
      </c>
      <c r="AU449" s="5" t="s">
        <v>66</v>
      </c>
      <c r="AV449" s="5" t="s">
        <v>66</v>
      </c>
      <c r="AW449" s="5" t="s">
        <v>66</v>
      </c>
      <c r="AX449" s="5" t="s">
        <v>0</v>
      </c>
      <c r="AY449" s="5" t="s">
        <v>94</v>
      </c>
      <c r="AZ449" s="5" t="s">
        <v>80</v>
      </c>
      <c r="BA449" s="19">
        <v>1</v>
      </c>
      <c r="BB449" s="17" t="s">
        <v>94</v>
      </c>
      <c r="BC449" s="5" t="s">
        <v>95</v>
      </c>
      <c r="BD449" s="5" t="s">
        <v>96</v>
      </c>
    </row>
    <row r="450" spans="1:56" ht="48" hidden="1" x14ac:dyDescent="0.25">
      <c r="A450" s="78" t="s">
        <v>81</v>
      </c>
      <c r="B450" s="5" t="s">
        <v>82</v>
      </c>
      <c r="C450" s="5" t="s">
        <v>3293</v>
      </c>
      <c r="D450" s="5" t="s">
        <v>83</v>
      </c>
      <c r="E450" s="99" t="e">
        <f>VLOOKUP(D450,'Dropdown List'!$F$26:$G$40,2,0)</f>
        <v>#N/A</v>
      </c>
      <c r="F450" s="8" t="s">
        <v>101</v>
      </c>
      <c r="G450" s="96">
        <v>11</v>
      </c>
      <c r="H450" s="5" t="s">
        <v>85</v>
      </c>
      <c r="I450" s="8" t="s">
        <v>71</v>
      </c>
      <c r="J450" s="8" t="s">
        <v>102</v>
      </c>
      <c r="K450" s="8" t="s">
        <v>103</v>
      </c>
      <c r="L450" s="8" t="s">
        <v>104</v>
      </c>
      <c r="M450" s="8" t="s">
        <v>105</v>
      </c>
      <c r="N450" s="5" t="s">
        <v>1034</v>
      </c>
      <c r="O450" s="5" t="s">
        <v>106</v>
      </c>
      <c r="P450" s="5" t="s">
        <v>107</v>
      </c>
      <c r="Q450" s="9" t="s">
        <v>75</v>
      </c>
      <c r="R450" s="5" t="s">
        <v>76</v>
      </c>
      <c r="S450" s="5" t="s">
        <v>90</v>
      </c>
      <c r="T450" s="96">
        <v>0.4</v>
      </c>
      <c r="U450" s="96">
        <v>2</v>
      </c>
      <c r="V450" s="96">
        <v>4</v>
      </c>
      <c r="W450" s="5" t="s">
        <v>91</v>
      </c>
      <c r="X450" s="10" t="s">
        <v>79</v>
      </c>
      <c r="Y450" s="11">
        <v>21548.799999999999</v>
      </c>
      <c r="Z450" s="12">
        <v>2</v>
      </c>
      <c r="AA450" s="12">
        <v>0</v>
      </c>
      <c r="AB450" s="12">
        <v>0</v>
      </c>
      <c r="AC450" s="13">
        <v>0.4</v>
      </c>
      <c r="AD450" s="14">
        <f t="shared" si="14"/>
        <v>2.4</v>
      </c>
      <c r="AE450" s="15">
        <f t="shared" si="15"/>
        <v>0.16666666666666669</v>
      </c>
      <c r="AF450" s="16">
        <v>1875</v>
      </c>
      <c r="AG450" s="16" t="s">
        <v>66</v>
      </c>
      <c r="AH450" s="17" t="s">
        <v>66</v>
      </c>
      <c r="AI450" s="18">
        <v>7.06</v>
      </c>
      <c r="AJ450" s="19">
        <v>0.95</v>
      </c>
      <c r="AK450" s="20" t="s">
        <v>66</v>
      </c>
      <c r="AL450" s="17" t="s">
        <v>65</v>
      </c>
      <c r="AM450" s="5" t="s">
        <v>108</v>
      </c>
      <c r="AN450" s="5" t="s">
        <v>66</v>
      </c>
      <c r="AO450" s="5" t="s">
        <v>66</v>
      </c>
      <c r="AP450" s="5" t="s">
        <v>66</v>
      </c>
      <c r="AQ450" s="5" t="s">
        <v>66</v>
      </c>
      <c r="AR450" s="5" t="s">
        <v>66</v>
      </c>
      <c r="AS450" s="5" t="s">
        <v>66</v>
      </c>
      <c r="AT450" s="5" t="s">
        <v>66</v>
      </c>
      <c r="AU450" s="5" t="s">
        <v>66</v>
      </c>
      <c r="AV450" s="5" t="s">
        <v>66</v>
      </c>
      <c r="AW450" s="5" t="s">
        <v>66</v>
      </c>
      <c r="AX450" s="5" t="s">
        <v>109</v>
      </c>
      <c r="AY450" s="5" t="s">
        <v>110</v>
      </c>
      <c r="AZ450" s="5" t="s">
        <v>80</v>
      </c>
      <c r="BA450" s="19">
        <v>1</v>
      </c>
      <c r="BB450" s="17" t="s">
        <v>110</v>
      </c>
      <c r="BC450" s="5" t="s">
        <v>109</v>
      </c>
      <c r="BD450" s="5" t="s">
        <v>111</v>
      </c>
    </row>
    <row r="451" spans="1:56" ht="96" hidden="1" x14ac:dyDescent="0.25">
      <c r="A451" s="78" t="s">
        <v>81</v>
      </c>
      <c r="B451" s="5" t="s">
        <v>82</v>
      </c>
      <c r="C451" s="5" t="s">
        <v>3293</v>
      </c>
      <c r="D451" s="5" t="s">
        <v>252</v>
      </c>
      <c r="E451" s="99" t="str">
        <f>VLOOKUP(D451,'Dropdown List'!$F$26:$G$40,2,0)</f>
        <v>India</v>
      </c>
      <c r="F451" s="8" t="s">
        <v>101</v>
      </c>
      <c r="G451" s="96">
        <v>11</v>
      </c>
      <c r="H451" s="5" t="s">
        <v>57</v>
      </c>
      <c r="I451" s="8" t="s">
        <v>71</v>
      </c>
      <c r="J451" s="8" t="s">
        <v>112</v>
      </c>
      <c r="K451" s="8" t="s">
        <v>113</v>
      </c>
      <c r="L451" s="8" t="s">
        <v>3302</v>
      </c>
      <c r="M451" s="8" t="s">
        <v>3303</v>
      </c>
      <c r="N451" s="5" t="s">
        <v>1034</v>
      </c>
      <c r="O451" s="5" t="s">
        <v>61</v>
      </c>
      <c r="P451" s="5" t="s">
        <v>107</v>
      </c>
      <c r="Q451" s="9" t="s">
        <v>75</v>
      </c>
      <c r="R451" s="5" t="s">
        <v>76</v>
      </c>
      <c r="S451" s="5" t="s">
        <v>90</v>
      </c>
      <c r="T451" s="96">
        <v>0.4</v>
      </c>
      <c r="U451" s="96">
        <v>2</v>
      </c>
      <c r="V451" s="96" t="s">
        <v>114</v>
      </c>
      <c r="W451" s="5" t="s">
        <v>91</v>
      </c>
      <c r="X451" s="10" t="s">
        <v>79</v>
      </c>
      <c r="Y451" s="11">
        <v>14.49</v>
      </c>
      <c r="Z451" s="12">
        <v>1</v>
      </c>
      <c r="AA451" s="12">
        <v>1</v>
      </c>
      <c r="AB451" s="12">
        <v>0.5</v>
      </c>
      <c r="AC451" s="13">
        <v>1</v>
      </c>
      <c r="AD451" s="14">
        <f t="shared" si="14"/>
        <v>3.5</v>
      </c>
      <c r="AE451" s="15">
        <f t="shared" si="15"/>
        <v>0.2857142857142857</v>
      </c>
      <c r="AF451" s="16">
        <v>200</v>
      </c>
      <c r="AG451" s="16" t="s">
        <v>66</v>
      </c>
      <c r="AH451" s="17" t="s">
        <v>66</v>
      </c>
      <c r="AI451" s="18">
        <v>8.2799999999999994</v>
      </c>
      <c r="AJ451" s="19">
        <v>0.95</v>
      </c>
      <c r="AK451" s="20" t="s">
        <v>66</v>
      </c>
      <c r="AL451" s="17" t="s">
        <v>65</v>
      </c>
      <c r="AM451" s="5" t="s">
        <v>3304</v>
      </c>
      <c r="AN451" s="5" t="s">
        <v>66</v>
      </c>
      <c r="AO451" s="5" t="s">
        <v>66</v>
      </c>
      <c r="AP451" s="5" t="s">
        <v>66</v>
      </c>
      <c r="AQ451" s="5" t="s">
        <v>66</v>
      </c>
      <c r="AR451" s="5" t="s">
        <v>66</v>
      </c>
      <c r="AS451" s="5" t="s">
        <v>66</v>
      </c>
      <c r="AT451" s="5" t="s">
        <v>66</v>
      </c>
      <c r="AU451" s="5" t="s">
        <v>66</v>
      </c>
      <c r="AV451" s="5" t="s">
        <v>66</v>
      </c>
      <c r="AW451" s="5" t="s">
        <v>66</v>
      </c>
      <c r="AX451" s="5" t="s">
        <v>109</v>
      </c>
      <c r="AY451" s="5" t="s">
        <v>110</v>
      </c>
      <c r="AZ451" s="5" t="s">
        <v>80</v>
      </c>
      <c r="BA451" s="19">
        <v>1</v>
      </c>
      <c r="BB451" s="17" t="s">
        <v>110</v>
      </c>
      <c r="BC451" s="5" t="s">
        <v>109</v>
      </c>
      <c r="BD451" s="5" t="s">
        <v>111</v>
      </c>
    </row>
    <row r="452" spans="1:56" ht="72" hidden="1" x14ac:dyDescent="0.25">
      <c r="A452" s="78" t="s">
        <v>81</v>
      </c>
      <c r="B452" s="5" t="s">
        <v>82</v>
      </c>
      <c r="C452" s="5" t="s">
        <v>3293</v>
      </c>
      <c r="D452" s="5" t="s">
        <v>83</v>
      </c>
      <c r="E452" s="99" t="e">
        <f>VLOOKUP(D452,'Dropdown List'!$F$26:$G$40,2,0)</f>
        <v>#N/A</v>
      </c>
      <c r="F452" s="8" t="s">
        <v>101</v>
      </c>
      <c r="G452" s="96">
        <v>11</v>
      </c>
      <c r="H452" s="5" t="s">
        <v>85</v>
      </c>
      <c r="I452" s="8" t="s">
        <v>71</v>
      </c>
      <c r="J452" s="8" t="s">
        <v>2702</v>
      </c>
      <c r="K452" s="8" t="s">
        <v>115</v>
      </c>
      <c r="L452" s="8" t="s">
        <v>116</v>
      </c>
      <c r="M452" s="8" t="s">
        <v>117</v>
      </c>
      <c r="N452" s="5" t="s">
        <v>1034</v>
      </c>
      <c r="O452" s="5" t="s">
        <v>61</v>
      </c>
      <c r="P452" s="5" t="s">
        <v>107</v>
      </c>
      <c r="Q452" s="9" t="s">
        <v>75</v>
      </c>
      <c r="R452" s="5" t="s">
        <v>76</v>
      </c>
      <c r="S452" s="5" t="s">
        <v>90</v>
      </c>
      <c r="T452" s="96">
        <v>0.4</v>
      </c>
      <c r="U452" s="96">
        <v>2</v>
      </c>
      <c r="V452" s="96">
        <v>4</v>
      </c>
      <c r="W452" s="5" t="s">
        <v>91</v>
      </c>
      <c r="X452" s="10" t="s">
        <v>79</v>
      </c>
      <c r="Y452" s="11">
        <v>21548.799999999999</v>
      </c>
      <c r="Z452" s="12">
        <v>4</v>
      </c>
      <c r="AA452" s="12">
        <v>1</v>
      </c>
      <c r="AB452" s="12">
        <v>1</v>
      </c>
      <c r="AC452" s="13">
        <v>0.8</v>
      </c>
      <c r="AD452" s="14">
        <f t="shared" si="14"/>
        <v>6.8</v>
      </c>
      <c r="AE452" s="15">
        <f t="shared" si="15"/>
        <v>0.11764705882352942</v>
      </c>
      <c r="AF452" s="16">
        <v>4412</v>
      </c>
      <c r="AG452" s="16" t="s">
        <v>66</v>
      </c>
      <c r="AH452" s="17" t="s">
        <v>66</v>
      </c>
      <c r="AI452" s="18">
        <v>7.06</v>
      </c>
      <c r="AJ452" s="19">
        <v>0.95</v>
      </c>
      <c r="AK452" s="20" t="s">
        <v>66</v>
      </c>
      <c r="AL452" s="17" t="s">
        <v>65</v>
      </c>
      <c r="AM452" s="5" t="s">
        <v>108</v>
      </c>
      <c r="AN452" s="5" t="s">
        <v>66</v>
      </c>
      <c r="AO452" s="5" t="s">
        <v>66</v>
      </c>
      <c r="AP452" s="5" t="s">
        <v>66</v>
      </c>
      <c r="AQ452" s="5" t="s">
        <v>66</v>
      </c>
      <c r="AR452" s="5" t="s">
        <v>66</v>
      </c>
      <c r="AS452" s="5" t="s">
        <v>66</v>
      </c>
      <c r="AT452" s="5" t="s">
        <v>66</v>
      </c>
      <c r="AU452" s="5" t="s">
        <v>66</v>
      </c>
      <c r="AV452" s="5" t="s">
        <v>66</v>
      </c>
      <c r="AW452" s="5" t="s">
        <v>66</v>
      </c>
      <c r="AX452" s="5" t="s">
        <v>109</v>
      </c>
      <c r="AY452" s="5" t="s">
        <v>110</v>
      </c>
      <c r="AZ452" s="5" t="s">
        <v>80</v>
      </c>
      <c r="BA452" s="19">
        <v>1</v>
      </c>
      <c r="BB452" s="17" t="s">
        <v>110</v>
      </c>
      <c r="BC452" s="5" t="s">
        <v>109</v>
      </c>
      <c r="BD452" s="5" t="s">
        <v>111</v>
      </c>
    </row>
    <row r="453" spans="1:56" ht="36" hidden="1" x14ac:dyDescent="0.25">
      <c r="A453" s="78" t="s">
        <v>81</v>
      </c>
      <c r="B453" s="5" t="s">
        <v>82</v>
      </c>
      <c r="C453" s="5" t="s">
        <v>3293</v>
      </c>
      <c r="D453" s="5" t="s">
        <v>83</v>
      </c>
      <c r="E453" s="99" t="e">
        <f>VLOOKUP(D453,'Dropdown List'!$F$26:$G$40,2,0)</f>
        <v>#N/A</v>
      </c>
      <c r="F453" s="8" t="s">
        <v>101</v>
      </c>
      <c r="G453" s="96">
        <v>11</v>
      </c>
      <c r="H453" s="5" t="s">
        <v>85</v>
      </c>
      <c r="I453" s="8" t="s">
        <v>71</v>
      </c>
      <c r="J453" s="8" t="s">
        <v>112</v>
      </c>
      <c r="K453" s="8" t="s">
        <v>113</v>
      </c>
      <c r="L453" s="8" t="s">
        <v>118</v>
      </c>
      <c r="M453" s="8" t="s">
        <v>119</v>
      </c>
      <c r="N453" s="5" t="s">
        <v>1034</v>
      </c>
      <c r="O453" s="5" t="s">
        <v>61</v>
      </c>
      <c r="P453" s="5" t="s">
        <v>107</v>
      </c>
      <c r="Q453" s="9" t="s">
        <v>75</v>
      </c>
      <c r="R453" s="5" t="s">
        <v>76</v>
      </c>
      <c r="S453" s="5" t="s">
        <v>120</v>
      </c>
      <c r="T453" s="96">
        <v>0.4</v>
      </c>
      <c r="U453" s="96">
        <v>4</v>
      </c>
      <c r="V453" s="96" t="s">
        <v>121</v>
      </c>
      <c r="W453" s="5" t="s">
        <v>91</v>
      </c>
      <c r="X453" s="10" t="s">
        <v>79</v>
      </c>
      <c r="Y453" s="11">
        <v>28641.599999999999</v>
      </c>
      <c r="Z453" s="12">
        <v>1</v>
      </c>
      <c r="AA453" s="12">
        <v>0</v>
      </c>
      <c r="AB453" s="12">
        <v>0</v>
      </c>
      <c r="AC453" s="13">
        <v>1</v>
      </c>
      <c r="AD453" s="14">
        <f t="shared" ref="AD453:AD516" si="16">SUM(Z453:AC453)</f>
        <v>2</v>
      </c>
      <c r="AE453" s="15">
        <f t="shared" ref="AE453:AE516" si="17">AC453/AD453</f>
        <v>0.5</v>
      </c>
      <c r="AF453" s="16">
        <v>66401</v>
      </c>
      <c r="AG453" s="16" t="s">
        <v>66</v>
      </c>
      <c r="AH453" s="17" t="s">
        <v>122</v>
      </c>
      <c r="AI453" s="18">
        <v>10</v>
      </c>
      <c r="AJ453" s="19" t="s">
        <v>123</v>
      </c>
      <c r="AK453" s="20" t="s">
        <v>66</v>
      </c>
      <c r="AL453" s="17" t="s">
        <v>65</v>
      </c>
      <c r="AM453" s="5" t="s">
        <v>66</v>
      </c>
      <c r="AN453" s="5" t="s">
        <v>66</v>
      </c>
      <c r="AO453" s="5" t="s">
        <v>66</v>
      </c>
      <c r="AP453" s="5" t="s">
        <v>66</v>
      </c>
      <c r="AQ453" s="5" t="s">
        <v>66</v>
      </c>
      <c r="AR453" s="5" t="s">
        <v>66</v>
      </c>
      <c r="AS453" s="5" t="s">
        <v>66</v>
      </c>
      <c r="AT453" s="5" t="s">
        <v>66</v>
      </c>
      <c r="AU453" s="5" t="s">
        <v>66</v>
      </c>
      <c r="AV453" s="5" t="s">
        <v>66</v>
      </c>
      <c r="AW453" s="5" t="s">
        <v>66</v>
      </c>
      <c r="AX453" s="5" t="s">
        <v>109</v>
      </c>
      <c r="AY453" s="5" t="s">
        <v>110</v>
      </c>
      <c r="AZ453" s="5" t="s">
        <v>80</v>
      </c>
      <c r="BA453" s="19">
        <v>1</v>
      </c>
      <c r="BB453" s="17" t="s">
        <v>110</v>
      </c>
      <c r="BC453" s="5" t="s">
        <v>124</v>
      </c>
      <c r="BD453" s="5" t="s">
        <v>125</v>
      </c>
    </row>
    <row r="454" spans="1:56" ht="36" hidden="1" x14ac:dyDescent="0.25">
      <c r="A454" s="78" t="s">
        <v>81</v>
      </c>
      <c r="B454" s="5" t="s">
        <v>82</v>
      </c>
      <c r="C454" s="5" t="s">
        <v>3293</v>
      </c>
      <c r="D454" s="5" t="s">
        <v>83</v>
      </c>
      <c r="E454" s="99" t="e">
        <f>VLOOKUP(D454,'Dropdown List'!$F$26:$G$40,2,0)</f>
        <v>#N/A</v>
      </c>
      <c r="F454" s="8" t="s">
        <v>101</v>
      </c>
      <c r="G454" s="96">
        <v>1</v>
      </c>
      <c r="H454" s="5" t="s">
        <v>85</v>
      </c>
      <c r="I454" s="8" t="s">
        <v>71</v>
      </c>
      <c r="J454" s="8" t="s">
        <v>112</v>
      </c>
      <c r="K454" s="8" t="s">
        <v>113</v>
      </c>
      <c r="L454" s="8" t="s">
        <v>126</v>
      </c>
      <c r="M454" s="8" t="s">
        <v>127</v>
      </c>
      <c r="N454" s="5" t="s">
        <v>1034</v>
      </c>
      <c r="O454" s="5" t="s">
        <v>61</v>
      </c>
      <c r="P454" s="5" t="s">
        <v>107</v>
      </c>
      <c r="Q454" s="9" t="s">
        <v>75</v>
      </c>
      <c r="R454" s="5" t="s">
        <v>76</v>
      </c>
      <c r="S454" s="5" t="s">
        <v>64</v>
      </c>
      <c r="T454" s="96">
        <v>0.4</v>
      </c>
      <c r="U454" s="96">
        <v>2</v>
      </c>
      <c r="V454" s="96">
        <v>6</v>
      </c>
      <c r="W454" s="5" t="s">
        <v>91</v>
      </c>
      <c r="X454" s="10" t="s">
        <v>79</v>
      </c>
      <c r="Y454" s="11">
        <v>31723.52</v>
      </c>
      <c r="Z454" s="12">
        <v>3</v>
      </c>
      <c r="AA454" s="12">
        <v>0</v>
      </c>
      <c r="AB454" s="12">
        <v>0</v>
      </c>
      <c r="AC454" s="13">
        <v>0.60000000000000009</v>
      </c>
      <c r="AD454" s="14">
        <f t="shared" si="16"/>
        <v>3.6</v>
      </c>
      <c r="AE454" s="15">
        <f t="shared" si="17"/>
        <v>0.16666666666666669</v>
      </c>
      <c r="AF454" s="16">
        <v>71</v>
      </c>
      <c r="AG454" s="16" t="s">
        <v>66</v>
      </c>
      <c r="AH454" s="17" t="s">
        <v>66</v>
      </c>
      <c r="AI454" s="18">
        <v>30</v>
      </c>
      <c r="AJ454" s="19" t="s">
        <v>128</v>
      </c>
      <c r="AK454" s="20">
        <v>0.9</v>
      </c>
      <c r="AL454" s="17" t="s">
        <v>92</v>
      </c>
      <c r="AM454" s="5" t="s">
        <v>66</v>
      </c>
      <c r="AN454" s="5" t="s">
        <v>66</v>
      </c>
      <c r="AO454" s="5" t="s">
        <v>66</v>
      </c>
      <c r="AP454" s="5" t="s">
        <v>66</v>
      </c>
      <c r="AQ454" s="5" t="s">
        <v>66</v>
      </c>
      <c r="AR454" s="5" t="s">
        <v>66</v>
      </c>
      <c r="AS454" s="5" t="s">
        <v>66</v>
      </c>
      <c r="AT454" s="5" t="s">
        <v>66</v>
      </c>
      <c r="AU454" s="5" t="s">
        <v>66</v>
      </c>
      <c r="AV454" s="5" t="s">
        <v>66</v>
      </c>
      <c r="AW454" s="5" t="s">
        <v>66</v>
      </c>
      <c r="AX454" s="5" t="s">
        <v>109</v>
      </c>
      <c r="AY454" s="5" t="s">
        <v>110</v>
      </c>
      <c r="AZ454" s="5" t="s">
        <v>80</v>
      </c>
      <c r="BA454" s="19">
        <v>1</v>
      </c>
      <c r="BB454" s="17" t="s">
        <v>110</v>
      </c>
      <c r="BC454" s="5" t="s">
        <v>124</v>
      </c>
      <c r="BD454" s="5" t="s">
        <v>129</v>
      </c>
    </row>
    <row r="455" spans="1:56" ht="96" hidden="1" x14ac:dyDescent="0.25">
      <c r="A455" s="78" t="s">
        <v>81</v>
      </c>
      <c r="B455" s="5" t="s">
        <v>82</v>
      </c>
      <c r="C455" s="5" t="s">
        <v>3293</v>
      </c>
      <c r="D455" s="5" t="s">
        <v>252</v>
      </c>
      <c r="E455" s="99" t="str">
        <f>VLOOKUP(D455,'Dropdown List'!$F$26:$G$40,2,0)</f>
        <v>India</v>
      </c>
      <c r="F455" s="8" t="s">
        <v>101</v>
      </c>
      <c r="G455" s="96">
        <v>20</v>
      </c>
      <c r="H455" s="5" t="s">
        <v>57</v>
      </c>
      <c r="I455" s="8" t="s">
        <v>71</v>
      </c>
      <c r="J455" s="8" t="s">
        <v>112</v>
      </c>
      <c r="K455" s="8" t="s">
        <v>130</v>
      </c>
      <c r="L455" s="8" t="s">
        <v>131</v>
      </c>
      <c r="M455" s="8" t="s">
        <v>3305</v>
      </c>
      <c r="N455" s="5" t="s">
        <v>319</v>
      </c>
      <c r="O455" s="5" t="s">
        <v>89</v>
      </c>
      <c r="P455" s="5" t="s">
        <v>89</v>
      </c>
      <c r="Q455" s="9" t="s">
        <v>75</v>
      </c>
      <c r="R455" s="5" t="s">
        <v>132</v>
      </c>
      <c r="S455" s="5" t="s">
        <v>64</v>
      </c>
      <c r="T455" s="96">
        <v>0.5</v>
      </c>
      <c r="U455" s="96">
        <v>2</v>
      </c>
      <c r="V455" s="96" t="s">
        <v>419</v>
      </c>
      <c r="W455" s="5" t="s">
        <v>78</v>
      </c>
      <c r="X455" s="10" t="s">
        <v>79</v>
      </c>
      <c r="Y455" s="11">
        <v>4.13</v>
      </c>
      <c r="Z455" s="12">
        <v>78</v>
      </c>
      <c r="AA455" s="12">
        <v>4</v>
      </c>
      <c r="AB455" s="12">
        <v>4.5</v>
      </c>
      <c r="AC455" s="13">
        <v>8</v>
      </c>
      <c r="AD455" s="14">
        <f t="shared" si="16"/>
        <v>94.5</v>
      </c>
      <c r="AE455" s="15">
        <f t="shared" si="17"/>
        <v>8.4656084656084651E-2</v>
      </c>
      <c r="AF455" s="16">
        <v>14000</v>
      </c>
      <c r="AG455" s="16" t="s">
        <v>66</v>
      </c>
      <c r="AH455" s="17" t="s">
        <v>134</v>
      </c>
      <c r="AI455" s="18">
        <v>28.3</v>
      </c>
      <c r="AJ455" s="19" t="s">
        <v>66</v>
      </c>
      <c r="AK455" s="20">
        <v>0.94</v>
      </c>
      <c r="AL455" s="17" t="s">
        <v>92</v>
      </c>
      <c r="AM455" s="5" t="s">
        <v>3306</v>
      </c>
      <c r="AN455" s="5" t="s">
        <v>66</v>
      </c>
      <c r="AO455" s="5" t="s">
        <v>66</v>
      </c>
      <c r="AP455" s="5" t="s">
        <v>66</v>
      </c>
      <c r="AQ455" s="5" t="s">
        <v>135</v>
      </c>
      <c r="AR455" s="5" t="s">
        <v>3307</v>
      </c>
      <c r="AS455" s="5" t="s">
        <v>136</v>
      </c>
      <c r="AT455" s="5" t="s">
        <v>137</v>
      </c>
      <c r="AU455" s="5" t="s">
        <v>66</v>
      </c>
      <c r="AV455" s="5" t="s">
        <v>66</v>
      </c>
      <c r="AW455" s="5" t="s">
        <v>66</v>
      </c>
      <c r="AX455" s="5" t="s">
        <v>138</v>
      </c>
      <c r="AY455" s="5" t="s">
        <v>65</v>
      </c>
      <c r="AZ455" s="5" t="s">
        <v>80</v>
      </c>
      <c r="BA455" s="19">
        <v>1</v>
      </c>
      <c r="BB455" s="17" t="s">
        <v>65</v>
      </c>
      <c r="BC455" s="5" t="s">
        <v>3308</v>
      </c>
      <c r="BD455" s="5" t="s">
        <v>3309</v>
      </c>
    </row>
    <row r="456" spans="1:56" ht="96" hidden="1" x14ac:dyDescent="0.25">
      <c r="A456" s="78" t="s">
        <v>81</v>
      </c>
      <c r="B456" s="5" t="s">
        <v>82</v>
      </c>
      <c r="C456" s="5" t="s">
        <v>3293</v>
      </c>
      <c r="D456" s="5" t="s">
        <v>56</v>
      </c>
      <c r="E456" s="99" t="str">
        <f>VLOOKUP(D456,'Dropdown List'!$F$26:$G$40,2,0)</f>
        <v>India</v>
      </c>
      <c r="F456" s="8" t="s">
        <v>101</v>
      </c>
      <c r="G456" s="96">
        <v>20</v>
      </c>
      <c r="H456" s="5" t="s">
        <v>57</v>
      </c>
      <c r="I456" s="8" t="s">
        <v>71</v>
      </c>
      <c r="J456" s="8" t="s">
        <v>112</v>
      </c>
      <c r="K456" s="8" t="s">
        <v>130</v>
      </c>
      <c r="L456" s="8" t="s">
        <v>131</v>
      </c>
      <c r="M456" s="8" t="s">
        <v>3305</v>
      </c>
      <c r="N456" s="5" t="s">
        <v>319</v>
      </c>
      <c r="O456" s="5" t="s">
        <v>89</v>
      </c>
      <c r="P456" s="5" t="s">
        <v>89</v>
      </c>
      <c r="Q456" s="9" t="s">
        <v>75</v>
      </c>
      <c r="R456" s="5" t="s">
        <v>132</v>
      </c>
      <c r="S456" s="5" t="s">
        <v>64</v>
      </c>
      <c r="T456" s="96">
        <v>0.5</v>
      </c>
      <c r="U456" s="96">
        <v>2</v>
      </c>
      <c r="V456" s="96" t="s">
        <v>419</v>
      </c>
      <c r="W456" s="5" t="s">
        <v>78</v>
      </c>
      <c r="X456" s="10" t="s">
        <v>79</v>
      </c>
      <c r="Y456" s="11">
        <v>4.13</v>
      </c>
      <c r="Z456" s="12">
        <v>33</v>
      </c>
      <c r="AA456" s="12">
        <v>0</v>
      </c>
      <c r="AB456" s="12">
        <v>2</v>
      </c>
      <c r="AC456" s="13">
        <v>3</v>
      </c>
      <c r="AD456" s="14">
        <f t="shared" si="16"/>
        <v>38</v>
      </c>
      <c r="AE456" s="15">
        <f t="shared" si="17"/>
        <v>7.8947368421052627E-2</v>
      </c>
      <c r="AF456" s="16">
        <v>6000</v>
      </c>
      <c r="AG456" s="16" t="s">
        <v>66</v>
      </c>
      <c r="AH456" s="17" t="s">
        <v>134</v>
      </c>
      <c r="AI456" s="18">
        <v>28.3</v>
      </c>
      <c r="AJ456" s="19" t="s">
        <v>66</v>
      </c>
      <c r="AK456" s="20">
        <v>0.94</v>
      </c>
      <c r="AL456" s="17" t="s">
        <v>92</v>
      </c>
      <c r="AM456" s="5" t="s">
        <v>3306</v>
      </c>
      <c r="AN456" s="5" t="s">
        <v>66</v>
      </c>
      <c r="AO456" s="5" t="s">
        <v>66</v>
      </c>
      <c r="AP456" s="5" t="s">
        <v>66</v>
      </c>
      <c r="AQ456" s="5" t="s">
        <v>135</v>
      </c>
      <c r="AR456" s="5" t="s">
        <v>3307</v>
      </c>
      <c r="AS456" s="5" t="s">
        <v>136</v>
      </c>
      <c r="AT456" s="5" t="s">
        <v>137</v>
      </c>
      <c r="AU456" s="5" t="s">
        <v>66</v>
      </c>
      <c r="AV456" s="5" t="s">
        <v>66</v>
      </c>
      <c r="AW456" s="5" t="s">
        <v>66</v>
      </c>
      <c r="AX456" s="5" t="s">
        <v>138</v>
      </c>
      <c r="AY456" s="5" t="s">
        <v>65</v>
      </c>
      <c r="AZ456" s="5" t="s">
        <v>80</v>
      </c>
      <c r="BA456" s="19">
        <v>1</v>
      </c>
      <c r="BB456" s="17" t="s">
        <v>65</v>
      </c>
      <c r="BC456" s="5" t="s">
        <v>3308</v>
      </c>
      <c r="BD456" s="5" t="s">
        <v>3309</v>
      </c>
    </row>
    <row r="457" spans="1:56" ht="36" hidden="1" x14ac:dyDescent="0.25">
      <c r="A457" s="78" t="s">
        <v>81</v>
      </c>
      <c r="B457" s="5" t="s">
        <v>82</v>
      </c>
      <c r="C457" s="5" t="s">
        <v>3293</v>
      </c>
      <c r="D457" s="5" t="s">
        <v>252</v>
      </c>
      <c r="E457" s="99" t="str">
        <f>VLOOKUP(D457,'Dropdown List'!$F$26:$G$40,2,0)</f>
        <v>India</v>
      </c>
      <c r="F457" s="8" t="s">
        <v>101</v>
      </c>
      <c r="G457" s="96">
        <v>20</v>
      </c>
      <c r="H457" s="5" t="s">
        <v>57</v>
      </c>
      <c r="I457" s="8" t="s">
        <v>71</v>
      </c>
      <c r="J457" s="8" t="s">
        <v>112</v>
      </c>
      <c r="K457" s="8" t="s">
        <v>130</v>
      </c>
      <c r="L457" s="8" t="s">
        <v>139</v>
      </c>
      <c r="M457" s="8" t="s">
        <v>140</v>
      </c>
      <c r="N457" s="5" t="s">
        <v>319</v>
      </c>
      <c r="O457" s="5" t="s">
        <v>89</v>
      </c>
      <c r="P457" s="5" t="s">
        <v>89</v>
      </c>
      <c r="Q457" s="9" t="s">
        <v>75</v>
      </c>
      <c r="R457" s="5" t="s">
        <v>132</v>
      </c>
      <c r="S457" s="5" t="s">
        <v>90</v>
      </c>
      <c r="T457" s="96">
        <v>0.5</v>
      </c>
      <c r="U457" s="96">
        <v>3</v>
      </c>
      <c r="V457" s="96" t="s">
        <v>419</v>
      </c>
      <c r="W457" s="5" t="s">
        <v>78</v>
      </c>
      <c r="X457" s="10" t="s">
        <v>79</v>
      </c>
      <c r="Y457" s="11">
        <v>2.06</v>
      </c>
      <c r="Z457" s="12">
        <v>3</v>
      </c>
      <c r="AA457" s="12">
        <v>1</v>
      </c>
      <c r="AB457" s="12">
        <v>0</v>
      </c>
      <c r="AC457" s="13">
        <v>2</v>
      </c>
      <c r="AD457" s="14">
        <f t="shared" si="16"/>
        <v>6</v>
      </c>
      <c r="AE457" s="15">
        <f t="shared" si="17"/>
        <v>0.33333333333333331</v>
      </c>
      <c r="AF457" s="16">
        <v>2000</v>
      </c>
      <c r="AG457" s="16" t="s">
        <v>66</v>
      </c>
      <c r="AH457" s="17" t="s">
        <v>3310</v>
      </c>
      <c r="AI457" s="18">
        <v>6.4</v>
      </c>
      <c r="AJ457" s="19" t="s">
        <v>66</v>
      </c>
      <c r="AK457" s="20">
        <v>0.94</v>
      </c>
      <c r="AL457" s="17" t="s">
        <v>92</v>
      </c>
      <c r="AM457" s="5" t="s">
        <v>3306</v>
      </c>
      <c r="AN457" s="5" t="s">
        <v>66</v>
      </c>
      <c r="AO457" s="5" t="s">
        <v>66</v>
      </c>
      <c r="AP457" s="5" t="s">
        <v>66</v>
      </c>
      <c r="AQ457" s="5" t="s">
        <v>135</v>
      </c>
      <c r="AR457" s="5" t="s">
        <v>66</v>
      </c>
      <c r="AS457" s="5" t="s">
        <v>66</v>
      </c>
      <c r="AT457" s="5" t="s">
        <v>66</v>
      </c>
      <c r="AU457" s="5" t="s">
        <v>66</v>
      </c>
      <c r="AV457" s="5" t="s">
        <v>66</v>
      </c>
      <c r="AW457" s="5" t="s">
        <v>66</v>
      </c>
      <c r="AX457" s="5" t="s">
        <v>141</v>
      </c>
      <c r="AY457" s="5" t="s">
        <v>65</v>
      </c>
      <c r="AZ457" s="5" t="s">
        <v>80</v>
      </c>
      <c r="BA457" s="19">
        <v>1</v>
      </c>
      <c r="BB457" s="17" t="s">
        <v>65</v>
      </c>
      <c r="BC457" s="5" t="s">
        <v>53</v>
      </c>
      <c r="BD457" s="5" t="s">
        <v>3311</v>
      </c>
    </row>
    <row r="458" spans="1:56" ht="36" hidden="1" x14ac:dyDescent="0.25">
      <c r="A458" s="78" t="s">
        <v>81</v>
      </c>
      <c r="B458" s="5" t="s">
        <v>82</v>
      </c>
      <c r="C458" s="5" t="s">
        <v>3293</v>
      </c>
      <c r="D458" s="5" t="s">
        <v>56</v>
      </c>
      <c r="E458" s="99" t="str">
        <f>VLOOKUP(D458,'Dropdown List'!$F$26:$G$40,2,0)</f>
        <v>India</v>
      </c>
      <c r="F458" s="8" t="s">
        <v>101</v>
      </c>
      <c r="G458" s="96">
        <v>20</v>
      </c>
      <c r="H458" s="5" t="s">
        <v>57</v>
      </c>
      <c r="I458" s="8" t="s">
        <v>71</v>
      </c>
      <c r="J458" s="8" t="s">
        <v>112</v>
      </c>
      <c r="K458" s="8" t="s">
        <v>130</v>
      </c>
      <c r="L458" s="8" t="s">
        <v>139</v>
      </c>
      <c r="M458" s="8" t="s">
        <v>140</v>
      </c>
      <c r="N458" s="5" t="s">
        <v>319</v>
      </c>
      <c r="O458" s="5" t="s">
        <v>89</v>
      </c>
      <c r="P458" s="5" t="s">
        <v>89</v>
      </c>
      <c r="Q458" s="9" t="s">
        <v>75</v>
      </c>
      <c r="R458" s="5" t="s">
        <v>132</v>
      </c>
      <c r="S458" s="5" t="s">
        <v>90</v>
      </c>
      <c r="T458" s="96">
        <v>0.5</v>
      </c>
      <c r="U458" s="96">
        <v>3</v>
      </c>
      <c r="V458" s="96" t="s">
        <v>419</v>
      </c>
      <c r="W458" s="5" t="s">
        <v>78</v>
      </c>
      <c r="X458" s="10" t="s">
        <v>79</v>
      </c>
      <c r="Y458" s="11">
        <v>2.06</v>
      </c>
      <c r="Z458" s="12">
        <v>6</v>
      </c>
      <c r="AA458" s="12">
        <v>0</v>
      </c>
      <c r="AB458" s="12">
        <v>1</v>
      </c>
      <c r="AC458" s="13">
        <v>2</v>
      </c>
      <c r="AD458" s="14">
        <f t="shared" si="16"/>
        <v>9</v>
      </c>
      <c r="AE458" s="15">
        <f t="shared" si="17"/>
        <v>0.22222222222222221</v>
      </c>
      <c r="AF458" s="16">
        <v>3000</v>
      </c>
      <c r="AG458" s="16" t="s">
        <v>66</v>
      </c>
      <c r="AH458" s="17" t="s">
        <v>3310</v>
      </c>
      <c r="AI458" s="18">
        <v>6.4</v>
      </c>
      <c r="AJ458" s="19" t="s">
        <v>66</v>
      </c>
      <c r="AK458" s="20">
        <v>0.94</v>
      </c>
      <c r="AL458" s="17" t="s">
        <v>92</v>
      </c>
      <c r="AM458" s="5" t="s">
        <v>3306</v>
      </c>
      <c r="AN458" s="5" t="s">
        <v>66</v>
      </c>
      <c r="AO458" s="5" t="s">
        <v>66</v>
      </c>
      <c r="AP458" s="5" t="s">
        <v>66</v>
      </c>
      <c r="AQ458" s="5" t="s">
        <v>135</v>
      </c>
      <c r="AR458" s="5" t="s">
        <v>66</v>
      </c>
      <c r="AS458" s="5" t="s">
        <v>66</v>
      </c>
      <c r="AT458" s="5" t="s">
        <v>66</v>
      </c>
      <c r="AU458" s="5" t="s">
        <v>66</v>
      </c>
      <c r="AV458" s="5" t="s">
        <v>66</v>
      </c>
      <c r="AW458" s="5" t="s">
        <v>66</v>
      </c>
      <c r="AX458" s="5" t="s">
        <v>141</v>
      </c>
      <c r="AY458" s="5" t="s">
        <v>65</v>
      </c>
      <c r="AZ458" s="5" t="s">
        <v>80</v>
      </c>
      <c r="BA458" s="19">
        <v>1</v>
      </c>
      <c r="BB458" s="17" t="s">
        <v>65</v>
      </c>
      <c r="BC458" s="5" t="s">
        <v>53</v>
      </c>
      <c r="BD458" s="5" t="s">
        <v>3311</v>
      </c>
    </row>
    <row r="459" spans="1:56" ht="36" hidden="1" x14ac:dyDescent="0.25">
      <c r="A459" s="78" t="s">
        <v>81</v>
      </c>
      <c r="B459" s="5" t="s">
        <v>82</v>
      </c>
      <c r="C459" s="5" t="s">
        <v>3293</v>
      </c>
      <c r="D459" s="5" t="s">
        <v>252</v>
      </c>
      <c r="E459" s="99" t="str">
        <f>VLOOKUP(D459,'Dropdown List'!$F$26:$G$40,2,0)</f>
        <v>India</v>
      </c>
      <c r="F459" s="8" t="s">
        <v>101</v>
      </c>
      <c r="G459" s="96">
        <v>20</v>
      </c>
      <c r="H459" s="5" t="s">
        <v>57</v>
      </c>
      <c r="I459" s="8" t="s">
        <v>71</v>
      </c>
      <c r="J459" s="8" t="s">
        <v>112</v>
      </c>
      <c r="K459" s="8" t="s">
        <v>130</v>
      </c>
      <c r="L459" s="8" t="s">
        <v>131</v>
      </c>
      <c r="M459" s="8" t="s">
        <v>3312</v>
      </c>
      <c r="N459" s="5" t="s">
        <v>319</v>
      </c>
      <c r="O459" s="5" t="s">
        <v>89</v>
      </c>
      <c r="P459" s="5" t="s">
        <v>89</v>
      </c>
      <c r="Q459" s="9" t="s">
        <v>75</v>
      </c>
      <c r="R459" s="5" t="s">
        <v>132</v>
      </c>
      <c r="S459" s="5" t="s">
        <v>90</v>
      </c>
      <c r="T459" s="96">
        <v>3</v>
      </c>
      <c r="U459" s="96">
        <v>5</v>
      </c>
      <c r="V459" s="96" t="s">
        <v>133</v>
      </c>
      <c r="W459" s="5" t="s">
        <v>91</v>
      </c>
      <c r="X459" s="10" t="s">
        <v>79</v>
      </c>
      <c r="Y459" s="11">
        <v>14.29</v>
      </c>
      <c r="Z459" s="12">
        <v>4</v>
      </c>
      <c r="AA459" s="12">
        <v>1</v>
      </c>
      <c r="AB459" s="12">
        <v>1</v>
      </c>
      <c r="AC459" s="13">
        <v>1</v>
      </c>
      <c r="AD459" s="14">
        <f t="shared" si="16"/>
        <v>7</v>
      </c>
      <c r="AE459" s="15">
        <f t="shared" si="17"/>
        <v>0.14285714285714285</v>
      </c>
      <c r="AF459" s="16">
        <v>3000</v>
      </c>
      <c r="AG459" s="16" t="s">
        <v>66</v>
      </c>
      <c r="AH459" s="17" t="s">
        <v>134</v>
      </c>
      <c r="AI459" s="18">
        <v>15</v>
      </c>
      <c r="AJ459" s="19" t="s">
        <v>66</v>
      </c>
      <c r="AK459" s="20">
        <v>0.94</v>
      </c>
      <c r="AL459" s="17" t="s">
        <v>92</v>
      </c>
      <c r="AM459" s="5" t="s">
        <v>3306</v>
      </c>
      <c r="AN459" s="5" t="s">
        <v>66</v>
      </c>
      <c r="AO459" s="5" t="s">
        <v>66</v>
      </c>
      <c r="AP459" s="5" t="s">
        <v>66</v>
      </c>
      <c r="AQ459" s="5" t="s">
        <v>135</v>
      </c>
      <c r="AR459" s="5" t="s">
        <v>66</v>
      </c>
      <c r="AS459" s="5" t="s">
        <v>66</v>
      </c>
      <c r="AT459" s="5" t="s">
        <v>66</v>
      </c>
      <c r="AU459" s="5" t="s">
        <v>66</v>
      </c>
      <c r="AV459" s="5" t="s">
        <v>66</v>
      </c>
      <c r="AW459" s="5" t="s">
        <v>66</v>
      </c>
      <c r="AX459" s="5" t="s">
        <v>141</v>
      </c>
      <c r="AY459" s="5" t="s">
        <v>65</v>
      </c>
      <c r="AZ459" s="5" t="s">
        <v>80</v>
      </c>
      <c r="BA459" s="19">
        <v>1</v>
      </c>
      <c r="BB459" s="17" t="s">
        <v>65</v>
      </c>
      <c r="BC459" s="5" t="s">
        <v>53</v>
      </c>
      <c r="BD459" s="5" t="s">
        <v>3311</v>
      </c>
    </row>
    <row r="460" spans="1:56" ht="60" hidden="1" x14ac:dyDescent="0.25">
      <c r="A460" s="78" t="s">
        <v>81</v>
      </c>
      <c r="B460" s="5" t="s">
        <v>82</v>
      </c>
      <c r="C460" s="5" t="s">
        <v>3293</v>
      </c>
      <c r="D460" s="5" t="s">
        <v>252</v>
      </c>
      <c r="E460" s="99" t="str">
        <f>VLOOKUP(D460,'Dropdown List'!$F$26:$G$40,2,0)</f>
        <v>India</v>
      </c>
      <c r="F460" s="8" t="s">
        <v>101</v>
      </c>
      <c r="G460" s="96">
        <v>20</v>
      </c>
      <c r="H460" s="5" t="s">
        <v>57</v>
      </c>
      <c r="I460" s="8" t="s">
        <v>71</v>
      </c>
      <c r="J460" s="8" t="s">
        <v>112</v>
      </c>
      <c r="K460" s="8" t="s">
        <v>130</v>
      </c>
      <c r="L460" s="8" t="s">
        <v>131</v>
      </c>
      <c r="M460" s="8" t="s">
        <v>3313</v>
      </c>
      <c r="N460" s="5" t="s">
        <v>319</v>
      </c>
      <c r="O460" s="5" t="s">
        <v>89</v>
      </c>
      <c r="P460" s="5" t="s">
        <v>89</v>
      </c>
      <c r="Q460" s="9" t="s">
        <v>75</v>
      </c>
      <c r="R460" s="5" t="s">
        <v>132</v>
      </c>
      <c r="S460" s="5" t="s">
        <v>90</v>
      </c>
      <c r="T460" s="96">
        <v>3</v>
      </c>
      <c r="U460" s="96">
        <v>5</v>
      </c>
      <c r="V460" s="96" t="s">
        <v>133</v>
      </c>
      <c r="W460" s="5" t="s">
        <v>91</v>
      </c>
      <c r="X460" s="10" t="s">
        <v>79</v>
      </c>
      <c r="Y460" s="11">
        <v>14.29</v>
      </c>
      <c r="Z460" s="12">
        <v>3</v>
      </c>
      <c r="AA460" s="12">
        <v>1</v>
      </c>
      <c r="AB460" s="12">
        <v>1</v>
      </c>
      <c r="AC460" s="13">
        <v>1</v>
      </c>
      <c r="AD460" s="14">
        <f t="shared" si="16"/>
        <v>6</v>
      </c>
      <c r="AE460" s="15">
        <f t="shared" si="17"/>
        <v>0.16666666666666666</v>
      </c>
      <c r="AF460" s="16">
        <v>3000</v>
      </c>
      <c r="AG460" s="16" t="s">
        <v>66</v>
      </c>
      <c r="AH460" s="17" t="s">
        <v>134</v>
      </c>
      <c r="AI460" s="18">
        <v>15</v>
      </c>
      <c r="AJ460" s="19" t="s">
        <v>66</v>
      </c>
      <c r="AK460" s="20">
        <v>0.94</v>
      </c>
      <c r="AL460" s="17" t="s">
        <v>92</v>
      </c>
      <c r="AM460" s="5" t="s">
        <v>3314</v>
      </c>
      <c r="AN460" s="5" t="s">
        <v>66</v>
      </c>
      <c r="AO460" s="5" t="s">
        <v>66</v>
      </c>
      <c r="AP460" s="5" t="s">
        <v>66</v>
      </c>
      <c r="AQ460" s="5" t="s">
        <v>135</v>
      </c>
      <c r="AR460" s="5" t="s">
        <v>66</v>
      </c>
      <c r="AS460" s="5" t="s">
        <v>66</v>
      </c>
      <c r="AT460" s="5" t="s">
        <v>66</v>
      </c>
      <c r="AU460" s="5" t="s">
        <v>66</v>
      </c>
      <c r="AV460" s="5" t="s">
        <v>66</v>
      </c>
      <c r="AW460" s="5" t="s">
        <v>66</v>
      </c>
      <c r="AX460" s="5" t="s">
        <v>141</v>
      </c>
      <c r="AY460" s="5" t="s">
        <v>65</v>
      </c>
      <c r="AZ460" s="5" t="s">
        <v>80</v>
      </c>
      <c r="BA460" s="19">
        <v>1</v>
      </c>
      <c r="BB460" s="17" t="s">
        <v>65</v>
      </c>
      <c r="BC460" s="5" t="s">
        <v>53</v>
      </c>
      <c r="BD460" s="5" t="s">
        <v>3311</v>
      </c>
    </row>
    <row r="461" spans="1:56" ht="36" hidden="1" x14ac:dyDescent="0.25">
      <c r="A461" s="78" t="s">
        <v>2186</v>
      </c>
      <c r="B461" s="5" t="s">
        <v>433</v>
      </c>
      <c r="C461" s="5" t="s">
        <v>3293</v>
      </c>
      <c r="D461" s="5" t="s">
        <v>252</v>
      </c>
      <c r="E461" s="99" t="str">
        <f>VLOOKUP(D461,'Dropdown List'!$F$26:$G$40,2,0)</f>
        <v>India</v>
      </c>
      <c r="F461" s="8" t="s">
        <v>2187</v>
      </c>
      <c r="G461" s="96">
        <v>5</v>
      </c>
      <c r="H461" s="5" t="s">
        <v>57</v>
      </c>
      <c r="I461" s="8" t="s">
        <v>58</v>
      </c>
      <c r="J461" s="8" t="s">
        <v>396</v>
      </c>
      <c r="K461" s="8" t="s">
        <v>2188</v>
      </c>
      <c r="L461" s="8" t="s">
        <v>2189</v>
      </c>
      <c r="M461" s="8" t="s">
        <v>2190</v>
      </c>
      <c r="N461" s="5" t="s">
        <v>1034</v>
      </c>
      <c r="O461" s="5" t="s">
        <v>61</v>
      </c>
      <c r="P461" s="5" t="s">
        <v>2191</v>
      </c>
      <c r="Q461" s="9" t="s">
        <v>75</v>
      </c>
      <c r="R461" s="5" t="s">
        <v>76</v>
      </c>
      <c r="S461" s="5" t="s">
        <v>90</v>
      </c>
      <c r="T461" s="96">
        <v>2</v>
      </c>
      <c r="U461" s="96">
        <v>1</v>
      </c>
      <c r="V461" s="96">
        <v>4</v>
      </c>
      <c r="W461" s="5" t="s">
        <v>91</v>
      </c>
      <c r="X461" s="10" t="s">
        <v>79</v>
      </c>
      <c r="Y461" s="11">
        <v>25347.49</v>
      </c>
      <c r="Z461" s="12">
        <v>1.34</v>
      </c>
      <c r="AA461" s="12">
        <v>0.5</v>
      </c>
      <c r="AB461" s="12">
        <v>0.1</v>
      </c>
      <c r="AC461" s="13">
        <v>0.1</v>
      </c>
      <c r="AD461" s="14">
        <f t="shared" si="16"/>
        <v>2.04</v>
      </c>
      <c r="AE461" s="15">
        <f t="shared" si="17"/>
        <v>4.9019607843137254E-2</v>
      </c>
      <c r="AF461" s="16">
        <v>5053</v>
      </c>
      <c r="AG461" s="16" t="s">
        <v>66</v>
      </c>
      <c r="AH461" s="17" t="s">
        <v>66</v>
      </c>
      <c r="AI461" s="18">
        <v>2.7</v>
      </c>
      <c r="AJ461" s="19">
        <v>0.98609999999999998</v>
      </c>
      <c r="AK461" s="20">
        <v>0.98540000000000005</v>
      </c>
      <c r="AL461" s="17" t="s">
        <v>92</v>
      </c>
      <c r="AM461" s="5" t="s">
        <v>66</v>
      </c>
      <c r="AN461" s="5" t="s">
        <v>66</v>
      </c>
      <c r="AO461" s="5" t="s">
        <v>595</v>
      </c>
      <c r="AP461" s="5" t="s">
        <v>595</v>
      </c>
      <c r="AQ461" s="5" t="s">
        <v>66</v>
      </c>
      <c r="AR461" s="5" t="s">
        <v>595</v>
      </c>
      <c r="AS461" s="5" t="s">
        <v>595</v>
      </c>
      <c r="AT461" s="5" t="s">
        <v>595</v>
      </c>
      <c r="AU461" s="5" t="s">
        <v>595</v>
      </c>
      <c r="AV461" s="5" t="s">
        <v>595</v>
      </c>
      <c r="AW461" s="5" t="s">
        <v>595</v>
      </c>
      <c r="AX461" s="5" t="s">
        <v>2192</v>
      </c>
      <c r="AY461" s="5" t="s">
        <v>94</v>
      </c>
      <c r="AZ461" s="5" t="s">
        <v>145</v>
      </c>
      <c r="BA461" s="19" t="s">
        <v>2193</v>
      </c>
      <c r="BB461" s="17" t="s">
        <v>94</v>
      </c>
      <c r="BC461" s="5" t="s">
        <v>2194</v>
      </c>
      <c r="BD461" s="5" t="s">
        <v>2195</v>
      </c>
    </row>
    <row r="462" spans="1:56" ht="36" hidden="1" x14ac:dyDescent="0.25">
      <c r="A462" s="78" t="s">
        <v>2186</v>
      </c>
      <c r="B462" s="5" t="s">
        <v>433</v>
      </c>
      <c r="C462" s="5" t="s">
        <v>3293</v>
      </c>
      <c r="D462" s="5" t="s">
        <v>252</v>
      </c>
      <c r="E462" s="99" t="str">
        <f>VLOOKUP(D462,'Dropdown List'!$F$26:$G$40,2,0)</f>
        <v>India</v>
      </c>
      <c r="F462" s="8" t="s">
        <v>2187</v>
      </c>
      <c r="G462" s="96">
        <v>5</v>
      </c>
      <c r="H462" s="5" t="s">
        <v>57</v>
      </c>
      <c r="I462" s="8" t="s">
        <v>58</v>
      </c>
      <c r="J462" s="8" t="s">
        <v>881</v>
      </c>
      <c r="K462" s="8" t="s">
        <v>1327</v>
      </c>
      <c r="L462" s="8" t="s">
        <v>2196</v>
      </c>
      <c r="M462" s="8" t="s">
        <v>2197</v>
      </c>
      <c r="N462" s="5" t="s">
        <v>1034</v>
      </c>
      <c r="O462" s="5" t="s">
        <v>61</v>
      </c>
      <c r="P462" s="5" t="s">
        <v>2198</v>
      </c>
      <c r="Q462" s="9" t="s">
        <v>75</v>
      </c>
      <c r="R462" s="5" t="s">
        <v>76</v>
      </c>
      <c r="S462" s="5" t="s">
        <v>90</v>
      </c>
      <c r="T462" s="96">
        <v>2</v>
      </c>
      <c r="U462" s="96">
        <v>1</v>
      </c>
      <c r="V462" s="96">
        <v>4</v>
      </c>
      <c r="W462" s="5" t="s">
        <v>91</v>
      </c>
      <c r="X462" s="10" t="s">
        <v>79</v>
      </c>
      <c r="Y462" s="11">
        <v>25347.49</v>
      </c>
      <c r="Z462" s="12">
        <v>4.49</v>
      </c>
      <c r="AA462" s="12">
        <v>1</v>
      </c>
      <c r="AB462" s="12">
        <v>0.5</v>
      </c>
      <c r="AC462" s="13">
        <v>1</v>
      </c>
      <c r="AD462" s="14">
        <f t="shared" si="16"/>
        <v>6.99</v>
      </c>
      <c r="AE462" s="15">
        <f t="shared" si="17"/>
        <v>0.14306151645207438</v>
      </c>
      <c r="AF462" s="16">
        <v>11000</v>
      </c>
      <c r="AG462" s="16" t="s">
        <v>66</v>
      </c>
      <c r="AH462" s="17" t="s">
        <v>66</v>
      </c>
      <c r="AI462" s="18" t="s">
        <v>2199</v>
      </c>
      <c r="AJ462" s="19">
        <v>0.98540000000000005</v>
      </c>
      <c r="AK462" s="20">
        <v>0.9869</v>
      </c>
      <c r="AL462" s="17" t="s">
        <v>92</v>
      </c>
      <c r="AM462" s="5" t="s">
        <v>2200</v>
      </c>
      <c r="AN462" s="5" t="s">
        <v>66</v>
      </c>
      <c r="AO462" s="5" t="s">
        <v>595</v>
      </c>
      <c r="AP462" s="5" t="s">
        <v>595</v>
      </c>
      <c r="AQ462" s="5" t="s">
        <v>67</v>
      </c>
      <c r="AR462" s="5" t="s">
        <v>2201</v>
      </c>
      <c r="AS462" s="5" t="s">
        <v>2202</v>
      </c>
      <c r="AT462" s="5" t="s">
        <v>66</v>
      </c>
      <c r="AU462" s="5" t="s">
        <v>66</v>
      </c>
      <c r="AV462" s="5" t="s">
        <v>66</v>
      </c>
      <c r="AW462" s="5" t="s">
        <v>66</v>
      </c>
      <c r="AX462" s="5" t="s">
        <v>222</v>
      </c>
      <c r="AY462" s="5" t="s">
        <v>94</v>
      </c>
      <c r="AZ462" s="5" t="s">
        <v>80</v>
      </c>
      <c r="BA462" s="19" t="s">
        <v>2193</v>
      </c>
      <c r="BB462" s="17" t="s">
        <v>94</v>
      </c>
      <c r="BC462" s="5" t="s">
        <v>2194</v>
      </c>
      <c r="BD462" s="5" t="s">
        <v>2203</v>
      </c>
    </row>
    <row r="463" spans="1:56" ht="36" hidden="1" x14ac:dyDescent="0.25">
      <c r="A463" s="78" t="s">
        <v>2186</v>
      </c>
      <c r="B463" s="5" t="s">
        <v>433</v>
      </c>
      <c r="C463" s="5" t="s">
        <v>3293</v>
      </c>
      <c r="D463" s="5" t="s">
        <v>252</v>
      </c>
      <c r="E463" s="99" t="str">
        <f>VLOOKUP(D463,'Dropdown List'!$F$26:$G$40,2,0)</f>
        <v>India</v>
      </c>
      <c r="F463" s="8" t="s">
        <v>2187</v>
      </c>
      <c r="G463" s="96">
        <v>5</v>
      </c>
      <c r="H463" s="5" t="s">
        <v>57</v>
      </c>
      <c r="I463" s="8" t="s">
        <v>58</v>
      </c>
      <c r="J463" s="8" t="s">
        <v>396</v>
      </c>
      <c r="K463" s="8" t="s">
        <v>397</v>
      </c>
      <c r="L463" s="8" t="s">
        <v>1407</v>
      </c>
      <c r="M463" s="8" t="s">
        <v>2204</v>
      </c>
      <c r="N463" s="5" t="s">
        <v>1034</v>
      </c>
      <c r="O463" s="5" t="s">
        <v>61</v>
      </c>
      <c r="P463" s="5" t="s">
        <v>2205</v>
      </c>
      <c r="Q463" s="9" t="s">
        <v>75</v>
      </c>
      <c r="R463" s="5" t="s">
        <v>76</v>
      </c>
      <c r="S463" s="5" t="s">
        <v>90</v>
      </c>
      <c r="T463" s="96">
        <v>2</v>
      </c>
      <c r="U463" s="96">
        <v>1</v>
      </c>
      <c r="V463" s="96">
        <v>4</v>
      </c>
      <c r="W463" s="5" t="s">
        <v>91</v>
      </c>
      <c r="X463" s="10" t="s">
        <v>79</v>
      </c>
      <c r="Y463" s="11">
        <v>25347.49</v>
      </c>
      <c r="Z463" s="12">
        <v>1.2</v>
      </c>
      <c r="AA463" s="12">
        <v>0</v>
      </c>
      <c r="AB463" s="12">
        <v>0.1</v>
      </c>
      <c r="AC463" s="13">
        <v>0.1</v>
      </c>
      <c r="AD463" s="14">
        <f t="shared" si="16"/>
        <v>1.4000000000000001</v>
      </c>
      <c r="AE463" s="15">
        <f t="shared" si="17"/>
        <v>7.1428571428571425E-2</v>
      </c>
      <c r="AF463" s="16">
        <v>1624</v>
      </c>
      <c r="AG463" s="16" t="s">
        <v>66</v>
      </c>
      <c r="AH463" s="17" t="s">
        <v>66</v>
      </c>
      <c r="AI463" s="18">
        <v>3.8</v>
      </c>
      <c r="AJ463" s="19">
        <v>0.98540000000000005</v>
      </c>
      <c r="AK463" s="20">
        <v>0.9869</v>
      </c>
      <c r="AL463" s="17" t="s">
        <v>92</v>
      </c>
      <c r="AM463" s="5" t="s">
        <v>66</v>
      </c>
      <c r="AN463" s="5" t="s">
        <v>66</v>
      </c>
      <c r="AO463" s="5" t="s">
        <v>595</v>
      </c>
      <c r="AP463" s="5" t="s">
        <v>595</v>
      </c>
      <c r="AQ463" s="5" t="s">
        <v>66</v>
      </c>
      <c r="AR463" s="5" t="s">
        <v>595</v>
      </c>
      <c r="AS463" s="5" t="s">
        <v>595</v>
      </c>
      <c r="AT463" s="5" t="s">
        <v>595</v>
      </c>
      <c r="AU463" s="5" t="s">
        <v>595</v>
      </c>
      <c r="AV463" s="5" t="s">
        <v>595</v>
      </c>
      <c r="AW463" s="5" t="s">
        <v>595</v>
      </c>
      <c r="AX463" s="5" t="s">
        <v>2206</v>
      </c>
      <c r="AY463" s="5" t="s">
        <v>69</v>
      </c>
      <c r="AZ463" s="5" t="s">
        <v>145</v>
      </c>
      <c r="BA463" s="19" t="s">
        <v>2207</v>
      </c>
      <c r="BB463" s="17" t="s">
        <v>2207</v>
      </c>
      <c r="BC463" s="5" t="s">
        <v>2194</v>
      </c>
      <c r="BD463" s="5" t="s">
        <v>2208</v>
      </c>
    </row>
    <row r="464" spans="1:56" ht="24" hidden="1" x14ac:dyDescent="0.25">
      <c r="A464" s="78" t="s">
        <v>2186</v>
      </c>
      <c r="B464" s="5" t="s">
        <v>433</v>
      </c>
      <c r="C464" s="5" t="s">
        <v>3293</v>
      </c>
      <c r="D464" s="5" t="s">
        <v>252</v>
      </c>
      <c r="E464" s="99" t="str">
        <f>VLOOKUP(D464,'Dropdown List'!$F$26:$G$40,2,0)</f>
        <v>India</v>
      </c>
      <c r="F464" s="8" t="s">
        <v>2187</v>
      </c>
      <c r="G464" s="96">
        <v>5</v>
      </c>
      <c r="H464" s="5" t="s">
        <v>57</v>
      </c>
      <c r="I464" s="8" t="s">
        <v>58</v>
      </c>
      <c r="J464" s="8" t="s">
        <v>146</v>
      </c>
      <c r="K464" s="8" t="s">
        <v>267</v>
      </c>
      <c r="L464" s="8" t="s">
        <v>2209</v>
      </c>
      <c r="M464" s="8" t="s">
        <v>2210</v>
      </c>
      <c r="N464" s="5" t="s">
        <v>1034</v>
      </c>
      <c r="O464" s="5" t="s">
        <v>61</v>
      </c>
      <c r="P464" s="5" t="s">
        <v>2211</v>
      </c>
      <c r="Q464" s="9" t="s">
        <v>75</v>
      </c>
      <c r="R464" s="5" t="s">
        <v>76</v>
      </c>
      <c r="S464" s="5" t="s">
        <v>90</v>
      </c>
      <c r="T464" s="96">
        <v>2</v>
      </c>
      <c r="U464" s="96">
        <v>1</v>
      </c>
      <c r="V464" s="96">
        <v>4</v>
      </c>
      <c r="W464" s="5" t="s">
        <v>91</v>
      </c>
      <c r="X464" s="10" t="s">
        <v>79</v>
      </c>
      <c r="Y464" s="11">
        <v>25347.49</v>
      </c>
      <c r="Z464" s="12">
        <v>0.1</v>
      </c>
      <c r="AA464" s="12">
        <v>0</v>
      </c>
      <c r="AB464" s="12">
        <v>0</v>
      </c>
      <c r="AC464" s="13">
        <v>0.1</v>
      </c>
      <c r="AD464" s="14">
        <f t="shared" si="16"/>
        <v>0.2</v>
      </c>
      <c r="AE464" s="15">
        <f t="shared" si="17"/>
        <v>0.5</v>
      </c>
      <c r="AF464" s="16">
        <v>19</v>
      </c>
      <c r="AG464" s="16" t="s">
        <v>66</v>
      </c>
      <c r="AH464" s="17" t="s">
        <v>66</v>
      </c>
      <c r="AI464" s="18">
        <v>7.6</v>
      </c>
      <c r="AJ464" s="19">
        <v>0.98609999999999998</v>
      </c>
      <c r="AK464" s="20">
        <v>0.98540000000000005</v>
      </c>
      <c r="AL464" s="17" t="s">
        <v>92</v>
      </c>
      <c r="AM464" s="5" t="s">
        <v>66</v>
      </c>
      <c r="AN464" s="5" t="s">
        <v>66</v>
      </c>
      <c r="AO464" s="5" t="s">
        <v>595</v>
      </c>
      <c r="AP464" s="5" t="s">
        <v>595</v>
      </c>
      <c r="AQ464" s="5" t="s">
        <v>66</v>
      </c>
      <c r="AR464" s="5" t="s">
        <v>595</v>
      </c>
      <c r="AS464" s="5" t="s">
        <v>595</v>
      </c>
      <c r="AT464" s="5" t="s">
        <v>595</v>
      </c>
      <c r="AU464" s="5" t="s">
        <v>595</v>
      </c>
      <c r="AV464" s="5" t="s">
        <v>595</v>
      </c>
      <c r="AW464" s="5" t="s">
        <v>595</v>
      </c>
      <c r="AX464" s="5" t="s">
        <v>2206</v>
      </c>
      <c r="AY464" s="5" t="s">
        <v>94</v>
      </c>
      <c r="AZ464" s="5" t="s">
        <v>80</v>
      </c>
      <c r="BA464" s="19" t="s">
        <v>2193</v>
      </c>
      <c r="BB464" s="17" t="s">
        <v>2212</v>
      </c>
      <c r="BC464" s="5" t="s">
        <v>2194</v>
      </c>
      <c r="BD464" s="5" t="s">
        <v>2213</v>
      </c>
    </row>
    <row r="465" spans="1:56" ht="36" hidden="1" x14ac:dyDescent="0.25">
      <c r="A465" s="78" t="s">
        <v>2186</v>
      </c>
      <c r="B465" s="5" t="s">
        <v>433</v>
      </c>
      <c r="C465" s="5" t="s">
        <v>3293</v>
      </c>
      <c r="D465" s="5" t="s">
        <v>252</v>
      </c>
      <c r="E465" s="99" t="str">
        <f>VLOOKUP(D465,'Dropdown List'!$F$26:$G$40,2,0)</f>
        <v>India</v>
      </c>
      <c r="F465" s="8" t="s">
        <v>2187</v>
      </c>
      <c r="G465" s="96">
        <v>5</v>
      </c>
      <c r="H465" s="5" t="s">
        <v>57</v>
      </c>
      <c r="I465" s="8" t="s">
        <v>58</v>
      </c>
      <c r="J465" s="8" t="s">
        <v>163</v>
      </c>
      <c r="K465" s="8" t="s">
        <v>1919</v>
      </c>
      <c r="L465" s="8" t="s">
        <v>2214</v>
      </c>
      <c r="M465" s="8" t="s">
        <v>2215</v>
      </c>
      <c r="N465" s="5" t="s">
        <v>1034</v>
      </c>
      <c r="O465" s="5" t="s">
        <v>1069</v>
      </c>
      <c r="P465" s="5" t="s">
        <v>1069</v>
      </c>
      <c r="Q465" s="9" t="s">
        <v>75</v>
      </c>
      <c r="R465" s="5" t="s">
        <v>76</v>
      </c>
      <c r="S465" s="5" t="s">
        <v>90</v>
      </c>
      <c r="T465" s="96">
        <v>2</v>
      </c>
      <c r="U465" s="96">
        <v>1</v>
      </c>
      <c r="V465" s="96">
        <v>4</v>
      </c>
      <c r="W465" s="5" t="s">
        <v>91</v>
      </c>
      <c r="X465" s="10" t="s">
        <v>79</v>
      </c>
      <c r="Y465" s="11">
        <v>25347.49</v>
      </c>
      <c r="Z465" s="12">
        <v>1.59</v>
      </c>
      <c r="AA465" s="12">
        <v>0</v>
      </c>
      <c r="AB465" s="12">
        <v>0.1</v>
      </c>
      <c r="AC465" s="13">
        <v>0.1</v>
      </c>
      <c r="AD465" s="14">
        <f t="shared" si="16"/>
        <v>1.7900000000000003</v>
      </c>
      <c r="AE465" s="15">
        <f t="shared" si="17"/>
        <v>5.5865921787709494E-2</v>
      </c>
      <c r="AF465" s="16">
        <v>592</v>
      </c>
      <c r="AG465" s="16" t="s">
        <v>66</v>
      </c>
      <c r="AH465" s="17" t="s">
        <v>66</v>
      </c>
      <c r="AI465" s="18">
        <v>18.5</v>
      </c>
      <c r="AJ465" s="19">
        <v>0.98540000000000005</v>
      </c>
      <c r="AK465" s="20">
        <v>0.98540000000000005</v>
      </c>
      <c r="AL465" s="17" t="s">
        <v>92</v>
      </c>
      <c r="AM465" s="5" t="s">
        <v>66</v>
      </c>
      <c r="AN465" s="5" t="s">
        <v>66</v>
      </c>
      <c r="AO465" s="5" t="s">
        <v>595</v>
      </c>
      <c r="AP465" s="5" t="s">
        <v>595</v>
      </c>
      <c r="AQ465" s="5" t="s">
        <v>66</v>
      </c>
      <c r="AR465" s="5" t="s">
        <v>595</v>
      </c>
      <c r="AS465" s="5" t="s">
        <v>595</v>
      </c>
      <c r="AT465" s="5" t="s">
        <v>595</v>
      </c>
      <c r="AU465" s="5" t="s">
        <v>595</v>
      </c>
      <c r="AV465" s="5" t="s">
        <v>595</v>
      </c>
      <c r="AW465" s="5" t="s">
        <v>595</v>
      </c>
      <c r="AX465" s="5" t="s">
        <v>2216</v>
      </c>
      <c r="AY465" s="5" t="s">
        <v>94</v>
      </c>
      <c r="AZ465" s="5" t="s">
        <v>80</v>
      </c>
      <c r="BA465" s="19" t="s">
        <v>2193</v>
      </c>
      <c r="BB465" s="17" t="s">
        <v>2212</v>
      </c>
      <c r="BC465" s="5" t="s">
        <v>2194</v>
      </c>
      <c r="BD465" s="5" t="s">
        <v>2217</v>
      </c>
    </row>
    <row r="466" spans="1:56" ht="36" hidden="1" x14ac:dyDescent="0.25">
      <c r="A466" s="78" t="s">
        <v>2186</v>
      </c>
      <c r="B466" s="5" t="s">
        <v>433</v>
      </c>
      <c r="C466" s="5" t="s">
        <v>3293</v>
      </c>
      <c r="D466" s="5" t="s">
        <v>252</v>
      </c>
      <c r="E466" s="99" t="str">
        <f>VLOOKUP(D466,'Dropdown List'!$F$26:$G$40,2,0)</f>
        <v>India</v>
      </c>
      <c r="F466" s="8" t="s">
        <v>2187</v>
      </c>
      <c r="G466" s="96">
        <v>5</v>
      </c>
      <c r="H466" s="5" t="s">
        <v>57</v>
      </c>
      <c r="I466" s="8" t="s">
        <v>58</v>
      </c>
      <c r="J466" s="8" t="s">
        <v>163</v>
      </c>
      <c r="K466" s="8" t="s">
        <v>1050</v>
      </c>
      <c r="L466" s="8" t="s">
        <v>2218</v>
      </c>
      <c r="M466" s="8" t="s">
        <v>2219</v>
      </c>
      <c r="N466" s="5" t="s">
        <v>1034</v>
      </c>
      <c r="O466" s="5" t="s">
        <v>61</v>
      </c>
      <c r="P466" s="5" t="s">
        <v>2191</v>
      </c>
      <c r="Q466" s="9" t="s">
        <v>75</v>
      </c>
      <c r="R466" s="5" t="s">
        <v>76</v>
      </c>
      <c r="S466" s="5" t="s">
        <v>90</v>
      </c>
      <c r="T466" s="96">
        <v>2</v>
      </c>
      <c r="U466" s="96">
        <v>1</v>
      </c>
      <c r="V466" s="96">
        <v>4</v>
      </c>
      <c r="W466" s="5" t="s">
        <v>91</v>
      </c>
      <c r="X466" s="10" t="s">
        <v>79</v>
      </c>
      <c r="Y466" s="11">
        <v>25347.49</v>
      </c>
      <c r="Z466" s="12">
        <v>0.17</v>
      </c>
      <c r="AA466" s="12">
        <v>0</v>
      </c>
      <c r="AB466" s="12">
        <v>0</v>
      </c>
      <c r="AC466" s="13">
        <v>0.1</v>
      </c>
      <c r="AD466" s="14">
        <f t="shared" si="16"/>
        <v>0.27</v>
      </c>
      <c r="AE466" s="15">
        <f t="shared" si="17"/>
        <v>0.37037037037037035</v>
      </c>
      <c r="AF466" s="16">
        <v>214</v>
      </c>
      <c r="AG466" s="16" t="s">
        <v>66</v>
      </c>
      <c r="AH466" s="17" t="s">
        <v>66</v>
      </c>
      <c r="AI466" s="18">
        <v>1</v>
      </c>
      <c r="AJ466" s="19">
        <v>0.9869</v>
      </c>
      <c r="AK466" s="20">
        <v>0.9869</v>
      </c>
      <c r="AL466" s="17" t="s">
        <v>92</v>
      </c>
      <c r="AM466" s="5" t="s">
        <v>66</v>
      </c>
      <c r="AN466" s="5" t="s">
        <v>66</v>
      </c>
      <c r="AO466" s="5" t="s">
        <v>595</v>
      </c>
      <c r="AP466" s="5" t="s">
        <v>595</v>
      </c>
      <c r="AQ466" s="5" t="s">
        <v>66</v>
      </c>
      <c r="AR466" s="5" t="s">
        <v>595</v>
      </c>
      <c r="AS466" s="5" t="s">
        <v>595</v>
      </c>
      <c r="AT466" s="5" t="s">
        <v>595</v>
      </c>
      <c r="AU466" s="5" t="s">
        <v>595</v>
      </c>
      <c r="AV466" s="5" t="s">
        <v>595</v>
      </c>
      <c r="AW466" s="5" t="s">
        <v>595</v>
      </c>
      <c r="AX466" s="5" t="s">
        <v>2220</v>
      </c>
      <c r="AY466" s="5" t="s">
        <v>110</v>
      </c>
      <c r="AZ466" s="5" t="s">
        <v>80</v>
      </c>
      <c r="BA466" s="19" t="s">
        <v>2221</v>
      </c>
      <c r="BB466" s="17" t="s">
        <v>2222</v>
      </c>
      <c r="BC466" s="5" t="s">
        <v>2220</v>
      </c>
      <c r="BD466" s="5" t="s">
        <v>2223</v>
      </c>
    </row>
    <row r="467" spans="1:56" ht="24" hidden="1" x14ac:dyDescent="0.25">
      <c r="A467" s="78" t="s">
        <v>2186</v>
      </c>
      <c r="B467" s="5" t="s">
        <v>433</v>
      </c>
      <c r="C467" s="5" t="s">
        <v>3293</v>
      </c>
      <c r="D467" s="5" t="s">
        <v>252</v>
      </c>
      <c r="E467" s="99" t="str">
        <f>VLOOKUP(D467,'Dropdown List'!$F$26:$G$40,2,0)</f>
        <v>India</v>
      </c>
      <c r="F467" s="8" t="s">
        <v>2187</v>
      </c>
      <c r="G467" s="96">
        <v>5</v>
      </c>
      <c r="H467" s="5" t="s">
        <v>57</v>
      </c>
      <c r="I467" s="8" t="s">
        <v>58</v>
      </c>
      <c r="J467" s="8" t="s">
        <v>163</v>
      </c>
      <c r="K467" s="8" t="s">
        <v>762</v>
      </c>
      <c r="L467" s="8" t="s">
        <v>2224</v>
      </c>
      <c r="M467" s="8" t="s">
        <v>2225</v>
      </c>
      <c r="N467" s="5" t="s">
        <v>1034</v>
      </c>
      <c r="O467" s="5" t="s">
        <v>61</v>
      </c>
      <c r="P467" s="5" t="s">
        <v>2226</v>
      </c>
      <c r="Q467" s="9" t="s">
        <v>75</v>
      </c>
      <c r="R467" s="5" t="s">
        <v>76</v>
      </c>
      <c r="S467" s="5" t="s">
        <v>90</v>
      </c>
      <c r="T467" s="96">
        <v>2</v>
      </c>
      <c r="U467" s="96">
        <v>1</v>
      </c>
      <c r="V467" s="96">
        <v>4</v>
      </c>
      <c r="W467" s="5" t="s">
        <v>91</v>
      </c>
      <c r="X467" s="10" t="s">
        <v>79</v>
      </c>
      <c r="Y467" s="11">
        <v>25347.49</v>
      </c>
      <c r="Z467" s="12">
        <v>0.1</v>
      </c>
      <c r="AA467" s="12">
        <v>0</v>
      </c>
      <c r="AB467" s="12">
        <v>0</v>
      </c>
      <c r="AC467" s="13">
        <v>0.1</v>
      </c>
      <c r="AD467" s="14">
        <f t="shared" si="16"/>
        <v>0.2</v>
      </c>
      <c r="AE467" s="15">
        <f t="shared" si="17"/>
        <v>0.5</v>
      </c>
      <c r="AF467" s="16">
        <v>748</v>
      </c>
      <c r="AG467" s="16" t="s">
        <v>66</v>
      </c>
      <c r="AH467" s="17" t="s">
        <v>66</v>
      </c>
      <c r="AI467" s="18">
        <v>5.3</v>
      </c>
      <c r="AJ467" s="19">
        <v>0.98540000000000005</v>
      </c>
      <c r="AK467" s="20">
        <v>0.98540000000000005</v>
      </c>
      <c r="AL467" s="17" t="s">
        <v>92</v>
      </c>
      <c r="AM467" s="5" t="s">
        <v>66</v>
      </c>
      <c r="AN467" s="5" t="s">
        <v>66</v>
      </c>
      <c r="AO467" s="5" t="s">
        <v>595</v>
      </c>
      <c r="AP467" s="5" t="s">
        <v>595</v>
      </c>
      <c r="AQ467" s="5" t="s">
        <v>66</v>
      </c>
      <c r="AR467" s="5" t="s">
        <v>595</v>
      </c>
      <c r="AS467" s="5" t="s">
        <v>595</v>
      </c>
      <c r="AT467" s="5" t="s">
        <v>595</v>
      </c>
      <c r="AU467" s="5" t="s">
        <v>595</v>
      </c>
      <c r="AV467" s="5" t="s">
        <v>595</v>
      </c>
      <c r="AW467" s="5" t="s">
        <v>595</v>
      </c>
      <c r="AX467" s="5" t="s">
        <v>2206</v>
      </c>
      <c r="AY467" s="5" t="s">
        <v>94</v>
      </c>
      <c r="AZ467" s="5" t="s">
        <v>80</v>
      </c>
      <c r="BA467" s="19" t="s">
        <v>2193</v>
      </c>
      <c r="BB467" s="17" t="s">
        <v>94</v>
      </c>
      <c r="BC467" s="5" t="s">
        <v>2192</v>
      </c>
      <c r="BD467" s="5" t="s">
        <v>2217</v>
      </c>
    </row>
    <row r="468" spans="1:56" ht="24" hidden="1" x14ac:dyDescent="0.25">
      <c r="A468" s="78" t="s">
        <v>2186</v>
      </c>
      <c r="B468" s="5" t="s">
        <v>433</v>
      </c>
      <c r="C468" s="5" t="s">
        <v>3293</v>
      </c>
      <c r="D468" s="5" t="s">
        <v>252</v>
      </c>
      <c r="E468" s="99" t="str">
        <f>VLOOKUP(D468,'Dropdown List'!$F$26:$G$40,2,0)</f>
        <v>India</v>
      </c>
      <c r="F468" s="8" t="s">
        <v>2187</v>
      </c>
      <c r="G468" s="96">
        <v>5</v>
      </c>
      <c r="H468" s="5" t="s">
        <v>57</v>
      </c>
      <c r="I468" s="8" t="s">
        <v>58</v>
      </c>
      <c r="J468" s="8" t="s">
        <v>163</v>
      </c>
      <c r="K468" s="8" t="s">
        <v>1050</v>
      </c>
      <c r="L468" s="8" t="s">
        <v>2227</v>
      </c>
      <c r="M468" s="8" t="s">
        <v>2228</v>
      </c>
      <c r="N468" s="5" t="s">
        <v>1034</v>
      </c>
      <c r="O468" s="5" t="s">
        <v>1051</v>
      </c>
      <c r="P468" s="5" t="s">
        <v>1051</v>
      </c>
      <c r="Q468" s="9" t="s">
        <v>75</v>
      </c>
      <c r="R468" s="5" t="s">
        <v>76</v>
      </c>
      <c r="S468" s="5" t="s">
        <v>90</v>
      </c>
      <c r="T468" s="96">
        <v>2</v>
      </c>
      <c r="U468" s="96">
        <v>1</v>
      </c>
      <c r="V468" s="96">
        <v>4</v>
      </c>
      <c r="W468" s="5" t="s">
        <v>91</v>
      </c>
      <c r="X468" s="10" t="s">
        <v>79</v>
      </c>
      <c r="Y468" s="11">
        <v>25347.49</v>
      </c>
      <c r="Z468" s="12">
        <v>0.94</v>
      </c>
      <c r="AA468" s="12">
        <v>0</v>
      </c>
      <c r="AB468" s="12">
        <v>0.1</v>
      </c>
      <c r="AC468" s="13">
        <v>0.1</v>
      </c>
      <c r="AD468" s="14">
        <f t="shared" si="16"/>
        <v>1.1400000000000001</v>
      </c>
      <c r="AE468" s="15">
        <f t="shared" si="17"/>
        <v>8.771929824561403E-2</v>
      </c>
      <c r="AF468" s="16">
        <v>534</v>
      </c>
      <c r="AG468" s="16" t="s">
        <v>66</v>
      </c>
      <c r="AH468" s="17" t="s">
        <v>66</v>
      </c>
      <c r="AI468" s="18">
        <v>18.100000000000001</v>
      </c>
      <c r="AJ468" s="19">
        <v>0.98609999999999998</v>
      </c>
      <c r="AK468" s="20">
        <v>0.98540000000000005</v>
      </c>
      <c r="AL468" s="17" t="s">
        <v>92</v>
      </c>
      <c r="AM468" s="5" t="s">
        <v>66</v>
      </c>
      <c r="AN468" s="5" t="s">
        <v>66</v>
      </c>
      <c r="AO468" s="5" t="s">
        <v>595</v>
      </c>
      <c r="AP468" s="5" t="s">
        <v>595</v>
      </c>
      <c r="AQ468" s="5" t="s">
        <v>66</v>
      </c>
      <c r="AR468" s="5" t="s">
        <v>595</v>
      </c>
      <c r="AS468" s="5" t="s">
        <v>595</v>
      </c>
      <c r="AT468" s="5" t="s">
        <v>595</v>
      </c>
      <c r="AU468" s="5" t="s">
        <v>595</v>
      </c>
      <c r="AV468" s="5" t="s">
        <v>595</v>
      </c>
      <c r="AW468" s="5" t="s">
        <v>595</v>
      </c>
      <c r="AX468" s="5" t="s">
        <v>2206</v>
      </c>
      <c r="AY468" s="5" t="s">
        <v>94</v>
      </c>
      <c r="AZ468" s="5" t="s">
        <v>80</v>
      </c>
      <c r="BA468" s="19" t="s">
        <v>2193</v>
      </c>
      <c r="BB468" s="17" t="s">
        <v>94</v>
      </c>
      <c r="BC468" s="5" t="s">
        <v>2192</v>
      </c>
      <c r="BD468" s="5" t="s">
        <v>2217</v>
      </c>
    </row>
    <row r="469" spans="1:56" ht="36" hidden="1" x14ac:dyDescent="0.25">
      <c r="A469" s="78" t="s">
        <v>2186</v>
      </c>
      <c r="B469" s="5" t="s">
        <v>433</v>
      </c>
      <c r="C469" s="5" t="s">
        <v>3293</v>
      </c>
      <c r="D469" s="5" t="s">
        <v>252</v>
      </c>
      <c r="E469" s="99" t="str">
        <f>VLOOKUP(D469,'Dropdown List'!$F$26:$G$40,2,0)</f>
        <v>India</v>
      </c>
      <c r="F469" s="8" t="s">
        <v>2187</v>
      </c>
      <c r="G469" s="96">
        <v>5</v>
      </c>
      <c r="H469" s="5" t="s">
        <v>57</v>
      </c>
      <c r="I469" s="8" t="s">
        <v>58</v>
      </c>
      <c r="J469" s="8" t="s">
        <v>163</v>
      </c>
      <c r="K469" s="8" t="s">
        <v>762</v>
      </c>
      <c r="L469" s="8" t="s">
        <v>2229</v>
      </c>
      <c r="M469" s="8" t="s">
        <v>2230</v>
      </c>
      <c r="N469" s="5" t="s">
        <v>1034</v>
      </c>
      <c r="O469" s="5" t="s">
        <v>89</v>
      </c>
      <c r="P469" s="5" t="s">
        <v>1069</v>
      </c>
      <c r="Q469" s="9" t="s">
        <v>75</v>
      </c>
      <c r="R469" s="5" t="s">
        <v>76</v>
      </c>
      <c r="S469" s="5" t="s">
        <v>90</v>
      </c>
      <c r="T469" s="96">
        <v>2</v>
      </c>
      <c r="U469" s="96">
        <v>1</v>
      </c>
      <c r="V469" s="96">
        <v>4</v>
      </c>
      <c r="W469" s="5" t="s">
        <v>91</v>
      </c>
      <c r="X469" s="10" t="s">
        <v>79</v>
      </c>
      <c r="Y469" s="11">
        <v>25347.49</v>
      </c>
      <c r="Z469" s="12">
        <v>0.39</v>
      </c>
      <c r="AA469" s="12">
        <v>0</v>
      </c>
      <c r="AB469" s="12">
        <v>0</v>
      </c>
      <c r="AC469" s="13">
        <v>0.1</v>
      </c>
      <c r="AD469" s="14">
        <f t="shared" si="16"/>
        <v>0.49</v>
      </c>
      <c r="AE469" s="15">
        <f t="shared" si="17"/>
        <v>0.20408163265306123</v>
      </c>
      <c r="AF469" s="16">
        <v>1060</v>
      </c>
      <c r="AG469" s="16" t="s">
        <v>66</v>
      </c>
      <c r="AH469" s="17" t="s">
        <v>66</v>
      </c>
      <c r="AI469" s="18">
        <v>5.3</v>
      </c>
      <c r="AJ469" s="19">
        <v>0.98540000000000005</v>
      </c>
      <c r="AK469" s="20">
        <v>0.98540000000000005</v>
      </c>
      <c r="AL469" s="17" t="s">
        <v>92</v>
      </c>
      <c r="AM469" s="5" t="s">
        <v>66</v>
      </c>
      <c r="AN469" s="5" t="s">
        <v>66</v>
      </c>
      <c r="AO469" s="5" t="s">
        <v>595</v>
      </c>
      <c r="AP469" s="5" t="s">
        <v>595</v>
      </c>
      <c r="AQ469" s="5" t="s">
        <v>66</v>
      </c>
      <c r="AR469" s="5" t="s">
        <v>595</v>
      </c>
      <c r="AS469" s="5" t="s">
        <v>595</v>
      </c>
      <c r="AT469" s="5" t="s">
        <v>595</v>
      </c>
      <c r="AU469" s="5" t="s">
        <v>595</v>
      </c>
      <c r="AV469" s="5" t="s">
        <v>595</v>
      </c>
      <c r="AW469" s="5" t="s">
        <v>595</v>
      </c>
      <c r="AX469" s="5" t="s">
        <v>2220</v>
      </c>
      <c r="AY469" s="5" t="s">
        <v>110</v>
      </c>
      <c r="AZ469" s="5" t="s">
        <v>80</v>
      </c>
      <c r="BA469" s="19" t="s">
        <v>2221</v>
      </c>
      <c r="BB469" s="17" t="s">
        <v>69</v>
      </c>
      <c r="BC469" s="5" t="s">
        <v>2192</v>
      </c>
      <c r="BD469" s="5" t="s">
        <v>2217</v>
      </c>
    </row>
    <row r="470" spans="1:56" ht="36" hidden="1" x14ac:dyDescent="0.25">
      <c r="A470" s="78" t="s">
        <v>2186</v>
      </c>
      <c r="B470" s="5" t="s">
        <v>433</v>
      </c>
      <c r="C470" s="5" t="s">
        <v>3293</v>
      </c>
      <c r="D470" s="5" t="s">
        <v>252</v>
      </c>
      <c r="E470" s="99" t="str">
        <f>VLOOKUP(D470,'Dropdown List'!$F$26:$G$40,2,0)</f>
        <v>India</v>
      </c>
      <c r="F470" s="8" t="s">
        <v>2187</v>
      </c>
      <c r="G470" s="96">
        <v>5</v>
      </c>
      <c r="H470" s="5" t="s">
        <v>57</v>
      </c>
      <c r="I470" s="8" t="s">
        <v>58</v>
      </c>
      <c r="J470" s="8" t="s">
        <v>163</v>
      </c>
      <c r="K470" s="8" t="s">
        <v>2231</v>
      </c>
      <c r="L470" s="8" t="s">
        <v>2232</v>
      </c>
      <c r="M470" s="8" t="s">
        <v>2233</v>
      </c>
      <c r="N470" s="5" t="s">
        <v>1034</v>
      </c>
      <c r="O470" s="5" t="s">
        <v>89</v>
      </c>
      <c r="P470" s="5" t="s">
        <v>89</v>
      </c>
      <c r="Q470" s="9" t="s">
        <v>75</v>
      </c>
      <c r="R470" s="5" t="s">
        <v>76</v>
      </c>
      <c r="S470" s="5" t="s">
        <v>90</v>
      </c>
      <c r="T470" s="96">
        <v>2</v>
      </c>
      <c r="U470" s="96">
        <v>1</v>
      </c>
      <c r="V470" s="96">
        <v>4</v>
      </c>
      <c r="W470" s="5" t="s">
        <v>91</v>
      </c>
      <c r="X470" s="10" t="s">
        <v>79</v>
      </c>
      <c r="Y470" s="11">
        <v>25347.49</v>
      </c>
      <c r="Z470" s="12">
        <v>0.31</v>
      </c>
      <c r="AA470" s="12">
        <v>0</v>
      </c>
      <c r="AB470" s="12">
        <v>0</v>
      </c>
      <c r="AC470" s="13">
        <v>0.1</v>
      </c>
      <c r="AD470" s="14">
        <f t="shared" si="16"/>
        <v>0.41000000000000003</v>
      </c>
      <c r="AE470" s="15">
        <f t="shared" si="17"/>
        <v>0.24390243902439024</v>
      </c>
      <c r="AF470" s="16">
        <v>349</v>
      </c>
      <c r="AG470" s="16" t="s">
        <v>66</v>
      </c>
      <c r="AH470" s="17" t="s">
        <v>66</v>
      </c>
      <c r="AI470" s="18">
        <v>0.8</v>
      </c>
      <c r="AJ470" s="19">
        <v>0.98609999999999998</v>
      </c>
      <c r="AK470" s="20">
        <v>0.98540000000000005</v>
      </c>
      <c r="AL470" s="17" t="s">
        <v>92</v>
      </c>
      <c r="AM470" s="5" t="s">
        <v>66</v>
      </c>
      <c r="AN470" s="5" t="s">
        <v>66</v>
      </c>
      <c r="AO470" s="5" t="s">
        <v>595</v>
      </c>
      <c r="AP470" s="5" t="s">
        <v>595</v>
      </c>
      <c r="AQ470" s="5" t="s">
        <v>66</v>
      </c>
      <c r="AR470" s="5" t="s">
        <v>595</v>
      </c>
      <c r="AS470" s="5" t="s">
        <v>595</v>
      </c>
      <c r="AT470" s="5" t="s">
        <v>595</v>
      </c>
      <c r="AU470" s="5" t="s">
        <v>595</v>
      </c>
      <c r="AV470" s="5" t="s">
        <v>595</v>
      </c>
      <c r="AW470" s="5" t="s">
        <v>595</v>
      </c>
      <c r="AX470" s="5" t="s">
        <v>2206</v>
      </c>
      <c r="AY470" s="5" t="s">
        <v>110</v>
      </c>
      <c r="AZ470" s="5" t="s">
        <v>80</v>
      </c>
      <c r="BA470" s="19" t="s">
        <v>2221</v>
      </c>
      <c r="BB470" s="17" t="s">
        <v>69</v>
      </c>
      <c r="BC470" s="5" t="s">
        <v>2192</v>
      </c>
      <c r="BD470" s="5" t="s">
        <v>2217</v>
      </c>
    </row>
    <row r="471" spans="1:56" ht="48" hidden="1" x14ac:dyDescent="0.25">
      <c r="A471" s="78" t="s">
        <v>2186</v>
      </c>
      <c r="B471" s="5" t="s">
        <v>433</v>
      </c>
      <c r="C471" s="5" t="s">
        <v>3293</v>
      </c>
      <c r="D471" s="5" t="s">
        <v>252</v>
      </c>
      <c r="E471" s="99" t="str">
        <f>VLOOKUP(D471,'Dropdown List'!$F$26:$G$40,2,0)</f>
        <v>India</v>
      </c>
      <c r="F471" s="8" t="s">
        <v>2187</v>
      </c>
      <c r="G471" s="96">
        <v>5</v>
      </c>
      <c r="H471" s="5" t="s">
        <v>57</v>
      </c>
      <c r="I471" s="8" t="s">
        <v>58</v>
      </c>
      <c r="J471" s="8" t="s">
        <v>146</v>
      </c>
      <c r="K471" s="8" t="s">
        <v>147</v>
      </c>
      <c r="L471" s="8" t="s">
        <v>2234</v>
      </c>
      <c r="M471" s="8" t="s">
        <v>2235</v>
      </c>
      <c r="N471" s="5" t="s">
        <v>1034</v>
      </c>
      <c r="O471" s="5" t="s">
        <v>61</v>
      </c>
      <c r="P471" s="5" t="s">
        <v>2236</v>
      </c>
      <c r="Q471" s="9" t="s">
        <v>75</v>
      </c>
      <c r="R471" s="5" t="s">
        <v>76</v>
      </c>
      <c r="S471" s="5" t="s">
        <v>90</v>
      </c>
      <c r="T471" s="96">
        <v>2</v>
      </c>
      <c r="U471" s="96">
        <v>1</v>
      </c>
      <c r="V471" s="96">
        <v>4</v>
      </c>
      <c r="W471" s="5" t="s">
        <v>91</v>
      </c>
      <c r="X471" s="10" t="s">
        <v>79</v>
      </c>
      <c r="Y471" s="11">
        <v>25347.49</v>
      </c>
      <c r="Z471" s="12">
        <v>0.11</v>
      </c>
      <c r="AA471" s="12">
        <v>0</v>
      </c>
      <c r="AB471" s="12">
        <v>0</v>
      </c>
      <c r="AC471" s="13">
        <v>0.1</v>
      </c>
      <c r="AD471" s="14">
        <f t="shared" si="16"/>
        <v>0.21000000000000002</v>
      </c>
      <c r="AE471" s="15">
        <f t="shared" si="17"/>
        <v>0.47619047619047616</v>
      </c>
      <c r="AF471" s="16">
        <v>143</v>
      </c>
      <c r="AG471" s="16" t="s">
        <v>66</v>
      </c>
      <c r="AH471" s="17" t="s">
        <v>66</v>
      </c>
      <c r="AI471" s="18">
        <v>5</v>
      </c>
      <c r="AJ471" s="19">
        <v>0.98540000000000005</v>
      </c>
      <c r="AK471" s="20">
        <v>0.9869</v>
      </c>
      <c r="AL471" s="17" t="s">
        <v>92</v>
      </c>
      <c r="AM471" s="5" t="s">
        <v>66</v>
      </c>
      <c r="AN471" s="5" t="s">
        <v>66</v>
      </c>
      <c r="AO471" s="5" t="s">
        <v>595</v>
      </c>
      <c r="AP471" s="5" t="s">
        <v>595</v>
      </c>
      <c r="AQ471" s="5" t="s">
        <v>66</v>
      </c>
      <c r="AR471" s="5" t="s">
        <v>595</v>
      </c>
      <c r="AS471" s="5" t="s">
        <v>595</v>
      </c>
      <c r="AT471" s="5" t="s">
        <v>595</v>
      </c>
      <c r="AU471" s="5" t="s">
        <v>595</v>
      </c>
      <c r="AV471" s="5" t="s">
        <v>595</v>
      </c>
      <c r="AW471" s="5" t="s">
        <v>595</v>
      </c>
      <c r="AX471" s="5" t="s">
        <v>222</v>
      </c>
      <c r="AY471" s="5" t="s">
        <v>94</v>
      </c>
      <c r="AZ471" s="5" t="s">
        <v>80</v>
      </c>
      <c r="BA471" s="19" t="s">
        <v>2193</v>
      </c>
      <c r="BB471" s="17" t="s">
        <v>94</v>
      </c>
      <c r="BC471" s="5" t="s">
        <v>2194</v>
      </c>
      <c r="BD471" s="5" t="s">
        <v>2223</v>
      </c>
    </row>
    <row r="472" spans="1:56" ht="24" hidden="1" x14ac:dyDescent="0.25">
      <c r="A472" s="78" t="s">
        <v>2186</v>
      </c>
      <c r="B472" s="5" t="s">
        <v>433</v>
      </c>
      <c r="C472" s="5" t="s">
        <v>3293</v>
      </c>
      <c r="D472" s="5" t="s">
        <v>252</v>
      </c>
      <c r="E472" s="99" t="str">
        <f>VLOOKUP(D472,'Dropdown List'!$F$26:$G$40,2,0)</f>
        <v>India</v>
      </c>
      <c r="F472" s="8" t="s">
        <v>2187</v>
      </c>
      <c r="G472" s="96">
        <v>5</v>
      </c>
      <c r="H472" s="5" t="s">
        <v>57</v>
      </c>
      <c r="I472" s="8" t="s">
        <v>58</v>
      </c>
      <c r="J472" s="8" t="s">
        <v>146</v>
      </c>
      <c r="K472" s="8" t="s">
        <v>147</v>
      </c>
      <c r="L472" s="8" t="s">
        <v>2237</v>
      </c>
      <c r="M472" s="8" t="s">
        <v>2238</v>
      </c>
      <c r="N472" s="5" t="s">
        <v>1034</v>
      </c>
      <c r="O472" s="5" t="s">
        <v>269</v>
      </c>
      <c r="P472" s="5" t="s">
        <v>2239</v>
      </c>
      <c r="Q472" s="9" t="s">
        <v>75</v>
      </c>
      <c r="R472" s="5" t="s">
        <v>76</v>
      </c>
      <c r="S472" s="5" t="s">
        <v>90</v>
      </c>
      <c r="T472" s="96">
        <v>2</v>
      </c>
      <c r="U472" s="96">
        <v>1</v>
      </c>
      <c r="V472" s="96">
        <v>4</v>
      </c>
      <c r="W472" s="5" t="s">
        <v>91</v>
      </c>
      <c r="X472" s="10" t="s">
        <v>79</v>
      </c>
      <c r="Y472" s="11">
        <v>25347.49</v>
      </c>
      <c r="Z472" s="12">
        <v>1.62</v>
      </c>
      <c r="AA472" s="12">
        <v>0</v>
      </c>
      <c r="AB472" s="12">
        <v>0</v>
      </c>
      <c r="AC472" s="13">
        <v>0.1</v>
      </c>
      <c r="AD472" s="14">
        <f t="shared" si="16"/>
        <v>1.7200000000000002</v>
      </c>
      <c r="AE472" s="15">
        <f t="shared" si="17"/>
        <v>5.8139534883720929E-2</v>
      </c>
      <c r="AF472" s="16">
        <v>378</v>
      </c>
      <c r="AG472" s="16" t="s">
        <v>66</v>
      </c>
      <c r="AH472" s="17" t="s">
        <v>66</v>
      </c>
      <c r="AI472" s="18">
        <v>30</v>
      </c>
      <c r="AJ472" s="19">
        <v>0.98540000000000005</v>
      </c>
      <c r="AK472" s="20">
        <v>0.9869</v>
      </c>
      <c r="AL472" s="17" t="s">
        <v>92</v>
      </c>
      <c r="AM472" s="5" t="s">
        <v>66</v>
      </c>
      <c r="AN472" s="5" t="s">
        <v>66</v>
      </c>
      <c r="AO472" s="5" t="s">
        <v>595</v>
      </c>
      <c r="AP472" s="5" t="s">
        <v>595</v>
      </c>
      <c r="AQ472" s="5" t="s">
        <v>66</v>
      </c>
      <c r="AR472" s="5" t="s">
        <v>595</v>
      </c>
      <c r="AS472" s="5" t="s">
        <v>595</v>
      </c>
      <c r="AT472" s="5" t="s">
        <v>595</v>
      </c>
      <c r="AU472" s="5" t="s">
        <v>595</v>
      </c>
      <c r="AV472" s="5" t="s">
        <v>595</v>
      </c>
      <c r="AW472" s="5" t="s">
        <v>595</v>
      </c>
      <c r="AX472" s="5" t="s">
        <v>2192</v>
      </c>
      <c r="AY472" s="5" t="s">
        <v>110</v>
      </c>
      <c r="AZ472" s="5" t="s">
        <v>145</v>
      </c>
      <c r="BA472" s="19" t="s">
        <v>2221</v>
      </c>
      <c r="BB472" s="17" t="s">
        <v>94</v>
      </c>
      <c r="BC472" s="5" t="s">
        <v>2194</v>
      </c>
      <c r="BD472" s="5" t="s">
        <v>2195</v>
      </c>
    </row>
    <row r="473" spans="1:56" ht="84" hidden="1" x14ac:dyDescent="0.25">
      <c r="A473" s="78" t="s">
        <v>2186</v>
      </c>
      <c r="B473" s="5" t="s">
        <v>433</v>
      </c>
      <c r="C473" s="5" t="s">
        <v>3293</v>
      </c>
      <c r="D473" s="5" t="s">
        <v>252</v>
      </c>
      <c r="E473" s="99" t="str">
        <f>VLOOKUP(D473,'Dropdown List'!$F$26:$G$40,2,0)</f>
        <v>India</v>
      </c>
      <c r="F473" s="8" t="s">
        <v>2187</v>
      </c>
      <c r="G473" s="96">
        <v>5</v>
      </c>
      <c r="H473" s="5" t="s">
        <v>57</v>
      </c>
      <c r="I473" s="8" t="s">
        <v>58</v>
      </c>
      <c r="J473" s="8" t="s">
        <v>146</v>
      </c>
      <c r="K473" s="8" t="s">
        <v>147</v>
      </c>
      <c r="L473" s="8" t="s">
        <v>2240</v>
      </c>
      <c r="M473" s="8" t="s">
        <v>2241</v>
      </c>
      <c r="N473" s="5" t="s">
        <v>1034</v>
      </c>
      <c r="O473" s="5" t="s">
        <v>269</v>
      </c>
      <c r="P473" s="5" t="s">
        <v>2239</v>
      </c>
      <c r="Q473" s="9" t="s">
        <v>75</v>
      </c>
      <c r="R473" s="5" t="s">
        <v>76</v>
      </c>
      <c r="S473" s="5" t="s">
        <v>90</v>
      </c>
      <c r="T473" s="96">
        <v>2</v>
      </c>
      <c r="U473" s="96">
        <v>1</v>
      </c>
      <c r="V473" s="96">
        <v>4</v>
      </c>
      <c r="W473" s="5" t="s">
        <v>91</v>
      </c>
      <c r="X473" s="10" t="s">
        <v>79</v>
      </c>
      <c r="Y473" s="11">
        <v>25347.49</v>
      </c>
      <c r="Z473" s="12">
        <v>0.04</v>
      </c>
      <c r="AA473" s="12">
        <v>0</v>
      </c>
      <c r="AB473" s="12">
        <v>0</v>
      </c>
      <c r="AC473" s="13">
        <v>0.1</v>
      </c>
      <c r="AD473" s="14">
        <f t="shared" si="16"/>
        <v>0.14000000000000001</v>
      </c>
      <c r="AE473" s="15">
        <f t="shared" si="17"/>
        <v>0.7142857142857143</v>
      </c>
      <c r="AF473" s="16">
        <v>21</v>
      </c>
      <c r="AG473" s="16" t="s">
        <v>66</v>
      </c>
      <c r="AH473" s="17" t="s">
        <v>66</v>
      </c>
      <c r="AI473" s="18">
        <v>23</v>
      </c>
      <c r="AJ473" s="19">
        <v>0.98540000000000005</v>
      </c>
      <c r="AK473" s="20">
        <v>0.9869</v>
      </c>
      <c r="AL473" s="17" t="s">
        <v>92</v>
      </c>
      <c r="AM473" s="5" t="s">
        <v>66</v>
      </c>
      <c r="AN473" s="5" t="s">
        <v>66</v>
      </c>
      <c r="AO473" s="5" t="s">
        <v>595</v>
      </c>
      <c r="AP473" s="5" t="s">
        <v>595</v>
      </c>
      <c r="AQ473" s="5" t="s">
        <v>66</v>
      </c>
      <c r="AR473" s="5" t="s">
        <v>595</v>
      </c>
      <c r="AS473" s="5" t="s">
        <v>595</v>
      </c>
      <c r="AT473" s="5" t="s">
        <v>595</v>
      </c>
      <c r="AU473" s="5" t="s">
        <v>595</v>
      </c>
      <c r="AV473" s="5" t="s">
        <v>595</v>
      </c>
      <c r="AW473" s="5" t="s">
        <v>595</v>
      </c>
      <c r="AX473" s="5" t="s">
        <v>2192</v>
      </c>
      <c r="AY473" s="5" t="s">
        <v>110</v>
      </c>
      <c r="AZ473" s="5" t="s">
        <v>145</v>
      </c>
      <c r="BA473" s="19" t="s">
        <v>2221</v>
      </c>
      <c r="BB473" s="17" t="s">
        <v>94</v>
      </c>
      <c r="BC473" s="5" t="s">
        <v>2194</v>
      </c>
      <c r="BD473" s="5" t="s">
        <v>2195</v>
      </c>
    </row>
    <row r="474" spans="1:56" ht="108" hidden="1" x14ac:dyDescent="0.25">
      <c r="A474" s="78" t="s">
        <v>2186</v>
      </c>
      <c r="B474" s="5" t="s">
        <v>433</v>
      </c>
      <c r="C474" s="5" t="s">
        <v>3293</v>
      </c>
      <c r="D474" s="5" t="s">
        <v>252</v>
      </c>
      <c r="E474" s="99" t="str">
        <f>VLOOKUP(D474,'Dropdown List'!$F$26:$G$40,2,0)</f>
        <v>India</v>
      </c>
      <c r="F474" s="8" t="s">
        <v>2187</v>
      </c>
      <c r="G474" s="96">
        <v>5</v>
      </c>
      <c r="H474" s="5" t="s">
        <v>57</v>
      </c>
      <c r="I474" s="8" t="s">
        <v>58</v>
      </c>
      <c r="J474" s="8" t="s">
        <v>146</v>
      </c>
      <c r="K474" s="8" t="s">
        <v>147</v>
      </c>
      <c r="L474" s="8" t="s">
        <v>2242</v>
      </c>
      <c r="M474" s="8" t="s">
        <v>2243</v>
      </c>
      <c r="N474" s="5" t="s">
        <v>1034</v>
      </c>
      <c r="O474" s="5" t="s">
        <v>269</v>
      </c>
      <c r="P474" s="5" t="s">
        <v>2239</v>
      </c>
      <c r="Q474" s="9" t="s">
        <v>75</v>
      </c>
      <c r="R474" s="5" t="s">
        <v>76</v>
      </c>
      <c r="S474" s="5" t="s">
        <v>90</v>
      </c>
      <c r="T474" s="96">
        <v>2</v>
      </c>
      <c r="U474" s="96">
        <v>1</v>
      </c>
      <c r="V474" s="96">
        <v>4</v>
      </c>
      <c r="W474" s="5" t="s">
        <v>91</v>
      </c>
      <c r="X474" s="10" t="s">
        <v>79</v>
      </c>
      <c r="Y474" s="11">
        <v>25347.49</v>
      </c>
      <c r="Z474" s="12">
        <v>0.1</v>
      </c>
      <c r="AA474" s="12">
        <v>0</v>
      </c>
      <c r="AB474" s="12">
        <v>0</v>
      </c>
      <c r="AC474" s="13">
        <v>0.1</v>
      </c>
      <c r="AD474" s="14">
        <f t="shared" si="16"/>
        <v>0.2</v>
      </c>
      <c r="AE474" s="15">
        <f t="shared" si="17"/>
        <v>0.5</v>
      </c>
      <c r="AF474" s="16">
        <v>189</v>
      </c>
      <c r="AG474" s="16" t="s">
        <v>66</v>
      </c>
      <c r="AH474" s="17" t="s">
        <v>66</v>
      </c>
      <c r="AI474" s="18">
        <v>5</v>
      </c>
      <c r="AJ474" s="19">
        <v>0.98540000000000005</v>
      </c>
      <c r="AK474" s="20">
        <v>0.9869</v>
      </c>
      <c r="AL474" s="17" t="s">
        <v>92</v>
      </c>
      <c r="AM474" s="5" t="s">
        <v>66</v>
      </c>
      <c r="AN474" s="5" t="s">
        <v>66</v>
      </c>
      <c r="AO474" s="5" t="s">
        <v>595</v>
      </c>
      <c r="AP474" s="5" t="s">
        <v>595</v>
      </c>
      <c r="AQ474" s="5" t="s">
        <v>66</v>
      </c>
      <c r="AR474" s="5" t="s">
        <v>595</v>
      </c>
      <c r="AS474" s="5" t="s">
        <v>595</v>
      </c>
      <c r="AT474" s="5" t="s">
        <v>595</v>
      </c>
      <c r="AU474" s="5" t="s">
        <v>595</v>
      </c>
      <c r="AV474" s="5" t="s">
        <v>595</v>
      </c>
      <c r="AW474" s="5" t="s">
        <v>595</v>
      </c>
      <c r="AX474" s="5" t="s">
        <v>222</v>
      </c>
      <c r="AY474" s="5" t="s">
        <v>94</v>
      </c>
      <c r="AZ474" s="5" t="s">
        <v>80</v>
      </c>
      <c r="BA474" s="19" t="s">
        <v>2193</v>
      </c>
      <c r="BB474" s="17" t="s">
        <v>94</v>
      </c>
      <c r="BC474" s="5" t="s">
        <v>2194</v>
      </c>
      <c r="BD474" s="5" t="s">
        <v>2223</v>
      </c>
    </row>
    <row r="475" spans="1:56" ht="36" hidden="1" x14ac:dyDescent="0.25">
      <c r="A475" s="78" t="s">
        <v>2186</v>
      </c>
      <c r="B475" s="5" t="s">
        <v>433</v>
      </c>
      <c r="C475" s="5" t="s">
        <v>3293</v>
      </c>
      <c r="D475" s="5" t="s">
        <v>252</v>
      </c>
      <c r="E475" s="99" t="str">
        <f>VLOOKUP(D475,'Dropdown List'!$F$26:$G$40,2,0)</f>
        <v>India</v>
      </c>
      <c r="F475" s="8" t="s">
        <v>2187</v>
      </c>
      <c r="G475" s="96">
        <v>5</v>
      </c>
      <c r="H475" s="5" t="s">
        <v>57</v>
      </c>
      <c r="I475" s="8" t="s">
        <v>58</v>
      </c>
      <c r="J475" s="8" t="s">
        <v>146</v>
      </c>
      <c r="K475" s="8" t="s">
        <v>147</v>
      </c>
      <c r="L475" s="8" t="s">
        <v>2244</v>
      </c>
      <c r="M475" s="8" t="s">
        <v>2245</v>
      </c>
      <c r="N475" s="5" t="s">
        <v>1034</v>
      </c>
      <c r="O475" s="5" t="s">
        <v>269</v>
      </c>
      <c r="P475" s="5" t="s">
        <v>2239</v>
      </c>
      <c r="Q475" s="9" t="s">
        <v>75</v>
      </c>
      <c r="R475" s="5" t="s">
        <v>76</v>
      </c>
      <c r="S475" s="5" t="s">
        <v>90</v>
      </c>
      <c r="T475" s="96">
        <v>2</v>
      </c>
      <c r="U475" s="96">
        <v>1</v>
      </c>
      <c r="V475" s="96">
        <v>4</v>
      </c>
      <c r="W475" s="5" t="s">
        <v>91</v>
      </c>
      <c r="X475" s="10" t="s">
        <v>79</v>
      </c>
      <c r="Y475" s="11">
        <v>25347.49</v>
      </c>
      <c r="Z475" s="12">
        <v>0.73</v>
      </c>
      <c r="AA475" s="12">
        <v>0</v>
      </c>
      <c r="AB475" s="12">
        <v>0</v>
      </c>
      <c r="AC475" s="13">
        <v>0.1</v>
      </c>
      <c r="AD475" s="14">
        <f t="shared" si="16"/>
        <v>0.83</v>
      </c>
      <c r="AE475" s="15">
        <f t="shared" si="17"/>
        <v>0.12048192771084339</v>
      </c>
      <c r="AF475" s="16">
        <v>672</v>
      </c>
      <c r="AG475" s="16" t="s">
        <v>66</v>
      </c>
      <c r="AH475" s="17" t="s">
        <v>66</v>
      </c>
      <c r="AI475" s="18">
        <v>17</v>
      </c>
      <c r="AJ475" s="19">
        <v>0.98540000000000005</v>
      </c>
      <c r="AK475" s="20">
        <v>0.9869</v>
      </c>
      <c r="AL475" s="17" t="s">
        <v>92</v>
      </c>
      <c r="AM475" s="5" t="s">
        <v>66</v>
      </c>
      <c r="AN475" s="5" t="s">
        <v>66</v>
      </c>
      <c r="AO475" s="5" t="s">
        <v>595</v>
      </c>
      <c r="AP475" s="5" t="s">
        <v>595</v>
      </c>
      <c r="AQ475" s="5" t="s">
        <v>66</v>
      </c>
      <c r="AR475" s="5" t="s">
        <v>595</v>
      </c>
      <c r="AS475" s="5" t="s">
        <v>595</v>
      </c>
      <c r="AT475" s="5" t="s">
        <v>595</v>
      </c>
      <c r="AU475" s="5" t="s">
        <v>595</v>
      </c>
      <c r="AV475" s="5" t="s">
        <v>595</v>
      </c>
      <c r="AW475" s="5" t="s">
        <v>595</v>
      </c>
      <c r="AX475" s="5" t="s">
        <v>2192</v>
      </c>
      <c r="AY475" s="5" t="s">
        <v>110</v>
      </c>
      <c r="AZ475" s="5" t="s">
        <v>145</v>
      </c>
      <c r="BA475" s="19" t="s">
        <v>2221</v>
      </c>
      <c r="BB475" s="17" t="s">
        <v>94</v>
      </c>
      <c r="BC475" s="5" t="s">
        <v>2194</v>
      </c>
      <c r="BD475" s="5" t="s">
        <v>2195</v>
      </c>
    </row>
    <row r="476" spans="1:56" ht="24" hidden="1" x14ac:dyDescent="0.25">
      <c r="A476" s="78" t="s">
        <v>2186</v>
      </c>
      <c r="B476" s="5" t="s">
        <v>433</v>
      </c>
      <c r="C476" s="5" t="s">
        <v>3293</v>
      </c>
      <c r="D476" s="5" t="s">
        <v>252</v>
      </c>
      <c r="E476" s="99" t="str">
        <f>VLOOKUP(D476,'Dropdown List'!$F$26:$G$40,2,0)</f>
        <v>India</v>
      </c>
      <c r="F476" s="8" t="s">
        <v>2187</v>
      </c>
      <c r="G476" s="96">
        <v>5</v>
      </c>
      <c r="H476" s="5" t="s">
        <v>57</v>
      </c>
      <c r="I476" s="8" t="s">
        <v>58</v>
      </c>
      <c r="J476" s="8" t="s">
        <v>146</v>
      </c>
      <c r="K476" s="8" t="s">
        <v>147</v>
      </c>
      <c r="L476" s="8" t="s">
        <v>3315</v>
      </c>
      <c r="M476" s="8" t="s">
        <v>2246</v>
      </c>
      <c r="N476" s="5" t="s">
        <v>1034</v>
      </c>
      <c r="O476" s="5" t="s">
        <v>61</v>
      </c>
      <c r="P476" s="5" t="s">
        <v>2239</v>
      </c>
      <c r="Q476" s="9" t="s">
        <v>75</v>
      </c>
      <c r="R476" s="5" t="s">
        <v>76</v>
      </c>
      <c r="S476" s="5" t="s">
        <v>90</v>
      </c>
      <c r="T476" s="96">
        <v>2</v>
      </c>
      <c r="U476" s="96">
        <v>1</v>
      </c>
      <c r="V476" s="96">
        <v>4</v>
      </c>
      <c r="W476" s="5" t="s">
        <v>91</v>
      </c>
      <c r="X476" s="10" t="s">
        <v>79</v>
      </c>
      <c r="Y476" s="11">
        <v>25347.49</v>
      </c>
      <c r="Z476" s="12">
        <v>0.1</v>
      </c>
      <c r="AA476" s="12">
        <v>0</v>
      </c>
      <c r="AB476" s="12">
        <v>0</v>
      </c>
      <c r="AC476" s="13">
        <v>0.1</v>
      </c>
      <c r="AD476" s="14">
        <f t="shared" si="16"/>
        <v>0.2</v>
      </c>
      <c r="AE476" s="15">
        <f t="shared" si="17"/>
        <v>0.5</v>
      </c>
      <c r="AF476" s="16">
        <v>27</v>
      </c>
      <c r="AG476" s="16" t="s">
        <v>66</v>
      </c>
      <c r="AH476" s="17" t="s">
        <v>66</v>
      </c>
      <c r="AI476" s="18">
        <v>15</v>
      </c>
      <c r="AJ476" s="19">
        <v>0.98540000000000005</v>
      </c>
      <c r="AK476" s="20">
        <v>0.9869</v>
      </c>
      <c r="AL476" s="17" t="s">
        <v>92</v>
      </c>
      <c r="AM476" s="5" t="s">
        <v>66</v>
      </c>
      <c r="AN476" s="5" t="s">
        <v>66</v>
      </c>
      <c r="AO476" s="5" t="s">
        <v>595</v>
      </c>
      <c r="AP476" s="5" t="s">
        <v>595</v>
      </c>
      <c r="AQ476" s="5" t="s">
        <v>66</v>
      </c>
      <c r="AR476" s="5" t="s">
        <v>595</v>
      </c>
      <c r="AS476" s="5" t="s">
        <v>595</v>
      </c>
      <c r="AT476" s="5" t="s">
        <v>595</v>
      </c>
      <c r="AU476" s="5" t="s">
        <v>595</v>
      </c>
      <c r="AV476" s="5" t="s">
        <v>595</v>
      </c>
      <c r="AW476" s="5" t="s">
        <v>595</v>
      </c>
      <c r="AX476" s="5" t="s">
        <v>2247</v>
      </c>
      <c r="AY476" s="5" t="s">
        <v>110</v>
      </c>
      <c r="AZ476" s="5" t="s">
        <v>80</v>
      </c>
      <c r="BA476" s="19" t="s">
        <v>2221</v>
      </c>
      <c r="BB476" s="17" t="s">
        <v>94</v>
      </c>
      <c r="BC476" s="5" t="s">
        <v>2194</v>
      </c>
      <c r="BD476" s="5" t="s">
        <v>2223</v>
      </c>
    </row>
    <row r="477" spans="1:56" ht="36" hidden="1" x14ac:dyDescent="0.25">
      <c r="A477" s="78" t="s">
        <v>2186</v>
      </c>
      <c r="B477" s="5" t="s">
        <v>433</v>
      </c>
      <c r="C477" s="5" t="s">
        <v>3293</v>
      </c>
      <c r="D477" s="5" t="s">
        <v>252</v>
      </c>
      <c r="E477" s="99" t="str">
        <f>VLOOKUP(D477,'Dropdown List'!$F$26:$G$40,2,0)</f>
        <v>India</v>
      </c>
      <c r="F477" s="8" t="s">
        <v>2187</v>
      </c>
      <c r="G477" s="96">
        <v>5</v>
      </c>
      <c r="H477" s="5" t="s">
        <v>57</v>
      </c>
      <c r="I477" s="8" t="s">
        <v>58</v>
      </c>
      <c r="J477" s="8" t="s">
        <v>146</v>
      </c>
      <c r="K477" s="8" t="s">
        <v>2248</v>
      </c>
      <c r="L477" s="8" t="s">
        <v>2249</v>
      </c>
      <c r="M477" s="8" t="s">
        <v>2250</v>
      </c>
      <c r="N477" s="5" t="s">
        <v>1034</v>
      </c>
      <c r="O477" s="5" t="s">
        <v>61</v>
      </c>
      <c r="P477" s="5" t="s">
        <v>2191</v>
      </c>
      <c r="Q477" s="9" t="s">
        <v>75</v>
      </c>
      <c r="R477" s="5" t="s">
        <v>76</v>
      </c>
      <c r="S477" s="5" t="s">
        <v>90</v>
      </c>
      <c r="T477" s="96">
        <v>2</v>
      </c>
      <c r="U477" s="96">
        <v>1</v>
      </c>
      <c r="V477" s="96">
        <v>4</v>
      </c>
      <c r="W477" s="5" t="s">
        <v>91</v>
      </c>
      <c r="X477" s="10" t="s">
        <v>79</v>
      </c>
      <c r="Y477" s="11">
        <v>25347.49</v>
      </c>
      <c r="Z477" s="12">
        <v>1.5</v>
      </c>
      <c r="AA477" s="12">
        <v>0</v>
      </c>
      <c r="AB477" s="12">
        <v>0.1</v>
      </c>
      <c r="AC477" s="13">
        <v>0.1</v>
      </c>
      <c r="AD477" s="14">
        <f t="shared" si="16"/>
        <v>1.7000000000000002</v>
      </c>
      <c r="AE477" s="15">
        <f t="shared" si="17"/>
        <v>5.8823529411764705E-2</v>
      </c>
      <c r="AF477" s="16">
        <v>611</v>
      </c>
      <c r="AG477" s="16" t="s">
        <v>66</v>
      </c>
      <c r="AH477" s="17" t="s">
        <v>66</v>
      </c>
      <c r="AI477" s="18">
        <v>10</v>
      </c>
      <c r="AJ477" s="19">
        <v>0.98609999999999998</v>
      </c>
      <c r="AK477" s="20">
        <v>0.98540000000000005</v>
      </c>
      <c r="AL477" s="17" t="s">
        <v>92</v>
      </c>
      <c r="AM477" s="5" t="s">
        <v>66</v>
      </c>
      <c r="AN477" s="5" t="s">
        <v>66</v>
      </c>
      <c r="AO477" s="5" t="s">
        <v>595</v>
      </c>
      <c r="AP477" s="5" t="s">
        <v>595</v>
      </c>
      <c r="AQ477" s="5" t="s">
        <v>66</v>
      </c>
      <c r="AR477" s="5" t="s">
        <v>595</v>
      </c>
      <c r="AS477" s="5" t="s">
        <v>595</v>
      </c>
      <c r="AT477" s="5" t="s">
        <v>595</v>
      </c>
      <c r="AU477" s="5" t="s">
        <v>595</v>
      </c>
      <c r="AV477" s="5" t="s">
        <v>595</v>
      </c>
      <c r="AW477" s="5" t="s">
        <v>595</v>
      </c>
      <c r="AX477" s="5" t="s">
        <v>2206</v>
      </c>
      <c r="AY477" s="5" t="s">
        <v>94</v>
      </c>
      <c r="AZ477" s="5" t="s">
        <v>80</v>
      </c>
      <c r="BA477" s="19" t="s">
        <v>2193</v>
      </c>
      <c r="BB477" s="17" t="s">
        <v>94</v>
      </c>
      <c r="BC477" s="5" t="s">
        <v>2206</v>
      </c>
      <c r="BD477" s="5" t="s">
        <v>2251</v>
      </c>
    </row>
    <row r="478" spans="1:56" ht="36" hidden="1" x14ac:dyDescent="0.25">
      <c r="A478" s="78" t="s">
        <v>2186</v>
      </c>
      <c r="B478" s="5" t="s">
        <v>433</v>
      </c>
      <c r="C478" s="5" t="s">
        <v>3293</v>
      </c>
      <c r="D478" s="5" t="s">
        <v>252</v>
      </c>
      <c r="E478" s="99" t="str">
        <f>VLOOKUP(D478,'Dropdown List'!$F$26:$G$40,2,0)</f>
        <v>India</v>
      </c>
      <c r="F478" s="8" t="s">
        <v>2187</v>
      </c>
      <c r="G478" s="96">
        <v>5</v>
      </c>
      <c r="H478" s="5" t="s">
        <v>57</v>
      </c>
      <c r="I478" s="8" t="s">
        <v>58</v>
      </c>
      <c r="J478" s="8" t="s">
        <v>163</v>
      </c>
      <c r="K478" s="8" t="s">
        <v>1050</v>
      </c>
      <c r="L478" s="8" t="s">
        <v>2252</v>
      </c>
      <c r="M478" s="8" t="s">
        <v>2253</v>
      </c>
      <c r="N478" s="5" t="s">
        <v>1034</v>
      </c>
      <c r="O478" s="5" t="s">
        <v>61</v>
      </c>
      <c r="P478" s="5" t="s">
        <v>2226</v>
      </c>
      <c r="Q478" s="9" t="s">
        <v>75</v>
      </c>
      <c r="R478" s="5" t="s">
        <v>76</v>
      </c>
      <c r="S478" s="5" t="s">
        <v>90</v>
      </c>
      <c r="T478" s="96">
        <v>2</v>
      </c>
      <c r="U478" s="96">
        <v>1</v>
      </c>
      <c r="V478" s="96">
        <v>4</v>
      </c>
      <c r="W478" s="5" t="s">
        <v>91</v>
      </c>
      <c r="X478" s="10" t="s">
        <v>79</v>
      </c>
      <c r="Y478" s="11">
        <v>25347.49</v>
      </c>
      <c r="Z478" s="12">
        <v>2.83</v>
      </c>
      <c r="AA478" s="12">
        <v>0</v>
      </c>
      <c r="AB478" s="12">
        <v>0.1</v>
      </c>
      <c r="AC478" s="13">
        <v>0.1</v>
      </c>
      <c r="AD478" s="14">
        <f t="shared" si="16"/>
        <v>3.0300000000000002</v>
      </c>
      <c r="AE478" s="15">
        <f t="shared" si="17"/>
        <v>3.3003300330033E-2</v>
      </c>
      <c r="AF478" s="16">
        <v>4560</v>
      </c>
      <c r="AG478" s="16" t="s">
        <v>66</v>
      </c>
      <c r="AH478" s="17" t="s">
        <v>66</v>
      </c>
      <c r="AI478" s="18">
        <v>2</v>
      </c>
      <c r="AJ478" s="19">
        <v>0.98609999999999998</v>
      </c>
      <c r="AK478" s="20">
        <v>0.98540000000000005</v>
      </c>
      <c r="AL478" s="17" t="s">
        <v>92</v>
      </c>
      <c r="AM478" s="5" t="s">
        <v>66</v>
      </c>
      <c r="AN478" s="5" t="s">
        <v>66</v>
      </c>
      <c r="AO478" s="5" t="s">
        <v>595</v>
      </c>
      <c r="AP478" s="5" t="s">
        <v>595</v>
      </c>
      <c r="AQ478" s="5" t="s">
        <v>66</v>
      </c>
      <c r="AR478" s="5" t="s">
        <v>595</v>
      </c>
      <c r="AS478" s="5" t="s">
        <v>595</v>
      </c>
      <c r="AT478" s="5" t="s">
        <v>595</v>
      </c>
      <c r="AU478" s="5" t="s">
        <v>595</v>
      </c>
      <c r="AV478" s="5" t="s">
        <v>595</v>
      </c>
      <c r="AW478" s="5" t="s">
        <v>595</v>
      </c>
      <c r="AX478" s="5" t="s">
        <v>2206</v>
      </c>
      <c r="AY478" s="5" t="s">
        <v>110</v>
      </c>
      <c r="AZ478" s="5" t="s">
        <v>80</v>
      </c>
      <c r="BA478" s="19" t="s">
        <v>2221</v>
      </c>
      <c r="BB478" s="17" t="s">
        <v>94</v>
      </c>
      <c r="BC478" s="5" t="s">
        <v>2206</v>
      </c>
      <c r="BD478" s="5" t="s">
        <v>2223</v>
      </c>
    </row>
    <row r="479" spans="1:56" ht="36" hidden="1" x14ac:dyDescent="0.25">
      <c r="A479" s="78" t="s">
        <v>2186</v>
      </c>
      <c r="B479" s="5" t="s">
        <v>433</v>
      </c>
      <c r="C479" s="5" t="s">
        <v>3293</v>
      </c>
      <c r="D479" s="5" t="s">
        <v>252</v>
      </c>
      <c r="E479" s="99" t="str">
        <f>VLOOKUP(D479,'Dropdown List'!$F$26:$G$40,2,0)</f>
        <v>India</v>
      </c>
      <c r="F479" s="8" t="s">
        <v>2187</v>
      </c>
      <c r="G479" s="96">
        <v>5</v>
      </c>
      <c r="H479" s="5" t="s">
        <v>85</v>
      </c>
      <c r="I479" s="8" t="s">
        <v>58</v>
      </c>
      <c r="J479" s="8" t="s">
        <v>146</v>
      </c>
      <c r="K479" s="8" t="s">
        <v>1752</v>
      </c>
      <c r="L479" s="8" t="s">
        <v>2254</v>
      </c>
      <c r="M479" s="8" t="s">
        <v>2255</v>
      </c>
      <c r="N479" s="5" t="s">
        <v>1034</v>
      </c>
      <c r="O479" s="5" t="s">
        <v>61</v>
      </c>
      <c r="P479" s="5" t="s">
        <v>2191</v>
      </c>
      <c r="Q479" s="9" t="s">
        <v>75</v>
      </c>
      <c r="R479" s="5" t="s">
        <v>76</v>
      </c>
      <c r="S479" s="5" t="s">
        <v>90</v>
      </c>
      <c r="T479" s="96">
        <v>2</v>
      </c>
      <c r="U479" s="96">
        <v>1</v>
      </c>
      <c r="V479" s="96">
        <v>4</v>
      </c>
      <c r="W479" s="5" t="s">
        <v>91</v>
      </c>
      <c r="X479" s="10" t="s">
        <v>79</v>
      </c>
      <c r="Y479" s="11">
        <v>25347.49</v>
      </c>
      <c r="Z479" s="12">
        <v>0</v>
      </c>
      <c r="AA479" s="12">
        <v>0</v>
      </c>
      <c r="AB479" s="12">
        <v>0</v>
      </c>
      <c r="AC479" s="13">
        <v>0</v>
      </c>
      <c r="AD479" s="14">
        <f t="shared" si="16"/>
        <v>0</v>
      </c>
      <c r="AE479" s="15" t="e">
        <f t="shared" si="17"/>
        <v>#DIV/0!</v>
      </c>
      <c r="AF479" s="16">
        <v>0</v>
      </c>
      <c r="AG479" s="16" t="s">
        <v>66</v>
      </c>
      <c r="AH479" s="17" t="s">
        <v>2256</v>
      </c>
      <c r="AI479" s="18">
        <v>3</v>
      </c>
      <c r="AJ479" s="19">
        <v>0.98609999999999998</v>
      </c>
      <c r="AK479" s="20">
        <v>0.98540000000000005</v>
      </c>
      <c r="AL479" s="17" t="s">
        <v>92</v>
      </c>
      <c r="AM479" s="5" t="s">
        <v>66</v>
      </c>
      <c r="AN479" s="5" t="s">
        <v>66</v>
      </c>
      <c r="AO479" s="5" t="s">
        <v>595</v>
      </c>
      <c r="AP479" s="5" t="s">
        <v>595</v>
      </c>
      <c r="AQ479" s="5" t="s">
        <v>66</v>
      </c>
      <c r="AR479" s="5" t="s">
        <v>595</v>
      </c>
      <c r="AS479" s="5" t="s">
        <v>595</v>
      </c>
      <c r="AT479" s="5" t="s">
        <v>595</v>
      </c>
      <c r="AU479" s="5" t="s">
        <v>595</v>
      </c>
      <c r="AV479" s="5" t="s">
        <v>595</v>
      </c>
      <c r="AW479" s="5" t="s">
        <v>595</v>
      </c>
      <c r="AX479" s="5" t="s">
        <v>2206</v>
      </c>
      <c r="AY479" s="5" t="s">
        <v>110</v>
      </c>
      <c r="AZ479" s="5" t="s">
        <v>80</v>
      </c>
      <c r="BA479" s="19" t="s">
        <v>2221</v>
      </c>
      <c r="BB479" s="17" t="s">
        <v>94</v>
      </c>
      <c r="BC479" s="5" t="s">
        <v>2206</v>
      </c>
      <c r="BD479" s="5" t="s">
        <v>2257</v>
      </c>
    </row>
    <row r="480" spans="1:56" ht="36" hidden="1" x14ac:dyDescent="0.25">
      <c r="A480" s="78" t="s">
        <v>2186</v>
      </c>
      <c r="B480" s="5" t="s">
        <v>433</v>
      </c>
      <c r="C480" s="5" t="s">
        <v>3293</v>
      </c>
      <c r="D480" s="5" t="s">
        <v>252</v>
      </c>
      <c r="E480" s="99" t="str">
        <f>VLOOKUP(D480,'Dropdown List'!$F$26:$G$40,2,0)</f>
        <v>India</v>
      </c>
      <c r="F480" s="8" t="s">
        <v>2187</v>
      </c>
      <c r="G480" s="96">
        <v>5</v>
      </c>
      <c r="H480" s="5" t="s">
        <v>57</v>
      </c>
      <c r="I480" s="8" t="s">
        <v>58</v>
      </c>
      <c r="J480" s="8" t="s">
        <v>396</v>
      </c>
      <c r="K480" s="8" t="s">
        <v>1355</v>
      </c>
      <c r="L480" s="8" t="s">
        <v>2258</v>
      </c>
      <c r="M480" s="8" t="s">
        <v>2259</v>
      </c>
      <c r="N480" s="5" t="s">
        <v>1034</v>
      </c>
      <c r="O480" s="5" t="s">
        <v>61</v>
      </c>
      <c r="P480" s="5" t="s">
        <v>2191</v>
      </c>
      <c r="Q480" s="9" t="s">
        <v>75</v>
      </c>
      <c r="R480" s="5" t="s">
        <v>76</v>
      </c>
      <c r="S480" s="5" t="s">
        <v>90</v>
      </c>
      <c r="T480" s="96">
        <v>2</v>
      </c>
      <c r="U480" s="96">
        <v>1</v>
      </c>
      <c r="V480" s="96">
        <v>4</v>
      </c>
      <c r="W480" s="5" t="s">
        <v>91</v>
      </c>
      <c r="X480" s="10" t="s">
        <v>79</v>
      </c>
      <c r="Y480" s="11">
        <v>25347.49</v>
      </c>
      <c r="Z480" s="12">
        <v>0.55000000000000004</v>
      </c>
      <c r="AA480" s="12">
        <v>0</v>
      </c>
      <c r="AB480" s="12">
        <v>0.1</v>
      </c>
      <c r="AC480" s="13">
        <v>0.1</v>
      </c>
      <c r="AD480" s="14">
        <f t="shared" si="16"/>
        <v>0.75</v>
      </c>
      <c r="AE480" s="15">
        <f t="shared" si="17"/>
        <v>0.13333333333333333</v>
      </c>
      <c r="AF480" s="16">
        <v>40</v>
      </c>
      <c r="AG480" s="16" t="s">
        <v>66</v>
      </c>
      <c r="AH480" s="17" t="s">
        <v>66</v>
      </c>
      <c r="AI480" s="18">
        <v>120</v>
      </c>
      <c r="AJ480" s="19">
        <v>0.9869</v>
      </c>
      <c r="AK480" s="20">
        <v>0.9869</v>
      </c>
      <c r="AL480" s="17" t="s">
        <v>92</v>
      </c>
      <c r="AM480" s="5" t="s">
        <v>66</v>
      </c>
      <c r="AN480" s="5" t="s">
        <v>66</v>
      </c>
      <c r="AO480" s="5" t="s">
        <v>595</v>
      </c>
      <c r="AP480" s="5" t="s">
        <v>595</v>
      </c>
      <c r="AQ480" s="5" t="s">
        <v>66</v>
      </c>
      <c r="AR480" s="5" t="s">
        <v>595</v>
      </c>
      <c r="AS480" s="5" t="s">
        <v>595</v>
      </c>
      <c r="AT480" s="5" t="s">
        <v>595</v>
      </c>
      <c r="AU480" s="5" t="s">
        <v>595</v>
      </c>
      <c r="AV480" s="5" t="s">
        <v>595</v>
      </c>
      <c r="AW480" s="5" t="s">
        <v>595</v>
      </c>
      <c r="AX480" s="5" t="s">
        <v>2247</v>
      </c>
      <c r="AY480" s="5" t="s">
        <v>110</v>
      </c>
      <c r="AZ480" s="5" t="s">
        <v>80</v>
      </c>
      <c r="BA480" s="19" t="s">
        <v>2221</v>
      </c>
      <c r="BB480" s="17" t="s">
        <v>94</v>
      </c>
      <c r="BC480" s="5" t="s">
        <v>2247</v>
      </c>
      <c r="BD480" s="5" t="s">
        <v>2260</v>
      </c>
    </row>
    <row r="481" spans="1:56" ht="36" hidden="1" x14ac:dyDescent="0.25">
      <c r="A481" s="78" t="s">
        <v>2186</v>
      </c>
      <c r="B481" s="5" t="s">
        <v>433</v>
      </c>
      <c r="C481" s="5" t="s">
        <v>3293</v>
      </c>
      <c r="D481" s="5" t="s">
        <v>56</v>
      </c>
      <c r="E481" s="99" t="str">
        <f>VLOOKUP(D481,'Dropdown List'!$F$26:$G$40,2,0)</f>
        <v>India</v>
      </c>
      <c r="F481" s="8" t="s">
        <v>2187</v>
      </c>
      <c r="G481" s="96">
        <v>5</v>
      </c>
      <c r="H481" s="5" t="s">
        <v>57</v>
      </c>
      <c r="I481" s="8" t="s">
        <v>58</v>
      </c>
      <c r="J481" s="8" t="s">
        <v>146</v>
      </c>
      <c r="K481" s="8" t="s">
        <v>147</v>
      </c>
      <c r="L481" s="8" t="s">
        <v>2261</v>
      </c>
      <c r="M481" s="8" t="s">
        <v>2262</v>
      </c>
      <c r="N481" s="5" t="s">
        <v>1034</v>
      </c>
      <c r="O481" s="5" t="s">
        <v>1069</v>
      </c>
      <c r="P481" s="5" t="s">
        <v>1069</v>
      </c>
      <c r="Q481" s="9" t="s">
        <v>75</v>
      </c>
      <c r="R481" s="5" t="s">
        <v>76</v>
      </c>
      <c r="S481" s="5" t="s">
        <v>90</v>
      </c>
      <c r="T481" s="96">
        <v>2</v>
      </c>
      <c r="U481" s="96">
        <v>1</v>
      </c>
      <c r="V481" s="96">
        <v>4</v>
      </c>
      <c r="W481" s="5" t="s">
        <v>91</v>
      </c>
      <c r="X481" s="10" t="s">
        <v>79</v>
      </c>
      <c r="Y481" s="11">
        <v>25347.49</v>
      </c>
      <c r="Z481" s="12">
        <v>1.07</v>
      </c>
      <c r="AA481" s="12">
        <v>0</v>
      </c>
      <c r="AB481" s="12">
        <v>0.1</v>
      </c>
      <c r="AC481" s="13">
        <v>0.1</v>
      </c>
      <c r="AD481" s="14">
        <f t="shared" si="16"/>
        <v>1.2700000000000002</v>
      </c>
      <c r="AE481" s="15">
        <f t="shared" si="17"/>
        <v>7.8740157480314946E-2</v>
      </c>
      <c r="AF481" s="16">
        <v>882</v>
      </c>
      <c r="AG481" s="16" t="s">
        <v>66</v>
      </c>
      <c r="AH481" s="17" t="s">
        <v>66</v>
      </c>
      <c r="AI481" s="18">
        <v>5</v>
      </c>
      <c r="AJ481" s="19">
        <v>0.98540000000000005</v>
      </c>
      <c r="AK481" s="20">
        <v>0.9869</v>
      </c>
      <c r="AL481" s="17" t="s">
        <v>92</v>
      </c>
      <c r="AM481" s="5" t="s">
        <v>66</v>
      </c>
      <c r="AN481" s="5" t="s">
        <v>66</v>
      </c>
      <c r="AO481" s="5" t="s">
        <v>595</v>
      </c>
      <c r="AP481" s="5" t="s">
        <v>595</v>
      </c>
      <c r="AQ481" s="5" t="s">
        <v>66</v>
      </c>
      <c r="AR481" s="5" t="s">
        <v>595</v>
      </c>
      <c r="AS481" s="5" t="s">
        <v>595</v>
      </c>
      <c r="AT481" s="5" t="s">
        <v>595</v>
      </c>
      <c r="AU481" s="5" t="s">
        <v>595</v>
      </c>
      <c r="AV481" s="5" t="s">
        <v>595</v>
      </c>
      <c r="AW481" s="5" t="s">
        <v>595</v>
      </c>
      <c r="AX481" s="5" t="s">
        <v>2220</v>
      </c>
      <c r="AY481" s="5" t="s">
        <v>94</v>
      </c>
      <c r="AZ481" s="5" t="s">
        <v>80</v>
      </c>
      <c r="BA481" s="19" t="s">
        <v>2193</v>
      </c>
      <c r="BB481" s="17" t="s">
        <v>94</v>
      </c>
      <c r="BC481" s="5" t="s">
        <v>2220</v>
      </c>
      <c r="BD481" s="5" t="s">
        <v>2251</v>
      </c>
    </row>
    <row r="482" spans="1:56" ht="36" hidden="1" x14ac:dyDescent="0.25">
      <c r="A482" s="78" t="s">
        <v>2186</v>
      </c>
      <c r="B482" s="5" t="s">
        <v>433</v>
      </c>
      <c r="C482" s="5" t="s">
        <v>3293</v>
      </c>
      <c r="D482" s="5" t="s">
        <v>56</v>
      </c>
      <c r="E482" s="99" t="str">
        <f>VLOOKUP(D482,'Dropdown List'!$F$26:$G$40,2,0)</f>
        <v>India</v>
      </c>
      <c r="F482" s="8" t="s">
        <v>2187</v>
      </c>
      <c r="G482" s="96">
        <v>7</v>
      </c>
      <c r="H482" s="5" t="s">
        <v>57</v>
      </c>
      <c r="I482" s="8" t="s">
        <v>58</v>
      </c>
      <c r="J482" s="8" t="s">
        <v>881</v>
      </c>
      <c r="K482" s="8" t="s">
        <v>1055</v>
      </c>
      <c r="L482" s="8" t="s">
        <v>2263</v>
      </c>
      <c r="M482" s="8" t="s">
        <v>2264</v>
      </c>
      <c r="N482" s="5" t="s">
        <v>1034</v>
      </c>
      <c r="O482" s="5" t="s">
        <v>61</v>
      </c>
      <c r="P482" s="5" t="s">
        <v>2191</v>
      </c>
      <c r="Q482" s="9" t="s">
        <v>75</v>
      </c>
      <c r="R482" s="5" t="s">
        <v>76</v>
      </c>
      <c r="S482" s="5" t="s">
        <v>90</v>
      </c>
      <c r="T482" s="96">
        <v>2</v>
      </c>
      <c r="U482" s="96">
        <v>1</v>
      </c>
      <c r="V482" s="96">
        <v>4</v>
      </c>
      <c r="W482" s="5" t="s">
        <v>91</v>
      </c>
      <c r="X482" s="10" t="s">
        <v>79</v>
      </c>
      <c r="Y482" s="11">
        <v>25347.49</v>
      </c>
      <c r="Z482" s="12">
        <v>0.46032682285723642</v>
      </c>
      <c r="AA482" s="12">
        <v>0</v>
      </c>
      <c r="AB482" s="12">
        <v>0</v>
      </c>
      <c r="AC482" s="13">
        <v>0.1</v>
      </c>
      <c r="AD482" s="14">
        <f t="shared" si="16"/>
        <v>0.56032682285723645</v>
      </c>
      <c r="AE482" s="15">
        <f t="shared" si="17"/>
        <v>0.17846727288562916</v>
      </c>
      <c r="AF482" s="16">
        <v>1810</v>
      </c>
      <c r="AG482" s="16" t="s">
        <v>66</v>
      </c>
      <c r="AH482" s="17" t="s">
        <v>66</v>
      </c>
      <c r="AI482" s="18">
        <v>2.4</v>
      </c>
      <c r="AJ482" s="19">
        <v>0.9869</v>
      </c>
      <c r="AK482" s="20">
        <v>0.9869</v>
      </c>
      <c r="AL482" s="17" t="s">
        <v>92</v>
      </c>
      <c r="AM482" s="5" t="s">
        <v>66</v>
      </c>
      <c r="AN482" s="5" t="s">
        <v>66</v>
      </c>
      <c r="AO482" s="5" t="s">
        <v>595</v>
      </c>
      <c r="AP482" s="5" t="s">
        <v>595</v>
      </c>
      <c r="AQ482" s="5" t="s">
        <v>66</v>
      </c>
      <c r="AR482" s="5" t="s">
        <v>595</v>
      </c>
      <c r="AS482" s="5" t="s">
        <v>595</v>
      </c>
      <c r="AT482" s="5" t="s">
        <v>595</v>
      </c>
      <c r="AU482" s="5" t="s">
        <v>595</v>
      </c>
      <c r="AV482" s="5" t="s">
        <v>595</v>
      </c>
      <c r="AW482" s="5" t="s">
        <v>595</v>
      </c>
      <c r="AX482" s="5" t="s">
        <v>2206</v>
      </c>
      <c r="AY482" s="5" t="s">
        <v>94</v>
      </c>
      <c r="AZ482" s="5" t="s">
        <v>80</v>
      </c>
      <c r="BA482" s="19" t="s">
        <v>2193</v>
      </c>
      <c r="BB482" s="17" t="s">
        <v>94</v>
      </c>
      <c r="BC482" s="5" t="s">
        <v>2206</v>
      </c>
      <c r="BD482" s="5" t="s">
        <v>2217</v>
      </c>
    </row>
    <row r="483" spans="1:56" ht="48" hidden="1" x14ac:dyDescent="0.25">
      <c r="A483" s="78" t="s">
        <v>2186</v>
      </c>
      <c r="B483" s="5" t="s">
        <v>433</v>
      </c>
      <c r="C483" s="5" t="s">
        <v>3293</v>
      </c>
      <c r="D483" s="5" t="s">
        <v>56</v>
      </c>
      <c r="E483" s="99" t="str">
        <f>VLOOKUP(D483,'Dropdown List'!$F$26:$G$40,2,0)</f>
        <v>India</v>
      </c>
      <c r="F483" s="8" t="s">
        <v>2187</v>
      </c>
      <c r="G483" s="96">
        <v>7</v>
      </c>
      <c r="H483" s="5" t="s">
        <v>57</v>
      </c>
      <c r="I483" s="8" t="s">
        <v>58</v>
      </c>
      <c r="J483" s="8" t="s">
        <v>163</v>
      </c>
      <c r="K483" s="8" t="s">
        <v>1052</v>
      </c>
      <c r="L483" s="8" t="s">
        <v>2265</v>
      </c>
      <c r="M483" s="8" t="s">
        <v>2266</v>
      </c>
      <c r="N483" s="5" t="s">
        <v>1034</v>
      </c>
      <c r="O483" s="5" t="s">
        <v>89</v>
      </c>
      <c r="P483" s="5" t="s">
        <v>89</v>
      </c>
      <c r="Q483" s="9" t="s">
        <v>75</v>
      </c>
      <c r="R483" s="5" t="s">
        <v>76</v>
      </c>
      <c r="S483" s="5" t="s">
        <v>90</v>
      </c>
      <c r="T483" s="96">
        <v>2</v>
      </c>
      <c r="U483" s="96">
        <v>1</v>
      </c>
      <c r="V483" s="96">
        <v>4</v>
      </c>
      <c r="W483" s="5" t="s">
        <v>91</v>
      </c>
      <c r="X483" s="10" t="s">
        <v>79</v>
      </c>
      <c r="Y483" s="11">
        <v>25347.49</v>
      </c>
      <c r="Z483" s="12">
        <v>0.24239249756281389</v>
      </c>
      <c r="AA483" s="12">
        <v>0</v>
      </c>
      <c r="AB483" s="12">
        <v>0</v>
      </c>
      <c r="AC483" s="13">
        <v>0.1</v>
      </c>
      <c r="AD483" s="14">
        <f t="shared" si="16"/>
        <v>0.34239249756281387</v>
      </c>
      <c r="AE483" s="15">
        <f t="shared" si="17"/>
        <v>0.29206247424172732</v>
      </c>
      <c r="AF483" s="16">
        <v>476</v>
      </c>
      <c r="AG483" s="16" t="s">
        <v>66</v>
      </c>
      <c r="AH483" s="17" t="s">
        <v>66</v>
      </c>
      <c r="AI483" s="18">
        <v>1.5</v>
      </c>
      <c r="AJ483" s="19">
        <v>0.98540000000000005</v>
      </c>
      <c r="AK483" s="20">
        <v>0.9869</v>
      </c>
      <c r="AL483" s="17" t="s">
        <v>92</v>
      </c>
      <c r="AM483" s="5" t="s">
        <v>66</v>
      </c>
      <c r="AN483" s="5" t="s">
        <v>66</v>
      </c>
      <c r="AO483" s="5" t="s">
        <v>595</v>
      </c>
      <c r="AP483" s="5" t="s">
        <v>595</v>
      </c>
      <c r="AQ483" s="5" t="s">
        <v>66</v>
      </c>
      <c r="AR483" s="5" t="s">
        <v>595</v>
      </c>
      <c r="AS483" s="5" t="s">
        <v>595</v>
      </c>
      <c r="AT483" s="5" t="s">
        <v>595</v>
      </c>
      <c r="AU483" s="5" t="s">
        <v>595</v>
      </c>
      <c r="AV483" s="5" t="s">
        <v>595</v>
      </c>
      <c r="AW483" s="5" t="s">
        <v>595</v>
      </c>
      <c r="AX483" s="5" t="s">
        <v>2220</v>
      </c>
      <c r="AY483" s="5" t="s">
        <v>110</v>
      </c>
      <c r="AZ483" s="5" t="s">
        <v>80</v>
      </c>
      <c r="BA483" s="19" t="s">
        <v>2221</v>
      </c>
      <c r="BB483" s="17" t="s">
        <v>94</v>
      </c>
      <c r="BC483" s="5" t="s">
        <v>2220</v>
      </c>
      <c r="BD483" s="5" t="s">
        <v>2217</v>
      </c>
    </row>
    <row r="484" spans="1:56" ht="60" hidden="1" x14ac:dyDescent="0.25">
      <c r="A484" s="78" t="s">
        <v>2186</v>
      </c>
      <c r="B484" s="5" t="s">
        <v>433</v>
      </c>
      <c r="C484" s="5" t="s">
        <v>3293</v>
      </c>
      <c r="D484" s="5" t="s">
        <v>56</v>
      </c>
      <c r="E484" s="99" t="str">
        <f>VLOOKUP(D484,'Dropdown List'!$F$26:$G$40,2,0)</f>
        <v>India</v>
      </c>
      <c r="F484" s="8" t="s">
        <v>2187</v>
      </c>
      <c r="G484" s="96">
        <v>7</v>
      </c>
      <c r="H484" s="5" t="s">
        <v>57</v>
      </c>
      <c r="I484" s="8" t="s">
        <v>58</v>
      </c>
      <c r="J484" s="8" t="s">
        <v>146</v>
      </c>
      <c r="K484" s="8" t="s">
        <v>147</v>
      </c>
      <c r="L484" s="8" t="s">
        <v>2267</v>
      </c>
      <c r="M484" s="8" t="s">
        <v>2268</v>
      </c>
      <c r="N484" s="5" t="s">
        <v>1034</v>
      </c>
      <c r="O484" s="5" t="s">
        <v>61</v>
      </c>
      <c r="P484" s="5" t="s">
        <v>2191</v>
      </c>
      <c r="Q484" s="9" t="s">
        <v>75</v>
      </c>
      <c r="R484" s="5" t="s">
        <v>76</v>
      </c>
      <c r="S484" s="5" t="s">
        <v>90</v>
      </c>
      <c r="T484" s="96">
        <v>2</v>
      </c>
      <c r="U484" s="96">
        <v>1</v>
      </c>
      <c r="V484" s="96">
        <v>4</v>
      </c>
      <c r="W484" s="5" t="s">
        <v>91</v>
      </c>
      <c r="X484" s="10" t="s">
        <v>79</v>
      </c>
      <c r="Y484" s="11">
        <v>25347.49</v>
      </c>
      <c r="Z484" s="12">
        <v>1.79</v>
      </c>
      <c r="AA484" s="12">
        <v>0.5</v>
      </c>
      <c r="AB484" s="12">
        <v>0.1</v>
      </c>
      <c r="AC484" s="13">
        <v>0.1</v>
      </c>
      <c r="AD484" s="14">
        <f t="shared" si="16"/>
        <v>2.4900000000000002</v>
      </c>
      <c r="AE484" s="15">
        <f t="shared" si="17"/>
        <v>4.0160642570281124E-2</v>
      </c>
      <c r="AF484" s="16">
        <v>2492</v>
      </c>
      <c r="AG484" s="16" t="s">
        <v>66</v>
      </c>
      <c r="AH484" s="17" t="s">
        <v>66</v>
      </c>
      <c r="AI484" s="18">
        <v>6.7</v>
      </c>
      <c r="AJ484" s="19">
        <v>0.9869</v>
      </c>
      <c r="AK484" s="20">
        <v>0.9869</v>
      </c>
      <c r="AL484" s="17" t="s">
        <v>92</v>
      </c>
      <c r="AM484" s="5" t="s">
        <v>66</v>
      </c>
      <c r="AN484" s="5" t="s">
        <v>66</v>
      </c>
      <c r="AO484" s="5" t="s">
        <v>595</v>
      </c>
      <c r="AP484" s="5" t="s">
        <v>595</v>
      </c>
      <c r="AQ484" s="5" t="s">
        <v>66</v>
      </c>
      <c r="AR484" s="5" t="s">
        <v>595</v>
      </c>
      <c r="AS484" s="5" t="s">
        <v>595</v>
      </c>
      <c r="AT484" s="5" t="s">
        <v>595</v>
      </c>
      <c r="AU484" s="5" t="s">
        <v>595</v>
      </c>
      <c r="AV484" s="5" t="s">
        <v>595</v>
      </c>
      <c r="AW484" s="5" t="s">
        <v>595</v>
      </c>
      <c r="AX484" s="5" t="s">
        <v>2220</v>
      </c>
      <c r="AY484" s="5" t="s">
        <v>110</v>
      </c>
      <c r="AZ484" s="5" t="s">
        <v>80</v>
      </c>
      <c r="BA484" s="19" t="s">
        <v>2221</v>
      </c>
      <c r="BB484" s="17" t="s">
        <v>94</v>
      </c>
      <c r="BC484" s="5" t="s">
        <v>2220</v>
      </c>
      <c r="BD484" s="5" t="s">
        <v>2217</v>
      </c>
    </row>
    <row r="485" spans="1:56" ht="36" hidden="1" x14ac:dyDescent="0.25">
      <c r="A485" s="78" t="s">
        <v>2186</v>
      </c>
      <c r="B485" s="5" t="s">
        <v>433</v>
      </c>
      <c r="C485" s="5" t="s">
        <v>3293</v>
      </c>
      <c r="D485" s="5" t="s">
        <v>56</v>
      </c>
      <c r="E485" s="99" t="str">
        <f>VLOOKUP(D485,'Dropdown List'!$F$26:$G$40,2,0)</f>
        <v>India</v>
      </c>
      <c r="F485" s="8" t="s">
        <v>2187</v>
      </c>
      <c r="G485" s="96">
        <v>7</v>
      </c>
      <c r="H485" s="5" t="s">
        <v>57</v>
      </c>
      <c r="I485" s="8" t="s">
        <v>58</v>
      </c>
      <c r="J485" s="8" t="s">
        <v>146</v>
      </c>
      <c r="K485" s="8" t="s">
        <v>1367</v>
      </c>
      <c r="L485" s="8" t="s">
        <v>2269</v>
      </c>
      <c r="M485" s="8" t="s">
        <v>2270</v>
      </c>
      <c r="N485" s="5" t="s">
        <v>1034</v>
      </c>
      <c r="O485" s="5" t="s">
        <v>61</v>
      </c>
      <c r="P485" s="5" t="s">
        <v>2191</v>
      </c>
      <c r="Q485" s="9" t="s">
        <v>75</v>
      </c>
      <c r="R485" s="5" t="s">
        <v>76</v>
      </c>
      <c r="S485" s="5" t="s">
        <v>90</v>
      </c>
      <c r="T485" s="96">
        <v>2</v>
      </c>
      <c r="U485" s="96">
        <v>1</v>
      </c>
      <c r="V485" s="96">
        <v>4</v>
      </c>
      <c r="W485" s="5" t="s">
        <v>91</v>
      </c>
      <c r="X485" s="10" t="s">
        <v>79</v>
      </c>
      <c r="Y485" s="11">
        <v>25347.49</v>
      </c>
      <c r="Z485" s="12">
        <v>1.27</v>
      </c>
      <c r="AA485" s="12">
        <v>0</v>
      </c>
      <c r="AB485" s="12">
        <v>0.1</v>
      </c>
      <c r="AC485" s="13">
        <v>0.1</v>
      </c>
      <c r="AD485" s="14">
        <f t="shared" si="16"/>
        <v>1.4700000000000002</v>
      </c>
      <c r="AE485" s="15">
        <f t="shared" si="17"/>
        <v>6.8027210884353734E-2</v>
      </c>
      <c r="AF485" s="16">
        <v>7542</v>
      </c>
      <c r="AG485" s="16" t="s">
        <v>66</v>
      </c>
      <c r="AH485" s="17" t="s">
        <v>66</v>
      </c>
      <c r="AI485" s="18">
        <v>1.88</v>
      </c>
      <c r="AJ485" s="19">
        <v>0.98609999999999998</v>
      </c>
      <c r="AK485" s="20">
        <v>0.98540000000000005</v>
      </c>
      <c r="AL485" s="17" t="s">
        <v>92</v>
      </c>
      <c r="AM485" s="5" t="s">
        <v>66</v>
      </c>
      <c r="AN485" s="5" t="s">
        <v>66</v>
      </c>
      <c r="AO485" s="5" t="s">
        <v>595</v>
      </c>
      <c r="AP485" s="5" t="s">
        <v>595</v>
      </c>
      <c r="AQ485" s="5" t="s">
        <v>66</v>
      </c>
      <c r="AR485" s="5" t="s">
        <v>595</v>
      </c>
      <c r="AS485" s="5" t="s">
        <v>595</v>
      </c>
      <c r="AT485" s="5" t="s">
        <v>595</v>
      </c>
      <c r="AU485" s="5" t="s">
        <v>595</v>
      </c>
      <c r="AV485" s="5" t="s">
        <v>595</v>
      </c>
      <c r="AW485" s="5" t="s">
        <v>595</v>
      </c>
      <c r="AX485" s="5" t="s">
        <v>2220</v>
      </c>
      <c r="AY485" s="5" t="s">
        <v>110</v>
      </c>
      <c r="AZ485" s="5" t="s">
        <v>80</v>
      </c>
      <c r="BA485" s="19" t="s">
        <v>2221</v>
      </c>
      <c r="BB485" s="17" t="s">
        <v>94</v>
      </c>
      <c r="BC485" s="5" t="s">
        <v>2220</v>
      </c>
      <c r="BD485" s="5" t="s">
        <v>2217</v>
      </c>
    </row>
    <row r="486" spans="1:56" ht="60" hidden="1" x14ac:dyDescent="0.25">
      <c r="A486" s="78" t="s">
        <v>2186</v>
      </c>
      <c r="B486" s="5" t="s">
        <v>433</v>
      </c>
      <c r="C486" s="5" t="s">
        <v>3293</v>
      </c>
      <c r="D486" s="5" t="s">
        <v>56</v>
      </c>
      <c r="E486" s="99" t="str">
        <f>VLOOKUP(D486,'Dropdown List'!$F$26:$G$40,2,0)</f>
        <v>India</v>
      </c>
      <c r="F486" s="8" t="s">
        <v>2187</v>
      </c>
      <c r="G486" s="96">
        <v>7</v>
      </c>
      <c r="H486" s="5" t="s">
        <v>57</v>
      </c>
      <c r="I486" s="8" t="s">
        <v>58</v>
      </c>
      <c r="J486" s="8" t="s">
        <v>881</v>
      </c>
      <c r="K486" s="8" t="s">
        <v>1327</v>
      </c>
      <c r="L486" s="8" t="s">
        <v>2271</v>
      </c>
      <c r="M486" s="8" t="s">
        <v>2272</v>
      </c>
      <c r="N486" s="5" t="s">
        <v>1034</v>
      </c>
      <c r="O486" s="5" t="s">
        <v>74</v>
      </c>
      <c r="P486" s="5" t="s">
        <v>74</v>
      </c>
      <c r="Q486" s="9" t="s">
        <v>75</v>
      </c>
      <c r="R486" s="5" t="s">
        <v>76</v>
      </c>
      <c r="S486" s="5" t="s">
        <v>90</v>
      </c>
      <c r="T486" s="96">
        <v>2</v>
      </c>
      <c r="U486" s="96">
        <v>1</v>
      </c>
      <c r="V486" s="96">
        <v>4</v>
      </c>
      <c r="W486" s="5" t="s">
        <v>91</v>
      </c>
      <c r="X486" s="10" t="s">
        <v>79</v>
      </c>
      <c r="Y486" s="11">
        <v>25347.49</v>
      </c>
      <c r="Z486" s="12">
        <v>1.98</v>
      </c>
      <c r="AA486" s="12">
        <v>0.5</v>
      </c>
      <c r="AB486" s="12">
        <v>0.1</v>
      </c>
      <c r="AC486" s="13">
        <v>0.1</v>
      </c>
      <c r="AD486" s="14">
        <f t="shared" si="16"/>
        <v>2.68</v>
      </c>
      <c r="AE486" s="15">
        <f t="shared" si="17"/>
        <v>3.7313432835820892E-2</v>
      </c>
      <c r="AF486" s="16">
        <v>1226</v>
      </c>
      <c r="AG486" s="16" t="s">
        <v>66</v>
      </c>
      <c r="AH486" s="17" t="s">
        <v>66</v>
      </c>
      <c r="AI486" s="18">
        <v>9.1300000000000008</v>
      </c>
      <c r="AJ486" s="19">
        <v>0.98540000000000005</v>
      </c>
      <c r="AK486" s="20">
        <v>0.9869</v>
      </c>
      <c r="AL486" s="17" t="s">
        <v>92</v>
      </c>
      <c r="AM486" s="5" t="s">
        <v>66</v>
      </c>
      <c r="AN486" s="5" t="s">
        <v>66</v>
      </c>
      <c r="AO486" s="5" t="s">
        <v>595</v>
      </c>
      <c r="AP486" s="5" t="s">
        <v>595</v>
      </c>
      <c r="AQ486" s="5" t="s">
        <v>66</v>
      </c>
      <c r="AR486" s="5" t="s">
        <v>595</v>
      </c>
      <c r="AS486" s="5" t="s">
        <v>595</v>
      </c>
      <c r="AT486" s="5" t="s">
        <v>595</v>
      </c>
      <c r="AU486" s="5" t="s">
        <v>595</v>
      </c>
      <c r="AV486" s="5" t="s">
        <v>595</v>
      </c>
      <c r="AW486" s="5" t="s">
        <v>595</v>
      </c>
      <c r="AX486" s="5" t="s">
        <v>2220</v>
      </c>
      <c r="AY486" s="5" t="s">
        <v>110</v>
      </c>
      <c r="AZ486" s="5" t="s">
        <v>80</v>
      </c>
      <c r="BA486" s="19" t="s">
        <v>2221</v>
      </c>
      <c r="BB486" s="17" t="s">
        <v>94</v>
      </c>
      <c r="BC486" s="5" t="s">
        <v>2220</v>
      </c>
      <c r="BD486" s="5" t="s">
        <v>2217</v>
      </c>
    </row>
    <row r="487" spans="1:56" ht="24" hidden="1" x14ac:dyDescent="0.25">
      <c r="A487" s="78" t="s">
        <v>2186</v>
      </c>
      <c r="B487" s="5" t="s">
        <v>433</v>
      </c>
      <c r="C487" s="5" t="s">
        <v>3293</v>
      </c>
      <c r="D487" s="5" t="s">
        <v>56</v>
      </c>
      <c r="E487" s="99" t="str">
        <f>VLOOKUP(D487,'Dropdown List'!$F$26:$G$40,2,0)</f>
        <v>India</v>
      </c>
      <c r="F487" s="8" t="s">
        <v>2187</v>
      </c>
      <c r="G487" s="96">
        <v>7</v>
      </c>
      <c r="H487" s="5" t="s">
        <v>57</v>
      </c>
      <c r="I487" s="8" t="s">
        <v>58</v>
      </c>
      <c r="J487" s="8" t="s">
        <v>396</v>
      </c>
      <c r="K487" s="8" t="s">
        <v>1479</v>
      </c>
      <c r="L487" s="8" t="s">
        <v>2273</v>
      </c>
      <c r="M487" s="8" t="s">
        <v>2274</v>
      </c>
      <c r="N487" s="5" t="s">
        <v>1034</v>
      </c>
      <c r="O487" s="5" t="s">
        <v>61</v>
      </c>
      <c r="P487" s="5" t="s">
        <v>2191</v>
      </c>
      <c r="Q487" s="9" t="s">
        <v>75</v>
      </c>
      <c r="R487" s="5" t="s">
        <v>76</v>
      </c>
      <c r="S487" s="5" t="s">
        <v>90</v>
      </c>
      <c r="T487" s="96">
        <v>2</v>
      </c>
      <c r="U487" s="96">
        <v>1</v>
      </c>
      <c r="V487" s="96">
        <v>4</v>
      </c>
      <c r="W487" s="5" t="s">
        <v>91</v>
      </c>
      <c r="X487" s="10" t="s">
        <v>79</v>
      </c>
      <c r="Y487" s="11">
        <v>25347.49</v>
      </c>
      <c r="Z487" s="12">
        <v>0.75</v>
      </c>
      <c r="AA487" s="12">
        <v>0</v>
      </c>
      <c r="AB487" s="12">
        <v>0.1</v>
      </c>
      <c r="AC487" s="13">
        <v>0.1</v>
      </c>
      <c r="AD487" s="14">
        <f t="shared" si="16"/>
        <v>0.95</v>
      </c>
      <c r="AE487" s="15">
        <f t="shared" si="17"/>
        <v>0.10526315789473685</v>
      </c>
      <c r="AF487" s="16">
        <v>1288</v>
      </c>
      <c r="AG487" s="16" t="s">
        <v>66</v>
      </c>
      <c r="AH487" s="17" t="s">
        <v>66</v>
      </c>
      <c r="AI487" s="18">
        <v>4.57</v>
      </c>
      <c r="AJ487" s="19">
        <v>0.98540000000000005</v>
      </c>
      <c r="AK487" s="20">
        <v>0.9869</v>
      </c>
      <c r="AL487" s="17" t="s">
        <v>92</v>
      </c>
      <c r="AM487" s="5" t="s">
        <v>66</v>
      </c>
      <c r="AN487" s="5" t="s">
        <v>66</v>
      </c>
      <c r="AO487" s="5" t="s">
        <v>595</v>
      </c>
      <c r="AP487" s="5" t="s">
        <v>595</v>
      </c>
      <c r="AQ487" s="5" t="s">
        <v>66</v>
      </c>
      <c r="AR487" s="5" t="s">
        <v>595</v>
      </c>
      <c r="AS487" s="5" t="s">
        <v>595</v>
      </c>
      <c r="AT487" s="5" t="s">
        <v>595</v>
      </c>
      <c r="AU487" s="5" t="s">
        <v>595</v>
      </c>
      <c r="AV487" s="5" t="s">
        <v>595</v>
      </c>
      <c r="AW487" s="5" t="s">
        <v>595</v>
      </c>
      <c r="AX487" s="5" t="s">
        <v>2220</v>
      </c>
      <c r="AY487" s="5" t="s">
        <v>110</v>
      </c>
      <c r="AZ487" s="5" t="s">
        <v>80</v>
      </c>
      <c r="BA487" s="19" t="s">
        <v>2221</v>
      </c>
      <c r="BB487" s="17" t="s">
        <v>94</v>
      </c>
      <c r="BC487" s="5" t="s">
        <v>2220</v>
      </c>
      <c r="BD487" s="5" t="s">
        <v>2217</v>
      </c>
    </row>
    <row r="488" spans="1:56" ht="24" hidden="1" x14ac:dyDescent="0.25">
      <c r="A488" s="78" t="s">
        <v>2186</v>
      </c>
      <c r="B488" s="5" t="s">
        <v>433</v>
      </c>
      <c r="C488" s="5" t="s">
        <v>3293</v>
      </c>
      <c r="D488" s="5" t="s">
        <v>56</v>
      </c>
      <c r="E488" s="99" t="str">
        <f>VLOOKUP(D488,'Dropdown List'!$F$26:$G$40,2,0)</f>
        <v>India</v>
      </c>
      <c r="F488" s="8" t="s">
        <v>2187</v>
      </c>
      <c r="G488" s="96">
        <v>7</v>
      </c>
      <c r="H488" s="5" t="s">
        <v>57</v>
      </c>
      <c r="I488" s="8" t="s">
        <v>58</v>
      </c>
      <c r="J488" s="8" t="s">
        <v>163</v>
      </c>
      <c r="K488" s="8" t="s">
        <v>307</v>
      </c>
      <c r="L488" s="8" t="s">
        <v>307</v>
      </c>
      <c r="M488" s="8" t="s">
        <v>2275</v>
      </c>
      <c r="N488" s="5" t="s">
        <v>1034</v>
      </c>
      <c r="O488" s="5" t="s">
        <v>61</v>
      </c>
      <c r="P488" s="5" t="s">
        <v>2191</v>
      </c>
      <c r="Q488" s="9" t="s">
        <v>75</v>
      </c>
      <c r="R488" s="5" t="s">
        <v>76</v>
      </c>
      <c r="S488" s="5" t="s">
        <v>90</v>
      </c>
      <c r="T488" s="96">
        <v>2</v>
      </c>
      <c r="U488" s="96">
        <v>1</v>
      </c>
      <c r="V488" s="96">
        <v>4</v>
      </c>
      <c r="W488" s="5" t="s">
        <v>91</v>
      </c>
      <c r="X488" s="10" t="s">
        <v>79</v>
      </c>
      <c r="Y488" s="11">
        <v>25347.49</v>
      </c>
      <c r="Z488" s="12">
        <v>0.57999999999999996</v>
      </c>
      <c r="AA488" s="12">
        <v>0</v>
      </c>
      <c r="AB488" s="12">
        <v>0.1</v>
      </c>
      <c r="AC488" s="13">
        <v>0.1</v>
      </c>
      <c r="AD488" s="14">
        <f t="shared" si="16"/>
        <v>0.77999999999999992</v>
      </c>
      <c r="AE488" s="15">
        <f t="shared" si="17"/>
        <v>0.12820512820512822</v>
      </c>
      <c r="AF488" s="16">
        <v>335</v>
      </c>
      <c r="AG488" s="16" t="s">
        <v>66</v>
      </c>
      <c r="AH488" s="17" t="s">
        <v>66</v>
      </c>
      <c r="AI488" s="18">
        <v>7.17</v>
      </c>
      <c r="AJ488" s="19">
        <v>0.9869</v>
      </c>
      <c r="AK488" s="20">
        <v>0.9869</v>
      </c>
      <c r="AL488" s="17" t="s">
        <v>92</v>
      </c>
      <c r="AM488" s="5" t="s">
        <v>66</v>
      </c>
      <c r="AN488" s="5" t="s">
        <v>66</v>
      </c>
      <c r="AO488" s="5" t="s">
        <v>595</v>
      </c>
      <c r="AP488" s="5" t="s">
        <v>595</v>
      </c>
      <c r="AQ488" s="5" t="s">
        <v>66</v>
      </c>
      <c r="AR488" s="5" t="s">
        <v>595</v>
      </c>
      <c r="AS488" s="5" t="s">
        <v>595</v>
      </c>
      <c r="AT488" s="5" t="s">
        <v>595</v>
      </c>
      <c r="AU488" s="5" t="s">
        <v>595</v>
      </c>
      <c r="AV488" s="5" t="s">
        <v>595</v>
      </c>
      <c r="AW488" s="5" t="s">
        <v>595</v>
      </c>
      <c r="AX488" s="5" t="s">
        <v>2220</v>
      </c>
      <c r="AY488" s="5" t="s">
        <v>110</v>
      </c>
      <c r="AZ488" s="5" t="s">
        <v>80</v>
      </c>
      <c r="BA488" s="19" t="s">
        <v>2221</v>
      </c>
      <c r="BB488" s="17" t="s">
        <v>94</v>
      </c>
      <c r="BC488" s="5" t="s">
        <v>2220</v>
      </c>
      <c r="BD488" s="5" t="s">
        <v>2217</v>
      </c>
    </row>
    <row r="489" spans="1:56" ht="36" hidden="1" x14ac:dyDescent="0.25">
      <c r="A489" s="78" t="s">
        <v>2186</v>
      </c>
      <c r="B489" s="5" t="s">
        <v>433</v>
      </c>
      <c r="C489" s="5" t="s">
        <v>3293</v>
      </c>
      <c r="D489" s="5" t="s">
        <v>56</v>
      </c>
      <c r="E489" s="99" t="str">
        <f>VLOOKUP(D489,'Dropdown List'!$F$26:$G$40,2,0)</f>
        <v>India</v>
      </c>
      <c r="F489" s="8" t="s">
        <v>2187</v>
      </c>
      <c r="G489" s="96">
        <v>7</v>
      </c>
      <c r="H489" s="5" t="s">
        <v>57</v>
      </c>
      <c r="I489" s="8" t="s">
        <v>58</v>
      </c>
      <c r="J489" s="8" t="s">
        <v>396</v>
      </c>
      <c r="K489" s="8" t="s">
        <v>397</v>
      </c>
      <c r="L489" s="8" t="s">
        <v>2276</v>
      </c>
      <c r="M489" s="8" t="s">
        <v>2277</v>
      </c>
      <c r="N489" s="5" t="s">
        <v>1034</v>
      </c>
      <c r="O489" s="5" t="s">
        <v>61</v>
      </c>
      <c r="P489" s="5" t="s">
        <v>2191</v>
      </c>
      <c r="Q489" s="9" t="s">
        <v>75</v>
      </c>
      <c r="R489" s="5" t="s">
        <v>76</v>
      </c>
      <c r="S489" s="5" t="s">
        <v>90</v>
      </c>
      <c r="T489" s="96">
        <v>2</v>
      </c>
      <c r="U489" s="96">
        <v>1</v>
      </c>
      <c r="V489" s="96">
        <v>4</v>
      </c>
      <c r="W489" s="5" t="s">
        <v>91</v>
      </c>
      <c r="X489" s="10" t="s">
        <v>79</v>
      </c>
      <c r="Y489" s="11">
        <v>25347.49</v>
      </c>
      <c r="Z489" s="12">
        <v>0.41433718631103056</v>
      </c>
      <c r="AA489" s="12">
        <v>0</v>
      </c>
      <c r="AB489" s="12">
        <v>0</v>
      </c>
      <c r="AC489" s="13">
        <v>0.1</v>
      </c>
      <c r="AD489" s="14">
        <f t="shared" si="16"/>
        <v>0.51433718631103054</v>
      </c>
      <c r="AE489" s="15">
        <f t="shared" si="17"/>
        <v>0.19442498551821197</v>
      </c>
      <c r="AF489" s="16">
        <v>1149</v>
      </c>
      <c r="AG489" s="16" t="s">
        <v>66</v>
      </c>
      <c r="AH489" s="17" t="s">
        <v>66</v>
      </c>
      <c r="AI489" s="18">
        <v>5.0999999999999996</v>
      </c>
      <c r="AJ489" s="19">
        <v>0.9869</v>
      </c>
      <c r="AK489" s="20">
        <v>0.9869</v>
      </c>
      <c r="AL489" s="17" t="s">
        <v>92</v>
      </c>
      <c r="AM489" s="5" t="s">
        <v>66</v>
      </c>
      <c r="AN489" s="5" t="s">
        <v>66</v>
      </c>
      <c r="AO489" s="5" t="s">
        <v>595</v>
      </c>
      <c r="AP489" s="5" t="s">
        <v>595</v>
      </c>
      <c r="AQ489" s="5" t="s">
        <v>66</v>
      </c>
      <c r="AR489" s="5" t="s">
        <v>595</v>
      </c>
      <c r="AS489" s="5" t="s">
        <v>595</v>
      </c>
      <c r="AT489" s="5" t="s">
        <v>595</v>
      </c>
      <c r="AU489" s="5" t="s">
        <v>595</v>
      </c>
      <c r="AV489" s="5" t="s">
        <v>595</v>
      </c>
      <c r="AW489" s="5" t="s">
        <v>595</v>
      </c>
      <c r="AX489" s="5" t="s">
        <v>2206</v>
      </c>
      <c r="AY489" s="5" t="s">
        <v>94</v>
      </c>
      <c r="AZ489" s="5" t="s">
        <v>80</v>
      </c>
      <c r="BA489" s="19" t="s">
        <v>2193</v>
      </c>
      <c r="BB489" s="17" t="s">
        <v>94</v>
      </c>
      <c r="BC489" s="5" t="s">
        <v>2206</v>
      </c>
      <c r="BD489" s="5" t="s">
        <v>2217</v>
      </c>
    </row>
    <row r="490" spans="1:56" ht="60" hidden="1" x14ac:dyDescent="0.25">
      <c r="A490" s="78" t="s">
        <v>2186</v>
      </c>
      <c r="B490" s="5" t="s">
        <v>433</v>
      </c>
      <c r="C490" s="5" t="s">
        <v>3293</v>
      </c>
      <c r="D490" s="5" t="s">
        <v>56</v>
      </c>
      <c r="E490" s="99" t="str">
        <f>VLOOKUP(D490,'Dropdown List'!$F$26:$G$40,2,0)</f>
        <v>India</v>
      </c>
      <c r="F490" s="8" t="s">
        <v>2187</v>
      </c>
      <c r="G490" s="96">
        <v>7</v>
      </c>
      <c r="H490" s="5" t="s">
        <v>57</v>
      </c>
      <c r="I490" s="8" t="s">
        <v>58</v>
      </c>
      <c r="J490" s="8" t="s">
        <v>163</v>
      </c>
      <c r="K490" s="8" t="s">
        <v>957</v>
      </c>
      <c r="L490" s="8" t="s">
        <v>2278</v>
      </c>
      <c r="M490" s="8" t="s">
        <v>2279</v>
      </c>
      <c r="N490" s="5" t="s">
        <v>1034</v>
      </c>
      <c r="O490" s="5" t="s">
        <v>61</v>
      </c>
      <c r="P490" s="5" t="s">
        <v>156</v>
      </c>
      <c r="Q490" s="9" t="s">
        <v>75</v>
      </c>
      <c r="R490" s="5" t="s">
        <v>76</v>
      </c>
      <c r="S490" s="5" t="s">
        <v>90</v>
      </c>
      <c r="T490" s="96">
        <v>2</v>
      </c>
      <c r="U490" s="96">
        <v>1</v>
      </c>
      <c r="V490" s="96">
        <v>4</v>
      </c>
      <c r="W490" s="5" t="s">
        <v>91</v>
      </c>
      <c r="X490" s="10" t="s">
        <v>79</v>
      </c>
      <c r="Y490" s="11">
        <v>25347.49</v>
      </c>
      <c r="Z490" s="12">
        <v>0.2</v>
      </c>
      <c r="AA490" s="12">
        <v>0</v>
      </c>
      <c r="AB490" s="12">
        <v>0</v>
      </c>
      <c r="AC490" s="13">
        <v>0.1</v>
      </c>
      <c r="AD490" s="14">
        <f t="shared" si="16"/>
        <v>0.30000000000000004</v>
      </c>
      <c r="AE490" s="15">
        <f t="shared" si="17"/>
        <v>0.33333333333333331</v>
      </c>
      <c r="AF490" s="16">
        <v>329</v>
      </c>
      <c r="AG490" s="16" t="s">
        <v>66</v>
      </c>
      <c r="AH490" s="17" t="s">
        <v>66</v>
      </c>
      <c r="AI490" s="18">
        <v>4.2699999999999996</v>
      </c>
      <c r="AJ490" s="19">
        <v>0.9869</v>
      </c>
      <c r="AK490" s="20">
        <v>0.9869</v>
      </c>
      <c r="AL490" s="17" t="s">
        <v>92</v>
      </c>
      <c r="AM490" s="5" t="s">
        <v>66</v>
      </c>
      <c r="AN490" s="5" t="s">
        <v>66</v>
      </c>
      <c r="AO490" s="5" t="s">
        <v>595</v>
      </c>
      <c r="AP490" s="5" t="s">
        <v>595</v>
      </c>
      <c r="AQ490" s="5" t="s">
        <v>66</v>
      </c>
      <c r="AR490" s="5" t="s">
        <v>595</v>
      </c>
      <c r="AS490" s="5" t="s">
        <v>595</v>
      </c>
      <c r="AT490" s="5" t="s">
        <v>595</v>
      </c>
      <c r="AU490" s="5" t="s">
        <v>595</v>
      </c>
      <c r="AV490" s="5" t="s">
        <v>595</v>
      </c>
      <c r="AW490" s="5" t="s">
        <v>595</v>
      </c>
      <c r="AX490" s="5" t="s">
        <v>2206</v>
      </c>
      <c r="AY490" s="5" t="s">
        <v>69</v>
      </c>
      <c r="AZ490" s="5" t="s">
        <v>80</v>
      </c>
      <c r="BA490" s="19" t="s">
        <v>2212</v>
      </c>
      <c r="BB490" s="17" t="s">
        <v>2212</v>
      </c>
      <c r="BC490" s="5" t="s">
        <v>2206</v>
      </c>
      <c r="BD490" s="5" t="s">
        <v>2217</v>
      </c>
    </row>
    <row r="491" spans="1:56" ht="60" hidden="1" x14ac:dyDescent="0.25">
      <c r="A491" s="78" t="s">
        <v>2186</v>
      </c>
      <c r="B491" s="5" t="s">
        <v>433</v>
      </c>
      <c r="C491" s="5" t="s">
        <v>3293</v>
      </c>
      <c r="D491" s="5" t="s">
        <v>56</v>
      </c>
      <c r="E491" s="99" t="str">
        <f>VLOOKUP(D491,'Dropdown List'!$F$26:$G$40,2,0)</f>
        <v>India</v>
      </c>
      <c r="F491" s="8" t="s">
        <v>2187</v>
      </c>
      <c r="G491" s="96">
        <v>7</v>
      </c>
      <c r="H491" s="5" t="s">
        <v>57</v>
      </c>
      <c r="I491" s="8" t="s">
        <v>58</v>
      </c>
      <c r="J491" s="8" t="s">
        <v>163</v>
      </c>
      <c r="K491" s="8" t="s">
        <v>957</v>
      </c>
      <c r="L491" s="8" t="s">
        <v>2280</v>
      </c>
      <c r="M491" s="8" t="s">
        <v>2279</v>
      </c>
      <c r="N491" s="5" t="s">
        <v>1034</v>
      </c>
      <c r="O491" s="5" t="s">
        <v>61</v>
      </c>
      <c r="P491" s="5" t="s">
        <v>156</v>
      </c>
      <c r="Q491" s="9" t="s">
        <v>75</v>
      </c>
      <c r="R491" s="5" t="s">
        <v>76</v>
      </c>
      <c r="S491" s="5" t="s">
        <v>90</v>
      </c>
      <c r="T491" s="96">
        <v>2</v>
      </c>
      <c r="U491" s="96">
        <v>1</v>
      </c>
      <c r="V491" s="96">
        <v>4</v>
      </c>
      <c r="W491" s="5" t="s">
        <v>91</v>
      </c>
      <c r="X491" s="10" t="s">
        <v>79</v>
      </c>
      <c r="Y491" s="11">
        <v>25347.49</v>
      </c>
      <c r="Z491" s="12">
        <v>0.97</v>
      </c>
      <c r="AA491" s="12">
        <v>0</v>
      </c>
      <c r="AB491" s="12">
        <v>0.1</v>
      </c>
      <c r="AC491" s="13">
        <v>0.1</v>
      </c>
      <c r="AD491" s="14">
        <f t="shared" si="16"/>
        <v>1.1700000000000002</v>
      </c>
      <c r="AE491" s="15">
        <f t="shared" si="17"/>
        <v>8.5470085470085458E-2</v>
      </c>
      <c r="AF491" s="16">
        <v>644</v>
      </c>
      <c r="AG491" s="16" t="s">
        <v>66</v>
      </c>
      <c r="AH491" s="17" t="s">
        <v>66</v>
      </c>
      <c r="AI491" s="18">
        <v>9.34</v>
      </c>
      <c r="AJ491" s="19">
        <v>0.9869</v>
      </c>
      <c r="AK491" s="20">
        <v>0.9869</v>
      </c>
      <c r="AL491" s="17" t="s">
        <v>92</v>
      </c>
      <c r="AM491" s="5" t="s">
        <v>66</v>
      </c>
      <c r="AN491" s="5" t="s">
        <v>66</v>
      </c>
      <c r="AO491" s="5" t="s">
        <v>595</v>
      </c>
      <c r="AP491" s="5" t="s">
        <v>595</v>
      </c>
      <c r="AQ491" s="5" t="s">
        <v>66</v>
      </c>
      <c r="AR491" s="5" t="s">
        <v>595</v>
      </c>
      <c r="AS491" s="5" t="s">
        <v>595</v>
      </c>
      <c r="AT491" s="5" t="s">
        <v>595</v>
      </c>
      <c r="AU491" s="5" t="s">
        <v>595</v>
      </c>
      <c r="AV491" s="5" t="s">
        <v>595</v>
      </c>
      <c r="AW491" s="5" t="s">
        <v>595</v>
      </c>
      <c r="AX491" s="5" t="s">
        <v>2206</v>
      </c>
      <c r="AY491" s="5" t="s">
        <v>69</v>
      </c>
      <c r="AZ491" s="5" t="s">
        <v>80</v>
      </c>
      <c r="BA491" s="19" t="s">
        <v>2212</v>
      </c>
      <c r="BB491" s="17" t="s">
        <v>2212</v>
      </c>
      <c r="BC491" s="5" t="s">
        <v>2206</v>
      </c>
      <c r="BD491" s="5" t="s">
        <v>2217</v>
      </c>
    </row>
    <row r="492" spans="1:56" ht="24" hidden="1" x14ac:dyDescent="0.25">
      <c r="A492" s="78" t="s">
        <v>2186</v>
      </c>
      <c r="B492" s="5" t="s">
        <v>433</v>
      </c>
      <c r="C492" s="5" t="s">
        <v>3293</v>
      </c>
      <c r="D492" s="5" t="s">
        <v>56</v>
      </c>
      <c r="E492" s="99" t="str">
        <f>VLOOKUP(D492,'Dropdown List'!$F$26:$G$40,2,0)</f>
        <v>India</v>
      </c>
      <c r="F492" s="8" t="s">
        <v>2187</v>
      </c>
      <c r="G492" s="96">
        <v>7</v>
      </c>
      <c r="H492" s="5" t="s">
        <v>57</v>
      </c>
      <c r="I492" s="8" t="s">
        <v>58</v>
      </c>
      <c r="J492" s="8" t="s">
        <v>146</v>
      </c>
      <c r="K492" s="8" t="s">
        <v>1367</v>
      </c>
      <c r="L492" s="8" t="s">
        <v>2281</v>
      </c>
      <c r="M492" s="8" t="s">
        <v>2282</v>
      </c>
      <c r="N492" s="5" t="s">
        <v>1034</v>
      </c>
      <c r="O492" s="5" t="s">
        <v>1051</v>
      </c>
      <c r="P492" s="5" t="s">
        <v>1051</v>
      </c>
      <c r="Q492" s="9" t="s">
        <v>75</v>
      </c>
      <c r="R492" s="5" t="s">
        <v>76</v>
      </c>
      <c r="S492" s="5" t="s">
        <v>90</v>
      </c>
      <c r="T492" s="96">
        <v>2</v>
      </c>
      <c r="U492" s="96">
        <v>1</v>
      </c>
      <c r="V492" s="96">
        <v>4</v>
      </c>
      <c r="W492" s="5" t="s">
        <v>91</v>
      </c>
      <c r="X492" s="10" t="s">
        <v>79</v>
      </c>
      <c r="Y492" s="11">
        <v>25347.49</v>
      </c>
      <c r="Z492" s="12">
        <v>0.2</v>
      </c>
      <c r="AA492" s="12">
        <v>0</v>
      </c>
      <c r="AB492" s="12">
        <v>0</v>
      </c>
      <c r="AC492" s="13">
        <v>0.1</v>
      </c>
      <c r="AD492" s="14">
        <f t="shared" si="16"/>
        <v>0.30000000000000004</v>
      </c>
      <c r="AE492" s="15">
        <f t="shared" si="17"/>
        <v>0.33333333333333331</v>
      </c>
      <c r="AF492" s="16">
        <v>484</v>
      </c>
      <c r="AG492" s="16" t="s">
        <v>66</v>
      </c>
      <c r="AH492" s="17" t="s">
        <v>66</v>
      </c>
      <c r="AI492" s="18">
        <v>6.13</v>
      </c>
      <c r="AJ492" s="19">
        <v>0.98609999999999998</v>
      </c>
      <c r="AK492" s="20">
        <v>0.98540000000000005</v>
      </c>
      <c r="AL492" s="17" t="s">
        <v>92</v>
      </c>
      <c r="AM492" s="5" t="s">
        <v>66</v>
      </c>
      <c r="AN492" s="5" t="s">
        <v>66</v>
      </c>
      <c r="AO492" s="5" t="s">
        <v>595</v>
      </c>
      <c r="AP492" s="5" t="s">
        <v>595</v>
      </c>
      <c r="AQ492" s="5" t="s">
        <v>66</v>
      </c>
      <c r="AR492" s="5" t="s">
        <v>595</v>
      </c>
      <c r="AS492" s="5" t="s">
        <v>595</v>
      </c>
      <c r="AT492" s="5" t="s">
        <v>595</v>
      </c>
      <c r="AU492" s="5" t="s">
        <v>595</v>
      </c>
      <c r="AV492" s="5" t="s">
        <v>595</v>
      </c>
      <c r="AW492" s="5" t="s">
        <v>595</v>
      </c>
      <c r="AX492" s="5" t="s">
        <v>222</v>
      </c>
      <c r="AY492" s="5" t="s">
        <v>94</v>
      </c>
      <c r="AZ492" s="5" t="s">
        <v>80</v>
      </c>
      <c r="BA492" s="19" t="s">
        <v>2193</v>
      </c>
      <c r="BB492" s="17" t="s">
        <v>94</v>
      </c>
      <c r="BC492" s="5" t="s">
        <v>2194</v>
      </c>
      <c r="BD492" s="5" t="s">
        <v>2223</v>
      </c>
    </row>
    <row r="493" spans="1:56" ht="24" hidden="1" x14ac:dyDescent="0.25">
      <c r="A493" s="78" t="s">
        <v>2186</v>
      </c>
      <c r="B493" s="5" t="s">
        <v>433</v>
      </c>
      <c r="C493" s="5" t="s">
        <v>3293</v>
      </c>
      <c r="D493" s="5" t="s">
        <v>56</v>
      </c>
      <c r="E493" s="99" t="str">
        <f>VLOOKUP(D493,'Dropdown List'!$F$26:$G$40,2,0)</f>
        <v>India</v>
      </c>
      <c r="F493" s="8" t="s">
        <v>2187</v>
      </c>
      <c r="G493" s="96">
        <v>7</v>
      </c>
      <c r="H493" s="5" t="s">
        <v>57</v>
      </c>
      <c r="I493" s="8" t="s">
        <v>58</v>
      </c>
      <c r="J493" s="8" t="s">
        <v>163</v>
      </c>
      <c r="K493" s="8" t="s">
        <v>957</v>
      </c>
      <c r="L493" s="8" t="s">
        <v>2283</v>
      </c>
      <c r="M493" s="8" t="s">
        <v>2284</v>
      </c>
      <c r="N493" s="5" t="s">
        <v>1034</v>
      </c>
      <c r="O493" s="5" t="s">
        <v>61</v>
      </c>
      <c r="P493" s="5" t="s">
        <v>2191</v>
      </c>
      <c r="Q493" s="9" t="s">
        <v>75</v>
      </c>
      <c r="R493" s="5" t="s">
        <v>76</v>
      </c>
      <c r="S493" s="5" t="s">
        <v>90</v>
      </c>
      <c r="T493" s="96">
        <v>2</v>
      </c>
      <c r="U493" s="96">
        <v>1</v>
      </c>
      <c r="V493" s="96">
        <v>4</v>
      </c>
      <c r="W493" s="5" t="s">
        <v>91</v>
      </c>
      <c r="X493" s="10" t="s">
        <v>79</v>
      </c>
      <c r="Y493" s="11">
        <v>25347.49</v>
      </c>
      <c r="Z493" s="12">
        <v>0.1</v>
      </c>
      <c r="AA493" s="12">
        <v>0</v>
      </c>
      <c r="AB493" s="12">
        <v>0</v>
      </c>
      <c r="AC493" s="13">
        <v>0.1</v>
      </c>
      <c r="AD493" s="14">
        <f t="shared" si="16"/>
        <v>0.2</v>
      </c>
      <c r="AE493" s="15">
        <f t="shared" si="17"/>
        <v>0.5</v>
      </c>
      <c r="AF493" s="16">
        <v>90</v>
      </c>
      <c r="AG493" s="16" t="s">
        <v>66</v>
      </c>
      <c r="AH493" s="17" t="s">
        <v>66</v>
      </c>
      <c r="AI493" s="18">
        <v>4.7300000000000004</v>
      </c>
      <c r="AJ493" s="19">
        <v>0.9869</v>
      </c>
      <c r="AK493" s="20">
        <v>0.9869</v>
      </c>
      <c r="AL493" s="17" t="s">
        <v>92</v>
      </c>
      <c r="AM493" s="5" t="s">
        <v>66</v>
      </c>
      <c r="AN493" s="5" t="s">
        <v>66</v>
      </c>
      <c r="AO493" s="5" t="s">
        <v>595</v>
      </c>
      <c r="AP493" s="5" t="s">
        <v>595</v>
      </c>
      <c r="AQ493" s="5" t="s">
        <v>66</v>
      </c>
      <c r="AR493" s="5" t="s">
        <v>595</v>
      </c>
      <c r="AS493" s="5" t="s">
        <v>595</v>
      </c>
      <c r="AT493" s="5" t="s">
        <v>595</v>
      </c>
      <c r="AU493" s="5" t="s">
        <v>595</v>
      </c>
      <c r="AV493" s="5" t="s">
        <v>595</v>
      </c>
      <c r="AW493" s="5" t="s">
        <v>595</v>
      </c>
      <c r="AX493" s="5" t="s">
        <v>2206</v>
      </c>
      <c r="AY493" s="5" t="s">
        <v>69</v>
      </c>
      <c r="AZ493" s="5" t="s">
        <v>80</v>
      </c>
      <c r="BA493" s="19" t="s">
        <v>2222</v>
      </c>
      <c r="BB493" s="17" t="s">
        <v>2222</v>
      </c>
      <c r="BC493" s="5" t="s">
        <v>2206</v>
      </c>
      <c r="BD493" s="5" t="s">
        <v>2217</v>
      </c>
    </row>
    <row r="494" spans="1:56" ht="24" hidden="1" x14ac:dyDescent="0.25">
      <c r="A494" s="78" t="s">
        <v>2186</v>
      </c>
      <c r="B494" s="5" t="s">
        <v>433</v>
      </c>
      <c r="C494" s="5" t="s">
        <v>3293</v>
      </c>
      <c r="D494" s="5" t="s">
        <v>56</v>
      </c>
      <c r="E494" s="99" t="str">
        <f>VLOOKUP(D494,'Dropdown List'!$F$26:$G$40,2,0)</f>
        <v>India</v>
      </c>
      <c r="F494" s="8" t="s">
        <v>2187</v>
      </c>
      <c r="G494" s="96">
        <v>7</v>
      </c>
      <c r="H494" s="5" t="s">
        <v>57</v>
      </c>
      <c r="I494" s="8" t="s">
        <v>58</v>
      </c>
      <c r="J494" s="8" t="s">
        <v>146</v>
      </c>
      <c r="K494" s="8" t="s">
        <v>1367</v>
      </c>
      <c r="L494" s="8" t="s">
        <v>2285</v>
      </c>
      <c r="M494" s="8" t="s">
        <v>2286</v>
      </c>
      <c r="N494" s="5" t="s">
        <v>1034</v>
      </c>
      <c r="O494" s="5" t="s">
        <v>1069</v>
      </c>
      <c r="P494" s="5" t="s">
        <v>1069</v>
      </c>
      <c r="Q494" s="9" t="s">
        <v>75</v>
      </c>
      <c r="R494" s="5" t="s">
        <v>76</v>
      </c>
      <c r="S494" s="5" t="s">
        <v>90</v>
      </c>
      <c r="T494" s="96">
        <v>2</v>
      </c>
      <c r="U494" s="96">
        <v>1</v>
      </c>
      <c r="V494" s="96">
        <v>4</v>
      </c>
      <c r="W494" s="5" t="s">
        <v>91</v>
      </c>
      <c r="X494" s="10" t="s">
        <v>79</v>
      </c>
      <c r="Y494" s="11">
        <v>25347.49</v>
      </c>
      <c r="Z494" s="12">
        <v>0.43</v>
      </c>
      <c r="AA494" s="12">
        <v>0</v>
      </c>
      <c r="AB494" s="12">
        <v>0</v>
      </c>
      <c r="AC494" s="13">
        <v>0.1</v>
      </c>
      <c r="AD494" s="14">
        <f t="shared" si="16"/>
        <v>0.53</v>
      </c>
      <c r="AE494" s="15">
        <f t="shared" si="17"/>
        <v>0.18867924528301888</v>
      </c>
      <c r="AF494" s="16">
        <v>2628</v>
      </c>
      <c r="AG494" s="16" t="s">
        <v>66</v>
      </c>
      <c r="AH494" s="17" t="s">
        <v>66</v>
      </c>
      <c r="AI494" s="18">
        <v>0.43</v>
      </c>
      <c r="AJ494" s="19">
        <v>0.98540000000000005</v>
      </c>
      <c r="AK494" s="20">
        <v>0.98540000000000005</v>
      </c>
      <c r="AL494" s="17" t="s">
        <v>92</v>
      </c>
      <c r="AM494" s="5" t="s">
        <v>66</v>
      </c>
      <c r="AN494" s="5" t="s">
        <v>66</v>
      </c>
      <c r="AO494" s="5" t="s">
        <v>595</v>
      </c>
      <c r="AP494" s="5" t="s">
        <v>595</v>
      </c>
      <c r="AQ494" s="5" t="s">
        <v>66</v>
      </c>
      <c r="AR494" s="5" t="s">
        <v>595</v>
      </c>
      <c r="AS494" s="5" t="s">
        <v>595</v>
      </c>
      <c r="AT494" s="5" t="s">
        <v>595</v>
      </c>
      <c r="AU494" s="5" t="s">
        <v>595</v>
      </c>
      <c r="AV494" s="5" t="s">
        <v>595</v>
      </c>
      <c r="AW494" s="5" t="s">
        <v>595</v>
      </c>
      <c r="AX494" s="5" t="s">
        <v>2206</v>
      </c>
      <c r="AY494" s="5" t="s">
        <v>94</v>
      </c>
      <c r="AZ494" s="5" t="s">
        <v>80</v>
      </c>
      <c r="BA494" s="19" t="s">
        <v>2193</v>
      </c>
      <c r="BB494" s="17" t="s">
        <v>94</v>
      </c>
      <c r="BC494" s="5" t="s">
        <v>2206</v>
      </c>
      <c r="BD494" s="5" t="s">
        <v>2217</v>
      </c>
    </row>
    <row r="495" spans="1:56" ht="48" hidden="1" x14ac:dyDescent="0.25">
      <c r="A495" s="78" t="s">
        <v>2186</v>
      </c>
      <c r="B495" s="5" t="s">
        <v>433</v>
      </c>
      <c r="C495" s="5" t="s">
        <v>3293</v>
      </c>
      <c r="D495" s="5" t="s">
        <v>56</v>
      </c>
      <c r="E495" s="99" t="str">
        <f>VLOOKUP(D495,'Dropdown List'!$F$26:$G$40,2,0)</f>
        <v>India</v>
      </c>
      <c r="F495" s="8" t="s">
        <v>2187</v>
      </c>
      <c r="G495" s="96">
        <v>7</v>
      </c>
      <c r="H495" s="5" t="s">
        <v>57</v>
      </c>
      <c r="I495" s="8" t="s">
        <v>58</v>
      </c>
      <c r="J495" s="8" t="s">
        <v>396</v>
      </c>
      <c r="K495" s="8" t="s">
        <v>2287</v>
      </c>
      <c r="L495" s="8" t="s">
        <v>2288</v>
      </c>
      <c r="M495" s="8" t="s">
        <v>2289</v>
      </c>
      <c r="N495" s="5" t="s">
        <v>1034</v>
      </c>
      <c r="O495" s="5" t="s">
        <v>1069</v>
      </c>
      <c r="P495" s="5" t="s">
        <v>1069</v>
      </c>
      <c r="Q495" s="9" t="s">
        <v>75</v>
      </c>
      <c r="R495" s="5" t="s">
        <v>76</v>
      </c>
      <c r="S495" s="5" t="s">
        <v>90</v>
      </c>
      <c r="T495" s="96">
        <v>2</v>
      </c>
      <c r="U495" s="96">
        <v>1</v>
      </c>
      <c r="V495" s="96">
        <v>4</v>
      </c>
      <c r="W495" s="5" t="s">
        <v>91</v>
      </c>
      <c r="X495" s="10" t="s">
        <v>79</v>
      </c>
      <c r="Y495" s="11">
        <v>25347.49</v>
      </c>
      <c r="Z495" s="12">
        <v>0.37</v>
      </c>
      <c r="AA495" s="12">
        <v>0</v>
      </c>
      <c r="AB495" s="12">
        <v>0</v>
      </c>
      <c r="AC495" s="13">
        <v>0.1</v>
      </c>
      <c r="AD495" s="14">
        <f t="shared" si="16"/>
        <v>0.47</v>
      </c>
      <c r="AE495" s="15">
        <f t="shared" si="17"/>
        <v>0.21276595744680854</v>
      </c>
      <c r="AF495" s="16">
        <v>581</v>
      </c>
      <c r="AG495" s="16" t="s">
        <v>66</v>
      </c>
      <c r="AH495" s="17" t="s">
        <v>66</v>
      </c>
      <c r="AI495" s="18">
        <v>5.53</v>
      </c>
      <c r="AJ495" s="19">
        <v>0.98540000000000005</v>
      </c>
      <c r="AK495" s="20">
        <v>0.98540000000000005</v>
      </c>
      <c r="AL495" s="17" t="s">
        <v>92</v>
      </c>
      <c r="AM495" s="5" t="s">
        <v>66</v>
      </c>
      <c r="AN495" s="5" t="s">
        <v>66</v>
      </c>
      <c r="AO495" s="5" t="s">
        <v>595</v>
      </c>
      <c r="AP495" s="5" t="s">
        <v>595</v>
      </c>
      <c r="AQ495" s="5" t="s">
        <v>66</v>
      </c>
      <c r="AR495" s="5" t="s">
        <v>595</v>
      </c>
      <c r="AS495" s="5" t="s">
        <v>595</v>
      </c>
      <c r="AT495" s="5" t="s">
        <v>595</v>
      </c>
      <c r="AU495" s="5" t="s">
        <v>595</v>
      </c>
      <c r="AV495" s="5" t="s">
        <v>595</v>
      </c>
      <c r="AW495" s="5" t="s">
        <v>595</v>
      </c>
      <c r="AX495" s="5" t="s">
        <v>2206</v>
      </c>
      <c r="AY495" s="5" t="s">
        <v>94</v>
      </c>
      <c r="AZ495" s="5" t="s">
        <v>80</v>
      </c>
      <c r="BA495" s="19" t="s">
        <v>2193</v>
      </c>
      <c r="BB495" s="17" t="s">
        <v>94</v>
      </c>
      <c r="BC495" s="5" t="s">
        <v>2206</v>
      </c>
      <c r="BD495" s="5" t="s">
        <v>2217</v>
      </c>
    </row>
    <row r="496" spans="1:56" ht="24" hidden="1" x14ac:dyDescent="0.25">
      <c r="A496" s="78" t="s">
        <v>2186</v>
      </c>
      <c r="B496" s="5" t="s">
        <v>433</v>
      </c>
      <c r="C496" s="5" t="s">
        <v>3293</v>
      </c>
      <c r="D496" s="5" t="s">
        <v>56</v>
      </c>
      <c r="E496" s="99" t="str">
        <f>VLOOKUP(D496,'Dropdown List'!$F$26:$G$40,2,0)</f>
        <v>India</v>
      </c>
      <c r="F496" s="8" t="s">
        <v>2187</v>
      </c>
      <c r="G496" s="96">
        <v>7</v>
      </c>
      <c r="H496" s="5" t="s">
        <v>57</v>
      </c>
      <c r="I496" s="8" t="s">
        <v>58</v>
      </c>
      <c r="J496" s="8" t="s">
        <v>146</v>
      </c>
      <c r="K496" s="8" t="s">
        <v>1367</v>
      </c>
      <c r="L496" s="8" t="s">
        <v>2290</v>
      </c>
      <c r="M496" s="8" t="s">
        <v>2291</v>
      </c>
      <c r="N496" s="5" t="s">
        <v>1034</v>
      </c>
      <c r="O496" s="5" t="s">
        <v>61</v>
      </c>
      <c r="P496" s="5" t="s">
        <v>2292</v>
      </c>
      <c r="Q496" s="9" t="s">
        <v>75</v>
      </c>
      <c r="R496" s="5" t="s">
        <v>76</v>
      </c>
      <c r="S496" s="5" t="s">
        <v>90</v>
      </c>
      <c r="T496" s="96">
        <v>2</v>
      </c>
      <c r="U496" s="96">
        <v>1</v>
      </c>
      <c r="V496" s="96">
        <v>4</v>
      </c>
      <c r="W496" s="5" t="s">
        <v>91</v>
      </c>
      <c r="X496" s="10" t="s">
        <v>79</v>
      </c>
      <c r="Y496" s="11">
        <v>25347.49</v>
      </c>
      <c r="Z496" s="12">
        <v>1.48</v>
      </c>
      <c r="AA496" s="12">
        <v>0</v>
      </c>
      <c r="AB496" s="12">
        <v>0.1</v>
      </c>
      <c r="AC496" s="13">
        <v>0.1</v>
      </c>
      <c r="AD496" s="14">
        <f t="shared" si="16"/>
        <v>1.6800000000000002</v>
      </c>
      <c r="AE496" s="15">
        <f t="shared" si="17"/>
        <v>5.9523809523809521E-2</v>
      </c>
      <c r="AF496" s="16">
        <v>288</v>
      </c>
      <c r="AG496" s="16" t="s">
        <v>66</v>
      </c>
      <c r="AH496" s="17" t="s">
        <v>66</v>
      </c>
      <c r="AI496" s="18">
        <v>10.72</v>
      </c>
      <c r="AJ496" s="19">
        <v>0.98540000000000005</v>
      </c>
      <c r="AK496" s="20">
        <v>0.98540000000000005</v>
      </c>
      <c r="AL496" s="17" t="s">
        <v>92</v>
      </c>
      <c r="AM496" s="5" t="s">
        <v>66</v>
      </c>
      <c r="AN496" s="5" t="s">
        <v>66</v>
      </c>
      <c r="AO496" s="5" t="s">
        <v>595</v>
      </c>
      <c r="AP496" s="5" t="s">
        <v>595</v>
      </c>
      <c r="AQ496" s="5" t="s">
        <v>66</v>
      </c>
      <c r="AR496" s="5" t="s">
        <v>595</v>
      </c>
      <c r="AS496" s="5" t="s">
        <v>595</v>
      </c>
      <c r="AT496" s="5" t="s">
        <v>595</v>
      </c>
      <c r="AU496" s="5" t="s">
        <v>595</v>
      </c>
      <c r="AV496" s="5" t="s">
        <v>595</v>
      </c>
      <c r="AW496" s="5" t="s">
        <v>595</v>
      </c>
      <c r="AX496" s="5" t="s">
        <v>2220</v>
      </c>
      <c r="AY496" s="5" t="s">
        <v>110</v>
      </c>
      <c r="AZ496" s="5" t="s">
        <v>80</v>
      </c>
      <c r="BA496" s="19" t="s">
        <v>2221</v>
      </c>
      <c r="BB496" s="17" t="s">
        <v>94</v>
      </c>
      <c r="BC496" s="5" t="s">
        <v>2220</v>
      </c>
      <c r="BD496" s="5" t="s">
        <v>2217</v>
      </c>
    </row>
    <row r="497" spans="1:56" ht="24" hidden="1" x14ac:dyDescent="0.25">
      <c r="A497" s="78" t="s">
        <v>2186</v>
      </c>
      <c r="B497" s="5" t="s">
        <v>433</v>
      </c>
      <c r="C497" s="5" t="s">
        <v>3293</v>
      </c>
      <c r="D497" s="5" t="s">
        <v>56</v>
      </c>
      <c r="E497" s="99" t="str">
        <f>VLOOKUP(D497,'Dropdown List'!$F$26:$G$40,2,0)</f>
        <v>India</v>
      </c>
      <c r="F497" s="8" t="s">
        <v>2187</v>
      </c>
      <c r="G497" s="96">
        <v>7</v>
      </c>
      <c r="H497" s="5" t="s">
        <v>57</v>
      </c>
      <c r="I497" s="8" t="s">
        <v>58</v>
      </c>
      <c r="J497" s="8" t="s">
        <v>146</v>
      </c>
      <c r="K497" s="8" t="s">
        <v>2248</v>
      </c>
      <c r="L497" s="8" t="s">
        <v>2293</v>
      </c>
      <c r="M497" s="8" t="s">
        <v>2294</v>
      </c>
      <c r="N497" s="5" t="s">
        <v>1034</v>
      </c>
      <c r="O497" s="5" t="s">
        <v>61</v>
      </c>
      <c r="P497" s="5" t="s">
        <v>2191</v>
      </c>
      <c r="Q497" s="9" t="s">
        <v>75</v>
      </c>
      <c r="R497" s="5" t="s">
        <v>76</v>
      </c>
      <c r="S497" s="5" t="s">
        <v>90</v>
      </c>
      <c r="T497" s="96">
        <v>2</v>
      </c>
      <c r="U497" s="96">
        <v>1</v>
      </c>
      <c r="V497" s="96">
        <v>4</v>
      </c>
      <c r="W497" s="5" t="s">
        <v>91</v>
      </c>
      <c r="X497" s="10" t="s">
        <v>79</v>
      </c>
      <c r="Y497" s="11">
        <v>25347.49</v>
      </c>
      <c r="Z497" s="12">
        <v>0.19</v>
      </c>
      <c r="AA497" s="12">
        <v>0</v>
      </c>
      <c r="AB497" s="12">
        <v>0</v>
      </c>
      <c r="AC497" s="13">
        <v>0.1</v>
      </c>
      <c r="AD497" s="14">
        <f t="shared" si="16"/>
        <v>0.29000000000000004</v>
      </c>
      <c r="AE497" s="15">
        <f t="shared" si="17"/>
        <v>0.34482758620689652</v>
      </c>
      <c r="AF497" s="16">
        <v>545</v>
      </c>
      <c r="AG497" s="16" t="s">
        <v>66</v>
      </c>
      <c r="AH497" s="17" t="s">
        <v>66</v>
      </c>
      <c r="AI497" s="18">
        <v>1.77</v>
      </c>
      <c r="AJ497" s="19">
        <v>0.9869</v>
      </c>
      <c r="AK497" s="20">
        <v>0.9869</v>
      </c>
      <c r="AL497" s="17" t="s">
        <v>92</v>
      </c>
      <c r="AM497" s="5" t="s">
        <v>66</v>
      </c>
      <c r="AN497" s="5" t="s">
        <v>66</v>
      </c>
      <c r="AO497" s="5" t="s">
        <v>595</v>
      </c>
      <c r="AP497" s="5" t="s">
        <v>595</v>
      </c>
      <c r="AQ497" s="5" t="s">
        <v>66</v>
      </c>
      <c r="AR497" s="5" t="s">
        <v>595</v>
      </c>
      <c r="AS497" s="5" t="s">
        <v>595</v>
      </c>
      <c r="AT497" s="5" t="s">
        <v>595</v>
      </c>
      <c r="AU497" s="5" t="s">
        <v>595</v>
      </c>
      <c r="AV497" s="5" t="s">
        <v>595</v>
      </c>
      <c r="AW497" s="5" t="s">
        <v>595</v>
      </c>
      <c r="AX497" s="5" t="s">
        <v>2206</v>
      </c>
      <c r="AY497" s="5" t="s">
        <v>110</v>
      </c>
      <c r="AZ497" s="5" t="s">
        <v>80</v>
      </c>
      <c r="BA497" s="19" t="s">
        <v>2221</v>
      </c>
      <c r="BB497" s="17" t="s">
        <v>94</v>
      </c>
      <c r="BC497" s="5" t="s">
        <v>2206</v>
      </c>
      <c r="BD497" s="5" t="s">
        <v>2217</v>
      </c>
    </row>
    <row r="498" spans="1:56" ht="24" hidden="1" x14ac:dyDescent="0.25">
      <c r="A498" s="78" t="s">
        <v>2186</v>
      </c>
      <c r="B498" s="5" t="s">
        <v>433</v>
      </c>
      <c r="C498" s="5" t="s">
        <v>3293</v>
      </c>
      <c r="D498" s="5" t="s">
        <v>56</v>
      </c>
      <c r="E498" s="99" t="str">
        <f>VLOOKUP(D498,'Dropdown List'!$F$26:$G$40,2,0)</f>
        <v>India</v>
      </c>
      <c r="F498" s="8" t="s">
        <v>2187</v>
      </c>
      <c r="G498" s="96">
        <v>7</v>
      </c>
      <c r="H498" s="5" t="s">
        <v>57</v>
      </c>
      <c r="I498" s="8" t="s">
        <v>58</v>
      </c>
      <c r="J498" s="8" t="s">
        <v>396</v>
      </c>
      <c r="K498" s="8" t="s">
        <v>1355</v>
      </c>
      <c r="L498" s="8" t="s">
        <v>2295</v>
      </c>
      <c r="M498" s="8" t="s">
        <v>2296</v>
      </c>
      <c r="N498" s="5" t="s">
        <v>1034</v>
      </c>
      <c r="O498" s="5" t="s">
        <v>61</v>
      </c>
      <c r="P498" s="5" t="s">
        <v>2191</v>
      </c>
      <c r="Q498" s="9" t="s">
        <v>75</v>
      </c>
      <c r="R498" s="5" t="s">
        <v>76</v>
      </c>
      <c r="S498" s="5" t="s">
        <v>90</v>
      </c>
      <c r="T498" s="96">
        <v>2</v>
      </c>
      <c r="U498" s="96">
        <v>1</v>
      </c>
      <c r="V498" s="96">
        <v>4</v>
      </c>
      <c r="W498" s="5" t="s">
        <v>91</v>
      </c>
      <c r="X498" s="10" t="s">
        <v>79</v>
      </c>
      <c r="Y498" s="11">
        <v>25347.49</v>
      </c>
      <c r="Z498" s="12">
        <v>0.2</v>
      </c>
      <c r="AA498" s="12">
        <v>0</v>
      </c>
      <c r="AB498" s="12">
        <v>0</v>
      </c>
      <c r="AC498" s="13">
        <v>0.1</v>
      </c>
      <c r="AD498" s="14">
        <f t="shared" si="16"/>
        <v>0.30000000000000004</v>
      </c>
      <c r="AE498" s="15">
        <f t="shared" si="17"/>
        <v>0.33333333333333331</v>
      </c>
      <c r="AF498" s="16">
        <v>154</v>
      </c>
      <c r="AG498" s="16" t="s">
        <v>66</v>
      </c>
      <c r="AH498" s="17" t="s">
        <v>66</v>
      </c>
      <c r="AI498" s="18">
        <v>6.65</v>
      </c>
      <c r="AJ498" s="19">
        <v>0.98609999999999998</v>
      </c>
      <c r="AK498" s="20">
        <v>0.98540000000000005</v>
      </c>
      <c r="AL498" s="17" t="s">
        <v>92</v>
      </c>
      <c r="AM498" s="5" t="s">
        <v>66</v>
      </c>
      <c r="AN498" s="5" t="s">
        <v>66</v>
      </c>
      <c r="AO498" s="5" t="s">
        <v>595</v>
      </c>
      <c r="AP498" s="5" t="s">
        <v>595</v>
      </c>
      <c r="AQ498" s="5" t="s">
        <v>66</v>
      </c>
      <c r="AR498" s="5" t="s">
        <v>595</v>
      </c>
      <c r="AS498" s="5" t="s">
        <v>595</v>
      </c>
      <c r="AT498" s="5" t="s">
        <v>595</v>
      </c>
      <c r="AU498" s="5" t="s">
        <v>595</v>
      </c>
      <c r="AV498" s="5" t="s">
        <v>595</v>
      </c>
      <c r="AW498" s="5" t="s">
        <v>595</v>
      </c>
      <c r="AX498" s="5" t="s">
        <v>2220</v>
      </c>
      <c r="AY498" s="5" t="s">
        <v>110</v>
      </c>
      <c r="AZ498" s="5" t="s">
        <v>80</v>
      </c>
      <c r="BA498" s="19" t="s">
        <v>2221</v>
      </c>
      <c r="BB498" s="17" t="s">
        <v>94</v>
      </c>
      <c r="BC498" s="5" t="s">
        <v>2220</v>
      </c>
      <c r="BD498" s="5" t="s">
        <v>2217</v>
      </c>
    </row>
    <row r="499" spans="1:56" ht="60" hidden="1" x14ac:dyDescent="0.25">
      <c r="A499" s="78" t="s">
        <v>2186</v>
      </c>
      <c r="B499" s="5" t="s">
        <v>433</v>
      </c>
      <c r="C499" s="5" t="s">
        <v>3293</v>
      </c>
      <c r="D499" s="5" t="s">
        <v>56</v>
      </c>
      <c r="E499" s="99" t="str">
        <f>VLOOKUP(D499,'Dropdown List'!$F$26:$G$40,2,0)</f>
        <v>India</v>
      </c>
      <c r="F499" s="8" t="s">
        <v>2187</v>
      </c>
      <c r="G499" s="96">
        <v>7</v>
      </c>
      <c r="H499" s="5" t="s">
        <v>57</v>
      </c>
      <c r="I499" s="8" t="s">
        <v>58</v>
      </c>
      <c r="J499" s="8" t="s">
        <v>396</v>
      </c>
      <c r="K499" s="8" t="s">
        <v>1468</v>
      </c>
      <c r="L499" s="8" t="s">
        <v>2297</v>
      </c>
      <c r="M499" s="8" t="s">
        <v>2298</v>
      </c>
      <c r="N499" s="5" t="s">
        <v>1034</v>
      </c>
      <c r="O499" s="5" t="s">
        <v>1051</v>
      </c>
      <c r="P499" s="5" t="s">
        <v>1051</v>
      </c>
      <c r="Q499" s="9" t="s">
        <v>75</v>
      </c>
      <c r="R499" s="5" t="s">
        <v>76</v>
      </c>
      <c r="S499" s="5" t="s">
        <v>90</v>
      </c>
      <c r="T499" s="96">
        <v>2</v>
      </c>
      <c r="U499" s="96">
        <v>1</v>
      </c>
      <c r="V499" s="96">
        <v>4</v>
      </c>
      <c r="W499" s="5" t="s">
        <v>91</v>
      </c>
      <c r="X499" s="10" t="s">
        <v>79</v>
      </c>
      <c r="Y499" s="11">
        <v>25347.49</v>
      </c>
      <c r="Z499" s="12">
        <v>0.1</v>
      </c>
      <c r="AA499" s="12">
        <v>0</v>
      </c>
      <c r="AB499" s="12">
        <v>0</v>
      </c>
      <c r="AC499" s="13">
        <v>0.1</v>
      </c>
      <c r="AD499" s="14">
        <f t="shared" si="16"/>
        <v>0.2</v>
      </c>
      <c r="AE499" s="15">
        <f t="shared" si="17"/>
        <v>0.5</v>
      </c>
      <c r="AF499" s="16">
        <v>16</v>
      </c>
      <c r="AG499" s="16" t="s">
        <v>66</v>
      </c>
      <c r="AH499" s="17" t="s">
        <v>66</v>
      </c>
      <c r="AI499" s="18">
        <v>9.1300000000000008</v>
      </c>
      <c r="AJ499" s="19">
        <v>0.98609999999999998</v>
      </c>
      <c r="AK499" s="20">
        <v>0.98540000000000005</v>
      </c>
      <c r="AL499" s="17" t="s">
        <v>92</v>
      </c>
      <c r="AM499" s="5" t="s">
        <v>66</v>
      </c>
      <c r="AN499" s="5" t="s">
        <v>66</v>
      </c>
      <c r="AO499" s="5" t="s">
        <v>595</v>
      </c>
      <c r="AP499" s="5" t="s">
        <v>595</v>
      </c>
      <c r="AQ499" s="5" t="s">
        <v>66</v>
      </c>
      <c r="AR499" s="5" t="s">
        <v>595</v>
      </c>
      <c r="AS499" s="5" t="s">
        <v>595</v>
      </c>
      <c r="AT499" s="5" t="s">
        <v>595</v>
      </c>
      <c r="AU499" s="5" t="s">
        <v>595</v>
      </c>
      <c r="AV499" s="5" t="s">
        <v>595</v>
      </c>
      <c r="AW499" s="5" t="s">
        <v>595</v>
      </c>
      <c r="AX499" s="5" t="s">
        <v>2206</v>
      </c>
      <c r="AY499" s="5" t="s">
        <v>94</v>
      </c>
      <c r="AZ499" s="5" t="s">
        <v>80</v>
      </c>
      <c r="BA499" s="19" t="s">
        <v>2193</v>
      </c>
      <c r="BB499" s="17" t="s">
        <v>94</v>
      </c>
      <c r="BC499" s="5" t="s">
        <v>2206</v>
      </c>
      <c r="BD499" s="5" t="s">
        <v>2217</v>
      </c>
    </row>
    <row r="500" spans="1:56" ht="36" hidden="1" x14ac:dyDescent="0.25">
      <c r="A500" s="78" t="s">
        <v>2186</v>
      </c>
      <c r="B500" s="5" t="s">
        <v>433</v>
      </c>
      <c r="C500" s="5" t="s">
        <v>3293</v>
      </c>
      <c r="D500" s="5" t="s">
        <v>56</v>
      </c>
      <c r="E500" s="99" t="str">
        <f>VLOOKUP(D500,'Dropdown List'!$F$26:$G$40,2,0)</f>
        <v>India</v>
      </c>
      <c r="F500" s="8" t="s">
        <v>2187</v>
      </c>
      <c r="G500" s="96">
        <v>7</v>
      </c>
      <c r="H500" s="5" t="s">
        <v>57</v>
      </c>
      <c r="I500" s="8" t="s">
        <v>58</v>
      </c>
      <c r="J500" s="8" t="s">
        <v>59</v>
      </c>
      <c r="K500" s="8" t="s">
        <v>86</v>
      </c>
      <c r="L500" s="8" t="s">
        <v>2299</v>
      </c>
      <c r="M500" s="8" t="s">
        <v>2300</v>
      </c>
      <c r="N500" s="5" t="s">
        <v>1034</v>
      </c>
      <c r="O500" s="5" t="s">
        <v>1051</v>
      </c>
      <c r="P500" s="5" t="s">
        <v>1051</v>
      </c>
      <c r="Q500" s="9" t="s">
        <v>75</v>
      </c>
      <c r="R500" s="5" t="s">
        <v>76</v>
      </c>
      <c r="S500" s="5" t="s">
        <v>90</v>
      </c>
      <c r="T500" s="96">
        <v>2</v>
      </c>
      <c r="U500" s="96">
        <v>1</v>
      </c>
      <c r="V500" s="96">
        <v>4</v>
      </c>
      <c r="W500" s="5" t="s">
        <v>91</v>
      </c>
      <c r="X500" s="10" t="s">
        <v>79</v>
      </c>
      <c r="Y500" s="11">
        <v>25347.49</v>
      </c>
      <c r="Z500" s="12">
        <v>0.1</v>
      </c>
      <c r="AA500" s="12">
        <v>0</v>
      </c>
      <c r="AB500" s="12">
        <v>0</v>
      </c>
      <c r="AC500" s="13">
        <v>0.1</v>
      </c>
      <c r="AD500" s="14">
        <f t="shared" si="16"/>
        <v>0.2</v>
      </c>
      <c r="AE500" s="15">
        <f t="shared" si="17"/>
        <v>0.5</v>
      </c>
      <c r="AF500" s="16">
        <v>83</v>
      </c>
      <c r="AG500" s="16" t="s">
        <v>66</v>
      </c>
      <c r="AH500" s="17" t="s">
        <v>66</v>
      </c>
      <c r="AI500" s="18">
        <v>1</v>
      </c>
      <c r="AJ500" s="19">
        <v>0.98540000000000005</v>
      </c>
      <c r="AK500" s="20">
        <v>0.9869</v>
      </c>
      <c r="AL500" s="17" t="s">
        <v>92</v>
      </c>
      <c r="AM500" s="5" t="s">
        <v>66</v>
      </c>
      <c r="AN500" s="5" t="s">
        <v>66</v>
      </c>
      <c r="AO500" s="5" t="s">
        <v>595</v>
      </c>
      <c r="AP500" s="5" t="s">
        <v>595</v>
      </c>
      <c r="AQ500" s="5" t="s">
        <v>66</v>
      </c>
      <c r="AR500" s="5" t="s">
        <v>595</v>
      </c>
      <c r="AS500" s="5" t="s">
        <v>595</v>
      </c>
      <c r="AT500" s="5" t="s">
        <v>595</v>
      </c>
      <c r="AU500" s="5" t="s">
        <v>595</v>
      </c>
      <c r="AV500" s="5" t="s">
        <v>595</v>
      </c>
      <c r="AW500" s="5" t="s">
        <v>595</v>
      </c>
      <c r="AX500" s="5" t="s">
        <v>2220</v>
      </c>
      <c r="AY500" s="5" t="s">
        <v>110</v>
      </c>
      <c r="AZ500" s="5" t="s">
        <v>80</v>
      </c>
      <c r="BA500" s="19" t="s">
        <v>2221</v>
      </c>
      <c r="BB500" s="17" t="s">
        <v>94</v>
      </c>
      <c r="BC500" s="5" t="s">
        <v>2220</v>
      </c>
      <c r="BD500" s="5" t="s">
        <v>2217</v>
      </c>
    </row>
    <row r="501" spans="1:56" ht="96" hidden="1" x14ac:dyDescent="0.25">
      <c r="A501" s="78" t="s">
        <v>2186</v>
      </c>
      <c r="B501" s="5" t="s">
        <v>433</v>
      </c>
      <c r="C501" s="5" t="s">
        <v>3293</v>
      </c>
      <c r="D501" s="5" t="s">
        <v>56</v>
      </c>
      <c r="E501" s="99" t="str">
        <f>VLOOKUP(D501,'Dropdown List'!$F$26:$G$40,2,0)</f>
        <v>India</v>
      </c>
      <c r="F501" s="8" t="s">
        <v>2187</v>
      </c>
      <c r="G501" s="96">
        <v>7</v>
      </c>
      <c r="H501" s="5" t="s">
        <v>57</v>
      </c>
      <c r="I501" s="8" t="s">
        <v>58</v>
      </c>
      <c r="J501" s="8" t="s">
        <v>146</v>
      </c>
      <c r="K501" s="8" t="s">
        <v>147</v>
      </c>
      <c r="L501" s="8" t="s">
        <v>2301</v>
      </c>
      <c r="M501" s="8" t="s">
        <v>2302</v>
      </c>
      <c r="N501" s="5" t="s">
        <v>1034</v>
      </c>
      <c r="O501" s="5" t="s">
        <v>61</v>
      </c>
      <c r="P501" s="5" t="s">
        <v>2303</v>
      </c>
      <c r="Q501" s="9" t="s">
        <v>75</v>
      </c>
      <c r="R501" s="5" t="s">
        <v>76</v>
      </c>
      <c r="S501" s="5" t="s">
        <v>90</v>
      </c>
      <c r="T501" s="96">
        <v>2</v>
      </c>
      <c r="U501" s="96">
        <v>1</v>
      </c>
      <c r="V501" s="96">
        <v>4</v>
      </c>
      <c r="W501" s="5" t="s">
        <v>91</v>
      </c>
      <c r="X501" s="10" t="s">
        <v>79</v>
      </c>
      <c r="Y501" s="11">
        <v>25347.49</v>
      </c>
      <c r="Z501" s="12">
        <v>0.47</v>
      </c>
      <c r="AA501" s="12">
        <v>0</v>
      </c>
      <c r="AB501" s="12">
        <v>0</v>
      </c>
      <c r="AC501" s="13">
        <v>0.1</v>
      </c>
      <c r="AD501" s="14">
        <f t="shared" si="16"/>
        <v>0.56999999999999995</v>
      </c>
      <c r="AE501" s="15">
        <f t="shared" si="17"/>
        <v>0.17543859649122809</v>
      </c>
      <c r="AF501" s="16">
        <v>4</v>
      </c>
      <c r="AG501" s="16" t="s">
        <v>66</v>
      </c>
      <c r="AH501" s="17" t="s">
        <v>66</v>
      </c>
      <c r="AI501" s="18">
        <v>10</v>
      </c>
      <c r="AJ501" s="19">
        <v>0.98540000000000005</v>
      </c>
      <c r="AK501" s="20">
        <v>0.9869</v>
      </c>
      <c r="AL501" s="17" t="s">
        <v>92</v>
      </c>
      <c r="AM501" s="5" t="s">
        <v>66</v>
      </c>
      <c r="AN501" s="5" t="s">
        <v>66</v>
      </c>
      <c r="AO501" s="5" t="s">
        <v>595</v>
      </c>
      <c r="AP501" s="5" t="s">
        <v>595</v>
      </c>
      <c r="AQ501" s="5" t="s">
        <v>66</v>
      </c>
      <c r="AR501" s="5" t="s">
        <v>595</v>
      </c>
      <c r="AS501" s="5" t="s">
        <v>595</v>
      </c>
      <c r="AT501" s="5" t="s">
        <v>595</v>
      </c>
      <c r="AU501" s="5" t="s">
        <v>595</v>
      </c>
      <c r="AV501" s="5" t="s">
        <v>595</v>
      </c>
      <c r="AW501" s="5" t="s">
        <v>595</v>
      </c>
      <c r="AX501" s="5" t="s">
        <v>2192</v>
      </c>
      <c r="AY501" s="5" t="s">
        <v>110</v>
      </c>
      <c r="AZ501" s="5" t="s">
        <v>145</v>
      </c>
      <c r="BA501" s="19" t="s">
        <v>2221</v>
      </c>
      <c r="BB501" s="17" t="s">
        <v>94</v>
      </c>
      <c r="BC501" s="5" t="s">
        <v>2194</v>
      </c>
      <c r="BD501" s="5" t="s">
        <v>2195</v>
      </c>
    </row>
    <row r="502" spans="1:56" ht="24" hidden="1" x14ac:dyDescent="0.25">
      <c r="A502" s="78" t="s">
        <v>2186</v>
      </c>
      <c r="B502" s="5" t="s">
        <v>433</v>
      </c>
      <c r="C502" s="5" t="s">
        <v>3293</v>
      </c>
      <c r="D502" s="5" t="s">
        <v>56</v>
      </c>
      <c r="E502" s="99" t="str">
        <f>VLOOKUP(D502,'Dropdown List'!$F$26:$G$40,2,0)</f>
        <v>India</v>
      </c>
      <c r="F502" s="8" t="s">
        <v>2187</v>
      </c>
      <c r="G502" s="96">
        <v>7</v>
      </c>
      <c r="H502" s="5" t="s">
        <v>57</v>
      </c>
      <c r="I502" s="8" t="s">
        <v>58</v>
      </c>
      <c r="J502" s="8" t="s">
        <v>146</v>
      </c>
      <c r="K502" s="8" t="s">
        <v>2304</v>
      </c>
      <c r="L502" s="8" t="s">
        <v>2305</v>
      </c>
      <c r="M502" s="8" t="s">
        <v>2306</v>
      </c>
      <c r="N502" s="5" t="s">
        <v>1034</v>
      </c>
      <c r="O502" s="5" t="s">
        <v>1069</v>
      </c>
      <c r="P502" s="5" t="s">
        <v>1069</v>
      </c>
      <c r="Q502" s="9" t="s">
        <v>75</v>
      </c>
      <c r="R502" s="5" t="s">
        <v>76</v>
      </c>
      <c r="S502" s="5" t="s">
        <v>90</v>
      </c>
      <c r="T502" s="96">
        <v>2</v>
      </c>
      <c r="U502" s="96">
        <v>1</v>
      </c>
      <c r="V502" s="96">
        <v>4</v>
      </c>
      <c r="W502" s="5" t="s">
        <v>91</v>
      </c>
      <c r="X502" s="10" t="s">
        <v>79</v>
      </c>
      <c r="Y502" s="11">
        <v>25347.49</v>
      </c>
      <c r="Z502" s="12">
        <v>14.75</v>
      </c>
      <c r="AA502" s="12">
        <v>1</v>
      </c>
      <c r="AB502" s="12">
        <v>1</v>
      </c>
      <c r="AC502" s="13">
        <v>1</v>
      </c>
      <c r="AD502" s="14">
        <f t="shared" si="16"/>
        <v>17.75</v>
      </c>
      <c r="AE502" s="15">
        <f t="shared" si="17"/>
        <v>5.6338028169014086E-2</v>
      </c>
      <c r="AF502" s="16">
        <v>12254</v>
      </c>
      <c r="AG502" s="16" t="s">
        <v>66</v>
      </c>
      <c r="AH502" s="17" t="s">
        <v>66</v>
      </c>
      <c r="AI502" s="18">
        <v>7.3</v>
      </c>
      <c r="AJ502" s="19">
        <v>0.98540000000000005</v>
      </c>
      <c r="AK502" s="20">
        <v>0.98540000000000005</v>
      </c>
      <c r="AL502" s="17" t="s">
        <v>92</v>
      </c>
      <c r="AM502" s="5" t="s">
        <v>66</v>
      </c>
      <c r="AN502" s="5" t="s">
        <v>66</v>
      </c>
      <c r="AO502" s="5" t="s">
        <v>595</v>
      </c>
      <c r="AP502" s="5" t="s">
        <v>595</v>
      </c>
      <c r="AQ502" s="5" t="s">
        <v>66</v>
      </c>
      <c r="AR502" s="5" t="s">
        <v>595</v>
      </c>
      <c r="AS502" s="5" t="s">
        <v>595</v>
      </c>
      <c r="AT502" s="5" t="s">
        <v>595</v>
      </c>
      <c r="AU502" s="5" t="s">
        <v>595</v>
      </c>
      <c r="AV502" s="5" t="s">
        <v>595</v>
      </c>
      <c r="AW502" s="5" t="s">
        <v>595</v>
      </c>
      <c r="AX502" s="5" t="s">
        <v>2220</v>
      </c>
      <c r="AY502" s="5" t="s">
        <v>110</v>
      </c>
      <c r="AZ502" s="5" t="s">
        <v>80</v>
      </c>
      <c r="BA502" s="19" t="s">
        <v>2221</v>
      </c>
      <c r="BB502" s="17" t="s">
        <v>94</v>
      </c>
      <c r="BC502" s="5" t="s">
        <v>2220</v>
      </c>
      <c r="BD502" s="5" t="s">
        <v>2217</v>
      </c>
    </row>
    <row r="503" spans="1:56" ht="48" hidden="1" x14ac:dyDescent="0.25">
      <c r="A503" s="78" t="s">
        <v>2186</v>
      </c>
      <c r="B503" s="5" t="s">
        <v>433</v>
      </c>
      <c r="C503" s="5" t="s">
        <v>3293</v>
      </c>
      <c r="D503" s="5" t="s">
        <v>56</v>
      </c>
      <c r="E503" s="99" t="str">
        <f>VLOOKUP(D503,'Dropdown List'!$F$26:$G$40,2,0)</f>
        <v>India</v>
      </c>
      <c r="F503" s="8" t="s">
        <v>2187</v>
      </c>
      <c r="G503" s="96">
        <v>7</v>
      </c>
      <c r="H503" s="5" t="s">
        <v>57</v>
      </c>
      <c r="I503" s="8" t="s">
        <v>58</v>
      </c>
      <c r="J503" s="8" t="s">
        <v>146</v>
      </c>
      <c r="K503" s="8" t="s">
        <v>147</v>
      </c>
      <c r="L503" s="8" t="s">
        <v>2307</v>
      </c>
      <c r="M503" s="8" t="s">
        <v>2308</v>
      </c>
      <c r="N503" s="5" t="s">
        <v>1034</v>
      </c>
      <c r="O503" s="5" t="s">
        <v>61</v>
      </c>
      <c r="P503" s="5" t="s">
        <v>2309</v>
      </c>
      <c r="Q503" s="9" t="s">
        <v>75</v>
      </c>
      <c r="R503" s="5" t="s">
        <v>76</v>
      </c>
      <c r="S503" s="5" t="s">
        <v>90</v>
      </c>
      <c r="T503" s="96">
        <v>2</v>
      </c>
      <c r="U503" s="96">
        <v>1</v>
      </c>
      <c r="V503" s="96">
        <v>4</v>
      </c>
      <c r="W503" s="5" t="s">
        <v>91</v>
      </c>
      <c r="X503" s="10" t="s">
        <v>79</v>
      </c>
      <c r="Y503" s="11">
        <v>25347.49</v>
      </c>
      <c r="Z503" s="12">
        <v>1.35</v>
      </c>
      <c r="AA503" s="12">
        <v>0</v>
      </c>
      <c r="AB503" s="12">
        <v>0.1</v>
      </c>
      <c r="AC503" s="13">
        <v>0.1</v>
      </c>
      <c r="AD503" s="14">
        <f t="shared" si="16"/>
        <v>1.5500000000000003</v>
      </c>
      <c r="AE503" s="15">
        <f t="shared" si="17"/>
        <v>6.4516129032258063E-2</v>
      </c>
      <c r="AF503" s="16">
        <v>2981</v>
      </c>
      <c r="AG503" s="16" t="s">
        <v>66</v>
      </c>
      <c r="AH503" s="17" t="s">
        <v>66</v>
      </c>
      <c r="AI503" s="18">
        <v>5</v>
      </c>
      <c r="AJ503" s="19">
        <v>0.98540000000000005</v>
      </c>
      <c r="AK503" s="20">
        <v>0.9869</v>
      </c>
      <c r="AL503" s="17" t="s">
        <v>92</v>
      </c>
      <c r="AM503" s="5" t="s">
        <v>66</v>
      </c>
      <c r="AN503" s="5" t="s">
        <v>66</v>
      </c>
      <c r="AO503" s="5" t="s">
        <v>595</v>
      </c>
      <c r="AP503" s="5" t="s">
        <v>595</v>
      </c>
      <c r="AQ503" s="5" t="s">
        <v>66</v>
      </c>
      <c r="AR503" s="5" t="s">
        <v>595</v>
      </c>
      <c r="AS503" s="5" t="s">
        <v>595</v>
      </c>
      <c r="AT503" s="5" t="s">
        <v>595</v>
      </c>
      <c r="AU503" s="5" t="s">
        <v>595</v>
      </c>
      <c r="AV503" s="5" t="s">
        <v>595</v>
      </c>
      <c r="AW503" s="5" t="s">
        <v>595</v>
      </c>
      <c r="AX503" s="5" t="s">
        <v>2206</v>
      </c>
      <c r="AY503" s="5" t="s">
        <v>94</v>
      </c>
      <c r="AZ503" s="5" t="s">
        <v>80</v>
      </c>
      <c r="BA503" s="19" t="s">
        <v>2193</v>
      </c>
      <c r="BB503" s="17" t="s">
        <v>94</v>
      </c>
      <c r="BC503" s="5" t="s">
        <v>2206</v>
      </c>
      <c r="BD503" s="5" t="s">
        <v>2217</v>
      </c>
    </row>
    <row r="504" spans="1:56" ht="24" hidden="1" x14ac:dyDescent="0.25">
      <c r="A504" s="78" t="s">
        <v>2186</v>
      </c>
      <c r="B504" s="5" t="s">
        <v>433</v>
      </c>
      <c r="C504" s="5" t="s">
        <v>3293</v>
      </c>
      <c r="D504" s="5" t="s">
        <v>56</v>
      </c>
      <c r="E504" s="99" t="str">
        <f>VLOOKUP(D504,'Dropdown List'!$F$26:$G$40,2,0)</f>
        <v>India</v>
      </c>
      <c r="F504" s="8" t="s">
        <v>2187</v>
      </c>
      <c r="G504" s="96">
        <v>7</v>
      </c>
      <c r="H504" s="5" t="s">
        <v>57</v>
      </c>
      <c r="I504" s="8" t="s">
        <v>58</v>
      </c>
      <c r="J504" s="8" t="s">
        <v>163</v>
      </c>
      <c r="K504" s="8" t="s">
        <v>1053</v>
      </c>
      <c r="L504" s="8" t="s">
        <v>2310</v>
      </c>
      <c r="M504" s="8" t="s">
        <v>2311</v>
      </c>
      <c r="N504" s="5" t="s">
        <v>1034</v>
      </c>
      <c r="O504" s="5" t="s">
        <v>1069</v>
      </c>
      <c r="P504" s="5" t="s">
        <v>1069</v>
      </c>
      <c r="Q504" s="9" t="s">
        <v>75</v>
      </c>
      <c r="R504" s="5" t="s">
        <v>76</v>
      </c>
      <c r="S504" s="5" t="s">
        <v>90</v>
      </c>
      <c r="T504" s="96">
        <v>2</v>
      </c>
      <c r="U504" s="96">
        <v>1</v>
      </c>
      <c r="V504" s="96">
        <v>4</v>
      </c>
      <c r="W504" s="5" t="s">
        <v>91</v>
      </c>
      <c r="X504" s="10" t="s">
        <v>79</v>
      </c>
      <c r="Y504" s="11">
        <v>25347.49</v>
      </c>
      <c r="Z504" s="12">
        <v>0.51931100630918148</v>
      </c>
      <c r="AA504" s="12">
        <v>0</v>
      </c>
      <c r="AB504" s="12">
        <v>0</v>
      </c>
      <c r="AC504" s="13">
        <v>0.1</v>
      </c>
      <c r="AD504" s="14">
        <f t="shared" si="16"/>
        <v>0.61931100630918146</v>
      </c>
      <c r="AE504" s="15">
        <f t="shared" si="17"/>
        <v>0.16146976071999042</v>
      </c>
      <c r="AF504" s="16">
        <v>119</v>
      </c>
      <c r="AG504" s="16" t="s">
        <v>66</v>
      </c>
      <c r="AH504" s="17" t="s">
        <v>66</v>
      </c>
      <c r="AI504" s="18">
        <v>6.6</v>
      </c>
      <c r="AJ504" s="19">
        <v>0.98609999999999998</v>
      </c>
      <c r="AK504" s="20">
        <v>0.98540000000000005</v>
      </c>
      <c r="AL504" s="17" t="s">
        <v>92</v>
      </c>
      <c r="AM504" s="5" t="s">
        <v>66</v>
      </c>
      <c r="AN504" s="5" t="s">
        <v>66</v>
      </c>
      <c r="AO504" s="5" t="s">
        <v>595</v>
      </c>
      <c r="AP504" s="5" t="s">
        <v>595</v>
      </c>
      <c r="AQ504" s="5" t="s">
        <v>66</v>
      </c>
      <c r="AR504" s="5" t="s">
        <v>595</v>
      </c>
      <c r="AS504" s="5" t="s">
        <v>595</v>
      </c>
      <c r="AT504" s="5" t="s">
        <v>595</v>
      </c>
      <c r="AU504" s="5" t="s">
        <v>595</v>
      </c>
      <c r="AV504" s="5" t="s">
        <v>595</v>
      </c>
      <c r="AW504" s="5" t="s">
        <v>595</v>
      </c>
      <c r="AX504" s="5" t="s">
        <v>2206</v>
      </c>
      <c r="AY504" s="5" t="s">
        <v>94</v>
      </c>
      <c r="AZ504" s="5" t="s">
        <v>80</v>
      </c>
      <c r="BA504" s="19" t="s">
        <v>2193</v>
      </c>
      <c r="BB504" s="17" t="s">
        <v>94</v>
      </c>
      <c r="BC504" s="5" t="s">
        <v>2206</v>
      </c>
      <c r="BD504" s="5" t="s">
        <v>2217</v>
      </c>
    </row>
    <row r="505" spans="1:56" ht="36" hidden="1" x14ac:dyDescent="0.25">
      <c r="A505" s="78" t="s">
        <v>2186</v>
      </c>
      <c r="B505" s="5" t="s">
        <v>433</v>
      </c>
      <c r="C505" s="5" t="s">
        <v>3293</v>
      </c>
      <c r="D505" s="5" t="s">
        <v>56</v>
      </c>
      <c r="E505" s="99" t="str">
        <f>VLOOKUP(D505,'Dropdown List'!$F$26:$G$40,2,0)</f>
        <v>India</v>
      </c>
      <c r="F505" s="8" t="s">
        <v>2187</v>
      </c>
      <c r="G505" s="96">
        <v>7</v>
      </c>
      <c r="H505" s="5" t="s">
        <v>57</v>
      </c>
      <c r="I505" s="8" t="s">
        <v>58</v>
      </c>
      <c r="J505" s="8" t="s">
        <v>163</v>
      </c>
      <c r="K505" s="8" t="s">
        <v>1053</v>
      </c>
      <c r="L505" s="8" t="s">
        <v>2312</v>
      </c>
      <c r="M505" s="8" t="s">
        <v>2313</v>
      </c>
      <c r="N505" s="5" t="s">
        <v>1034</v>
      </c>
      <c r="O505" s="5" t="s">
        <v>61</v>
      </c>
      <c r="P505" s="5" t="s">
        <v>2191</v>
      </c>
      <c r="Q505" s="9" t="s">
        <v>75</v>
      </c>
      <c r="R505" s="5" t="s">
        <v>76</v>
      </c>
      <c r="S505" s="5" t="s">
        <v>90</v>
      </c>
      <c r="T505" s="96">
        <v>2</v>
      </c>
      <c r="U505" s="96">
        <v>1</v>
      </c>
      <c r="V505" s="96">
        <v>4</v>
      </c>
      <c r="W505" s="5" t="s">
        <v>91</v>
      </c>
      <c r="X505" s="10" t="s">
        <v>79</v>
      </c>
      <c r="Y505" s="11">
        <v>25347.49</v>
      </c>
      <c r="Z505" s="12">
        <v>1.0064364535167454</v>
      </c>
      <c r="AA505" s="12">
        <v>0</v>
      </c>
      <c r="AB505" s="12">
        <v>0.1</v>
      </c>
      <c r="AC505" s="13">
        <v>0.1</v>
      </c>
      <c r="AD505" s="14">
        <f t="shared" si="16"/>
        <v>1.2064364535167456</v>
      </c>
      <c r="AE505" s="15">
        <f t="shared" si="17"/>
        <v>8.2888742053923672E-2</v>
      </c>
      <c r="AF505" s="16">
        <v>1485</v>
      </c>
      <c r="AG505" s="16" t="s">
        <v>66</v>
      </c>
      <c r="AH505" s="17" t="s">
        <v>66</v>
      </c>
      <c r="AI505" s="18">
        <v>4.0999999999999996</v>
      </c>
      <c r="AJ505" s="19">
        <v>0.9869</v>
      </c>
      <c r="AK505" s="20">
        <v>0.9869</v>
      </c>
      <c r="AL505" s="17" t="s">
        <v>92</v>
      </c>
      <c r="AM505" s="5" t="s">
        <v>66</v>
      </c>
      <c r="AN505" s="5" t="s">
        <v>66</v>
      </c>
      <c r="AO505" s="5" t="s">
        <v>595</v>
      </c>
      <c r="AP505" s="5" t="s">
        <v>595</v>
      </c>
      <c r="AQ505" s="5" t="s">
        <v>66</v>
      </c>
      <c r="AR505" s="5" t="s">
        <v>595</v>
      </c>
      <c r="AS505" s="5" t="s">
        <v>595</v>
      </c>
      <c r="AT505" s="5" t="s">
        <v>595</v>
      </c>
      <c r="AU505" s="5" t="s">
        <v>595</v>
      </c>
      <c r="AV505" s="5" t="s">
        <v>595</v>
      </c>
      <c r="AW505" s="5" t="s">
        <v>595</v>
      </c>
      <c r="AX505" s="5" t="s">
        <v>2220</v>
      </c>
      <c r="AY505" s="5" t="s">
        <v>110</v>
      </c>
      <c r="AZ505" s="5" t="s">
        <v>80</v>
      </c>
      <c r="BA505" s="19" t="s">
        <v>2221</v>
      </c>
      <c r="BB505" s="17" t="s">
        <v>94</v>
      </c>
      <c r="BC505" s="5" t="s">
        <v>2220</v>
      </c>
      <c r="BD505" s="5" t="s">
        <v>2217</v>
      </c>
    </row>
    <row r="506" spans="1:56" ht="60" hidden="1" x14ac:dyDescent="0.25">
      <c r="A506" s="78" t="s">
        <v>2186</v>
      </c>
      <c r="B506" s="5" t="s">
        <v>433</v>
      </c>
      <c r="C506" s="5" t="s">
        <v>3293</v>
      </c>
      <c r="D506" s="5" t="s">
        <v>56</v>
      </c>
      <c r="E506" s="99" t="str">
        <f>VLOOKUP(D506,'Dropdown List'!$F$26:$G$40,2,0)</f>
        <v>India</v>
      </c>
      <c r="F506" s="8" t="s">
        <v>2187</v>
      </c>
      <c r="G506" s="96">
        <v>7</v>
      </c>
      <c r="H506" s="5" t="s">
        <v>57</v>
      </c>
      <c r="I506" s="8" t="s">
        <v>58</v>
      </c>
      <c r="J506" s="8" t="s">
        <v>163</v>
      </c>
      <c r="K506" s="8" t="s">
        <v>1919</v>
      </c>
      <c r="L506" s="8" t="s">
        <v>2314</v>
      </c>
      <c r="M506" s="8" t="s">
        <v>2315</v>
      </c>
      <c r="N506" s="5" t="s">
        <v>1034</v>
      </c>
      <c r="O506" s="5" t="s">
        <v>61</v>
      </c>
      <c r="P506" s="5" t="s">
        <v>2191</v>
      </c>
      <c r="Q506" s="9" t="s">
        <v>75</v>
      </c>
      <c r="R506" s="5" t="s">
        <v>76</v>
      </c>
      <c r="S506" s="5" t="s">
        <v>90</v>
      </c>
      <c r="T506" s="96">
        <v>2</v>
      </c>
      <c r="U506" s="96">
        <v>1</v>
      </c>
      <c r="V506" s="96">
        <v>4</v>
      </c>
      <c r="W506" s="5" t="s">
        <v>91</v>
      </c>
      <c r="X506" s="10" t="s">
        <v>79</v>
      </c>
      <c r="Y506" s="11">
        <v>25347.49</v>
      </c>
      <c r="Z506" s="12">
        <v>0.32800890084953344</v>
      </c>
      <c r="AA506" s="12">
        <v>0</v>
      </c>
      <c r="AB506" s="12">
        <v>0</v>
      </c>
      <c r="AC506" s="13">
        <v>0.1</v>
      </c>
      <c r="AD506" s="14">
        <f t="shared" si="16"/>
        <v>0.42800890084953347</v>
      </c>
      <c r="AE506" s="15">
        <f t="shared" si="17"/>
        <v>0.23364000094744528</v>
      </c>
      <c r="AF506" s="16">
        <v>1273</v>
      </c>
      <c r="AG506" s="16" t="s">
        <v>66</v>
      </c>
      <c r="AH506" s="17" t="s">
        <v>66</v>
      </c>
      <c r="AI506" s="18">
        <v>5</v>
      </c>
      <c r="AJ506" s="19">
        <v>0.9869</v>
      </c>
      <c r="AK506" s="20">
        <v>0.9869</v>
      </c>
      <c r="AL506" s="17" t="s">
        <v>92</v>
      </c>
      <c r="AM506" s="5" t="s">
        <v>66</v>
      </c>
      <c r="AN506" s="5" t="s">
        <v>66</v>
      </c>
      <c r="AO506" s="5" t="s">
        <v>595</v>
      </c>
      <c r="AP506" s="5" t="s">
        <v>595</v>
      </c>
      <c r="AQ506" s="5" t="s">
        <v>66</v>
      </c>
      <c r="AR506" s="5" t="s">
        <v>595</v>
      </c>
      <c r="AS506" s="5" t="s">
        <v>595</v>
      </c>
      <c r="AT506" s="5" t="s">
        <v>595</v>
      </c>
      <c r="AU506" s="5" t="s">
        <v>595</v>
      </c>
      <c r="AV506" s="5" t="s">
        <v>595</v>
      </c>
      <c r="AW506" s="5" t="s">
        <v>595</v>
      </c>
      <c r="AX506" s="5" t="s">
        <v>2220</v>
      </c>
      <c r="AY506" s="5" t="s">
        <v>110</v>
      </c>
      <c r="AZ506" s="5" t="s">
        <v>80</v>
      </c>
      <c r="BA506" s="19" t="s">
        <v>2221</v>
      </c>
      <c r="BB506" s="17" t="s">
        <v>94</v>
      </c>
      <c r="BC506" s="5" t="s">
        <v>2220</v>
      </c>
      <c r="BD506" s="5" t="s">
        <v>2217</v>
      </c>
    </row>
    <row r="507" spans="1:56" ht="36" hidden="1" x14ac:dyDescent="0.25">
      <c r="A507" s="78" t="s">
        <v>2186</v>
      </c>
      <c r="B507" s="5" t="s">
        <v>433</v>
      </c>
      <c r="C507" s="5" t="s">
        <v>3293</v>
      </c>
      <c r="D507" s="5" t="s">
        <v>56</v>
      </c>
      <c r="E507" s="99" t="str">
        <f>VLOOKUP(D507,'Dropdown List'!$F$26:$G$40,2,0)</f>
        <v>India</v>
      </c>
      <c r="F507" s="8" t="s">
        <v>2187</v>
      </c>
      <c r="G507" s="96">
        <v>7</v>
      </c>
      <c r="H507" s="5" t="s">
        <v>57</v>
      </c>
      <c r="I507" s="8" t="s">
        <v>58</v>
      </c>
      <c r="J507" s="8" t="s">
        <v>163</v>
      </c>
      <c r="K507" s="8" t="s">
        <v>1050</v>
      </c>
      <c r="L507" s="8" t="s">
        <v>2316</v>
      </c>
      <c r="M507" s="8" t="s">
        <v>2317</v>
      </c>
      <c r="N507" s="5" t="s">
        <v>1034</v>
      </c>
      <c r="O507" s="5" t="s">
        <v>1069</v>
      </c>
      <c r="P507" s="5" t="s">
        <v>1069</v>
      </c>
      <c r="Q507" s="9" t="s">
        <v>75</v>
      </c>
      <c r="R507" s="5" t="s">
        <v>76</v>
      </c>
      <c r="S507" s="5" t="s">
        <v>90</v>
      </c>
      <c r="T507" s="96">
        <v>2</v>
      </c>
      <c r="U507" s="96">
        <v>1</v>
      </c>
      <c r="V507" s="96">
        <v>4</v>
      </c>
      <c r="W507" s="5" t="s">
        <v>91</v>
      </c>
      <c r="X507" s="10" t="s">
        <v>79</v>
      </c>
      <c r="Y507" s="11">
        <v>25347.49</v>
      </c>
      <c r="Z507" s="12">
        <v>0.15049551241765352</v>
      </c>
      <c r="AA507" s="12">
        <v>0</v>
      </c>
      <c r="AB507" s="12">
        <v>0</v>
      </c>
      <c r="AC507" s="13">
        <v>0.1</v>
      </c>
      <c r="AD507" s="14">
        <f t="shared" si="16"/>
        <v>0.25049551241765355</v>
      </c>
      <c r="AE507" s="15">
        <f t="shared" si="17"/>
        <v>0.39920874843166471</v>
      </c>
      <c r="AF507" s="16">
        <v>27</v>
      </c>
      <c r="AG507" s="16" t="s">
        <v>66</v>
      </c>
      <c r="AH507" s="17" t="s">
        <v>66</v>
      </c>
      <c r="AI507" s="18">
        <v>10</v>
      </c>
      <c r="AJ507" s="19">
        <v>0.9869</v>
      </c>
      <c r="AK507" s="20">
        <v>0.9869</v>
      </c>
      <c r="AL507" s="17" t="s">
        <v>92</v>
      </c>
      <c r="AM507" s="5" t="s">
        <v>66</v>
      </c>
      <c r="AN507" s="5" t="s">
        <v>66</v>
      </c>
      <c r="AO507" s="5" t="s">
        <v>595</v>
      </c>
      <c r="AP507" s="5" t="s">
        <v>595</v>
      </c>
      <c r="AQ507" s="5" t="s">
        <v>66</v>
      </c>
      <c r="AR507" s="5" t="s">
        <v>595</v>
      </c>
      <c r="AS507" s="5" t="s">
        <v>595</v>
      </c>
      <c r="AT507" s="5" t="s">
        <v>595</v>
      </c>
      <c r="AU507" s="5" t="s">
        <v>595</v>
      </c>
      <c r="AV507" s="5" t="s">
        <v>595</v>
      </c>
      <c r="AW507" s="5" t="s">
        <v>595</v>
      </c>
      <c r="AX507" s="5" t="s">
        <v>2220</v>
      </c>
      <c r="AY507" s="5" t="s">
        <v>110</v>
      </c>
      <c r="AZ507" s="5" t="s">
        <v>80</v>
      </c>
      <c r="BA507" s="19" t="s">
        <v>2221</v>
      </c>
      <c r="BB507" s="17" t="s">
        <v>94</v>
      </c>
      <c r="BC507" s="5" t="s">
        <v>2220</v>
      </c>
      <c r="BD507" s="5" t="s">
        <v>2217</v>
      </c>
    </row>
    <row r="508" spans="1:56" ht="48" hidden="1" x14ac:dyDescent="0.25">
      <c r="A508" s="78" t="s">
        <v>2186</v>
      </c>
      <c r="B508" s="5" t="s">
        <v>433</v>
      </c>
      <c r="C508" s="5" t="s">
        <v>3293</v>
      </c>
      <c r="D508" s="5" t="s">
        <v>56</v>
      </c>
      <c r="E508" s="99" t="str">
        <f>VLOOKUP(D508,'Dropdown List'!$F$26:$G$40,2,0)</f>
        <v>India</v>
      </c>
      <c r="F508" s="8" t="s">
        <v>2187</v>
      </c>
      <c r="G508" s="96">
        <v>7</v>
      </c>
      <c r="H508" s="5" t="s">
        <v>57</v>
      </c>
      <c r="I508" s="8" t="s">
        <v>58</v>
      </c>
      <c r="J508" s="8" t="s">
        <v>396</v>
      </c>
      <c r="K508" s="8" t="s">
        <v>2318</v>
      </c>
      <c r="L508" s="8" t="s">
        <v>2319</v>
      </c>
      <c r="M508" s="8" t="s">
        <v>2320</v>
      </c>
      <c r="N508" s="5" t="s">
        <v>1034</v>
      </c>
      <c r="O508" s="5" t="s">
        <v>1069</v>
      </c>
      <c r="P508" s="5" t="s">
        <v>1069</v>
      </c>
      <c r="Q508" s="9" t="s">
        <v>75</v>
      </c>
      <c r="R508" s="5" t="s">
        <v>76</v>
      </c>
      <c r="S508" s="5" t="s">
        <v>90</v>
      </c>
      <c r="T508" s="96">
        <v>2</v>
      </c>
      <c r="U508" s="96">
        <v>1</v>
      </c>
      <c r="V508" s="96">
        <v>4</v>
      </c>
      <c r="W508" s="5" t="s">
        <v>91</v>
      </c>
      <c r="X508" s="10" t="s">
        <v>79</v>
      </c>
      <c r="Y508" s="11">
        <v>25347.49</v>
      </c>
      <c r="Z508" s="12">
        <v>0.1</v>
      </c>
      <c r="AA508" s="12">
        <v>0</v>
      </c>
      <c r="AB508" s="12">
        <v>0</v>
      </c>
      <c r="AC508" s="13">
        <v>0.1</v>
      </c>
      <c r="AD508" s="14">
        <f t="shared" si="16"/>
        <v>0.2</v>
      </c>
      <c r="AE508" s="15">
        <f t="shared" si="17"/>
        <v>0.5</v>
      </c>
      <c r="AF508" s="16">
        <v>51</v>
      </c>
      <c r="AG508" s="16" t="s">
        <v>66</v>
      </c>
      <c r="AH508" s="17" t="s">
        <v>66</v>
      </c>
      <c r="AI508" s="18">
        <v>10</v>
      </c>
      <c r="AJ508" s="19">
        <v>0.9869</v>
      </c>
      <c r="AK508" s="20">
        <v>0.9869</v>
      </c>
      <c r="AL508" s="17" t="s">
        <v>92</v>
      </c>
      <c r="AM508" s="5" t="s">
        <v>66</v>
      </c>
      <c r="AN508" s="5" t="s">
        <v>66</v>
      </c>
      <c r="AO508" s="5" t="s">
        <v>595</v>
      </c>
      <c r="AP508" s="5" t="s">
        <v>595</v>
      </c>
      <c r="AQ508" s="5" t="s">
        <v>66</v>
      </c>
      <c r="AR508" s="5" t="s">
        <v>595</v>
      </c>
      <c r="AS508" s="5" t="s">
        <v>595</v>
      </c>
      <c r="AT508" s="5" t="s">
        <v>595</v>
      </c>
      <c r="AU508" s="5" t="s">
        <v>595</v>
      </c>
      <c r="AV508" s="5" t="s">
        <v>595</v>
      </c>
      <c r="AW508" s="5" t="s">
        <v>595</v>
      </c>
      <c r="AX508" s="5" t="s">
        <v>2220</v>
      </c>
      <c r="AY508" s="5" t="s">
        <v>110</v>
      </c>
      <c r="AZ508" s="5" t="s">
        <v>80</v>
      </c>
      <c r="BA508" s="19" t="s">
        <v>2221</v>
      </c>
      <c r="BB508" s="17" t="s">
        <v>94</v>
      </c>
      <c r="BC508" s="5" t="s">
        <v>2220</v>
      </c>
      <c r="BD508" s="5" t="s">
        <v>2217</v>
      </c>
    </row>
    <row r="509" spans="1:56" ht="96" hidden="1" x14ac:dyDescent="0.25">
      <c r="A509" s="78" t="s">
        <v>2186</v>
      </c>
      <c r="B509" s="5" t="s">
        <v>433</v>
      </c>
      <c r="C509" s="5" t="s">
        <v>3293</v>
      </c>
      <c r="D509" s="5" t="s">
        <v>56</v>
      </c>
      <c r="E509" s="99" t="str">
        <f>VLOOKUP(D509,'Dropdown List'!$F$26:$G$40,2,0)</f>
        <v>India</v>
      </c>
      <c r="F509" s="8" t="s">
        <v>2187</v>
      </c>
      <c r="G509" s="96">
        <v>7</v>
      </c>
      <c r="H509" s="5" t="s">
        <v>57</v>
      </c>
      <c r="I509" s="8" t="s">
        <v>58</v>
      </c>
      <c r="J509" s="8" t="s">
        <v>881</v>
      </c>
      <c r="K509" s="8" t="s">
        <v>2321</v>
      </c>
      <c r="L509" s="8" t="s">
        <v>2322</v>
      </c>
      <c r="M509" s="8" t="s">
        <v>2323</v>
      </c>
      <c r="N509" s="5" t="s">
        <v>1034</v>
      </c>
      <c r="O509" s="5" t="s">
        <v>61</v>
      </c>
      <c r="P509" s="5" t="s">
        <v>2191</v>
      </c>
      <c r="Q509" s="9" t="s">
        <v>75</v>
      </c>
      <c r="R509" s="5" t="s">
        <v>76</v>
      </c>
      <c r="S509" s="5" t="s">
        <v>90</v>
      </c>
      <c r="T509" s="96">
        <v>2</v>
      </c>
      <c r="U509" s="96">
        <v>1</v>
      </c>
      <c r="V509" s="96">
        <v>4</v>
      </c>
      <c r="W509" s="5" t="s">
        <v>91</v>
      </c>
      <c r="X509" s="10" t="s">
        <v>79</v>
      </c>
      <c r="Y509" s="11">
        <v>25347.49</v>
      </c>
      <c r="Z509" s="12">
        <v>0.61275719920792904</v>
      </c>
      <c r="AA509" s="12">
        <v>0</v>
      </c>
      <c r="AB509" s="12">
        <v>0.1</v>
      </c>
      <c r="AC509" s="13">
        <v>0.1</v>
      </c>
      <c r="AD509" s="14">
        <f t="shared" si="16"/>
        <v>0.81275719920792899</v>
      </c>
      <c r="AE509" s="15">
        <f t="shared" si="17"/>
        <v>0.12303797505264158</v>
      </c>
      <c r="AF509" s="16">
        <v>1420</v>
      </c>
      <c r="AG509" s="16" t="s">
        <v>66</v>
      </c>
      <c r="AH509" s="17" t="s">
        <v>66</v>
      </c>
      <c r="AI509" s="18">
        <v>3.2</v>
      </c>
      <c r="AJ509" s="19">
        <v>0.9869</v>
      </c>
      <c r="AK509" s="20">
        <v>0.9869</v>
      </c>
      <c r="AL509" s="17" t="s">
        <v>92</v>
      </c>
      <c r="AM509" s="5" t="s">
        <v>66</v>
      </c>
      <c r="AN509" s="5" t="s">
        <v>66</v>
      </c>
      <c r="AO509" s="5" t="s">
        <v>595</v>
      </c>
      <c r="AP509" s="5" t="s">
        <v>595</v>
      </c>
      <c r="AQ509" s="5" t="s">
        <v>66</v>
      </c>
      <c r="AR509" s="5" t="s">
        <v>595</v>
      </c>
      <c r="AS509" s="5" t="s">
        <v>595</v>
      </c>
      <c r="AT509" s="5" t="s">
        <v>595</v>
      </c>
      <c r="AU509" s="5" t="s">
        <v>595</v>
      </c>
      <c r="AV509" s="5" t="s">
        <v>595</v>
      </c>
      <c r="AW509" s="5" t="s">
        <v>595</v>
      </c>
      <c r="AX509" s="5" t="s">
        <v>2220</v>
      </c>
      <c r="AY509" s="5" t="s">
        <v>110</v>
      </c>
      <c r="AZ509" s="5" t="s">
        <v>80</v>
      </c>
      <c r="BA509" s="19" t="s">
        <v>2221</v>
      </c>
      <c r="BB509" s="17" t="s">
        <v>94</v>
      </c>
      <c r="BC509" s="5" t="s">
        <v>2220</v>
      </c>
      <c r="BD509" s="5" t="s">
        <v>2217</v>
      </c>
    </row>
    <row r="510" spans="1:56" ht="72" hidden="1" x14ac:dyDescent="0.25">
      <c r="A510" s="78" t="s">
        <v>2186</v>
      </c>
      <c r="B510" s="5" t="s">
        <v>433</v>
      </c>
      <c r="C510" s="5" t="s">
        <v>3293</v>
      </c>
      <c r="D510" s="5" t="s">
        <v>56</v>
      </c>
      <c r="E510" s="99" t="str">
        <f>VLOOKUP(D510,'Dropdown List'!$F$26:$G$40,2,0)</f>
        <v>India</v>
      </c>
      <c r="F510" s="8" t="s">
        <v>2187</v>
      </c>
      <c r="G510" s="96">
        <v>7</v>
      </c>
      <c r="H510" s="5" t="s">
        <v>57</v>
      </c>
      <c r="I510" s="8" t="s">
        <v>58</v>
      </c>
      <c r="J510" s="8" t="s">
        <v>396</v>
      </c>
      <c r="K510" s="8" t="s">
        <v>397</v>
      </c>
      <c r="L510" s="8" t="s">
        <v>2324</v>
      </c>
      <c r="M510" s="8" t="s">
        <v>2325</v>
      </c>
      <c r="N510" s="5" t="s">
        <v>1034</v>
      </c>
      <c r="O510" s="5" t="s">
        <v>61</v>
      </c>
      <c r="P510" s="5" t="s">
        <v>2191</v>
      </c>
      <c r="Q510" s="9" t="s">
        <v>75</v>
      </c>
      <c r="R510" s="5" t="s">
        <v>76</v>
      </c>
      <c r="S510" s="5" t="s">
        <v>90</v>
      </c>
      <c r="T510" s="96">
        <v>2</v>
      </c>
      <c r="U510" s="96">
        <v>1</v>
      </c>
      <c r="V510" s="96">
        <v>4</v>
      </c>
      <c r="W510" s="5" t="s">
        <v>91</v>
      </c>
      <c r="X510" s="10" t="s">
        <v>79</v>
      </c>
      <c r="Y510" s="11">
        <v>25347.49</v>
      </c>
      <c r="Z510" s="12">
        <v>0.1</v>
      </c>
      <c r="AA510" s="12">
        <v>0</v>
      </c>
      <c r="AB510" s="12">
        <v>0</v>
      </c>
      <c r="AC510" s="13">
        <v>0.1</v>
      </c>
      <c r="AD510" s="14">
        <f t="shared" si="16"/>
        <v>0.2</v>
      </c>
      <c r="AE510" s="15">
        <f t="shared" si="17"/>
        <v>0.5</v>
      </c>
      <c r="AF510" s="16">
        <v>66</v>
      </c>
      <c r="AG510" s="16" t="s">
        <v>66</v>
      </c>
      <c r="AH510" s="17" t="s">
        <v>66</v>
      </c>
      <c r="AI510" s="18">
        <v>1.1000000000000001</v>
      </c>
      <c r="AJ510" s="19">
        <v>0.9869</v>
      </c>
      <c r="AK510" s="20">
        <v>0.9869</v>
      </c>
      <c r="AL510" s="17" t="s">
        <v>92</v>
      </c>
      <c r="AM510" s="5" t="s">
        <v>66</v>
      </c>
      <c r="AN510" s="5" t="s">
        <v>66</v>
      </c>
      <c r="AO510" s="5" t="s">
        <v>595</v>
      </c>
      <c r="AP510" s="5" t="s">
        <v>595</v>
      </c>
      <c r="AQ510" s="5" t="s">
        <v>66</v>
      </c>
      <c r="AR510" s="5" t="s">
        <v>595</v>
      </c>
      <c r="AS510" s="5" t="s">
        <v>595</v>
      </c>
      <c r="AT510" s="5" t="s">
        <v>595</v>
      </c>
      <c r="AU510" s="5" t="s">
        <v>595</v>
      </c>
      <c r="AV510" s="5" t="s">
        <v>595</v>
      </c>
      <c r="AW510" s="5" t="s">
        <v>595</v>
      </c>
      <c r="AX510" s="5" t="s">
        <v>2206</v>
      </c>
      <c r="AY510" s="5" t="s">
        <v>94</v>
      </c>
      <c r="AZ510" s="5" t="s">
        <v>80</v>
      </c>
      <c r="BA510" s="19" t="s">
        <v>2193</v>
      </c>
      <c r="BB510" s="17" t="s">
        <v>94</v>
      </c>
      <c r="BC510" s="5" t="s">
        <v>2206</v>
      </c>
      <c r="BD510" s="5" t="s">
        <v>2217</v>
      </c>
    </row>
    <row r="511" spans="1:56" ht="48" hidden="1" x14ac:dyDescent="0.25">
      <c r="A511" s="78" t="s">
        <v>2186</v>
      </c>
      <c r="B511" s="5" t="s">
        <v>433</v>
      </c>
      <c r="C511" s="5" t="s">
        <v>3293</v>
      </c>
      <c r="D511" s="5" t="s">
        <v>56</v>
      </c>
      <c r="E511" s="99" t="str">
        <f>VLOOKUP(D511,'Dropdown List'!$F$26:$G$40,2,0)</f>
        <v>India</v>
      </c>
      <c r="F511" s="8" t="s">
        <v>2187</v>
      </c>
      <c r="G511" s="96">
        <v>7</v>
      </c>
      <c r="H511" s="5" t="s">
        <v>57</v>
      </c>
      <c r="I511" s="8" t="s">
        <v>58</v>
      </c>
      <c r="J511" s="8" t="s">
        <v>146</v>
      </c>
      <c r="K511" s="8" t="s">
        <v>147</v>
      </c>
      <c r="L511" s="8" t="s">
        <v>2326</v>
      </c>
      <c r="M511" s="8" t="s">
        <v>2327</v>
      </c>
      <c r="N511" s="5" t="s">
        <v>1034</v>
      </c>
      <c r="O511" s="5" t="s">
        <v>61</v>
      </c>
      <c r="P511" s="5" t="s">
        <v>2191</v>
      </c>
      <c r="Q511" s="9" t="s">
        <v>75</v>
      </c>
      <c r="R511" s="5" t="s">
        <v>76</v>
      </c>
      <c r="S511" s="5" t="s">
        <v>90</v>
      </c>
      <c r="T511" s="96">
        <v>2</v>
      </c>
      <c r="U511" s="96">
        <v>1</v>
      </c>
      <c r="V511" s="96">
        <v>4</v>
      </c>
      <c r="W511" s="5" t="s">
        <v>91</v>
      </c>
      <c r="X511" s="10" t="s">
        <v>79</v>
      </c>
      <c r="Y511" s="11">
        <v>25347.49</v>
      </c>
      <c r="Z511" s="12">
        <v>1.01</v>
      </c>
      <c r="AA511" s="12">
        <v>0</v>
      </c>
      <c r="AB511" s="12">
        <v>0.1</v>
      </c>
      <c r="AC511" s="13">
        <v>0.1</v>
      </c>
      <c r="AD511" s="14">
        <f t="shared" si="16"/>
        <v>1.2100000000000002</v>
      </c>
      <c r="AE511" s="15">
        <f t="shared" si="17"/>
        <v>8.2644628099173542E-2</v>
      </c>
      <c r="AF511" s="16">
        <v>8440</v>
      </c>
      <c r="AG511" s="16" t="s">
        <v>66</v>
      </c>
      <c r="AH511" s="17" t="s">
        <v>66</v>
      </c>
      <c r="AI511" s="18">
        <v>2.42</v>
      </c>
      <c r="AJ511" s="19">
        <v>0.9869</v>
      </c>
      <c r="AK511" s="20">
        <v>0.9869</v>
      </c>
      <c r="AL511" s="17" t="s">
        <v>92</v>
      </c>
      <c r="AM511" s="5" t="s">
        <v>66</v>
      </c>
      <c r="AN511" s="5" t="s">
        <v>66</v>
      </c>
      <c r="AO511" s="5" t="s">
        <v>595</v>
      </c>
      <c r="AP511" s="5" t="s">
        <v>595</v>
      </c>
      <c r="AQ511" s="5" t="s">
        <v>66</v>
      </c>
      <c r="AR511" s="5" t="s">
        <v>595</v>
      </c>
      <c r="AS511" s="5" t="s">
        <v>595</v>
      </c>
      <c r="AT511" s="5" t="s">
        <v>595</v>
      </c>
      <c r="AU511" s="5" t="s">
        <v>595</v>
      </c>
      <c r="AV511" s="5" t="s">
        <v>595</v>
      </c>
      <c r="AW511" s="5" t="s">
        <v>595</v>
      </c>
      <c r="AX511" s="5" t="s">
        <v>2220</v>
      </c>
      <c r="AY511" s="5" t="s">
        <v>110</v>
      </c>
      <c r="AZ511" s="5" t="s">
        <v>80</v>
      </c>
      <c r="BA511" s="19" t="s">
        <v>2221</v>
      </c>
      <c r="BB511" s="17" t="s">
        <v>94</v>
      </c>
      <c r="BC511" s="5" t="s">
        <v>2220</v>
      </c>
      <c r="BD511" s="5" t="s">
        <v>2217</v>
      </c>
    </row>
    <row r="512" spans="1:56" ht="72" hidden="1" x14ac:dyDescent="0.25">
      <c r="A512" s="78" t="s">
        <v>2186</v>
      </c>
      <c r="B512" s="5" t="s">
        <v>433</v>
      </c>
      <c r="C512" s="5" t="s">
        <v>3293</v>
      </c>
      <c r="D512" s="5" t="s">
        <v>56</v>
      </c>
      <c r="E512" s="99" t="str">
        <f>VLOOKUP(D512,'Dropdown List'!$F$26:$G$40,2,0)</f>
        <v>India</v>
      </c>
      <c r="F512" s="8" t="s">
        <v>2187</v>
      </c>
      <c r="G512" s="96">
        <v>7</v>
      </c>
      <c r="H512" s="5" t="s">
        <v>57</v>
      </c>
      <c r="I512" s="8" t="s">
        <v>58</v>
      </c>
      <c r="J512" s="8" t="s">
        <v>396</v>
      </c>
      <c r="K512" s="8" t="s">
        <v>1715</v>
      </c>
      <c r="L512" s="8" t="s">
        <v>2328</v>
      </c>
      <c r="M512" s="8" t="s">
        <v>2329</v>
      </c>
      <c r="N512" s="5" t="s">
        <v>1034</v>
      </c>
      <c r="O512" s="5" t="s">
        <v>1069</v>
      </c>
      <c r="P512" s="5" t="s">
        <v>1069</v>
      </c>
      <c r="Q512" s="9" t="s">
        <v>75</v>
      </c>
      <c r="R512" s="5" t="s">
        <v>63</v>
      </c>
      <c r="S512" s="5" t="s">
        <v>90</v>
      </c>
      <c r="T512" s="96">
        <v>2</v>
      </c>
      <c r="U512" s="96">
        <v>1</v>
      </c>
      <c r="V512" s="96">
        <v>4</v>
      </c>
      <c r="W512" s="5" t="s">
        <v>91</v>
      </c>
      <c r="X512" s="10" t="s">
        <v>79</v>
      </c>
      <c r="Y512" s="11">
        <v>31084.880000000001</v>
      </c>
      <c r="Z512" s="12">
        <v>3</v>
      </c>
      <c r="AA512" s="12">
        <v>0.5</v>
      </c>
      <c r="AB512" s="12">
        <v>0.5</v>
      </c>
      <c r="AC512" s="13">
        <v>1</v>
      </c>
      <c r="AD512" s="14">
        <f t="shared" si="16"/>
        <v>5</v>
      </c>
      <c r="AE512" s="15">
        <f t="shared" si="17"/>
        <v>0.2</v>
      </c>
      <c r="AF512" s="16">
        <v>1354</v>
      </c>
      <c r="AG512" s="16" t="s">
        <v>66</v>
      </c>
      <c r="AH512" s="17" t="s">
        <v>66</v>
      </c>
      <c r="AI512" s="18">
        <v>11.5</v>
      </c>
      <c r="AJ512" s="19">
        <v>0.98540000000000005</v>
      </c>
      <c r="AK512" s="20">
        <v>0.98540000000000005</v>
      </c>
      <c r="AL512" s="17" t="s">
        <v>92</v>
      </c>
      <c r="AM512" s="5" t="s">
        <v>66</v>
      </c>
      <c r="AN512" s="5" t="s">
        <v>66</v>
      </c>
      <c r="AO512" s="5" t="s">
        <v>595</v>
      </c>
      <c r="AP512" s="5" t="s">
        <v>595</v>
      </c>
      <c r="AQ512" s="5" t="s">
        <v>66</v>
      </c>
      <c r="AR512" s="5" t="s">
        <v>595</v>
      </c>
      <c r="AS512" s="5" t="s">
        <v>595</v>
      </c>
      <c r="AT512" s="5" t="s">
        <v>595</v>
      </c>
      <c r="AU512" s="5" t="s">
        <v>595</v>
      </c>
      <c r="AV512" s="5" t="s">
        <v>595</v>
      </c>
      <c r="AW512" s="5" t="s">
        <v>595</v>
      </c>
      <c r="AX512" s="5" t="s">
        <v>2206</v>
      </c>
      <c r="AY512" s="5" t="s">
        <v>94</v>
      </c>
      <c r="AZ512" s="5" t="s">
        <v>80</v>
      </c>
      <c r="BA512" s="19" t="s">
        <v>2193</v>
      </c>
      <c r="BB512" s="17" t="s">
        <v>94</v>
      </c>
      <c r="BC512" s="5" t="s">
        <v>2206</v>
      </c>
      <c r="BD512" s="5" t="s">
        <v>2217</v>
      </c>
    </row>
    <row r="513" spans="1:56" ht="36" hidden="1" x14ac:dyDescent="0.25">
      <c r="A513" s="78" t="s">
        <v>2186</v>
      </c>
      <c r="B513" s="5" t="s">
        <v>433</v>
      </c>
      <c r="C513" s="5" t="s">
        <v>3293</v>
      </c>
      <c r="D513" s="5" t="s">
        <v>56</v>
      </c>
      <c r="E513" s="99" t="str">
        <f>VLOOKUP(D513,'Dropdown List'!$F$26:$G$40,2,0)</f>
        <v>India</v>
      </c>
      <c r="F513" s="8" t="s">
        <v>2187</v>
      </c>
      <c r="G513" s="96">
        <v>7</v>
      </c>
      <c r="H513" s="5" t="s">
        <v>57</v>
      </c>
      <c r="I513" s="8" t="s">
        <v>58</v>
      </c>
      <c r="J513" s="8" t="s">
        <v>163</v>
      </c>
      <c r="K513" s="8" t="s">
        <v>1050</v>
      </c>
      <c r="L513" s="8" t="s">
        <v>2330</v>
      </c>
      <c r="M513" s="8" t="s">
        <v>2331</v>
      </c>
      <c r="N513" s="5" t="s">
        <v>1034</v>
      </c>
      <c r="O513" s="5" t="s">
        <v>1069</v>
      </c>
      <c r="P513" s="5" t="s">
        <v>1069</v>
      </c>
      <c r="Q513" s="9" t="s">
        <v>75</v>
      </c>
      <c r="R513" s="5" t="s">
        <v>76</v>
      </c>
      <c r="S513" s="5" t="s">
        <v>90</v>
      </c>
      <c r="T513" s="96">
        <v>2</v>
      </c>
      <c r="U513" s="96">
        <v>1</v>
      </c>
      <c r="V513" s="96">
        <v>4</v>
      </c>
      <c r="W513" s="5" t="s">
        <v>91</v>
      </c>
      <c r="X513" s="10" t="s">
        <v>79</v>
      </c>
      <c r="Y513" s="11">
        <v>25347.49</v>
      </c>
      <c r="Z513" s="12">
        <v>0.1</v>
      </c>
      <c r="AA513" s="12">
        <v>0</v>
      </c>
      <c r="AB513" s="12">
        <v>0</v>
      </c>
      <c r="AC513" s="13">
        <v>0.1</v>
      </c>
      <c r="AD513" s="14">
        <f t="shared" si="16"/>
        <v>0.2</v>
      </c>
      <c r="AE513" s="15">
        <f t="shared" si="17"/>
        <v>0.5</v>
      </c>
      <c r="AF513" s="16">
        <v>1</v>
      </c>
      <c r="AG513" s="16" t="s">
        <v>66</v>
      </c>
      <c r="AH513" s="17" t="s">
        <v>66</v>
      </c>
      <c r="AI513" s="18">
        <v>3</v>
      </c>
      <c r="AJ513" s="19">
        <v>0.98540000000000005</v>
      </c>
      <c r="AK513" s="20">
        <v>0.98540000000000005</v>
      </c>
      <c r="AL513" s="17" t="s">
        <v>92</v>
      </c>
      <c r="AM513" s="5" t="s">
        <v>66</v>
      </c>
      <c r="AN513" s="5" t="s">
        <v>66</v>
      </c>
      <c r="AO513" s="5" t="s">
        <v>595</v>
      </c>
      <c r="AP513" s="5" t="s">
        <v>595</v>
      </c>
      <c r="AQ513" s="5" t="s">
        <v>66</v>
      </c>
      <c r="AR513" s="5" t="s">
        <v>595</v>
      </c>
      <c r="AS513" s="5" t="s">
        <v>595</v>
      </c>
      <c r="AT513" s="5" t="s">
        <v>595</v>
      </c>
      <c r="AU513" s="5" t="s">
        <v>595</v>
      </c>
      <c r="AV513" s="5" t="s">
        <v>595</v>
      </c>
      <c r="AW513" s="5" t="s">
        <v>595</v>
      </c>
      <c r="AX513" s="5" t="s">
        <v>2220</v>
      </c>
      <c r="AY513" s="5" t="s">
        <v>110</v>
      </c>
      <c r="AZ513" s="5" t="s">
        <v>145</v>
      </c>
      <c r="BA513" s="19" t="s">
        <v>2221</v>
      </c>
      <c r="BB513" s="17" t="s">
        <v>2332</v>
      </c>
      <c r="BC513" s="5" t="s">
        <v>2206</v>
      </c>
      <c r="BD513" s="5" t="s">
        <v>2333</v>
      </c>
    </row>
    <row r="514" spans="1:56" ht="48" hidden="1" x14ac:dyDescent="0.25">
      <c r="A514" s="78" t="s">
        <v>2186</v>
      </c>
      <c r="B514" s="5" t="s">
        <v>433</v>
      </c>
      <c r="C514" s="5" t="s">
        <v>3293</v>
      </c>
      <c r="D514" s="5" t="s">
        <v>56</v>
      </c>
      <c r="E514" s="99" t="str">
        <f>VLOOKUP(D514,'Dropdown List'!$F$26:$G$40,2,0)</f>
        <v>India</v>
      </c>
      <c r="F514" s="8" t="s">
        <v>2187</v>
      </c>
      <c r="G514" s="96">
        <v>7</v>
      </c>
      <c r="H514" s="5" t="s">
        <v>57</v>
      </c>
      <c r="I514" s="8" t="s">
        <v>58</v>
      </c>
      <c r="J514" s="8" t="s">
        <v>881</v>
      </c>
      <c r="K514" s="8" t="s">
        <v>1287</v>
      </c>
      <c r="L514" s="8" t="s">
        <v>2334</v>
      </c>
      <c r="M514" s="8" t="s">
        <v>2335</v>
      </c>
      <c r="N514" s="5" t="s">
        <v>1034</v>
      </c>
      <c r="O514" s="5" t="s">
        <v>61</v>
      </c>
      <c r="P514" s="5" t="s">
        <v>61</v>
      </c>
      <c r="Q514" s="9" t="s">
        <v>75</v>
      </c>
      <c r="R514" s="5" t="s">
        <v>76</v>
      </c>
      <c r="S514" s="5" t="s">
        <v>90</v>
      </c>
      <c r="T514" s="96">
        <v>2</v>
      </c>
      <c r="U514" s="96">
        <v>1</v>
      </c>
      <c r="V514" s="96">
        <v>4</v>
      </c>
      <c r="W514" s="5" t="s">
        <v>91</v>
      </c>
      <c r="X514" s="10" t="s">
        <v>79</v>
      </c>
      <c r="Y514" s="11">
        <v>25347.49</v>
      </c>
      <c r="Z514" s="12">
        <v>0.41694315416943156</v>
      </c>
      <c r="AA514" s="12">
        <v>0</v>
      </c>
      <c r="AB514" s="12">
        <v>0</v>
      </c>
      <c r="AC514" s="13">
        <v>0.1</v>
      </c>
      <c r="AD514" s="14">
        <f t="shared" si="16"/>
        <v>0.5169431541694316</v>
      </c>
      <c r="AE514" s="15">
        <f t="shared" si="17"/>
        <v>0.19344486757092122</v>
      </c>
      <c r="AF514" s="16">
        <v>186</v>
      </c>
      <c r="AG514" s="16" t="s">
        <v>66</v>
      </c>
      <c r="AH514" s="17" t="s">
        <v>66</v>
      </c>
      <c r="AI514" s="18">
        <v>15.08</v>
      </c>
      <c r="AJ514" s="19">
        <v>0.98540000000000005</v>
      </c>
      <c r="AK514" s="20">
        <v>0.98540000000000005</v>
      </c>
      <c r="AL514" s="17" t="s">
        <v>92</v>
      </c>
      <c r="AM514" s="5" t="s">
        <v>66</v>
      </c>
      <c r="AN514" s="5" t="s">
        <v>66</v>
      </c>
      <c r="AO514" s="5" t="s">
        <v>595</v>
      </c>
      <c r="AP514" s="5" t="s">
        <v>595</v>
      </c>
      <c r="AQ514" s="5" t="s">
        <v>66</v>
      </c>
      <c r="AR514" s="5" t="s">
        <v>595</v>
      </c>
      <c r="AS514" s="5" t="s">
        <v>595</v>
      </c>
      <c r="AT514" s="5" t="s">
        <v>595</v>
      </c>
      <c r="AU514" s="5" t="s">
        <v>595</v>
      </c>
      <c r="AV514" s="5" t="s">
        <v>595</v>
      </c>
      <c r="AW514" s="5" t="s">
        <v>595</v>
      </c>
      <c r="AX514" s="5" t="s">
        <v>2206</v>
      </c>
      <c r="AY514" s="5" t="s">
        <v>94</v>
      </c>
      <c r="AZ514" s="5" t="s">
        <v>80</v>
      </c>
      <c r="BA514" s="19" t="s">
        <v>2193</v>
      </c>
      <c r="BB514" s="17" t="s">
        <v>94</v>
      </c>
      <c r="BC514" s="5" t="s">
        <v>2206</v>
      </c>
      <c r="BD514" s="5" t="s">
        <v>2217</v>
      </c>
    </row>
    <row r="515" spans="1:56" ht="24" hidden="1" x14ac:dyDescent="0.25">
      <c r="A515" s="78" t="s">
        <v>2186</v>
      </c>
      <c r="B515" s="5" t="s">
        <v>433</v>
      </c>
      <c r="C515" s="5" t="s">
        <v>3293</v>
      </c>
      <c r="D515" s="5" t="s">
        <v>56</v>
      </c>
      <c r="E515" s="99" t="str">
        <f>VLOOKUP(D515,'Dropdown List'!$F$26:$G$40,2,0)</f>
        <v>India</v>
      </c>
      <c r="F515" s="8" t="s">
        <v>2187</v>
      </c>
      <c r="G515" s="96">
        <v>7</v>
      </c>
      <c r="H515" s="5" t="s">
        <v>57</v>
      </c>
      <c r="I515" s="8" t="s">
        <v>58</v>
      </c>
      <c r="J515" s="8" t="s">
        <v>163</v>
      </c>
      <c r="K515" s="8" t="s">
        <v>1050</v>
      </c>
      <c r="L515" s="8" t="s">
        <v>2336</v>
      </c>
      <c r="M515" s="8" t="s">
        <v>2337</v>
      </c>
      <c r="N515" s="5" t="s">
        <v>1034</v>
      </c>
      <c r="O515" s="5" t="s">
        <v>1069</v>
      </c>
      <c r="P515" s="5" t="s">
        <v>1069</v>
      </c>
      <c r="Q515" s="9" t="s">
        <v>75</v>
      </c>
      <c r="R515" s="5" t="s">
        <v>76</v>
      </c>
      <c r="S515" s="5" t="s">
        <v>90</v>
      </c>
      <c r="T515" s="96">
        <v>2</v>
      </c>
      <c r="U515" s="96">
        <v>1</v>
      </c>
      <c r="V515" s="96">
        <v>4</v>
      </c>
      <c r="W515" s="5" t="s">
        <v>91</v>
      </c>
      <c r="X515" s="10" t="s">
        <v>79</v>
      </c>
      <c r="Y515" s="11">
        <v>25347.49</v>
      </c>
      <c r="Z515" s="12">
        <v>0.10598687605986876</v>
      </c>
      <c r="AA515" s="12">
        <v>0</v>
      </c>
      <c r="AB515" s="12">
        <v>0</v>
      </c>
      <c r="AC515" s="13">
        <v>0.1</v>
      </c>
      <c r="AD515" s="14">
        <f t="shared" si="16"/>
        <v>0.20598687605986876</v>
      </c>
      <c r="AE515" s="15">
        <f t="shared" si="17"/>
        <v>0.48546782160498247</v>
      </c>
      <c r="AF515" s="16">
        <v>452</v>
      </c>
      <c r="AG515" s="16" t="s">
        <v>66</v>
      </c>
      <c r="AH515" s="17" t="s">
        <v>66</v>
      </c>
      <c r="AI515" s="18">
        <v>4</v>
      </c>
      <c r="AJ515" s="19">
        <v>0.98540000000000005</v>
      </c>
      <c r="AK515" s="20">
        <v>0.98540000000000005</v>
      </c>
      <c r="AL515" s="17" t="s">
        <v>92</v>
      </c>
      <c r="AM515" s="5" t="s">
        <v>66</v>
      </c>
      <c r="AN515" s="5" t="s">
        <v>66</v>
      </c>
      <c r="AO515" s="5" t="s">
        <v>595</v>
      </c>
      <c r="AP515" s="5" t="s">
        <v>595</v>
      </c>
      <c r="AQ515" s="5" t="s">
        <v>66</v>
      </c>
      <c r="AR515" s="5" t="s">
        <v>595</v>
      </c>
      <c r="AS515" s="5" t="s">
        <v>595</v>
      </c>
      <c r="AT515" s="5" t="s">
        <v>595</v>
      </c>
      <c r="AU515" s="5" t="s">
        <v>595</v>
      </c>
      <c r="AV515" s="5" t="s">
        <v>595</v>
      </c>
      <c r="AW515" s="5" t="s">
        <v>595</v>
      </c>
      <c r="AX515" s="5" t="s">
        <v>2206</v>
      </c>
      <c r="AY515" s="5" t="s">
        <v>94</v>
      </c>
      <c r="AZ515" s="5" t="s">
        <v>80</v>
      </c>
      <c r="BA515" s="19" t="s">
        <v>2193</v>
      </c>
      <c r="BB515" s="17" t="s">
        <v>94</v>
      </c>
      <c r="BC515" s="5" t="s">
        <v>2206</v>
      </c>
      <c r="BD515" s="5" t="s">
        <v>2217</v>
      </c>
    </row>
    <row r="516" spans="1:56" ht="24" hidden="1" x14ac:dyDescent="0.25">
      <c r="A516" s="78" t="s">
        <v>2186</v>
      </c>
      <c r="B516" s="5" t="s">
        <v>433</v>
      </c>
      <c r="C516" s="5" t="s">
        <v>3293</v>
      </c>
      <c r="D516" s="5" t="s">
        <v>56</v>
      </c>
      <c r="E516" s="99" t="str">
        <f>VLOOKUP(D516,'Dropdown List'!$F$26:$G$40,2,0)</f>
        <v>India</v>
      </c>
      <c r="F516" s="8" t="s">
        <v>2187</v>
      </c>
      <c r="G516" s="96">
        <v>7</v>
      </c>
      <c r="H516" s="5" t="s">
        <v>57</v>
      </c>
      <c r="I516" s="8" t="s">
        <v>58</v>
      </c>
      <c r="J516" s="8" t="s">
        <v>146</v>
      </c>
      <c r="K516" s="8" t="s">
        <v>1367</v>
      </c>
      <c r="L516" s="8" t="s">
        <v>2338</v>
      </c>
      <c r="M516" s="8" t="s">
        <v>2339</v>
      </c>
      <c r="N516" s="5" t="s">
        <v>1034</v>
      </c>
      <c r="O516" s="5" t="s">
        <v>1069</v>
      </c>
      <c r="P516" s="5" t="s">
        <v>1069</v>
      </c>
      <c r="Q516" s="9" t="s">
        <v>75</v>
      </c>
      <c r="R516" s="5" t="s">
        <v>76</v>
      </c>
      <c r="S516" s="5" t="s">
        <v>90</v>
      </c>
      <c r="T516" s="96">
        <v>2</v>
      </c>
      <c r="U516" s="96">
        <v>1</v>
      </c>
      <c r="V516" s="96">
        <v>4</v>
      </c>
      <c r="W516" s="5" t="s">
        <v>91</v>
      </c>
      <c r="X516" s="10" t="s">
        <v>79</v>
      </c>
      <c r="Y516" s="11">
        <v>25347.49</v>
      </c>
      <c r="Z516" s="12">
        <v>1.48</v>
      </c>
      <c r="AA516" s="12">
        <v>0</v>
      </c>
      <c r="AB516" s="12">
        <v>0.1</v>
      </c>
      <c r="AC516" s="13">
        <v>0.1</v>
      </c>
      <c r="AD516" s="14">
        <f t="shared" si="16"/>
        <v>1.6800000000000002</v>
      </c>
      <c r="AE516" s="15">
        <f t="shared" si="17"/>
        <v>5.9523809523809521E-2</v>
      </c>
      <c r="AF516" s="16">
        <v>288</v>
      </c>
      <c r="AG516" s="16" t="s">
        <v>66</v>
      </c>
      <c r="AH516" s="17" t="s">
        <v>66</v>
      </c>
      <c r="AI516" s="18">
        <v>4</v>
      </c>
      <c r="AJ516" s="19">
        <v>0.98540000000000005</v>
      </c>
      <c r="AK516" s="20">
        <v>0.98540000000000005</v>
      </c>
      <c r="AL516" s="17" t="s">
        <v>92</v>
      </c>
      <c r="AM516" s="5" t="s">
        <v>66</v>
      </c>
      <c r="AN516" s="5" t="s">
        <v>66</v>
      </c>
      <c r="AO516" s="5" t="s">
        <v>595</v>
      </c>
      <c r="AP516" s="5" t="s">
        <v>595</v>
      </c>
      <c r="AQ516" s="5" t="s">
        <v>66</v>
      </c>
      <c r="AR516" s="5" t="s">
        <v>595</v>
      </c>
      <c r="AS516" s="5" t="s">
        <v>595</v>
      </c>
      <c r="AT516" s="5" t="s">
        <v>595</v>
      </c>
      <c r="AU516" s="5" t="s">
        <v>595</v>
      </c>
      <c r="AV516" s="5" t="s">
        <v>595</v>
      </c>
      <c r="AW516" s="5" t="s">
        <v>595</v>
      </c>
      <c r="AX516" s="5" t="s">
        <v>2206</v>
      </c>
      <c r="AY516" s="5" t="s">
        <v>94</v>
      </c>
      <c r="AZ516" s="5" t="s">
        <v>80</v>
      </c>
      <c r="BA516" s="19" t="s">
        <v>2193</v>
      </c>
      <c r="BB516" s="17" t="s">
        <v>94</v>
      </c>
      <c r="BC516" s="5" t="s">
        <v>2206</v>
      </c>
      <c r="BD516" s="5" t="s">
        <v>2217</v>
      </c>
    </row>
    <row r="517" spans="1:56" ht="24" hidden="1" x14ac:dyDescent="0.25">
      <c r="A517" s="78" t="s">
        <v>2186</v>
      </c>
      <c r="B517" s="5" t="s">
        <v>433</v>
      </c>
      <c r="C517" s="5" t="s">
        <v>3293</v>
      </c>
      <c r="D517" s="5" t="s">
        <v>56</v>
      </c>
      <c r="E517" s="99" t="str">
        <f>VLOOKUP(D517,'Dropdown List'!$F$26:$G$40,2,0)</f>
        <v>India</v>
      </c>
      <c r="F517" s="8" t="s">
        <v>2187</v>
      </c>
      <c r="G517" s="96">
        <v>7</v>
      </c>
      <c r="H517" s="5" t="s">
        <v>57</v>
      </c>
      <c r="I517" s="8" t="s">
        <v>58</v>
      </c>
      <c r="J517" s="8" t="s">
        <v>163</v>
      </c>
      <c r="K517" s="8" t="s">
        <v>1916</v>
      </c>
      <c r="L517" s="8" t="s">
        <v>2340</v>
      </c>
      <c r="M517" s="8" t="s">
        <v>2341</v>
      </c>
      <c r="N517" s="5" t="s">
        <v>1034</v>
      </c>
      <c r="O517" s="5" t="s">
        <v>61</v>
      </c>
      <c r="P517" s="5" t="s">
        <v>61</v>
      </c>
      <c r="Q517" s="9" t="s">
        <v>75</v>
      </c>
      <c r="R517" s="5" t="s">
        <v>76</v>
      </c>
      <c r="S517" s="5" t="s">
        <v>90</v>
      </c>
      <c r="T517" s="96">
        <v>2</v>
      </c>
      <c r="U517" s="96">
        <v>1</v>
      </c>
      <c r="V517" s="96">
        <v>4</v>
      </c>
      <c r="W517" s="5" t="s">
        <v>91</v>
      </c>
      <c r="X517" s="10" t="s">
        <v>79</v>
      </c>
      <c r="Y517" s="11">
        <v>25347.49</v>
      </c>
      <c r="Z517" s="12">
        <v>0.5</v>
      </c>
      <c r="AA517" s="12">
        <v>0</v>
      </c>
      <c r="AB517" s="12">
        <v>0</v>
      </c>
      <c r="AC517" s="13">
        <v>0.1</v>
      </c>
      <c r="AD517" s="14">
        <f t="shared" ref="AD517:AD580" si="18">SUM(Z517:AC517)</f>
        <v>0.6</v>
      </c>
      <c r="AE517" s="15">
        <f t="shared" ref="AE517:AE580" si="19">AC517/AD517</f>
        <v>0.16666666666666669</v>
      </c>
      <c r="AF517" s="16">
        <v>27</v>
      </c>
      <c r="AG517" s="16" t="s">
        <v>66</v>
      </c>
      <c r="AH517" s="17" t="s">
        <v>66</v>
      </c>
      <c r="AI517" s="18">
        <v>15</v>
      </c>
      <c r="AJ517" s="19">
        <v>0.9869</v>
      </c>
      <c r="AK517" s="20">
        <v>0.9869</v>
      </c>
      <c r="AL517" s="17" t="s">
        <v>92</v>
      </c>
      <c r="AM517" s="5" t="s">
        <v>66</v>
      </c>
      <c r="AN517" s="5" t="s">
        <v>66</v>
      </c>
      <c r="AO517" s="5" t="s">
        <v>595</v>
      </c>
      <c r="AP517" s="5" t="s">
        <v>595</v>
      </c>
      <c r="AQ517" s="5" t="s">
        <v>66</v>
      </c>
      <c r="AR517" s="5" t="s">
        <v>595</v>
      </c>
      <c r="AS517" s="5" t="s">
        <v>595</v>
      </c>
      <c r="AT517" s="5" t="s">
        <v>595</v>
      </c>
      <c r="AU517" s="5" t="s">
        <v>595</v>
      </c>
      <c r="AV517" s="5" t="s">
        <v>595</v>
      </c>
      <c r="AW517" s="5" t="s">
        <v>595</v>
      </c>
      <c r="AX517" s="5" t="s">
        <v>2206</v>
      </c>
      <c r="AY517" s="5" t="s">
        <v>94</v>
      </c>
      <c r="AZ517" s="5" t="s">
        <v>145</v>
      </c>
      <c r="BA517" s="19" t="s">
        <v>2193</v>
      </c>
      <c r="BB517" s="17" t="s">
        <v>2342</v>
      </c>
      <c r="BC517" s="5" t="s">
        <v>2206</v>
      </c>
      <c r="BD517" s="5" t="s">
        <v>2217</v>
      </c>
    </row>
    <row r="518" spans="1:56" ht="48" hidden="1" x14ac:dyDescent="0.25">
      <c r="A518" s="78" t="s">
        <v>2186</v>
      </c>
      <c r="B518" s="5" t="s">
        <v>433</v>
      </c>
      <c r="C518" s="5" t="s">
        <v>3293</v>
      </c>
      <c r="D518" s="5" t="s">
        <v>56</v>
      </c>
      <c r="E518" s="99" t="str">
        <f>VLOOKUP(D518,'Dropdown List'!$F$26:$G$40,2,0)</f>
        <v>India</v>
      </c>
      <c r="F518" s="8" t="s">
        <v>2417</v>
      </c>
      <c r="G518" s="96">
        <v>6</v>
      </c>
      <c r="H518" s="5" t="s">
        <v>85</v>
      </c>
      <c r="I518" s="8" t="s">
        <v>71</v>
      </c>
      <c r="J518" s="8" t="s">
        <v>435</v>
      </c>
      <c r="K518" s="8" t="s">
        <v>2418</v>
      </c>
      <c r="L518" s="8" t="s">
        <v>2419</v>
      </c>
      <c r="M518" s="8" t="s">
        <v>2420</v>
      </c>
      <c r="N518" s="5" t="s">
        <v>1034</v>
      </c>
      <c r="O518" s="5" t="s">
        <v>61</v>
      </c>
      <c r="P518" s="5" t="s">
        <v>75</v>
      </c>
      <c r="Q518" s="9" t="s">
        <v>75</v>
      </c>
      <c r="R518" s="5" t="s">
        <v>76</v>
      </c>
      <c r="S518" s="5" t="s">
        <v>90</v>
      </c>
      <c r="T518" s="96">
        <v>1</v>
      </c>
      <c r="U518" s="96" t="s">
        <v>77</v>
      </c>
      <c r="V518" s="96" t="s">
        <v>77</v>
      </c>
      <c r="W518" s="5" t="s">
        <v>91</v>
      </c>
      <c r="X518" s="10" t="s">
        <v>79</v>
      </c>
      <c r="Y518" s="11">
        <v>26002.87</v>
      </c>
      <c r="Z518" s="12">
        <v>1</v>
      </c>
      <c r="AA518" s="12">
        <v>4</v>
      </c>
      <c r="AB518" s="12">
        <v>0</v>
      </c>
      <c r="AC518" s="13">
        <v>0</v>
      </c>
      <c r="AD518" s="14">
        <f t="shared" si="18"/>
        <v>5</v>
      </c>
      <c r="AE518" s="15">
        <f t="shared" si="19"/>
        <v>0</v>
      </c>
      <c r="AF518" s="16">
        <v>707</v>
      </c>
      <c r="AG518" s="16">
        <v>707</v>
      </c>
      <c r="AH518" s="17" t="s">
        <v>2421</v>
      </c>
      <c r="AI518" s="18">
        <v>11.1</v>
      </c>
      <c r="AJ518" s="19">
        <v>0.96</v>
      </c>
      <c r="AK518" s="20">
        <v>0.98499999999999999</v>
      </c>
      <c r="AL518" s="17" t="s">
        <v>261</v>
      </c>
      <c r="AM518" s="5" t="s">
        <v>2422</v>
      </c>
      <c r="AN518" s="5" t="s">
        <v>66</v>
      </c>
      <c r="AO518" s="5" t="s">
        <v>2423</v>
      </c>
      <c r="AP518" s="5" t="s">
        <v>66</v>
      </c>
      <c r="AQ518" s="5" t="s">
        <v>66</v>
      </c>
      <c r="AR518" s="5" t="s">
        <v>66</v>
      </c>
      <c r="AS518" s="5" t="s">
        <v>66</v>
      </c>
      <c r="AT518" s="5" t="s">
        <v>66</v>
      </c>
      <c r="AU518" s="5" t="s">
        <v>66</v>
      </c>
      <c r="AV518" s="5" t="s">
        <v>66</v>
      </c>
      <c r="AW518" s="5" t="s">
        <v>66</v>
      </c>
      <c r="AX518" s="5" t="s">
        <v>2424</v>
      </c>
      <c r="AY518" s="5" t="s">
        <v>2425</v>
      </c>
      <c r="AZ518" s="5" t="s">
        <v>145</v>
      </c>
      <c r="BA518" s="19" t="s">
        <v>2426</v>
      </c>
      <c r="BB518" s="17" t="s">
        <v>2427</v>
      </c>
      <c r="BC518" s="5" t="s">
        <v>2428</v>
      </c>
      <c r="BD518" s="5" t="s">
        <v>2429</v>
      </c>
    </row>
    <row r="519" spans="1:56" ht="48" hidden="1" x14ac:dyDescent="0.25">
      <c r="A519" s="78" t="s">
        <v>2186</v>
      </c>
      <c r="B519" s="5" t="s">
        <v>433</v>
      </c>
      <c r="C519" s="5" t="s">
        <v>3293</v>
      </c>
      <c r="D519" s="5" t="s">
        <v>56</v>
      </c>
      <c r="E519" s="99" t="str">
        <f>VLOOKUP(D519,'Dropdown List'!$F$26:$G$40,2,0)</f>
        <v>India</v>
      </c>
      <c r="F519" s="8" t="s">
        <v>2417</v>
      </c>
      <c r="G519" s="96">
        <v>7</v>
      </c>
      <c r="H519" s="5" t="s">
        <v>57</v>
      </c>
      <c r="I519" s="8" t="s">
        <v>71</v>
      </c>
      <c r="J519" s="8" t="s">
        <v>112</v>
      </c>
      <c r="K519" s="8" t="s">
        <v>190</v>
      </c>
      <c r="L519" s="8" t="s">
        <v>190</v>
      </c>
      <c r="M519" s="8" t="s">
        <v>2430</v>
      </c>
      <c r="N519" s="5" t="s">
        <v>1034</v>
      </c>
      <c r="O519" s="5" t="s">
        <v>61</v>
      </c>
      <c r="P519" s="5" t="s">
        <v>75</v>
      </c>
      <c r="Q519" s="9" t="s">
        <v>75</v>
      </c>
      <c r="R519" s="5" t="s">
        <v>76</v>
      </c>
      <c r="S519" s="5" t="s">
        <v>90</v>
      </c>
      <c r="T519" s="96">
        <v>1</v>
      </c>
      <c r="U519" s="96" t="s">
        <v>77</v>
      </c>
      <c r="V519" s="96" t="s">
        <v>77</v>
      </c>
      <c r="W519" s="5" t="s">
        <v>91</v>
      </c>
      <c r="X519" s="10" t="s">
        <v>79</v>
      </c>
      <c r="Y519" s="11">
        <v>26002.87</v>
      </c>
      <c r="Z519" s="12">
        <v>9</v>
      </c>
      <c r="AA519" s="12">
        <v>0.5</v>
      </c>
      <c r="AB519" s="12">
        <v>0.5</v>
      </c>
      <c r="AC519" s="13">
        <v>0.5</v>
      </c>
      <c r="AD519" s="14">
        <f t="shared" si="18"/>
        <v>10.5</v>
      </c>
      <c r="AE519" s="15">
        <f t="shared" si="19"/>
        <v>4.7619047619047616E-2</v>
      </c>
      <c r="AF519" s="16">
        <v>9000</v>
      </c>
      <c r="AG519" s="16">
        <v>9000</v>
      </c>
      <c r="AH519" s="17" t="s">
        <v>2421</v>
      </c>
      <c r="AI519" s="18">
        <v>10.1</v>
      </c>
      <c r="AJ519" s="19">
        <v>0.96</v>
      </c>
      <c r="AK519" s="20">
        <v>0.98799999999999999</v>
      </c>
      <c r="AL519" s="17" t="s">
        <v>261</v>
      </c>
      <c r="AM519" s="5" t="s">
        <v>2422</v>
      </c>
      <c r="AN519" s="5" t="s">
        <v>66</v>
      </c>
      <c r="AO519" s="5" t="s">
        <v>2423</v>
      </c>
      <c r="AP519" s="5" t="s">
        <v>66</v>
      </c>
      <c r="AQ519" s="5" t="s">
        <v>66</v>
      </c>
      <c r="AR519" s="5" t="s">
        <v>66</v>
      </c>
      <c r="AS519" s="5" t="s">
        <v>66</v>
      </c>
      <c r="AT519" s="5" t="s">
        <v>66</v>
      </c>
      <c r="AU519" s="5" t="s">
        <v>66</v>
      </c>
      <c r="AV519" s="5" t="s">
        <v>66</v>
      </c>
      <c r="AW519" s="5" t="s">
        <v>66</v>
      </c>
      <c r="AX519" s="5" t="s">
        <v>2424</v>
      </c>
      <c r="AY519" s="5" t="s">
        <v>2425</v>
      </c>
      <c r="AZ519" s="5" t="s">
        <v>145</v>
      </c>
      <c r="BA519" s="19" t="s">
        <v>2426</v>
      </c>
      <c r="BB519" s="17" t="s">
        <v>2427</v>
      </c>
      <c r="BC519" s="5" t="s">
        <v>2428</v>
      </c>
      <c r="BD519" s="5" t="s">
        <v>2429</v>
      </c>
    </row>
    <row r="520" spans="1:56" ht="48" hidden="1" x14ac:dyDescent="0.25">
      <c r="A520" s="78" t="s">
        <v>2186</v>
      </c>
      <c r="B520" s="5" t="s">
        <v>433</v>
      </c>
      <c r="C520" s="5" t="s">
        <v>3293</v>
      </c>
      <c r="D520" s="5" t="s">
        <v>56</v>
      </c>
      <c r="E520" s="99" t="str">
        <f>VLOOKUP(D520,'Dropdown List'!$F$26:$G$40,2,0)</f>
        <v>India</v>
      </c>
      <c r="F520" s="8" t="s">
        <v>2417</v>
      </c>
      <c r="G520" s="96">
        <v>7</v>
      </c>
      <c r="H520" s="5" t="s">
        <v>57</v>
      </c>
      <c r="I520" s="8" t="s">
        <v>71</v>
      </c>
      <c r="J520" s="8" t="s">
        <v>292</v>
      </c>
      <c r="K520" s="8" t="s">
        <v>787</v>
      </c>
      <c r="L520" s="8" t="s">
        <v>2431</v>
      </c>
      <c r="M520" s="8" t="s">
        <v>2432</v>
      </c>
      <c r="N520" s="5" t="s">
        <v>1034</v>
      </c>
      <c r="O520" s="5" t="s">
        <v>61</v>
      </c>
      <c r="P520" s="5" t="s">
        <v>75</v>
      </c>
      <c r="Q520" s="9" t="s">
        <v>75</v>
      </c>
      <c r="R520" s="5" t="s">
        <v>76</v>
      </c>
      <c r="S520" s="5" t="s">
        <v>90</v>
      </c>
      <c r="T520" s="96">
        <v>1</v>
      </c>
      <c r="U520" s="96" t="s">
        <v>77</v>
      </c>
      <c r="V520" s="96" t="s">
        <v>77</v>
      </c>
      <c r="W520" s="5" t="s">
        <v>91</v>
      </c>
      <c r="X520" s="10" t="s">
        <v>79</v>
      </c>
      <c r="Y520" s="11">
        <v>26002.87</v>
      </c>
      <c r="Z520" s="12">
        <v>2.5</v>
      </c>
      <c r="AA520" s="12">
        <v>0.5</v>
      </c>
      <c r="AB520" s="12">
        <v>0</v>
      </c>
      <c r="AC520" s="13">
        <v>0.5</v>
      </c>
      <c r="AD520" s="14">
        <f t="shared" si="18"/>
        <v>3.5</v>
      </c>
      <c r="AE520" s="15">
        <f t="shared" si="19"/>
        <v>0.14285714285714285</v>
      </c>
      <c r="AF520" s="16">
        <v>880</v>
      </c>
      <c r="AG520" s="16">
        <v>880</v>
      </c>
      <c r="AH520" s="17" t="s">
        <v>2421</v>
      </c>
      <c r="AI520" s="18">
        <v>5.4</v>
      </c>
      <c r="AJ520" s="19">
        <v>0.96</v>
      </c>
      <c r="AK520" s="20">
        <v>0.98799999999999999</v>
      </c>
      <c r="AL520" s="17" t="s">
        <v>261</v>
      </c>
      <c r="AM520" s="5" t="s">
        <v>2422</v>
      </c>
      <c r="AN520" s="5" t="s">
        <v>66</v>
      </c>
      <c r="AO520" s="5" t="s">
        <v>2423</v>
      </c>
      <c r="AP520" s="5" t="s">
        <v>66</v>
      </c>
      <c r="AQ520" s="5" t="s">
        <v>66</v>
      </c>
      <c r="AR520" s="5" t="s">
        <v>66</v>
      </c>
      <c r="AS520" s="5" t="s">
        <v>66</v>
      </c>
      <c r="AT520" s="5" t="s">
        <v>66</v>
      </c>
      <c r="AU520" s="5" t="s">
        <v>66</v>
      </c>
      <c r="AV520" s="5" t="s">
        <v>66</v>
      </c>
      <c r="AW520" s="5" t="s">
        <v>66</v>
      </c>
      <c r="AX520" s="5" t="s">
        <v>2424</v>
      </c>
      <c r="AY520" s="5" t="s">
        <v>2425</v>
      </c>
      <c r="AZ520" s="5" t="s">
        <v>80</v>
      </c>
      <c r="BA520" s="19">
        <v>1</v>
      </c>
      <c r="BB520" s="17" t="s">
        <v>2433</v>
      </c>
      <c r="BC520" s="5" t="s">
        <v>2428</v>
      </c>
      <c r="BD520" s="5" t="s">
        <v>2434</v>
      </c>
    </row>
    <row r="521" spans="1:56" ht="48" hidden="1" x14ac:dyDescent="0.25">
      <c r="A521" s="78" t="s">
        <v>2186</v>
      </c>
      <c r="B521" s="5" t="s">
        <v>433</v>
      </c>
      <c r="C521" s="5" t="s">
        <v>3293</v>
      </c>
      <c r="D521" s="5" t="s">
        <v>56</v>
      </c>
      <c r="E521" s="99" t="str">
        <f>VLOOKUP(D521,'Dropdown List'!$F$26:$G$40,2,0)</f>
        <v>India</v>
      </c>
      <c r="F521" s="8" t="s">
        <v>2417</v>
      </c>
      <c r="G521" s="96">
        <v>7</v>
      </c>
      <c r="H521" s="5" t="s">
        <v>57</v>
      </c>
      <c r="I521" s="8" t="s">
        <v>71</v>
      </c>
      <c r="J521" s="8" t="s">
        <v>435</v>
      </c>
      <c r="K521" s="8" t="s">
        <v>293</v>
      </c>
      <c r="L521" s="8" t="s">
        <v>2435</v>
      </c>
      <c r="M521" s="8" t="s">
        <v>2436</v>
      </c>
      <c r="N521" s="5" t="s">
        <v>1034</v>
      </c>
      <c r="O521" s="5" t="s">
        <v>61</v>
      </c>
      <c r="P521" s="5" t="s">
        <v>75</v>
      </c>
      <c r="Q521" s="9" t="s">
        <v>75</v>
      </c>
      <c r="R521" s="5" t="s">
        <v>76</v>
      </c>
      <c r="S521" s="5" t="s">
        <v>90</v>
      </c>
      <c r="T521" s="96">
        <v>1</v>
      </c>
      <c r="U521" s="96" t="s">
        <v>77</v>
      </c>
      <c r="V521" s="96" t="s">
        <v>77</v>
      </c>
      <c r="W521" s="5" t="s">
        <v>91</v>
      </c>
      <c r="X521" s="10" t="s">
        <v>79</v>
      </c>
      <c r="Y521" s="11">
        <v>26002.87</v>
      </c>
      <c r="Z521" s="12">
        <v>0.06</v>
      </c>
      <c r="AA521" s="12">
        <v>0</v>
      </c>
      <c r="AB521" s="12">
        <v>0</v>
      </c>
      <c r="AC521" s="13">
        <v>0</v>
      </c>
      <c r="AD521" s="14">
        <f t="shared" si="18"/>
        <v>0.06</v>
      </c>
      <c r="AE521" s="15">
        <f t="shared" si="19"/>
        <v>0</v>
      </c>
      <c r="AF521" s="16">
        <v>7</v>
      </c>
      <c r="AG521" s="16">
        <v>7</v>
      </c>
      <c r="AH521" s="17" t="s">
        <v>2421</v>
      </c>
      <c r="AI521" s="18">
        <v>2.6</v>
      </c>
      <c r="AJ521" s="19">
        <v>0.96</v>
      </c>
      <c r="AK521" s="20">
        <v>0.98799999999999999</v>
      </c>
      <c r="AL521" s="17" t="s">
        <v>261</v>
      </c>
      <c r="AM521" s="5" t="s">
        <v>2422</v>
      </c>
      <c r="AN521" s="5" t="s">
        <v>66</v>
      </c>
      <c r="AO521" s="5" t="s">
        <v>2423</v>
      </c>
      <c r="AP521" s="5" t="s">
        <v>66</v>
      </c>
      <c r="AQ521" s="5" t="s">
        <v>66</v>
      </c>
      <c r="AR521" s="5" t="s">
        <v>66</v>
      </c>
      <c r="AS521" s="5" t="s">
        <v>66</v>
      </c>
      <c r="AT521" s="5" t="s">
        <v>66</v>
      </c>
      <c r="AU521" s="5" t="s">
        <v>66</v>
      </c>
      <c r="AV521" s="5" t="s">
        <v>66</v>
      </c>
      <c r="AW521" s="5" t="s">
        <v>66</v>
      </c>
      <c r="AX521" s="5" t="s">
        <v>2424</v>
      </c>
      <c r="AY521" s="5" t="s">
        <v>2425</v>
      </c>
      <c r="AZ521" s="5" t="s">
        <v>80</v>
      </c>
      <c r="BA521" s="19">
        <v>1</v>
      </c>
      <c r="BB521" s="17" t="s">
        <v>2433</v>
      </c>
      <c r="BC521" s="5" t="s">
        <v>2428</v>
      </c>
      <c r="BD521" s="5" t="s">
        <v>2429</v>
      </c>
    </row>
    <row r="522" spans="1:56" ht="48" hidden="1" x14ac:dyDescent="0.25">
      <c r="A522" s="78" t="s">
        <v>2186</v>
      </c>
      <c r="B522" s="5" t="s">
        <v>433</v>
      </c>
      <c r="C522" s="5" t="s">
        <v>3293</v>
      </c>
      <c r="D522" s="5" t="s">
        <v>56</v>
      </c>
      <c r="E522" s="99" t="str">
        <f>VLOOKUP(D522,'Dropdown List'!$F$26:$G$40,2,0)</f>
        <v>India</v>
      </c>
      <c r="F522" s="8" t="s">
        <v>2417</v>
      </c>
      <c r="G522" s="96">
        <v>3</v>
      </c>
      <c r="H522" s="5" t="s">
        <v>85</v>
      </c>
      <c r="I522" s="8" t="s">
        <v>71</v>
      </c>
      <c r="J522" s="8" t="s">
        <v>435</v>
      </c>
      <c r="K522" s="8" t="s">
        <v>2418</v>
      </c>
      <c r="L522" s="8" t="s">
        <v>2437</v>
      </c>
      <c r="M522" s="8" t="s">
        <v>2438</v>
      </c>
      <c r="N522" s="5" t="s">
        <v>1034</v>
      </c>
      <c r="O522" s="5" t="s">
        <v>61</v>
      </c>
      <c r="P522" s="5" t="s">
        <v>2439</v>
      </c>
      <c r="Q522" s="9" t="s">
        <v>270</v>
      </c>
      <c r="R522" s="5" t="s">
        <v>76</v>
      </c>
      <c r="S522" s="5" t="s">
        <v>90</v>
      </c>
      <c r="T522" s="96">
        <v>1</v>
      </c>
      <c r="U522" s="96" t="s">
        <v>77</v>
      </c>
      <c r="V522" s="96" t="s">
        <v>77</v>
      </c>
      <c r="W522" s="5" t="s">
        <v>91</v>
      </c>
      <c r="X522" s="10" t="s">
        <v>79</v>
      </c>
      <c r="Y522" s="11">
        <v>26002.87</v>
      </c>
      <c r="Z522" s="12">
        <v>2</v>
      </c>
      <c r="AA522" s="12">
        <v>0</v>
      </c>
      <c r="AB522" s="12">
        <v>0</v>
      </c>
      <c r="AC522" s="13">
        <v>0</v>
      </c>
      <c r="AD522" s="14">
        <f t="shared" si="18"/>
        <v>2</v>
      </c>
      <c r="AE522" s="15">
        <f t="shared" si="19"/>
        <v>0</v>
      </c>
      <c r="AF522" s="16">
        <v>592</v>
      </c>
      <c r="AG522" s="16">
        <v>592</v>
      </c>
      <c r="AH522" s="17" t="s">
        <v>2421</v>
      </c>
      <c r="AI522" s="18">
        <v>11.5</v>
      </c>
      <c r="AJ522" s="19">
        <v>0.96</v>
      </c>
      <c r="AK522" s="20">
        <v>0.98499999999999999</v>
      </c>
      <c r="AL522" s="17" t="s">
        <v>261</v>
      </c>
      <c r="AM522" s="5" t="s">
        <v>2422</v>
      </c>
      <c r="AN522" s="5" t="s">
        <v>66</v>
      </c>
      <c r="AO522" s="5" t="s">
        <v>2423</v>
      </c>
      <c r="AP522" s="5" t="s">
        <v>66</v>
      </c>
      <c r="AQ522" s="5" t="s">
        <v>66</v>
      </c>
      <c r="AR522" s="5" t="s">
        <v>66</v>
      </c>
      <c r="AS522" s="5" t="s">
        <v>66</v>
      </c>
      <c r="AT522" s="5" t="s">
        <v>66</v>
      </c>
      <c r="AU522" s="5" t="s">
        <v>66</v>
      </c>
      <c r="AV522" s="5" t="s">
        <v>66</v>
      </c>
      <c r="AW522" s="5" t="s">
        <v>66</v>
      </c>
      <c r="AX522" s="5" t="s">
        <v>2424</v>
      </c>
      <c r="AY522" s="5" t="s">
        <v>2425</v>
      </c>
      <c r="AZ522" s="5" t="s">
        <v>80</v>
      </c>
      <c r="BA522" s="19">
        <v>1</v>
      </c>
      <c r="BB522" s="17" t="s">
        <v>2433</v>
      </c>
      <c r="BC522" s="5" t="s">
        <v>2428</v>
      </c>
      <c r="BD522" s="5" t="s">
        <v>2440</v>
      </c>
    </row>
    <row r="523" spans="1:56" ht="48" hidden="1" x14ac:dyDescent="0.25">
      <c r="A523" s="78" t="s">
        <v>2186</v>
      </c>
      <c r="B523" s="5" t="s">
        <v>433</v>
      </c>
      <c r="C523" s="5" t="s">
        <v>3293</v>
      </c>
      <c r="D523" s="5" t="s">
        <v>56</v>
      </c>
      <c r="E523" s="99" t="str">
        <f>VLOOKUP(D523,'Dropdown List'!$F$26:$G$40,2,0)</f>
        <v>India</v>
      </c>
      <c r="F523" s="8" t="s">
        <v>2417</v>
      </c>
      <c r="G523" s="96">
        <v>4</v>
      </c>
      <c r="H523" s="5" t="s">
        <v>57</v>
      </c>
      <c r="I523" s="8" t="s">
        <v>71</v>
      </c>
      <c r="J523" s="8" t="s">
        <v>292</v>
      </c>
      <c r="K523" s="8" t="s">
        <v>1664</v>
      </c>
      <c r="L523" s="8" t="s">
        <v>2442</v>
      </c>
      <c r="M523" s="8" t="s">
        <v>2443</v>
      </c>
      <c r="N523" s="5" t="s">
        <v>1034</v>
      </c>
      <c r="O523" s="5" t="s">
        <v>61</v>
      </c>
      <c r="P523" s="5" t="s">
        <v>1069</v>
      </c>
      <c r="Q523" s="9" t="s">
        <v>75</v>
      </c>
      <c r="R523" s="5" t="s">
        <v>76</v>
      </c>
      <c r="S523" s="5" t="s">
        <v>90</v>
      </c>
      <c r="T523" s="96">
        <v>1</v>
      </c>
      <c r="U523" s="96" t="s">
        <v>77</v>
      </c>
      <c r="V523" s="96" t="s">
        <v>77</v>
      </c>
      <c r="W523" s="5" t="s">
        <v>91</v>
      </c>
      <c r="X523" s="10" t="s">
        <v>79</v>
      </c>
      <c r="Y523" s="11">
        <v>26002.87</v>
      </c>
      <c r="Z523" s="12">
        <v>1</v>
      </c>
      <c r="AA523" s="12">
        <v>0.1</v>
      </c>
      <c r="AB523" s="12">
        <v>0</v>
      </c>
      <c r="AC523" s="13">
        <v>0.1</v>
      </c>
      <c r="AD523" s="14">
        <f t="shared" si="18"/>
        <v>1.2000000000000002</v>
      </c>
      <c r="AE523" s="15">
        <f t="shared" si="19"/>
        <v>8.3333333333333329E-2</v>
      </c>
      <c r="AF523" s="16">
        <v>261</v>
      </c>
      <c r="AG523" s="16">
        <v>261</v>
      </c>
      <c r="AH523" s="17" t="s">
        <v>2421</v>
      </c>
      <c r="AI523" s="18">
        <v>2.2999999999999998</v>
      </c>
      <c r="AJ523" s="19">
        <v>0.96</v>
      </c>
      <c r="AK523" s="20">
        <v>0.98499999999999999</v>
      </c>
      <c r="AL523" s="17" t="s">
        <v>261</v>
      </c>
      <c r="AM523" s="5" t="s">
        <v>2422</v>
      </c>
      <c r="AN523" s="5" t="s">
        <v>66</v>
      </c>
      <c r="AO523" s="5" t="s">
        <v>2423</v>
      </c>
      <c r="AP523" s="5" t="s">
        <v>66</v>
      </c>
      <c r="AQ523" s="5" t="s">
        <v>66</v>
      </c>
      <c r="AR523" s="5" t="s">
        <v>66</v>
      </c>
      <c r="AS523" s="5" t="s">
        <v>66</v>
      </c>
      <c r="AT523" s="5" t="s">
        <v>66</v>
      </c>
      <c r="AU523" s="5" t="s">
        <v>66</v>
      </c>
      <c r="AV523" s="5" t="s">
        <v>66</v>
      </c>
      <c r="AW523" s="5" t="s">
        <v>66</v>
      </c>
      <c r="AX523" s="5" t="s">
        <v>2424</v>
      </c>
      <c r="AY523" s="5" t="s">
        <v>2425</v>
      </c>
      <c r="AZ523" s="5" t="s">
        <v>80</v>
      </c>
      <c r="BA523" s="19">
        <v>1</v>
      </c>
      <c r="BB523" s="17" t="s">
        <v>2433</v>
      </c>
      <c r="BC523" s="5" t="s">
        <v>2428</v>
      </c>
      <c r="BD523" s="5" t="s">
        <v>2444</v>
      </c>
    </row>
    <row r="524" spans="1:56" ht="48" hidden="1" x14ac:dyDescent="0.25">
      <c r="A524" s="78" t="s">
        <v>2186</v>
      </c>
      <c r="B524" s="5" t="s">
        <v>433</v>
      </c>
      <c r="C524" s="5" t="s">
        <v>3293</v>
      </c>
      <c r="D524" s="5" t="s">
        <v>56</v>
      </c>
      <c r="E524" s="99" t="str">
        <f>VLOOKUP(D524,'Dropdown List'!$F$26:$G$40,2,0)</f>
        <v>India</v>
      </c>
      <c r="F524" s="8" t="s">
        <v>2417</v>
      </c>
      <c r="G524" s="96">
        <v>0.1</v>
      </c>
      <c r="H524" s="5" t="s">
        <v>57</v>
      </c>
      <c r="I524" s="8" t="s">
        <v>71</v>
      </c>
      <c r="J524" s="8" t="s">
        <v>435</v>
      </c>
      <c r="K524" s="8" t="s">
        <v>293</v>
      </c>
      <c r="L524" s="8" t="s">
        <v>2445</v>
      </c>
      <c r="M524" s="8" t="s">
        <v>2446</v>
      </c>
      <c r="N524" s="5" t="s">
        <v>1034</v>
      </c>
      <c r="O524" s="5" t="s">
        <v>61</v>
      </c>
      <c r="P524" s="5" t="s">
        <v>3316</v>
      </c>
      <c r="Q524" s="9" t="s">
        <v>62</v>
      </c>
      <c r="R524" s="5" t="s">
        <v>76</v>
      </c>
      <c r="S524" s="5" t="s">
        <v>90</v>
      </c>
      <c r="T524" s="96">
        <v>1</v>
      </c>
      <c r="U524" s="96" t="s">
        <v>77</v>
      </c>
      <c r="V524" s="96" t="s">
        <v>77</v>
      </c>
      <c r="W524" s="5" t="s">
        <v>91</v>
      </c>
      <c r="X524" s="10" t="s">
        <v>79</v>
      </c>
      <c r="Y524" s="11">
        <v>26002.87</v>
      </c>
      <c r="Z524" s="12">
        <v>6</v>
      </c>
      <c r="AA524" s="12">
        <v>0.5</v>
      </c>
      <c r="AB524" s="12">
        <v>0.2</v>
      </c>
      <c r="AC524" s="13">
        <v>0.5</v>
      </c>
      <c r="AD524" s="14">
        <f t="shared" si="18"/>
        <v>7.2</v>
      </c>
      <c r="AE524" s="15">
        <f t="shared" si="19"/>
        <v>6.9444444444444448E-2</v>
      </c>
      <c r="AF524" s="16">
        <v>2400</v>
      </c>
      <c r="AG524" s="16">
        <v>2400</v>
      </c>
      <c r="AH524" s="17" t="s">
        <v>2447</v>
      </c>
      <c r="AI524" s="18">
        <v>15</v>
      </c>
      <c r="AJ524" s="19">
        <v>0.96</v>
      </c>
      <c r="AK524" s="20" t="s">
        <v>66</v>
      </c>
      <c r="AL524" s="17" t="s">
        <v>65</v>
      </c>
      <c r="AM524" s="5" t="s">
        <v>2422</v>
      </c>
      <c r="AN524" s="5" t="s">
        <v>66</v>
      </c>
      <c r="AO524" s="5" t="s">
        <v>2423</v>
      </c>
      <c r="AP524" s="5" t="s">
        <v>66</v>
      </c>
      <c r="AQ524" s="5" t="s">
        <v>66</v>
      </c>
      <c r="AR524" s="5" t="s">
        <v>66</v>
      </c>
      <c r="AS524" s="5" t="s">
        <v>66</v>
      </c>
      <c r="AT524" s="5" t="s">
        <v>66</v>
      </c>
      <c r="AU524" s="5" t="s">
        <v>66</v>
      </c>
      <c r="AV524" s="5" t="s">
        <v>66</v>
      </c>
      <c r="AW524" s="5" t="s">
        <v>66</v>
      </c>
      <c r="AX524" s="5" t="s">
        <v>2424</v>
      </c>
      <c r="AY524" s="5" t="s">
        <v>2425</v>
      </c>
      <c r="AZ524" s="5" t="s">
        <v>80</v>
      </c>
      <c r="BA524" s="19" t="s">
        <v>2426</v>
      </c>
      <c r="BB524" s="17" t="s">
        <v>2433</v>
      </c>
      <c r="BC524" s="5" t="s">
        <v>2428</v>
      </c>
      <c r="BD524" s="5" t="s">
        <v>2448</v>
      </c>
    </row>
    <row r="525" spans="1:56" ht="48" hidden="1" x14ac:dyDescent="0.25">
      <c r="A525" s="78" t="s">
        <v>2186</v>
      </c>
      <c r="B525" s="5" t="s">
        <v>433</v>
      </c>
      <c r="C525" s="5" t="s">
        <v>3293</v>
      </c>
      <c r="D525" s="5" t="s">
        <v>56</v>
      </c>
      <c r="E525" s="99" t="str">
        <f>VLOOKUP(D525,'Dropdown List'!$F$26:$G$40,2,0)</f>
        <v>India</v>
      </c>
      <c r="F525" s="8" t="s">
        <v>2417</v>
      </c>
      <c r="G525" s="96">
        <v>3</v>
      </c>
      <c r="H525" s="5" t="s">
        <v>85</v>
      </c>
      <c r="I525" s="8" t="s">
        <v>71</v>
      </c>
      <c r="J525" s="8" t="s">
        <v>435</v>
      </c>
      <c r="K525" s="8" t="s">
        <v>293</v>
      </c>
      <c r="L525" s="8" t="s">
        <v>2449</v>
      </c>
      <c r="M525" s="8" t="s">
        <v>2450</v>
      </c>
      <c r="N525" s="5" t="s">
        <v>1034</v>
      </c>
      <c r="O525" s="5" t="s">
        <v>61</v>
      </c>
      <c r="P525" s="5" t="s">
        <v>2439</v>
      </c>
      <c r="Q525" s="9" t="s">
        <v>75</v>
      </c>
      <c r="R525" s="5" t="s">
        <v>76</v>
      </c>
      <c r="S525" s="5" t="s">
        <v>90</v>
      </c>
      <c r="T525" s="96">
        <v>1</v>
      </c>
      <c r="U525" s="96" t="s">
        <v>77</v>
      </c>
      <c r="V525" s="96" t="s">
        <v>77</v>
      </c>
      <c r="W525" s="5" t="s">
        <v>91</v>
      </c>
      <c r="X525" s="10" t="s">
        <v>79</v>
      </c>
      <c r="Y525" s="11">
        <v>26002.87</v>
      </c>
      <c r="Z525" s="12">
        <v>0.5</v>
      </c>
      <c r="AA525" s="12">
        <v>0</v>
      </c>
      <c r="AB525" s="12">
        <v>0</v>
      </c>
      <c r="AC525" s="13">
        <v>0</v>
      </c>
      <c r="AD525" s="14">
        <f t="shared" si="18"/>
        <v>0.5</v>
      </c>
      <c r="AE525" s="15">
        <f t="shared" si="19"/>
        <v>0</v>
      </c>
      <c r="AF525" s="16">
        <v>600</v>
      </c>
      <c r="AG525" s="16">
        <v>600</v>
      </c>
      <c r="AH525" s="17" t="s">
        <v>2421</v>
      </c>
      <c r="AI525" s="18">
        <v>7.4</v>
      </c>
      <c r="AJ525" s="19">
        <v>0.96</v>
      </c>
      <c r="AK525" s="20">
        <v>0.98499999999999999</v>
      </c>
      <c r="AL525" s="17" t="s">
        <v>261</v>
      </c>
      <c r="AM525" s="5" t="s">
        <v>2422</v>
      </c>
      <c r="AN525" s="5" t="s">
        <v>66</v>
      </c>
      <c r="AO525" s="5" t="s">
        <v>2423</v>
      </c>
      <c r="AP525" s="5" t="s">
        <v>66</v>
      </c>
      <c r="AQ525" s="5" t="s">
        <v>66</v>
      </c>
      <c r="AR525" s="5" t="s">
        <v>66</v>
      </c>
      <c r="AS525" s="5" t="s">
        <v>66</v>
      </c>
      <c r="AT525" s="5" t="s">
        <v>66</v>
      </c>
      <c r="AU525" s="5" t="s">
        <v>66</v>
      </c>
      <c r="AV525" s="5" t="s">
        <v>66</v>
      </c>
      <c r="AW525" s="5" t="s">
        <v>66</v>
      </c>
      <c r="AX525" s="5" t="s">
        <v>2424</v>
      </c>
      <c r="AY525" s="5" t="s">
        <v>110</v>
      </c>
      <c r="AZ525" s="5" t="s">
        <v>145</v>
      </c>
      <c r="BA525" s="19">
        <v>1</v>
      </c>
      <c r="BB525" s="17" t="s">
        <v>2451</v>
      </c>
      <c r="BC525" s="5" t="s">
        <v>2428</v>
      </c>
      <c r="BD525" s="5" t="s">
        <v>2452</v>
      </c>
    </row>
    <row r="526" spans="1:56" ht="48" hidden="1" x14ac:dyDescent="0.25">
      <c r="A526" s="78" t="s">
        <v>2186</v>
      </c>
      <c r="B526" s="5" t="s">
        <v>433</v>
      </c>
      <c r="C526" s="5" t="s">
        <v>3293</v>
      </c>
      <c r="D526" s="5" t="s">
        <v>56</v>
      </c>
      <c r="E526" s="99" t="str">
        <f>VLOOKUP(D526,'Dropdown List'!$F$26:$G$40,2,0)</f>
        <v>India</v>
      </c>
      <c r="F526" s="8" t="s">
        <v>2417</v>
      </c>
      <c r="G526" s="96">
        <v>3</v>
      </c>
      <c r="H526" s="5" t="s">
        <v>85</v>
      </c>
      <c r="I526" s="8" t="s">
        <v>71</v>
      </c>
      <c r="J526" s="8" t="s">
        <v>435</v>
      </c>
      <c r="K526" s="8" t="s">
        <v>293</v>
      </c>
      <c r="L526" s="8" t="s">
        <v>2453</v>
      </c>
      <c r="M526" s="8" t="s">
        <v>2450</v>
      </c>
      <c r="N526" s="5" t="s">
        <v>1034</v>
      </c>
      <c r="O526" s="5" t="s">
        <v>61</v>
      </c>
      <c r="P526" s="5" t="s">
        <v>2439</v>
      </c>
      <c r="Q526" s="9" t="s">
        <v>75</v>
      </c>
      <c r="R526" s="5" t="s">
        <v>76</v>
      </c>
      <c r="S526" s="5" t="s">
        <v>90</v>
      </c>
      <c r="T526" s="96">
        <v>1</v>
      </c>
      <c r="U526" s="96" t="s">
        <v>77</v>
      </c>
      <c r="V526" s="96" t="s">
        <v>77</v>
      </c>
      <c r="W526" s="5" t="s">
        <v>91</v>
      </c>
      <c r="X526" s="10" t="s">
        <v>79</v>
      </c>
      <c r="Y526" s="11">
        <v>26002.87</v>
      </c>
      <c r="Z526" s="12">
        <v>1.3</v>
      </c>
      <c r="AA526" s="12">
        <v>0</v>
      </c>
      <c r="AB526" s="12">
        <v>0</v>
      </c>
      <c r="AC526" s="13">
        <v>0</v>
      </c>
      <c r="AD526" s="14">
        <f t="shared" si="18"/>
        <v>1.3</v>
      </c>
      <c r="AE526" s="15">
        <f t="shared" si="19"/>
        <v>0</v>
      </c>
      <c r="AF526" s="16">
        <v>1400</v>
      </c>
      <c r="AG526" s="16">
        <v>1400</v>
      </c>
      <c r="AH526" s="17" t="s">
        <v>2421</v>
      </c>
      <c r="AI526" s="18">
        <v>7.6</v>
      </c>
      <c r="AJ526" s="19">
        <v>0.96</v>
      </c>
      <c r="AK526" s="20">
        <v>0.98499999999999999</v>
      </c>
      <c r="AL526" s="17" t="s">
        <v>261</v>
      </c>
      <c r="AM526" s="5" t="s">
        <v>2422</v>
      </c>
      <c r="AN526" s="5" t="s">
        <v>66</v>
      </c>
      <c r="AO526" s="5" t="s">
        <v>2423</v>
      </c>
      <c r="AP526" s="5" t="s">
        <v>66</v>
      </c>
      <c r="AQ526" s="5" t="s">
        <v>66</v>
      </c>
      <c r="AR526" s="5" t="s">
        <v>66</v>
      </c>
      <c r="AS526" s="5" t="s">
        <v>66</v>
      </c>
      <c r="AT526" s="5" t="s">
        <v>66</v>
      </c>
      <c r="AU526" s="5" t="s">
        <v>66</v>
      </c>
      <c r="AV526" s="5" t="s">
        <v>66</v>
      </c>
      <c r="AW526" s="5" t="s">
        <v>66</v>
      </c>
      <c r="AX526" s="5" t="s">
        <v>2424</v>
      </c>
      <c r="AY526" s="5" t="s">
        <v>110</v>
      </c>
      <c r="AZ526" s="5" t="s">
        <v>145</v>
      </c>
      <c r="BA526" s="19">
        <v>1</v>
      </c>
      <c r="BB526" s="17" t="s">
        <v>2454</v>
      </c>
      <c r="BC526" s="5" t="s">
        <v>2428</v>
      </c>
      <c r="BD526" s="5" t="s">
        <v>2452</v>
      </c>
    </row>
    <row r="527" spans="1:56" ht="48" hidden="1" x14ac:dyDescent="0.25">
      <c r="A527" s="78" t="s">
        <v>2186</v>
      </c>
      <c r="B527" s="5" t="s">
        <v>433</v>
      </c>
      <c r="C527" s="5" t="s">
        <v>3293</v>
      </c>
      <c r="D527" s="5" t="s">
        <v>56</v>
      </c>
      <c r="E527" s="99" t="str">
        <f>VLOOKUP(D527,'Dropdown List'!$F$26:$G$40,2,0)</f>
        <v>India</v>
      </c>
      <c r="F527" s="8" t="s">
        <v>2417</v>
      </c>
      <c r="G527" s="96">
        <v>3</v>
      </c>
      <c r="H527" s="5" t="s">
        <v>85</v>
      </c>
      <c r="I527" s="8" t="s">
        <v>71</v>
      </c>
      <c r="J527" s="8" t="s">
        <v>435</v>
      </c>
      <c r="K527" s="8" t="s">
        <v>293</v>
      </c>
      <c r="L527" s="8" t="s">
        <v>2455</v>
      </c>
      <c r="M527" s="8" t="s">
        <v>2450</v>
      </c>
      <c r="N527" s="5" t="s">
        <v>1034</v>
      </c>
      <c r="O527" s="5" t="s">
        <v>61</v>
      </c>
      <c r="P527" s="5" t="s">
        <v>2456</v>
      </c>
      <c r="Q527" s="9" t="s">
        <v>75</v>
      </c>
      <c r="R527" s="5" t="s">
        <v>76</v>
      </c>
      <c r="S527" s="5" t="s">
        <v>90</v>
      </c>
      <c r="T527" s="96">
        <v>1</v>
      </c>
      <c r="U527" s="96" t="s">
        <v>77</v>
      </c>
      <c r="V527" s="96" t="s">
        <v>77</v>
      </c>
      <c r="W527" s="5" t="s">
        <v>91</v>
      </c>
      <c r="X527" s="10" t="s">
        <v>79</v>
      </c>
      <c r="Y527" s="11">
        <v>26002.87</v>
      </c>
      <c r="Z527" s="12">
        <v>1</v>
      </c>
      <c r="AA527" s="12">
        <v>0</v>
      </c>
      <c r="AB527" s="12">
        <v>0</v>
      </c>
      <c r="AC527" s="13">
        <v>0</v>
      </c>
      <c r="AD527" s="14">
        <f t="shared" si="18"/>
        <v>1</v>
      </c>
      <c r="AE527" s="15">
        <f t="shared" si="19"/>
        <v>0</v>
      </c>
      <c r="AF527" s="16">
        <v>244</v>
      </c>
      <c r="AG527" s="16">
        <v>244</v>
      </c>
      <c r="AH527" s="17" t="s">
        <v>2421</v>
      </c>
      <c r="AI527" s="18">
        <v>1</v>
      </c>
      <c r="AJ527" s="19">
        <v>0.96</v>
      </c>
      <c r="AK527" s="20">
        <v>0.98499999999999999</v>
      </c>
      <c r="AL527" s="17" t="s">
        <v>261</v>
      </c>
      <c r="AM527" s="5" t="s">
        <v>2422</v>
      </c>
      <c r="AN527" s="5" t="s">
        <v>66</v>
      </c>
      <c r="AO527" s="5" t="s">
        <v>2423</v>
      </c>
      <c r="AP527" s="5" t="s">
        <v>66</v>
      </c>
      <c r="AQ527" s="5" t="s">
        <v>66</v>
      </c>
      <c r="AR527" s="5" t="s">
        <v>66</v>
      </c>
      <c r="AS527" s="5" t="s">
        <v>66</v>
      </c>
      <c r="AT527" s="5" t="s">
        <v>66</v>
      </c>
      <c r="AU527" s="5" t="s">
        <v>66</v>
      </c>
      <c r="AV527" s="5" t="s">
        <v>66</v>
      </c>
      <c r="AW527" s="5" t="s">
        <v>66</v>
      </c>
      <c r="AX527" s="5" t="s">
        <v>2424</v>
      </c>
      <c r="AY527" s="5" t="s">
        <v>353</v>
      </c>
      <c r="AZ527" s="5" t="s">
        <v>80</v>
      </c>
      <c r="BA527" s="19">
        <v>1</v>
      </c>
      <c r="BB527" s="17" t="s">
        <v>2457</v>
      </c>
      <c r="BC527" s="5" t="s">
        <v>2428</v>
      </c>
      <c r="BD527" s="5" t="s">
        <v>2458</v>
      </c>
    </row>
    <row r="528" spans="1:56" ht="48" hidden="1" x14ac:dyDescent="0.25">
      <c r="A528" s="78" t="s">
        <v>2186</v>
      </c>
      <c r="B528" s="5" t="s">
        <v>433</v>
      </c>
      <c r="C528" s="5" t="s">
        <v>3293</v>
      </c>
      <c r="D528" s="5" t="s">
        <v>56</v>
      </c>
      <c r="E528" s="99" t="str">
        <f>VLOOKUP(D528,'Dropdown List'!$F$26:$G$40,2,0)</f>
        <v>India</v>
      </c>
      <c r="F528" s="8" t="s">
        <v>2417</v>
      </c>
      <c r="G528" s="96">
        <v>3</v>
      </c>
      <c r="H528" s="5" t="s">
        <v>85</v>
      </c>
      <c r="I528" s="8" t="s">
        <v>71</v>
      </c>
      <c r="J528" s="8" t="s">
        <v>435</v>
      </c>
      <c r="K528" s="8" t="s">
        <v>293</v>
      </c>
      <c r="L528" s="8" t="s">
        <v>2459</v>
      </c>
      <c r="M528" s="8" t="s">
        <v>2450</v>
      </c>
      <c r="N528" s="5" t="s">
        <v>1034</v>
      </c>
      <c r="O528" s="5" t="s">
        <v>61</v>
      </c>
      <c r="P528" s="5" t="s">
        <v>2456</v>
      </c>
      <c r="Q528" s="9" t="s">
        <v>75</v>
      </c>
      <c r="R528" s="5" t="s">
        <v>76</v>
      </c>
      <c r="S528" s="5" t="s">
        <v>90</v>
      </c>
      <c r="T528" s="96">
        <v>1</v>
      </c>
      <c r="U528" s="96" t="s">
        <v>77</v>
      </c>
      <c r="V528" s="96" t="s">
        <v>77</v>
      </c>
      <c r="W528" s="5" t="s">
        <v>91</v>
      </c>
      <c r="X528" s="10" t="s">
        <v>79</v>
      </c>
      <c r="Y528" s="11">
        <v>26002.87</v>
      </c>
      <c r="Z528" s="12">
        <v>1</v>
      </c>
      <c r="AA528" s="12">
        <v>0</v>
      </c>
      <c r="AB528" s="12">
        <v>0</v>
      </c>
      <c r="AC528" s="13">
        <v>0</v>
      </c>
      <c r="AD528" s="14">
        <f t="shared" si="18"/>
        <v>1</v>
      </c>
      <c r="AE528" s="15">
        <f t="shared" si="19"/>
        <v>0</v>
      </c>
      <c r="AF528" s="16">
        <v>1393</v>
      </c>
      <c r="AG528" s="16">
        <v>1393</v>
      </c>
      <c r="AH528" s="17" t="s">
        <v>2421</v>
      </c>
      <c r="AI528" s="18">
        <v>1.3</v>
      </c>
      <c r="AJ528" s="19">
        <v>0.96</v>
      </c>
      <c r="AK528" s="20">
        <v>0.98499999999999999</v>
      </c>
      <c r="AL528" s="17" t="s">
        <v>261</v>
      </c>
      <c r="AM528" s="5" t="s">
        <v>2422</v>
      </c>
      <c r="AN528" s="5" t="s">
        <v>66</v>
      </c>
      <c r="AO528" s="5" t="s">
        <v>2423</v>
      </c>
      <c r="AP528" s="5" t="s">
        <v>66</v>
      </c>
      <c r="AQ528" s="5" t="s">
        <v>66</v>
      </c>
      <c r="AR528" s="5" t="s">
        <v>66</v>
      </c>
      <c r="AS528" s="5" t="s">
        <v>66</v>
      </c>
      <c r="AT528" s="5" t="s">
        <v>66</v>
      </c>
      <c r="AU528" s="5" t="s">
        <v>66</v>
      </c>
      <c r="AV528" s="5" t="s">
        <v>66</v>
      </c>
      <c r="AW528" s="5" t="s">
        <v>66</v>
      </c>
      <c r="AX528" s="5" t="s">
        <v>2424</v>
      </c>
      <c r="AY528" s="5" t="s">
        <v>353</v>
      </c>
      <c r="AZ528" s="5" t="s">
        <v>80</v>
      </c>
      <c r="BA528" s="19">
        <v>1</v>
      </c>
      <c r="BB528" s="17" t="s">
        <v>2457</v>
      </c>
      <c r="BC528" s="5" t="s">
        <v>2428</v>
      </c>
      <c r="BD528" s="5" t="s">
        <v>2458</v>
      </c>
    </row>
    <row r="529" spans="1:56" ht="48" hidden="1" x14ac:dyDescent="0.25">
      <c r="A529" s="78" t="s">
        <v>2186</v>
      </c>
      <c r="B529" s="5" t="s">
        <v>433</v>
      </c>
      <c r="C529" s="5" t="s">
        <v>3293</v>
      </c>
      <c r="D529" s="5" t="s">
        <v>56</v>
      </c>
      <c r="E529" s="99" t="str">
        <f>VLOOKUP(D529,'Dropdown List'!$F$26:$G$40,2,0)</f>
        <v>India</v>
      </c>
      <c r="F529" s="8" t="s">
        <v>2417</v>
      </c>
      <c r="G529" s="96">
        <v>2</v>
      </c>
      <c r="H529" s="5" t="s">
        <v>85</v>
      </c>
      <c r="I529" s="8" t="s">
        <v>71</v>
      </c>
      <c r="J529" s="8" t="s">
        <v>435</v>
      </c>
      <c r="K529" s="8" t="s">
        <v>293</v>
      </c>
      <c r="L529" s="8" t="s">
        <v>2460</v>
      </c>
      <c r="M529" s="8" t="s">
        <v>2461</v>
      </c>
      <c r="N529" s="5" t="s">
        <v>1034</v>
      </c>
      <c r="O529" s="5" t="s">
        <v>61</v>
      </c>
      <c r="P529" s="5" t="s">
        <v>2439</v>
      </c>
      <c r="Q529" s="9" t="s">
        <v>75</v>
      </c>
      <c r="R529" s="5" t="s">
        <v>76</v>
      </c>
      <c r="S529" s="5" t="s">
        <v>90</v>
      </c>
      <c r="T529" s="96">
        <v>1</v>
      </c>
      <c r="U529" s="96" t="s">
        <v>77</v>
      </c>
      <c r="V529" s="96" t="s">
        <v>77</v>
      </c>
      <c r="W529" s="5" t="s">
        <v>91</v>
      </c>
      <c r="X529" s="10" t="s">
        <v>79</v>
      </c>
      <c r="Y529" s="11">
        <v>26002.87</v>
      </c>
      <c r="Z529" s="12">
        <v>1.5</v>
      </c>
      <c r="AA529" s="12">
        <v>0</v>
      </c>
      <c r="AB529" s="12">
        <v>0</v>
      </c>
      <c r="AC529" s="13">
        <v>0</v>
      </c>
      <c r="AD529" s="14">
        <f t="shared" si="18"/>
        <v>1.5</v>
      </c>
      <c r="AE529" s="15">
        <f t="shared" si="19"/>
        <v>0</v>
      </c>
      <c r="AF529" s="16">
        <v>359</v>
      </c>
      <c r="AG529" s="16">
        <v>359</v>
      </c>
      <c r="AH529" s="17" t="s">
        <v>2421</v>
      </c>
      <c r="AI529" s="18">
        <v>8.3000000000000007</v>
      </c>
      <c r="AJ529" s="19">
        <v>0.96</v>
      </c>
      <c r="AK529" s="20">
        <v>0.98499999999999999</v>
      </c>
      <c r="AL529" s="17" t="s">
        <v>261</v>
      </c>
      <c r="AM529" s="5" t="s">
        <v>2422</v>
      </c>
      <c r="AN529" s="5" t="s">
        <v>66</v>
      </c>
      <c r="AO529" s="5" t="s">
        <v>2423</v>
      </c>
      <c r="AP529" s="5" t="s">
        <v>66</v>
      </c>
      <c r="AQ529" s="5" t="s">
        <v>66</v>
      </c>
      <c r="AR529" s="5" t="s">
        <v>66</v>
      </c>
      <c r="AS529" s="5" t="s">
        <v>66</v>
      </c>
      <c r="AT529" s="5" t="s">
        <v>66</v>
      </c>
      <c r="AU529" s="5" t="s">
        <v>66</v>
      </c>
      <c r="AV529" s="5" t="s">
        <v>66</v>
      </c>
      <c r="AW529" s="5" t="s">
        <v>66</v>
      </c>
      <c r="AX529" s="5" t="s">
        <v>2424</v>
      </c>
      <c r="AY529" s="5" t="s">
        <v>110</v>
      </c>
      <c r="AZ529" s="5" t="s">
        <v>145</v>
      </c>
      <c r="BA529" s="19">
        <v>1</v>
      </c>
      <c r="BB529" s="17" t="s">
        <v>2462</v>
      </c>
      <c r="BC529" s="5" t="s">
        <v>2428</v>
      </c>
      <c r="BD529" s="5" t="s">
        <v>2463</v>
      </c>
    </row>
    <row r="530" spans="1:56" ht="60" hidden="1" x14ac:dyDescent="0.25">
      <c r="A530" s="78" t="s">
        <v>2186</v>
      </c>
      <c r="B530" s="5" t="s">
        <v>433</v>
      </c>
      <c r="C530" s="5" t="s">
        <v>3293</v>
      </c>
      <c r="D530" s="5" t="s">
        <v>56</v>
      </c>
      <c r="E530" s="99" t="str">
        <f>VLOOKUP(D530,'Dropdown List'!$F$26:$G$40,2,0)</f>
        <v>India</v>
      </c>
      <c r="F530" s="8" t="s">
        <v>2417</v>
      </c>
      <c r="G530" s="96">
        <v>2</v>
      </c>
      <c r="H530" s="5" t="s">
        <v>85</v>
      </c>
      <c r="I530" s="8" t="s">
        <v>71</v>
      </c>
      <c r="J530" s="8" t="s">
        <v>435</v>
      </c>
      <c r="K530" s="8" t="s">
        <v>2418</v>
      </c>
      <c r="L530" s="8" t="s">
        <v>2464</v>
      </c>
      <c r="M530" s="8" t="s">
        <v>2465</v>
      </c>
      <c r="N530" s="5" t="s">
        <v>1034</v>
      </c>
      <c r="O530" s="5" t="s">
        <v>61</v>
      </c>
      <c r="P530" s="5" t="s">
        <v>2439</v>
      </c>
      <c r="Q530" s="9" t="s">
        <v>75</v>
      </c>
      <c r="R530" s="5" t="s">
        <v>76</v>
      </c>
      <c r="S530" s="5" t="s">
        <v>90</v>
      </c>
      <c r="T530" s="96">
        <v>1</v>
      </c>
      <c r="U530" s="96" t="s">
        <v>77</v>
      </c>
      <c r="V530" s="96" t="s">
        <v>77</v>
      </c>
      <c r="W530" s="5" t="s">
        <v>91</v>
      </c>
      <c r="X530" s="10" t="s">
        <v>79</v>
      </c>
      <c r="Y530" s="11">
        <v>26002.87</v>
      </c>
      <c r="Z530" s="12">
        <v>1</v>
      </c>
      <c r="AA530" s="12">
        <v>0</v>
      </c>
      <c r="AB530" s="12">
        <v>0</v>
      </c>
      <c r="AC530" s="13">
        <v>0</v>
      </c>
      <c r="AD530" s="14">
        <f t="shared" si="18"/>
        <v>1</v>
      </c>
      <c r="AE530" s="15">
        <f t="shared" si="19"/>
        <v>0</v>
      </c>
      <c r="AF530" s="16">
        <v>53</v>
      </c>
      <c r="AG530" s="16">
        <v>53</v>
      </c>
      <c r="AH530" s="17" t="s">
        <v>2421</v>
      </c>
      <c r="AI530" s="18">
        <v>29.3</v>
      </c>
      <c r="AJ530" s="19">
        <v>0.96</v>
      </c>
      <c r="AK530" s="20">
        <v>0.98499999999999999</v>
      </c>
      <c r="AL530" s="17" t="s">
        <v>261</v>
      </c>
      <c r="AM530" s="5" t="s">
        <v>2422</v>
      </c>
      <c r="AN530" s="5" t="s">
        <v>66</v>
      </c>
      <c r="AO530" s="5" t="s">
        <v>2423</v>
      </c>
      <c r="AP530" s="5" t="s">
        <v>66</v>
      </c>
      <c r="AQ530" s="5" t="s">
        <v>66</v>
      </c>
      <c r="AR530" s="5" t="s">
        <v>66</v>
      </c>
      <c r="AS530" s="5" t="s">
        <v>66</v>
      </c>
      <c r="AT530" s="5" t="s">
        <v>66</v>
      </c>
      <c r="AU530" s="5" t="s">
        <v>66</v>
      </c>
      <c r="AV530" s="5" t="s">
        <v>66</v>
      </c>
      <c r="AW530" s="5" t="s">
        <v>66</v>
      </c>
      <c r="AX530" s="5" t="s">
        <v>2424</v>
      </c>
      <c r="AY530" s="5" t="s">
        <v>110</v>
      </c>
      <c r="AZ530" s="5" t="s">
        <v>145</v>
      </c>
      <c r="BA530" s="19">
        <v>1</v>
      </c>
      <c r="BB530" s="17" t="s">
        <v>2466</v>
      </c>
      <c r="BC530" s="5" t="s">
        <v>2428</v>
      </c>
      <c r="BD530" s="5" t="s">
        <v>2463</v>
      </c>
    </row>
    <row r="531" spans="1:56" ht="48" hidden="1" x14ac:dyDescent="0.25">
      <c r="A531" s="78" t="s">
        <v>2186</v>
      </c>
      <c r="B531" s="5" t="s">
        <v>433</v>
      </c>
      <c r="C531" s="5" t="s">
        <v>3293</v>
      </c>
      <c r="D531" s="5" t="s">
        <v>56</v>
      </c>
      <c r="E531" s="99" t="str">
        <f>VLOOKUP(D531,'Dropdown List'!$F$26:$G$40,2,0)</f>
        <v>India</v>
      </c>
      <c r="F531" s="8" t="s">
        <v>2417</v>
      </c>
      <c r="G531" s="96">
        <v>2</v>
      </c>
      <c r="H531" s="5" t="s">
        <v>85</v>
      </c>
      <c r="I531" s="8" t="s">
        <v>71</v>
      </c>
      <c r="J531" s="8" t="s">
        <v>167</v>
      </c>
      <c r="K531" s="8" t="s">
        <v>2467</v>
      </c>
      <c r="L531" s="8" t="s">
        <v>2468</v>
      </c>
      <c r="M531" s="8" t="s">
        <v>2469</v>
      </c>
      <c r="N531" s="5" t="s">
        <v>1034</v>
      </c>
      <c r="O531" s="5" t="s">
        <v>61</v>
      </c>
      <c r="P531" s="5" t="s">
        <v>2439</v>
      </c>
      <c r="Q531" s="9" t="s">
        <v>75</v>
      </c>
      <c r="R531" s="5" t="s">
        <v>76</v>
      </c>
      <c r="S531" s="5" t="s">
        <v>90</v>
      </c>
      <c r="T531" s="96">
        <v>1</v>
      </c>
      <c r="U531" s="96" t="s">
        <v>77</v>
      </c>
      <c r="V531" s="96" t="s">
        <v>77</v>
      </c>
      <c r="W531" s="5" t="s">
        <v>91</v>
      </c>
      <c r="X531" s="10" t="s">
        <v>79</v>
      </c>
      <c r="Y531" s="11">
        <v>26002.87</v>
      </c>
      <c r="Z531" s="12">
        <v>2</v>
      </c>
      <c r="AA531" s="12">
        <v>0</v>
      </c>
      <c r="AB531" s="12">
        <v>0</v>
      </c>
      <c r="AC531" s="13">
        <v>0</v>
      </c>
      <c r="AD531" s="14">
        <f t="shared" si="18"/>
        <v>2</v>
      </c>
      <c r="AE531" s="15">
        <f t="shared" si="19"/>
        <v>0</v>
      </c>
      <c r="AF531" s="16">
        <v>304</v>
      </c>
      <c r="AG531" s="16">
        <v>304</v>
      </c>
      <c r="AH531" s="17" t="s">
        <v>2421</v>
      </c>
      <c r="AI531" s="18">
        <v>9.3000000000000007</v>
      </c>
      <c r="AJ531" s="19">
        <v>0.96</v>
      </c>
      <c r="AK531" s="20">
        <v>0.98499999999999999</v>
      </c>
      <c r="AL531" s="17" t="s">
        <v>261</v>
      </c>
      <c r="AM531" s="5" t="s">
        <v>2422</v>
      </c>
      <c r="AN531" s="5" t="s">
        <v>66</v>
      </c>
      <c r="AO531" s="5" t="s">
        <v>2423</v>
      </c>
      <c r="AP531" s="5" t="s">
        <v>66</v>
      </c>
      <c r="AQ531" s="5" t="s">
        <v>66</v>
      </c>
      <c r="AR531" s="5" t="s">
        <v>66</v>
      </c>
      <c r="AS531" s="5" t="s">
        <v>66</v>
      </c>
      <c r="AT531" s="5" t="s">
        <v>66</v>
      </c>
      <c r="AU531" s="5" t="s">
        <v>66</v>
      </c>
      <c r="AV531" s="5" t="s">
        <v>66</v>
      </c>
      <c r="AW531" s="5" t="s">
        <v>66</v>
      </c>
      <c r="AX531" s="5" t="s">
        <v>2424</v>
      </c>
      <c r="AY531" s="5" t="s">
        <v>110</v>
      </c>
      <c r="AZ531" s="5" t="s">
        <v>145</v>
      </c>
      <c r="BA531" s="19">
        <v>1</v>
      </c>
      <c r="BB531" s="17" t="s">
        <v>2470</v>
      </c>
      <c r="BC531" s="5" t="s">
        <v>2428</v>
      </c>
      <c r="BD531" s="5" t="s">
        <v>2463</v>
      </c>
    </row>
    <row r="532" spans="1:56" ht="48" hidden="1" x14ac:dyDescent="0.25">
      <c r="A532" s="78" t="s">
        <v>2186</v>
      </c>
      <c r="B532" s="5" t="s">
        <v>433</v>
      </c>
      <c r="C532" s="5" t="s">
        <v>3293</v>
      </c>
      <c r="D532" s="5" t="s">
        <v>56</v>
      </c>
      <c r="E532" s="99" t="str">
        <f>VLOOKUP(D532,'Dropdown List'!$F$26:$G$40,2,0)</f>
        <v>India</v>
      </c>
      <c r="F532" s="8" t="s">
        <v>2417</v>
      </c>
      <c r="G532" s="96">
        <v>3</v>
      </c>
      <c r="H532" s="5" t="s">
        <v>57</v>
      </c>
      <c r="I532" s="8" t="s">
        <v>71</v>
      </c>
      <c r="J532" s="8" t="s">
        <v>435</v>
      </c>
      <c r="K532" s="8" t="s">
        <v>293</v>
      </c>
      <c r="L532" s="8" t="s">
        <v>2471</v>
      </c>
      <c r="M532" s="8" t="s">
        <v>2472</v>
      </c>
      <c r="N532" s="5" t="s">
        <v>1034</v>
      </c>
      <c r="O532" s="5" t="s">
        <v>61</v>
      </c>
      <c r="P532" s="5" t="s">
        <v>1069</v>
      </c>
      <c r="Q532" s="9" t="s">
        <v>172</v>
      </c>
      <c r="R532" s="5" t="s">
        <v>76</v>
      </c>
      <c r="S532" s="5" t="s">
        <v>90</v>
      </c>
      <c r="T532" s="96">
        <v>1</v>
      </c>
      <c r="U532" s="96" t="s">
        <v>77</v>
      </c>
      <c r="V532" s="96" t="s">
        <v>77</v>
      </c>
      <c r="W532" s="5" t="s">
        <v>91</v>
      </c>
      <c r="X532" s="10" t="s">
        <v>79</v>
      </c>
      <c r="Y532" s="11">
        <v>26002.87</v>
      </c>
      <c r="Z532" s="12">
        <v>2</v>
      </c>
      <c r="AA532" s="12">
        <v>0.5</v>
      </c>
      <c r="AB532" s="12">
        <v>0.1</v>
      </c>
      <c r="AC532" s="13">
        <v>0.5</v>
      </c>
      <c r="AD532" s="14">
        <f t="shared" si="18"/>
        <v>3.1</v>
      </c>
      <c r="AE532" s="15">
        <f t="shared" si="19"/>
        <v>0.16129032258064516</v>
      </c>
      <c r="AF532" s="16">
        <v>650</v>
      </c>
      <c r="AG532" s="16">
        <v>650</v>
      </c>
      <c r="AH532" s="17" t="s">
        <v>2421</v>
      </c>
      <c r="AI532" s="18">
        <v>7.9</v>
      </c>
      <c r="AJ532" s="19">
        <v>0.96</v>
      </c>
      <c r="AK532" s="20">
        <v>0.98799999999999999</v>
      </c>
      <c r="AL532" s="17" t="s">
        <v>261</v>
      </c>
      <c r="AM532" s="5" t="s">
        <v>2422</v>
      </c>
      <c r="AN532" s="5" t="s">
        <v>66</v>
      </c>
      <c r="AO532" s="5" t="s">
        <v>2423</v>
      </c>
      <c r="AP532" s="5" t="s">
        <v>66</v>
      </c>
      <c r="AQ532" s="5" t="s">
        <v>66</v>
      </c>
      <c r="AR532" s="5" t="s">
        <v>66</v>
      </c>
      <c r="AS532" s="5" t="s">
        <v>66</v>
      </c>
      <c r="AT532" s="5" t="s">
        <v>66</v>
      </c>
      <c r="AU532" s="5" t="s">
        <v>66</v>
      </c>
      <c r="AV532" s="5" t="s">
        <v>66</v>
      </c>
      <c r="AW532" s="5" t="s">
        <v>66</v>
      </c>
      <c r="AX532" s="5" t="s">
        <v>2424</v>
      </c>
      <c r="AY532" s="5" t="s">
        <v>110</v>
      </c>
      <c r="AZ532" s="5" t="s">
        <v>145</v>
      </c>
      <c r="BA532" s="19">
        <v>1</v>
      </c>
      <c r="BB532" s="17" t="s">
        <v>2462</v>
      </c>
      <c r="BC532" s="5" t="s">
        <v>2428</v>
      </c>
      <c r="BD532" s="5" t="s">
        <v>2463</v>
      </c>
    </row>
    <row r="533" spans="1:56" ht="48" hidden="1" x14ac:dyDescent="0.25">
      <c r="A533" s="78" t="s">
        <v>2186</v>
      </c>
      <c r="B533" s="5" t="s">
        <v>433</v>
      </c>
      <c r="C533" s="5" t="s">
        <v>3293</v>
      </c>
      <c r="D533" s="5" t="s">
        <v>56</v>
      </c>
      <c r="E533" s="99" t="str">
        <f>VLOOKUP(D533,'Dropdown List'!$F$26:$G$40,2,0)</f>
        <v>India</v>
      </c>
      <c r="F533" s="8" t="s">
        <v>2417</v>
      </c>
      <c r="G533" s="96">
        <v>1</v>
      </c>
      <c r="H533" s="5" t="s">
        <v>57</v>
      </c>
      <c r="I533" s="8" t="s">
        <v>71</v>
      </c>
      <c r="J533" s="8" t="s">
        <v>112</v>
      </c>
      <c r="K533" s="8" t="s">
        <v>190</v>
      </c>
      <c r="L533" s="8" t="s">
        <v>2473</v>
      </c>
      <c r="M533" s="8" t="s">
        <v>2474</v>
      </c>
      <c r="N533" s="5" t="s">
        <v>1034</v>
      </c>
      <c r="O533" s="5" t="s">
        <v>61</v>
      </c>
      <c r="P533" s="5" t="s">
        <v>1069</v>
      </c>
      <c r="Q533" s="9" t="s">
        <v>172</v>
      </c>
      <c r="R533" s="5" t="s">
        <v>76</v>
      </c>
      <c r="S533" s="5" t="s">
        <v>90</v>
      </c>
      <c r="T533" s="96">
        <v>1</v>
      </c>
      <c r="U533" s="96" t="s">
        <v>77</v>
      </c>
      <c r="V533" s="96" t="s">
        <v>77</v>
      </c>
      <c r="W533" s="5" t="s">
        <v>91</v>
      </c>
      <c r="X533" s="10" t="s">
        <v>79</v>
      </c>
      <c r="Y533" s="11">
        <v>26002.87</v>
      </c>
      <c r="Z533" s="12">
        <v>2.34</v>
      </c>
      <c r="AA533" s="12">
        <v>1</v>
      </c>
      <c r="AB533" s="12">
        <v>0.2</v>
      </c>
      <c r="AC533" s="13">
        <v>0</v>
      </c>
      <c r="AD533" s="14">
        <f t="shared" si="18"/>
        <v>3.54</v>
      </c>
      <c r="AE533" s="15">
        <f t="shared" si="19"/>
        <v>0</v>
      </c>
      <c r="AF533" s="16">
        <v>1240</v>
      </c>
      <c r="AG533" s="16">
        <v>1240</v>
      </c>
      <c r="AH533" s="17" t="s">
        <v>2421</v>
      </c>
      <c r="AI533" s="18">
        <v>5.8</v>
      </c>
      <c r="AJ533" s="19">
        <v>0.96</v>
      </c>
      <c r="AK533" s="20">
        <v>0.98799999999999999</v>
      </c>
      <c r="AL533" s="17" t="s">
        <v>261</v>
      </c>
      <c r="AM533" s="5" t="s">
        <v>2422</v>
      </c>
      <c r="AN533" s="5" t="s">
        <v>66</v>
      </c>
      <c r="AO533" s="5" t="s">
        <v>2423</v>
      </c>
      <c r="AP533" s="5" t="s">
        <v>66</v>
      </c>
      <c r="AQ533" s="5" t="s">
        <v>66</v>
      </c>
      <c r="AR533" s="5" t="s">
        <v>66</v>
      </c>
      <c r="AS533" s="5" t="s">
        <v>66</v>
      </c>
      <c r="AT533" s="5" t="s">
        <v>66</v>
      </c>
      <c r="AU533" s="5" t="s">
        <v>66</v>
      </c>
      <c r="AV533" s="5" t="s">
        <v>66</v>
      </c>
      <c r="AW533" s="5" t="s">
        <v>66</v>
      </c>
      <c r="AX533" s="5" t="s">
        <v>2424</v>
      </c>
      <c r="AY533" s="5" t="s">
        <v>110</v>
      </c>
      <c r="AZ533" s="5" t="s">
        <v>145</v>
      </c>
      <c r="BA533" s="19">
        <v>1</v>
      </c>
      <c r="BB533" s="17" t="s">
        <v>2475</v>
      </c>
      <c r="BC533" s="5" t="s">
        <v>2428</v>
      </c>
      <c r="BD533" s="5" t="s">
        <v>2476</v>
      </c>
    </row>
    <row r="534" spans="1:56" ht="60" hidden="1" x14ac:dyDescent="0.25">
      <c r="A534" s="78" t="s">
        <v>2186</v>
      </c>
      <c r="B534" s="5" t="s">
        <v>433</v>
      </c>
      <c r="C534" s="5" t="s">
        <v>3293</v>
      </c>
      <c r="D534" s="5" t="s">
        <v>56</v>
      </c>
      <c r="E534" s="99" t="str">
        <f>VLOOKUP(D534,'Dropdown List'!$F$26:$G$40,2,0)</f>
        <v>India</v>
      </c>
      <c r="F534" s="8" t="s">
        <v>2417</v>
      </c>
      <c r="G534" s="96">
        <v>1</v>
      </c>
      <c r="H534" s="5" t="s">
        <v>57</v>
      </c>
      <c r="I534" s="8" t="s">
        <v>71</v>
      </c>
      <c r="J534" s="8" t="s">
        <v>292</v>
      </c>
      <c r="K534" s="8" t="s">
        <v>293</v>
      </c>
      <c r="L534" s="8" t="s">
        <v>2477</v>
      </c>
      <c r="M534" s="8" t="s">
        <v>2478</v>
      </c>
      <c r="N534" s="5" t="s">
        <v>1034</v>
      </c>
      <c r="O534" s="5" t="s">
        <v>61</v>
      </c>
      <c r="P534" s="5" t="s">
        <v>2479</v>
      </c>
      <c r="Q534" s="9" t="s">
        <v>172</v>
      </c>
      <c r="R534" s="5" t="s">
        <v>76</v>
      </c>
      <c r="S534" s="5" t="s">
        <v>90</v>
      </c>
      <c r="T534" s="96">
        <v>1</v>
      </c>
      <c r="U534" s="96" t="s">
        <v>77</v>
      </c>
      <c r="V534" s="96" t="s">
        <v>77</v>
      </c>
      <c r="W534" s="5" t="s">
        <v>91</v>
      </c>
      <c r="X534" s="10" t="s">
        <v>79</v>
      </c>
      <c r="Y534" s="11">
        <v>26002.87</v>
      </c>
      <c r="Z534" s="12">
        <v>0.1</v>
      </c>
      <c r="AA534" s="12">
        <v>0</v>
      </c>
      <c r="AB534" s="12">
        <v>0</v>
      </c>
      <c r="AC534" s="13">
        <v>0</v>
      </c>
      <c r="AD534" s="14">
        <f t="shared" si="18"/>
        <v>0.1</v>
      </c>
      <c r="AE534" s="15">
        <f t="shared" si="19"/>
        <v>0</v>
      </c>
      <c r="AF534" s="16">
        <v>2</v>
      </c>
      <c r="AG534" s="16">
        <v>2</v>
      </c>
      <c r="AH534" s="17" t="s">
        <v>2421</v>
      </c>
      <c r="AI534" s="18">
        <v>34.799999999999997</v>
      </c>
      <c r="AJ534" s="19">
        <v>0.96</v>
      </c>
      <c r="AK534" s="20">
        <v>0.98799999999999999</v>
      </c>
      <c r="AL534" s="17" t="s">
        <v>261</v>
      </c>
      <c r="AM534" s="5" t="s">
        <v>2422</v>
      </c>
      <c r="AN534" s="5" t="s">
        <v>66</v>
      </c>
      <c r="AO534" s="5" t="s">
        <v>2423</v>
      </c>
      <c r="AP534" s="5" t="s">
        <v>66</v>
      </c>
      <c r="AQ534" s="5" t="s">
        <v>66</v>
      </c>
      <c r="AR534" s="5" t="s">
        <v>66</v>
      </c>
      <c r="AS534" s="5" t="s">
        <v>66</v>
      </c>
      <c r="AT534" s="5" t="s">
        <v>66</v>
      </c>
      <c r="AU534" s="5" t="s">
        <v>66</v>
      </c>
      <c r="AV534" s="5" t="s">
        <v>66</v>
      </c>
      <c r="AW534" s="5" t="s">
        <v>66</v>
      </c>
      <c r="AX534" s="5" t="s">
        <v>2424</v>
      </c>
      <c r="AY534" s="5" t="s">
        <v>110</v>
      </c>
      <c r="AZ534" s="5" t="s">
        <v>145</v>
      </c>
      <c r="BA534" s="19">
        <v>1</v>
      </c>
      <c r="BB534" s="17" t="s">
        <v>2466</v>
      </c>
      <c r="BC534" s="5" t="s">
        <v>2428</v>
      </c>
      <c r="BD534" s="5" t="s">
        <v>2463</v>
      </c>
    </row>
    <row r="535" spans="1:56" ht="48" hidden="1" x14ac:dyDescent="0.25">
      <c r="A535" s="78" t="s">
        <v>2186</v>
      </c>
      <c r="B535" s="5" t="s">
        <v>433</v>
      </c>
      <c r="C535" s="5" t="s">
        <v>3293</v>
      </c>
      <c r="D535" s="5" t="s">
        <v>56</v>
      </c>
      <c r="E535" s="99" t="str">
        <f>VLOOKUP(D535,'Dropdown List'!$F$26:$G$40,2,0)</f>
        <v>India</v>
      </c>
      <c r="F535" s="8" t="s">
        <v>2417</v>
      </c>
      <c r="G535" s="96">
        <v>2</v>
      </c>
      <c r="H535" s="5" t="s">
        <v>85</v>
      </c>
      <c r="I535" s="8" t="s">
        <v>71</v>
      </c>
      <c r="J535" s="8" t="s">
        <v>112</v>
      </c>
      <c r="K535" s="8" t="s">
        <v>113</v>
      </c>
      <c r="L535" s="8" t="s">
        <v>2480</v>
      </c>
      <c r="M535" s="8" t="s">
        <v>2481</v>
      </c>
      <c r="N535" s="5" t="s">
        <v>1034</v>
      </c>
      <c r="O535" s="5" t="s">
        <v>61</v>
      </c>
      <c r="P535" s="5" t="s">
        <v>2456</v>
      </c>
      <c r="Q535" s="9" t="s">
        <v>75</v>
      </c>
      <c r="R535" s="5" t="s">
        <v>76</v>
      </c>
      <c r="S535" s="5" t="s">
        <v>90</v>
      </c>
      <c r="T535" s="96">
        <v>1</v>
      </c>
      <c r="U535" s="96" t="s">
        <v>77</v>
      </c>
      <c r="V535" s="96" t="s">
        <v>77</v>
      </c>
      <c r="W535" s="5" t="s">
        <v>91</v>
      </c>
      <c r="X535" s="10" t="s">
        <v>79</v>
      </c>
      <c r="Y535" s="11">
        <v>26002.87</v>
      </c>
      <c r="Z535" s="12">
        <v>0.01</v>
      </c>
      <c r="AA535" s="12">
        <v>0</v>
      </c>
      <c r="AB535" s="12">
        <v>0</v>
      </c>
      <c r="AC535" s="13">
        <v>0</v>
      </c>
      <c r="AD535" s="14">
        <f t="shared" si="18"/>
        <v>0.01</v>
      </c>
      <c r="AE535" s="15">
        <f t="shared" si="19"/>
        <v>0</v>
      </c>
      <c r="AF535" s="16">
        <v>1</v>
      </c>
      <c r="AG535" s="16">
        <v>1</v>
      </c>
      <c r="AH535" s="17" t="s">
        <v>2421</v>
      </c>
      <c r="AI535" s="18">
        <v>5</v>
      </c>
      <c r="AJ535" s="19">
        <v>0.96</v>
      </c>
      <c r="AK535" s="20">
        <v>0.98499999999999999</v>
      </c>
      <c r="AL535" s="17" t="s">
        <v>261</v>
      </c>
      <c r="AM535" s="5" t="s">
        <v>2422</v>
      </c>
      <c r="AN535" s="5" t="s">
        <v>66</v>
      </c>
      <c r="AO535" s="5" t="s">
        <v>2423</v>
      </c>
      <c r="AP535" s="5" t="s">
        <v>66</v>
      </c>
      <c r="AQ535" s="5" t="s">
        <v>66</v>
      </c>
      <c r="AR535" s="5" t="s">
        <v>66</v>
      </c>
      <c r="AS535" s="5" t="s">
        <v>66</v>
      </c>
      <c r="AT535" s="5" t="s">
        <v>66</v>
      </c>
      <c r="AU535" s="5" t="s">
        <v>66</v>
      </c>
      <c r="AV535" s="5" t="s">
        <v>66</v>
      </c>
      <c r="AW535" s="5" t="s">
        <v>66</v>
      </c>
      <c r="AX535" s="5" t="s">
        <v>2424</v>
      </c>
      <c r="AY535" s="5" t="s">
        <v>353</v>
      </c>
      <c r="AZ535" s="5" t="s">
        <v>80</v>
      </c>
      <c r="BA535" s="19">
        <v>1</v>
      </c>
      <c r="BB535" s="17" t="s">
        <v>2482</v>
      </c>
      <c r="BC535" s="5" t="s">
        <v>2428</v>
      </c>
      <c r="BD535" s="5" t="s">
        <v>2483</v>
      </c>
    </row>
    <row r="536" spans="1:56" ht="48" hidden="1" x14ac:dyDescent="0.25">
      <c r="A536" s="78" t="s">
        <v>2186</v>
      </c>
      <c r="B536" s="5" t="s">
        <v>433</v>
      </c>
      <c r="C536" s="5" t="s">
        <v>3293</v>
      </c>
      <c r="D536" s="5" t="s">
        <v>56</v>
      </c>
      <c r="E536" s="99" t="str">
        <f>VLOOKUP(D536,'Dropdown List'!$F$26:$G$40,2,0)</f>
        <v>India</v>
      </c>
      <c r="F536" s="8" t="s">
        <v>2417</v>
      </c>
      <c r="G536" s="96">
        <v>2</v>
      </c>
      <c r="H536" s="5" t="s">
        <v>85</v>
      </c>
      <c r="I536" s="8" t="s">
        <v>71</v>
      </c>
      <c r="J536" s="8" t="s">
        <v>112</v>
      </c>
      <c r="K536" s="8" t="s">
        <v>113</v>
      </c>
      <c r="L536" s="8" t="s">
        <v>2484</v>
      </c>
      <c r="M536" s="8" t="s">
        <v>2485</v>
      </c>
      <c r="N536" s="5" t="s">
        <v>1034</v>
      </c>
      <c r="O536" s="5" t="s">
        <v>61</v>
      </c>
      <c r="P536" s="5" t="s">
        <v>2456</v>
      </c>
      <c r="Q536" s="9" t="s">
        <v>75</v>
      </c>
      <c r="R536" s="5" t="s">
        <v>76</v>
      </c>
      <c r="S536" s="5" t="s">
        <v>90</v>
      </c>
      <c r="T536" s="96">
        <v>1</v>
      </c>
      <c r="U536" s="96" t="s">
        <v>77</v>
      </c>
      <c r="V536" s="96" t="s">
        <v>77</v>
      </c>
      <c r="W536" s="5" t="s">
        <v>91</v>
      </c>
      <c r="X536" s="10" t="s">
        <v>79</v>
      </c>
      <c r="Y536" s="11">
        <v>26002.87</v>
      </c>
      <c r="Z536" s="12">
        <v>0.01</v>
      </c>
      <c r="AA536" s="12">
        <v>0</v>
      </c>
      <c r="AB536" s="12">
        <v>0</v>
      </c>
      <c r="AC536" s="13">
        <v>0</v>
      </c>
      <c r="AD536" s="14">
        <f t="shared" si="18"/>
        <v>0.01</v>
      </c>
      <c r="AE536" s="15">
        <f t="shared" si="19"/>
        <v>0</v>
      </c>
      <c r="AF536" s="16">
        <v>6</v>
      </c>
      <c r="AG536" s="16">
        <v>6</v>
      </c>
      <c r="AH536" s="17" t="s">
        <v>2421</v>
      </c>
      <c r="AI536" s="18">
        <v>5</v>
      </c>
      <c r="AJ536" s="19">
        <v>0.96</v>
      </c>
      <c r="AK536" s="20">
        <v>0.98499999999999999</v>
      </c>
      <c r="AL536" s="17" t="s">
        <v>261</v>
      </c>
      <c r="AM536" s="5" t="s">
        <v>2422</v>
      </c>
      <c r="AN536" s="5" t="s">
        <v>66</v>
      </c>
      <c r="AO536" s="5" t="s">
        <v>2423</v>
      </c>
      <c r="AP536" s="5" t="s">
        <v>66</v>
      </c>
      <c r="AQ536" s="5" t="s">
        <v>66</v>
      </c>
      <c r="AR536" s="5" t="s">
        <v>66</v>
      </c>
      <c r="AS536" s="5" t="s">
        <v>66</v>
      </c>
      <c r="AT536" s="5" t="s">
        <v>66</v>
      </c>
      <c r="AU536" s="5" t="s">
        <v>66</v>
      </c>
      <c r="AV536" s="5" t="s">
        <v>66</v>
      </c>
      <c r="AW536" s="5" t="s">
        <v>66</v>
      </c>
      <c r="AX536" s="5" t="s">
        <v>2424</v>
      </c>
      <c r="AY536" s="5" t="s">
        <v>353</v>
      </c>
      <c r="AZ536" s="5" t="s">
        <v>80</v>
      </c>
      <c r="BA536" s="19">
        <v>1</v>
      </c>
      <c r="BB536" s="17" t="s">
        <v>2486</v>
      </c>
      <c r="BC536" s="5" t="s">
        <v>2428</v>
      </c>
      <c r="BD536" s="5" t="s">
        <v>2483</v>
      </c>
    </row>
    <row r="537" spans="1:56" ht="84" hidden="1" x14ac:dyDescent="0.25">
      <c r="A537" s="78" t="s">
        <v>2186</v>
      </c>
      <c r="B537" s="5" t="s">
        <v>433</v>
      </c>
      <c r="C537" s="5" t="s">
        <v>3293</v>
      </c>
      <c r="D537" s="5" t="s">
        <v>56</v>
      </c>
      <c r="E537" s="99" t="str">
        <f>VLOOKUP(D537,'Dropdown List'!$F$26:$G$40,2,0)</f>
        <v>India</v>
      </c>
      <c r="F537" s="8" t="s">
        <v>2417</v>
      </c>
      <c r="G537" s="96">
        <v>6</v>
      </c>
      <c r="H537" s="5" t="s">
        <v>85</v>
      </c>
      <c r="I537" s="8" t="s">
        <v>71</v>
      </c>
      <c r="J537" s="8" t="s">
        <v>2702</v>
      </c>
      <c r="K537" s="8" t="s">
        <v>376</v>
      </c>
      <c r="L537" s="8" t="s">
        <v>2487</v>
      </c>
      <c r="M537" s="8" t="s">
        <v>2488</v>
      </c>
      <c r="N537" s="5" t="s">
        <v>1034</v>
      </c>
      <c r="O537" s="5" t="s">
        <v>61</v>
      </c>
      <c r="P537" s="5" t="s">
        <v>2439</v>
      </c>
      <c r="Q537" s="9" t="s">
        <v>418</v>
      </c>
      <c r="R537" s="5" t="s">
        <v>76</v>
      </c>
      <c r="S537" s="5" t="s">
        <v>90</v>
      </c>
      <c r="T537" s="96">
        <v>1</v>
      </c>
      <c r="U537" s="96" t="s">
        <v>77</v>
      </c>
      <c r="V537" s="96" t="s">
        <v>77</v>
      </c>
      <c r="W537" s="5" t="s">
        <v>91</v>
      </c>
      <c r="X537" s="10" t="s">
        <v>79</v>
      </c>
      <c r="Y537" s="11">
        <v>26002.87</v>
      </c>
      <c r="Z537" s="12">
        <v>1</v>
      </c>
      <c r="AA537" s="12">
        <v>0</v>
      </c>
      <c r="AB537" s="12">
        <v>0</v>
      </c>
      <c r="AC537" s="13">
        <v>0</v>
      </c>
      <c r="AD537" s="14">
        <f t="shared" si="18"/>
        <v>1</v>
      </c>
      <c r="AE537" s="15">
        <f t="shared" si="19"/>
        <v>0</v>
      </c>
      <c r="AF537" s="16">
        <v>150</v>
      </c>
      <c r="AG537" s="16">
        <v>150</v>
      </c>
      <c r="AH537" s="17" t="s">
        <v>2421</v>
      </c>
      <c r="AI537" s="18">
        <v>52.7</v>
      </c>
      <c r="AJ537" s="19">
        <v>0.96</v>
      </c>
      <c r="AK537" s="20">
        <v>0.98499999999999999</v>
      </c>
      <c r="AL537" s="17" t="s">
        <v>261</v>
      </c>
      <c r="AM537" s="5" t="s">
        <v>2422</v>
      </c>
      <c r="AN537" s="5" t="s">
        <v>66</v>
      </c>
      <c r="AO537" s="5" t="s">
        <v>2423</v>
      </c>
      <c r="AP537" s="5" t="s">
        <v>66</v>
      </c>
      <c r="AQ537" s="5" t="s">
        <v>66</v>
      </c>
      <c r="AR537" s="5" t="s">
        <v>66</v>
      </c>
      <c r="AS537" s="5" t="s">
        <v>66</v>
      </c>
      <c r="AT537" s="5" t="s">
        <v>66</v>
      </c>
      <c r="AU537" s="5" t="s">
        <v>66</v>
      </c>
      <c r="AV537" s="5" t="s">
        <v>66</v>
      </c>
      <c r="AW537" s="5" t="s">
        <v>66</v>
      </c>
      <c r="AX537" s="5" t="s">
        <v>2489</v>
      </c>
      <c r="AY537" s="5" t="s">
        <v>110</v>
      </c>
      <c r="AZ537" s="5" t="s">
        <v>145</v>
      </c>
      <c r="BA537" s="19">
        <v>1</v>
      </c>
      <c r="BB537" s="17" t="s">
        <v>2490</v>
      </c>
      <c r="BC537" s="5" t="s">
        <v>2428</v>
      </c>
      <c r="BD537" s="5" t="s">
        <v>2491</v>
      </c>
    </row>
    <row r="538" spans="1:56" ht="60" hidden="1" x14ac:dyDescent="0.25">
      <c r="A538" s="78" t="s">
        <v>2186</v>
      </c>
      <c r="B538" s="5" t="s">
        <v>433</v>
      </c>
      <c r="C538" s="5" t="s">
        <v>3293</v>
      </c>
      <c r="D538" s="5" t="s">
        <v>56</v>
      </c>
      <c r="E538" s="99" t="str">
        <f>VLOOKUP(D538,'Dropdown List'!$F$26:$G$40,2,0)</f>
        <v>India</v>
      </c>
      <c r="F538" s="8" t="s">
        <v>2417</v>
      </c>
      <c r="G538" s="96">
        <v>6</v>
      </c>
      <c r="H538" s="5" t="s">
        <v>85</v>
      </c>
      <c r="I538" s="8" t="s">
        <v>71</v>
      </c>
      <c r="J538" s="8" t="s">
        <v>435</v>
      </c>
      <c r="K538" s="8" t="s">
        <v>2418</v>
      </c>
      <c r="L538" s="8" t="s">
        <v>2492</v>
      </c>
      <c r="M538" s="8" t="s">
        <v>2493</v>
      </c>
      <c r="N538" s="5" t="s">
        <v>1034</v>
      </c>
      <c r="O538" s="5" t="s">
        <v>61</v>
      </c>
      <c r="P538" s="5" t="s">
        <v>2439</v>
      </c>
      <c r="Q538" s="9" t="s">
        <v>418</v>
      </c>
      <c r="R538" s="5" t="s">
        <v>76</v>
      </c>
      <c r="S538" s="5" t="s">
        <v>90</v>
      </c>
      <c r="T538" s="96">
        <v>1</v>
      </c>
      <c r="U538" s="96" t="s">
        <v>77</v>
      </c>
      <c r="V538" s="96" t="s">
        <v>77</v>
      </c>
      <c r="W538" s="5" t="s">
        <v>91</v>
      </c>
      <c r="X538" s="10" t="s">
        <v>79</v>
      </c>
      <c r="Y538" s="11">
        <v>26002.87</v>
      </c>
      <c r="Z538" s="12">
        <v>0.3</v>
      </c>
      <c r="AA538" s="12">
        <v>0</v>
      </c>
      <c r="AB538" s="12">
        <v>0</v>
      </c>
      <c r="AC538" s="13">
        <v>0</v>
      </c>
      <c r="AD538" s="14">
        <f t="shared" si="18"/>
        <v>0.3</v>
      </c>
      <c r="AE538" s="15">
        <f t="shared" si="19"/>
        <v>0</v>
      </c>
      <c r="AF538" s="16">
        <v>141</v>
      </c>
      <c r="AG538" s="16">
        <v>141</v>
      </c>
      <c r="AH538" s="17" t="s">
        <v>2421</v>
      </c>
      <c r="AI538" s="18">
        <v>10</v>
      </c>
      <c r="AJ538" s="19">
        <v>0.96</v>
      </c>
      <c r="AK538" s="20">
        <v>0.98499999999999999</v>
      </c>
      <c r="AL538" s="17" t="s">
        <v>261</v>
      </c>
      <c r="AM538" s="5" t="s">
        <v>2422</v>
      </c>
      <c r="AN538" s="5" t="s">
        <v>66</v>
      </c>
      <c r="AO538" s="5" t="s">
        <v>2423</v>
      </c>
      <c r="AP538" s="5" t="s">
        <v>66</v>
      </c>
      <c r="AQ538" s="5" t="s">
        <v>66</v>
      </c>
      <c r="AR538" s="5" t="s">
        <v>66</v>
      </c>
      <c r="AS538" s="5" t="s">
        <v>66</v>
      </c>
      <c r="AT538" s="5" t="s">
        <v>66</v>
      </c>
      <c r="AU538" s="5" t="s">
        <v>66</v>
      </c>
      <c r="AV538" s="5" t="s">
        <v>66</v>
      </c>
      <c r="AW538" s="5" t="s">
        <v>66</v>
      </c>
      <c r="AX538" s="5" t="s">
        <v>2424</v>
      </c>
      <c r="AY538" s="5" t="s">
        <v>110</v>
      </c>
      <c r="AZ538" s="5" t="s">
        <v>145</v>
      </c>
      <c r="BA538" s="19">
        <v>1</v>
      </c>
      <c r="BB538" s="17" t="s">
        <v>2466</v>
      </c>
      <c r="BC538" s="5" t="s">
        <v>2428</v>
      </c>
      <c r="BD538" s="5" t="s">
        <v>2494</v>
      </c>
    </row>
    <row r="539" spans="1:56" ht="48" hidden="1" x14ac:dyDescent="0.25">
      <c r="A539" s="78" t="s">
        <v>2186</v>
      </c>
      <c r="B539" s="5" t="s">
        <v>433</v>
      </c>
      <c r="C539" s="5" t="s">
        <v>3293</v>
      </c>
      <c r="D539" s="5" t="s">
        <v>56</v>
      </c>
      <c r="E539" s="99" t="str">
        <f>VLOOKUP(D539,'Dropdown List'!$F$26:$G$40,2,0)</f>
        <v>India</v>
      </c>
      <c r="F539" s="8" t="s">
        <v>2417</v>
      </c>
      <c r="G539" s="96">
        <v>7</v>
      </c>
      <c r="H539" s="5" t="s">
        <v>57</v>
      </c>
      <c r="I539" s="8" t="s">
        <v>71</v>
      </c>
      <c r="J539" s="8" t="s">
        <v>2702</v>
      </c>
      <c r="K539" s="8" t="s">
        <v>1956</v>
      </c>
      <c r="L539" s="8" t="s">
        <v>2495</v>
      </c>
      <c r="M539" s="8" t="s">
        <v>2496</v>
      </c>
      <c r="N539" s="5" t="s">
        <v>1034</v>
      </c>
      <c r="O539" s="5" t="s">
        <v>61</v>
      </c>
      <c r="P539" s="5" t="s">
        <v>75</v>
      </c>
      <c r="Q539" s="9" t="s">
        <v>75</v>
      </c>
      <c r="R539" s="5" t="s">
        <v>76</v>
      </c>
      <c r="S539" s="5" t="s">
        <v>90</v>
      </c>
      <c r="T539" s="96">
        <v>1</v>
      </c>
      <c r="U539" s="96" t="s">
        <v>77</v>
      </c>
      <c r="V539" s="96" t="s">
        <v>77</v>
      </c>
      <c r="W539" s="5" t="s">
        <v>91</v>
      </c>
      <c r="X539" s="10" t="s">
        <v>79</v>
      </c>
      <c r="Y539" s="11">
        <v>26002.87</v>
      </c>
      <c r="Z539" s="12">
        <v>2.4</v>
      </c>
      <c r="AA539" s="12">
        <v>0.5</v>
      </c>
      <c r="AB539" s="12">
        <v>0</v>
      </c>
      <c r="AC539" s="13">
        <v>0</v>
      </c>
      <c r="AD539" s="14">
        <f t="shared" si="18"/>
        <v>2.9</v>
      </c>
      <c r="AE539" s="15">
        <f t="shared" si="19"/>
        <v>0</v>
      </c>
      <c r="AF539" s="16">
        <v>1100</v>
      </c>
      <c r="AG539" s="16">
        <v>1100</v>
      </c>
      <c r="AH539" s="17" t="s">
        <v>2421</v>
      </c>
      <c r="AI539" s="18">
        <v>3</v>
      </c>
      <c r="AJ539" s="19">
        <v>0.9708</v>
      </c>
      <c r="AK539" s="20">
        <v>0.98499999999999999</v>
      </c>
      <c r="AL539" s="17" t="s">
        <v>261</v>
      </c>
      <c r="AM539" s="5" t="s">
        <v>2422</v>
      </c>
      <c r="AN539" s="5" t="s">
        <v>66</v>
      </c>
      <c r="AO539" s="5" t="s">
        <v>2423</v>
      </c>
      <c r="AP539" s="5" t="s">
        <v>66</v>
      </c>
      <c r="AQ539" s="5" t="s">
        <v>66</v>
      </c>
      <c r="AR539" s="5" t="s">
        <v>66</v>
      </c>
      <c r="AS539" s="5" t="s">
        <v>66</v>
      </c>
      <c r="AT539" s="5" t="s">
        <v>66</v>
      </c>
      <c r="AU539" s="5" t="s">
        <v>66</v>
      </c>
      <c r="AV539" s="5" t="s">
        <v>66</v>
      </c>
      <c r="AW539" s="5" t="s">
        <v>66</v>
      </c>
      <c r="AX539" s="5" t="s">
        <v>2424</v>
      </c>
      <c r="AY539" s="5" t="s">
        <v>353</v>
      </c>
      <c r="AZ539" s="5" t="s">
        <v>80</v>
      </c>
      <c r="BA539" s="19">
        <v>1</v>
      </c>
      <c r="BB539" s="17" t="s">
        <v>2497</v>
      </c>
      <c r="BC539" s="5" t="s">
        <v>2428</v>
      </c>
      <c r="BD539" s="5" t="s">
        <v>2498</v>
      </c>
    </row>
    <row r="540" spans="1:56" ht="48" hidden="1" x14ac:dyDescent="0.25">
      <c r="A540" s="78" t="s">
        <v>2186</v>
      </c>
      <c r="B540" s="5" t="s">
        <v>433</v>
      </c>
      <c r="C540" s="5" t="s">
        <v>3293</v>
      </c>
      <c r="D540" s="5" t="s">
        <v>56</v>
      </c>
      <c r="E540" s="99" t="str">
        <f>VLOOKUP(D540,'Dropdown List'!$F$26:$G$40,2,0)</f>
        <v>India</v>
      </c>
      <c r="F540" s="8" t="s">
        <v>2417</v>
      </c>
      <c r="G540" s="96">
        <v>7</v>
      </c>
      <c r="H540" s="5" t="s">
        <v>57</v>
      </c>
      <c r="I540" s="8" t="s">
        <v>71</v>
      </c>
      <c r="J540" s="8" t="s">
        <v>112</v>
      </c>
      <c r="K540" s="8" t="s">
        <v>190</v>
      </c>
      <c r="L540" s="8" t="s">
        <v>2499</v>
      </c>
      <c r="M540" s="8" t="s">
        <v>2430</v>
      </c>
      <c r="N540" s="5" t="s">
        <v>1034</v>
      </c>
      <c r="O540" s="5" t="s">
        <v>61</v>
      </c>
      <c r="P540" s="5" t="s">
        <v>75</v>
      </c>
      <c r="Q540" s="9" t="s">
        <v>75</v>
      </c>
      <c r="R540" s="5" t="s">
        <v>76</v>
      </c>
      <c r="S540" s="5" t="s">
        <v>90</v>
      </c>
      <c r="T540" s="96">
        <v>1</v>
      </c>
      <c r="U540" s="96" t="s">
        <v>77</v>
      </c>
      <c r="V540" s="96" t="s">
        <v>77</v>
      </c>
      <c r="W540" s="5" t="s">
        <v>91</v>
      </c>
      <c r="X540" s="10" t="s">
        <v>79</v>
      </c>
      <c r="Y540" s="11">
        <v>26002.87</v>
      </c>
      <c r="Z540" s="12">
        <v>1.5</v>
      </c>
      <c r="AA540" s="12">
        <v>0.5</v>
      </c>
      <c r="AB540" s="12">
        <v>0</v>
      </c>
      <c r="AC540" s="13">
        <v>0</v>
      </c>
      <c r="AD540" s="14">
        <f t="shared" si="18"/>
        <v>2</v>
      </c>
      <c r="AE540" s="15">
        <f t="shared" si="19"/>
        <v>0</v>
      </c>
      <c r="AF540" s="16">
        <v>200</v>
      </c>
      <c r="AG540" s="16">
        <v>200</v>
      </c>
      <c r="AH540" s="17" t="s">
        <v>2421</v>
      </c>
      <c r="AI540" s="18">
        <v>17.5</v>
      </c>
      <c r="AJ540" s="19">
        <v>0.9708</v>
      </c>
      <c r="AK540" s="20">
        <v>0.98499999999999999</v>
      </c>
      <c r="AL540" s="17" t="s">
        <v>261</v>
      </c>
      <c r="AM540" s="5" t="s">
        <v>2422</v>
      </c>
      <c r="AN540" s="5" t="s">
        <v>66</v>
      </c>
      <c r="AO540" s="5" t="s">
        <v>2423</v>
      </c>
      <c r="AP540" s="5" t="s">
        <v>66</v>
      </c>
      <c r="AQ540" s="5" t="s">
        <v>66</v>
      </c>
      <c r="AR540" s="5" t="s">
        <v>66</v>
      </c>
      <c r="AS540" s="5" t="s">
        <v>66</v>
      </c>
      <c r="AT540" s="5" t="s">
        <v>66</v>
      </c>
      <c r="AU540" s="5" t="s">
        <v>66</v>
      </c>
      <c r="AV540" s="5" t="s">
        <v>66</v>
      </c>
      <c r="AW540" s="5" t="s">
        <v>66</v>
      </c>
      <c r="AX540" s="5" t="s">
        <v>2424</v>
      </c>
      <c r="AY540" s="5" t="s">
        <v>353</v>
      </c>
      <c r="AZ540" s="5" t="s">
        <v>145</v>
      </c>
      <c r="BA540" s="19" t="s">
        <v>2426</v>
      </c>
      <c r="BB540" s="17" t="s">
        <v>2500</v>
      </c>
      <c r="BC540" s="5" t="s">
        <v>2428</v>
      </c>
      <c r="BD540" s="5" t="s">
        <v>2501</v>
      </c>
    </row>
    <row r="541" spans="1:56" ht="48" hidden="1" x14ac:dyDescent="0.25">
      <c r="A541" s="78" t="s">
        <v>2186</v>
      </c>
      <c r="B541" s="5" t="s">
        <v>433</v>
      </c>
      <c r="C541" s="5" t="s">
        <v>3293</v>
      </c>
      <c r="D541" s="5" t="s">
        <v>56</v>
      </c>
      <c r="E541" s="99" t="str">
        <f>VLOOKUP(D541,'Dropdown List'!$F$26:$G$40,2,0)</f>
        <v>India</v>
      </c>
      <c r="F541" s="8" t="s">
        <v>2417</v>
      </c>
      <c r="G541" s="96">
        <v>7</v>
      </c>
      <c r="H541" s="5" t="s">
        <v>57</v>
      </c>
      <c r="I541" s="8" t="s">
        <v>71</v>
      </c>
      <c r="J541" s="8" t="s">
        <v>435</v>
      </c>
      <c r="K541" s="8" t="s">
        <v>2435</v>
      </c>
      <c r="L541" s="8" t="s">
        <v>2435</v>
      </c>
      <c r="M541" s="8" t="s">
        <v>2502</v>
      </c>
      <c r="N541" s="5" t="s">
        <v>1034</v>
      </c>
      <c r="O541" s="5" t="s">
        <v>61</v>
      </c>
      <c r="P541" s="5" t="s">
        <v>75</v>
      </c>
      <c r="Q541" s="9" t="s">
        <v>75</v>
      </c>
      <c r="R541" s="5" t="s">
        <v>76</v>
      </c>
      <c r="S541" s="5" t="s">
        <v>90</v>
      </c>
      <c r="T541" s="96">
        <v>1</v>
      </c>
      <c r="U541" s="96" t="s">
        <v>77</v>
      </c>
      <c r="V541" s="96" t="s">
        <v>77</v>
      </c>
      <c r="W541" s="5" t="s">
        <v>91</v>
      </c>
      <c r="X541" s="10" t="s">
        <v>79</v>
      </c>
      <c r="Y541" s="11">
        <v>26002.87</v>
      </c>
      <c r="Z541" s="12">
        <v>0.1</v>
      </c>
      <c r="AA541" s="12">
        <v>0</v>
      </c>
      <c r="AB541" s="12">
        <v>0</v>
      </c>
      <c r="AC541" s="13">
        <v>0</v>
      </c>
      <c r="AD541" s="14">
        <f t="shared" si="18"/>
        <v>0.1</v>
      </c>
      <c r="AE541" s="15">
        <f t="shared" si="19"/>
        <v>0</v>
      </c>
      <c r="AF541" s="16">
        <v>4</v>
      </c>
      <c r="AG541" s="16">
        <v>4</v>
      </c>
      <c r="AH541" s="17" t="s">
        <v>2421</v>
      </c>
      <c r="AI541" s="18">
        <v>3</v>
      </c>
      <c r="AJ541" s="19">
        <v>0.9708</v>
      </c>
      <c r="AK541" s="20">
        <v>0.98499999999999999</v>
      </c>
      <c r="AL541" s="17" t="s">
        <v>261</v>
      </c>
      <c r="AM541" s="5" t="s">
        <v>2422</v>
      </c>
      <c r="AN541" s="5" t="s">
        <v>66</v>
      </c>
      <c r="AO541" s="5" t="s">
        <v>2423</v>
      </c>
      <c r="AP541" s="5" t="s">
        <v>66</v>
      </c>
      <c r="AQ541" s="5" t="s">
        <v>66</v>
      </c>
      <c r="AR541" s="5" t="s">
        <v>66</v>
      </c>
      <c r="AS541" s="5" t="s">
        <v>66</v>
      </c>
      <c r="AT541" s="5" t="s">
        <v>66</v>
      </c>
      <c r="AU541" s="5" t="s">
        <v>66</v>
      </c>
      <c r="AV541" s="5" t="s">
        <v>66</v>
      </c>
      <c r="AW541" s="5" t="s">
        <v>66</v>
      </c>
      <c r="AX541" s="5" t="s">
        <v>2424</v>
      </c>
      <c r="AY541" s="5" t="s">
        <v>353</v>
      </c>
      <c r="AZ541" s="5" t="s">
        <v>80</v>
      </c>
      <c r="BA541" s="19">
        <v>1</v>
      </c>
      <c r="BB541" s="17" t="s">
        <v>2503</v>
      </c>
      <c r="BC541" s="5" t="s">
        <v>2428</v>
      </c>
      <c r="BD541" s="5" t="s">
        <v>2504</v>
      </c>
    </row>
    <row r="542" spans="1:56" ht="48" hidden="1" x14ac:dyDescent="0.25">
      <c r="A542" s="78" t="s">
        <v>2186</v>
      </c>
      <c r="B542" s="5" t="s">
        <v>433</v>
      </c>
      <c r="C542" s="5" t="s">
        <v>3293</v>
      </c>
      <c r="D542" s="5" t="s">
        <v>56</v>
      </c>
      <c r="E542" s="99" t="str">
        <f>VLOOKUP(D542,'Dropdown List'!$F$26:$G$40,2,0)</f>
        <v>India</v>
      </c>
      <c r="F542" s="8" t="s">
        <v>2417</v>
      </c>
      <c r="G542" s="96">
        <v>7</v>
      </c>
      <c r="H542" s="5" t="s">
        <v>57</v>
      </c>
      <c r="I542" s="8" t="s">
        <v>71</v>
      </c>
      <c r="J542" s="8" t="s">
        <v>167</v>
      </c>
      <c r="K542" s="8" t="s">
        <v>2467</v>
      </c>
      <c r="L542" s="8" t="s">
        <v>2505</v>
      </c>
      <c r="M542" s="8" t="s">
        <v>2506</v>
      </c>
      <c r="N542" s="5" t="s">
        <v>1034</v>
      </c>
      <c r="O542" s="5" t="s">
        <v>61</v>
      </c>
      <c r="P542" s="5" t="s">
        <v>75</v>
      </c>
      <c r="Q542" s="9" t="s">
        <v>75</v>
      </c>
      <c r="R542" s="5" t="s">
        <v>76</v>
      </c>
      <c r="S542" s="5" t="s">
        <v>90</v>
      </c>
      <c r="T542" s="96">
        <v>1</v>
      </c>
      <c r="U542" s="96" t="s">
        <v>77</v>
      </c>
      <c r="V542" s="96" t="s">
        <v>77</v>
      </c>
      <c r="W542" s="5" t="s">
        <v>91</v>
      </c>
      <c r="X542" s="10" t="s">
        <v>79</v>
      </c>
      <c r="Y542" s="11">
        <v>26002.87</v>
      </c>
      <c r="Z542" s="12">
        <v>1</v>
      </c>
      <c r="AA542" s="12">
        <v>0.5</v>
      </c>
      <c r="AB542" s="12">
        <v>0</v>
      </c>
      <c r="AC542" s="13">
        <v>0</v>
      </c>
      <c r="AD542" s="14">
        <f t="shared" si="18"/>
        <v>1.5</v>
      </c>
      <c r="AE542" s="15">
        <f t="shared" si="19"/>
        <v>0</v>
      </c>
      <c r="AF542" s="16">
        <v>1800</v>
      </c>
      <c r="AG542" s="16">
        <v>1800</v>
      </c>
      <c r="AH542" s="17" t="s">
        <v>2421</v>
      </c>
      <c r="AI542" s="18">
        <v>3.5</v>
      </c>
      <c r="AJ542" s="19">
        <v>0.95499999999999996</v>
      </c>
      <c r="AK542" s="20">
        <v>0.98499999999999999</v>
      </c>
      <c r="AL542" s="17" t="s">
        <v>261</v>
      </c>
      <c r="AM542" s="5" t="s">
        <v>2422</v>
      </c>
      <c r="AN542" s="5" t="s">
        <v>66</v>
      </c>
      <c r="AO542" s="5" t="s">
        <v>2423</v>
      </c>
      <c r="AP542" s="5" t="s">
        <v>66</v>
      </c>
      <c r="AQ542" s="5" t="s">
        <v>66</v>
      </c>
      <c r="AR542" s="5" t="s">
        <v>66</v>
      </c>
      <c r="AS542" s="5" t="s">
        <v>66</v>
      </c>
      <c r="AT542" s="5" t="s">
        <v>66</v>
      </c>
      <c r="AU542" s="5" t="s">
        <v>66</v>
      </c>
      <c r="AV542" s="5" t="s">
        <v>66</v>
      </c>
      <c r="AW542" s="5" t="s">
        <v>66</v>
      </c>
      <c r="AX542" s="5" t="s">
        <v>2424</v>
      </c>
      <c r="AY542" s="5" t="s">
        <v>353</v>
      </c>
      <c r="AZ542" s="5" t="s">
        <v>80</v>
      </c>
      <c r="BA542" s="19">
        <v>1</v>
      </c>
      <c r="BB542" s="17" t="s">
        <v>2507</v>
      </c>
      <c r="BC542" s="5" t="s">
        <v>2428</v>
      </c>
      <c r="BD542" s="5" t="s">
        <v>2429</v>
      </c>
    </row>
    <row r="543" spans="1:56" ht="48" hidden="1" x14ac:dyDescent="0.25">
      <c r="A543" s="78" t="s">
        <v>2186</v>
      </c>
      <c r="B543" s="5" t="s">
        <v>433</v>
      </c>
      <c r="C543" s="5" t="s">
        <v>3293</v>
      </c>
      <c r="D543" s="5" t="s">
        <v>56</v>
      </c>
      <c r="E543" s="99" t="str">
        <f>VLOOKUP(D543,'Dropdown List'!$F$26:$G$40,2,0)</f>
        <v>India</v>
      </c>
      <c r="F543" s="8" t="s">
        <v>2417</v>
      </c>
      <c r="G543" s="96">
        <v>7</v>
      </c>
      <c r="H543" s="5" t="s">
        <v>57</v>
      </c>
      <c r="I543" s="8" t="s">
        <v>71</v>
      </c>
      <c r="J543" s="8" t="s">
        <v>167</v>
      </c>
      <c r="K543" s="8" t="s">
        <v>2467</v>
      </c>
      <c r="L543" s="8" t="s">
        <v>2508</v>
      </c>
      <c r="M543" s="8" t="s">
        <v>2506</v>
      </c>
      <c r="N543" s="5" t="s">
        <v>1034</v>
      </c>
      <c r="O543" s="5" t="s">
        <v>61</v>
      </c>
      <c r="P543" s="5" t="s">
        <v>75</v>
      </c>
      <c r="Q543" s="9" t="s">
        <v>75</v>
      </c>
      <c r="R543" s="5" t="s">
        <v>76</v>
      </c>
      <c r="S543" s="5" t="s">
        <v>90</v>
      </c>
      <c r="T543" s="96">
        <v>1</v>
      </c>
      <c r="U543" s="96" t="s">
        <v>77</v>
      </c>
      <c r="V543" s="96" t="s">
        <v>77</v>
      </c>
      <c r="W543" s="5" t="s">
        <v>91</v>
      </c>
      <c r="X543" s="10" t="s">
        <v>79</v>
      </c>
      <c r="Y543" s="11">
        <v>26002.87</v>
      </c>
      <c r="Z543" s="12">
        <v>1</v>
      </c>
      <c r="AA543" s="12">
        <v>0</v>
      </c>
      <c r="AB543" s="12">
        <v>0</v>
      </c>
      <c r="AC543" s="13">
        <v>0</v>
      </c>
      <c r="AD543" s="14">
        <f t="shared" si="18"/>
        <v>1</v>
      </c>
      <c r="AE543" s="15">
        <f t="shared" si="19"/>
        <v>0</v>
      </c>
      <c r="AF543" s="16">
        <v>70</v>
      </c>
      <c r="AG543" s="16">
        <v>70</v>
      </c>
      <c r="AH543" s="17" t="s">
        <v>2421</v>
      </c>
      <c r="AI543" s="18">
        <v>3.5</v>
      </c>
      <c r="AJ543" s="19">
        <v>0.95499999999999996</v>
      </c>
      <c r="AK543" s="20">
        <v>0.98499999999999999</v>
      </c>
      <c r="AL543" s="17" t="s">
        <v>261</v>
      </c>
      <c r="AM543" s="5" t="s">
        <v>2422</v>
      </c>
      <c r="AN543" s="5" t="s">
        <v>66</v>
      </c>
      <c r="AO543" s="5" t="s">
        <v>2423</v>
      </c>
      <c r="AP543" s="5" t="s">
        <v>66</v>
      </c>
      <c r="AQ543" s="5" t="s">
        <v>66</v>
      </c>
      <c r="AR543" s="5" t="s">
        <v>66</v>
      </c>
      <c r="AS543" s="5" t="s">
        <v>66</v>
      </c>
      <c r="AT543" s="5" t="s">
        <v>66</v>
      </c>
      <c r="AU543" s="5" t="s">
        <v>66</v>
      </c>
      <c r="AV543" s="5" t="s">
        <v>66</v>
      </c>
      <c r="AW543" s="5" t="s">
        <v>66</v>
      </c>
      <c r="AX543" s="5" t="s">
        <v>2424</v>
      </c>
      <c r="AY543" s="5" t="s">
        <v>353</v>
      </c>
      <c r="AZ543" s="5" t="s">
        <v>80</v>
      </c>
      <c r="BA543" s="19">
        <v>1</v>
      </c>
      <c r="BB543" s="17" t="s">
        <v>2507</v>
      </c>
      <c r="BC543" s="5" t="s">
        <v>2428</v>
      </c>
      <c r="BD543" s="5" t="s">
        <v>2429</v>
      </c>
    </row>
    <row r="544" spans="1:56" ht="48" hidden="1" x14ac:dyDescent="0.25">
      <c r="A544" s="78" t="s">
        <v>2186</v>
      </c>
      <c r="B544" s="5" t="s">
        <v>433</v>
      </c>
      <c r="C544" s="5" t="s">
        <v>3293</v>
      </c>
      <c r="D544" s="5" t="s">
        <v>56</v>
      </c>
      <c r="E544" s="99" t="str">
        <f>VLOOKUP(D544,'Dropdown List'!$F$26:$G$40,2,0)</f>
        <v>India</v>
      </c>
      <c r="F544" s="8" t="s">
        <v>2417</v>
      </c>
      <c r="G544" s="96">
        <v>3</v>
      </c>
      <c r="H544" s="5" t="s">
        <v>57</v>
      </c>
      <c r="I544" s="8" t="s">
        <v>71</v>
      </c>
      <c r="J544" s="8" t="s">
        <v>167</v>
      </c>
      <c r="K544" s="8" t="s">
        <v>2467</v>
      </c>
      <c r="L544" s="8" t="s">
        <v>2509</v>
      </c>
      <c r="M544" s="8" t="s">
        <v>2506</v>
      </c>
      <c r="N544" s="5" t="s">
        <v>1034</v>
      </c>
      <c r="O544" s="5" t="s">
        <v>61</v>
      </c>
      <c r="P544" s="5" t="s">
        <v>75</v>
      </c>
      <c r="Q544" s="9" t="s">
        <v>75</v>
      </c>
      <c r="R544" s="5" t="s">
        <v>76</v>
      </c>
      <c r="S544" s="5" t="s">
        <v>90</v>
      </c>
      <c r="T544" s="96">
        <v>1</v>
      </c>
      <c r="U544" s="96" t="s">
        <v>77</v>
      </c>
      <c r="V544" s="96" t="s">
        <v>77</v>
      </c>
      <c r="W544" s="5" t="s">
        <v>91</v>
      </c>
      <c r="X544" s="10" t="s">
        <v>79</v>
      </c>
      <c r="Y544" s="11">
        <v>26002.87</v>
      </c>
      <c r="Z544" s="12">
        <v>3</v>
      </c>
      <c r="AA544" s="12">
        <v>0.5</v>
      </c>
      <c r="AB544" s="12">
        <v>0</v>
      </c>
      <c r="AC544" s="13">
        <v>0</v>
      </c>
      <c r="AD544" s="14">
        <f t="shared" si="18"/>
        <v>3.5</v>
      </c>
      <c r="AE544" s="15">
        <f t="shared" si="19"/>
        <v>0</v>
      </c>
      <c r="AF544" s="16">
        <v>2700</v>
      </c>
      <c r="AG544" s="16">
        <v>2700</v>
      </c>
      <c r="AH544" s="17" t="s">
        <v>2421</v>
      </c>
      <c r="AI544" s="18">
        <v>9.6</v>
      </c>
      <c r="AJ544" s="19">
        <v>0.95499999999999996</v>
      </c>
      <c r="AK544" s="20" t="s">
        <v>66</v>
      </c>
      <c r="AL544" s="17" t="s">
        <v>65</v>
      </c>
      <c r="AM544" s="5" t="s">
        <v>2422</v>
      </c>
      <c r="AN544" s="5" t="s">
        <v>66</v>
      </c>
      <c r="AO544" s="5" t="s">
        <v>2423</v>
      </c>
      <c r="AP544" s="5" t="s">
        <v>66</v>
      </c>
      <c r="AQ544" s="5" t="s">
        <v>66</v>
      </c>
      <c r="AR544" s="5" t="s">
        <v>66</v>
      </c>
      <c r="AS544" s="5" t="s">
        <v>66</v>
      </c>
      <c r="AT544" s="5" t="s">
        <v>66</v>
      </c>
      <c r="AU544" s="5" t="s">
        <v>66</v>
      </c>
      <c r="AV544" s="5" t="s">
        <v>66</v>
      </c>
      <c r="AW544" s="5" t="s">
        <v>66</v>
      </c>
      <c r="AX544" s="5" t="s">
        <v>2424</v>
      </c>
      <c r="AY544" s="5" t="s">
        <v>353</v>
      </c>
      <c r="AZ544" s="5" t="s">
        <v>80</v>
      </c>
      <c r="BA544" s="19">
        <v>1</v>
      </c>
      <c r="BB544" s="17" t="s">
        <v>2507</v>
      </c>
      <c r="BC544" s="5" t="s">
        <v>2428</v>
      </c>
      <c r="BD544" s="5" t="s">
        <v>2510</v>
      </c>
    </row>
    <row r="545" spans="1:56" ht="144" hidden="1" x14ac:dyDescent="0.25">
      <c r="A545" s="78" t="s">
        <v>2186</v>
      </c>
      <c r="B545" s="5" t="s">
        <v>433</v>
      </c>
      <c r="C545" s="5" t="s">
        <v>3293</v>
      </c>
      <c r="D545" s="5" t="s">
        <v>56</v>
      </c>
      <c r="E545" s="99" t="str">
        <f>VLOOKUP(D545,'Dropdown List'!$F$26:$G$40,2,0)</f>
        <v>India</v>
      </c>
      <c r="F545" s="8" t="s">
        <v>2417</v>
      </c>
      <c r="G545" s="96">
        <v>7</v>
      </c>
      <c r="H545" s="5" t="s">
        <v>57</v>
      </c>
      <c r="I545" s="8" t="s">
        <v>71</v>
      </c>
      <c r="J545" s="8" t="s">
        <v>102</v>
      </c>
      <c r="K545" s="8" t="s">
        <v>369</v>
      </c>
      <c r="L545" s="8" t="s">
        <v>2511</v>
      </c>
      <c r="M545" s="8" t="s">
        <v>2512</v>
      </c>
      <c r="N545" s="5" t="s">
        <v>269</v>
      </c>
      <c r="O545" s="5" t="s">
        <v>269</v>
      </c>
      <c r="P545" s="5" t="s">
        <v>2513</v>
      </c>
      <c r="Q545" s="9" t="s">
        <v>270</v>
      </c>
      <c r="R545" s="5" t="s">
        <v>76</v>
      </c>
      <c r="S545" s="5" t="s">
        <v>64</v>
      </c>
      <c r="T545" s="96">
        <v>2</v>
      </c>
      <c r="U545" s="96">
        <v>4</v>
      </c>
      <c r="V545" s="96">
        <v>5</v>
      </c>
      <c r="W545" s="5" t="s">
        <v>91</v>
      </c>
      <c r="X545" s="10" t="s">
        <v>79</v>
      </c>
      <c r="Y545" s="11">
        <v>34253.56</v>
      </c>
      <c r="Z545" s="12">
        <v>15</v>
      </c>
      <c r="AA545" s="12">
        <v>2</v>
      </c>
      <c r="AB545" s="12">
        <v>0.5</v>
      </c>
      <c r="AC545" s="13">
        <v>0</v>
      </c>
      <c r="AD545" s="14">
        <f t="shared" si="18"/>
        <v>17.5</v>
      </c>
      <c r="AE545" s="15">
        <f t="shared" si="19"/>
        <v>0</v>
      </c>
      <c r="AF545" s="16">
        <v>1450</v>
      </c>
      <c r="AG545" s="16" t="s">
        <v>3317</v>
      </c>
      <c r="AH545" s="17" t="s">
        <v>3318</v>
      </c>
      <c r="AI545" s="18" t="s">
        <v>3319</v>
      </c>
      <c r="AJ545" s="19">
        <v>0.95</v>
      </c>
      <c r="AK545" s="20">
        <v>0.94699999999999995</v>
      </c>
      <c r="AL545" s="17" t="s">
        <v>261</v>
      </c>
      <c r="AM545" s="5" t="s">
        <v>2422</v>
      </c>
      <c r="AN545" s="5" t="s">
        <v>66</v>
      </c>
      <c r="AO545" s="5" t="s">
        <v>3320</v>
      </c>
      <c r="AP545" s="5" t="s">
        <v>2514</v>
      </c>
      <c r="AQ545" s="5" t="s">
        <v>61</v>
      </c>
      <c r="AR545" s="5" t="s">
        <v>2515</v>
      </c>
      <c r="AS545" s="5" t="s">
        <v>1134</v>
      </c>
      <c r="AT545" s="5" t="s">
        <v>66</v>
      </c>
      <c r="AU545" s="5" t="s">
        <v>66</v>
      </c>
      <c r="AV545" s="5" t="s">
        <v>66</v>
      </c>
      <c r="AW545" s="5" t="s">
        <v>66</v>
      </c>
      <c r="AX545" s="5" t="s">
        <v>2516</v>
      </c>
      <c r="AY545" s="5" t="s">
        <v>69</v>
      </c>
      <c r="AZ545" s="5" t="s">
        <v>145</v>
      </c>
      <c r="BA545" s="19" t="s">
        <v>2517</v>
      </c>
      <c r="BB545" s="17" t="s">
        <v>110</v>
      </c>
      <c r="BC545" s="5" t="s">
        <v>2516</v>
      </c>
      <c r="BD545" s="5" t="s">
        <v>3321</v>
      </c>
    </row>
    <row r="546" spans="1:56" ht="108" hidden="1" x14ac:dyDescent="0.25">
      <c r="A546" s="78" t="s">
        <v>2186</v>
      </c>
      <c r="B546" s="5" t="s">
        <v>433</v>
      </c>
      <c r="C546" s="5" t="s">
        <v>3293</v>
      </c>
      <c r="D546" s="5" t="s">
        <v>56</v>
      </c>
      <c r="E546" s="99" t="str">
        <f>VLOOKUP(D546,'Dropdown List'!$F$26:$G$40,2,0)</f>
        <v>India</v>
      </c>
      <c r="F546" s="8" t="s">
        <v>2417</v>
      </c>
      <c r="G546" s="96">
        <v>5</v>
      </c>
      <c r="H546" s="5" t="s">
        <v>57</v>
      </c>
      <c r="I546" s="8" t="s">
        <v>71</v>
      </c>
      <c r="J546" s="8" t="s">
        <v>2702</v>
      </c>
      <c r="K546" s="8" t="s">
        <v>855</v>
      </c>
      <c r="L546" s="8" t="s">
        <v>2518</v>
      </c>
      <c r="M546" s="8" t="s">
        <v>2519</v>
      </c>
      <c r="N546" s="5" t="s">
        <v>1034</v>
      </c>
      <c r="O546" s="5" t="s">
        <v>106</v>
      </c>
      <c r="P546" s="5" t="s">
        <v>2520</v>
      </c>
      <c r="Q546" s="9" t="s">
        <v>418</v>
      </c>
      <c r="R546" s="5" t="s">
        <v>76</v>
      </c>
      <c r="S546" s="5" t="s">
        <v>64</v>
      </c>
      <c r="T546" s="96">
        <v>3</v>
      </c>
      <c r="U546" s="96">
        <v>12</v>
      </c>
      <c r="V546" s="96">
        <v>6</v>
      </c>
      <c r="W546" s="5" t="s">
        <v>91</v>
      </c>
      <c r="X546" s="10" t="s">
        <v>79</v>
      </c>
      <c r="Y546" s="11">
        <v>34253.56</v>
      </c>
      <c r="Z546" s="12">
        <v>4</v>
      </c>
      <c r="AA546" s="12">
        <v>0.5</v>
      </c>
      <c r="AB546" s="12">
        <v>0.3</v>
      </c>
      <c r="AC546" s="13">
        <v>0.5</v>
      </c>
      <c r="AD546" s="14">
        <f t="shared" si="18"/>
        <v>5.3</v>
      </c>
      <c r="AE546" s="15">
        <f t="shared" si="19"/>
        <v>9.4339622641509441E-2</v>
      </c>
      <c r="AF546" s="16">
        <v>100</v>
      </c>
      <c r="AG546" s="16" t="s">
        <v>2521</v>
      </c>
      <c r="AH546" s="17" t="s">
        <v>2522</v>
      </c>
      <c r="AI546" s="18" t="s">
        <v>3322</v>
      </c>
      <c r="AJ546" s="19">
        <v>0.86499999999999999</v>
      </c>
      <c r="AK546" s="20">
        <v>0.94699999999999995</v>
      </c>
      <c r="AL546" s="17" t="s">
        <v>261</v>
      </c>
      <c r="AM546" s="5" t="s">
        <v>2422</v>
      </c>
      <c r="AN546" s="5" t="s">
        <v>66</v>
      </c>
      <c r="AO546" s="5" t="s">
        <v>2523</v>
      </c>
      <c r="AP546" s="5" t="s">
        <v>66</v>
      </c>
      <c r="AQ546" s="5" t="s">
        <v>66</v>
      </c>
      <c r="AR546" s="5" t="s">
        <v>2524</v>
      </c>
      <c r="AS546" s="5" t="s">
        <v>66</v>
      </c>
      <c r="AT546" s="5" t="s">
        <v>66</v>
      </c>
      <c r="AU546" s="5" t="s">
        <v>66</v>
      </c>
      <c r="AV546" s="5" t="s">
        <v>66</v>
      </c>
      <c r="AW546" s="5" t="s">
        <v>2525</v>
      </c>
      <c r="AX546" s="5" t="s">
        <v>2516</v>
      </c>
      <c r="AY546" s="5" t="s">
        <v>69</v>
      </c>
      <c r="AZ546" s="5" t="s">
        <v>145</v>
      </c>
      <c r="BA546" s="19" t="s">
        <v>2526</v>
      </c>
      <c r="BB546" s="17" t="s">
        <v>110</v>
      </c>
      <c r="BC546" s="5" t="s">
        <v>2516</v>
      </c>
      <c r="BD546" s="5" t="s">
        <v>3323</v>
      </c>
    </row>
    <row r="547" spans="1:56" ht="96" hidden="1" x14ac:dyDescent="0.25">
      <c r="A547" s="78" t="s">
        <v>2186</v>
      </c>
      <c r="B547" s="5" t="s">
        <v>433</v>
      </c>
      <c r="C547" s="5" t="s">
        <v>3293</v>
      </c>
      <c r="D547" s="5" t="s">
        <v>252</v>
      </c>
      <c r="E547" s="99" t="str">
        <f>VLOOKUP(D547,'Dropdown List'!$F$26:$G$40,2,0)</f>
        <v>India</v>
      </c>
      <c r="F547" s="8" t="s">
        <v>2187</v>
      </c>
      <c r="G547" s="96">
        <v>3</v>
      </c>
      <c r="H547" s="5" t="s">
        <v>57</v>
      </c>
      <c r="I547" s="8" t="s">
        <v>71</v>
      </c>
      <c r="J547" s="8" t="s">
        <v>102</v>
      </c>
      <c r="K547" s="8" t="s">
        <v>611</v>
      </c>
      <c r="L547" s="8" t="s">
        <v>102</v>
      </c>
      <c r="M547" s="8" t="s">
        <v>2527</v>
      </c>
      <c r="N547" s="5" t="s">
        <v>1034</v>
      </c>
      <c r="O547" s="5" t="s">
        <v>106</v>
      </c>
      <c r="P547" s="5" t="s">
        <v>2520</v>
      </c>
      <c r="Q547" s="9" t="s">
        <v>418</v>
      </c>
      <c r="R547" s="5" t="s">
        <v>76</v>
      </c>
      <c r="S547" s="5" t="s">
        <v>64</v>
      </c>
      <c r="T547" s="96">
        <v>3</v>
      </c>
      <c r="U547" s="96">
        <v>8</v>
      </c>
      <c r="V547" s="96">
        <v>6</v>
      </c>
      <c r="W547" s="5" t="s">
        <v>91</v>
      </c>
      <c r="X547" s="10" t="s">
        <v>79</v>
      </c>
      <c r="Y547" s="11">
        <v>34253.56</v>
      </c>
      <c r="Z547" s="12">
        <v>3.5</v>
      </c>
      <c r="AA547" s="12">
        <v>0.5</v>
      </c>
      <c r="AB547" s="12">
        <v>0</v>
      </c>
      <c r="AC547" s="13">
        <v>0.5</v>
      </c>
      <c r="AD547" s="14">
        <f t="shared" si="18"/>
        <v>4.5</v>
      </c>
      <c r="AE547" s="15">
        <f t="shared" si="19"/>
        <v>0.1111111111111111</v>
      </c>
      <c r="AF547" s="16">
        <v>100</v>
      </c>
      <c r="AG547" s="16" t="s">
        <v>2521</v>
      </c>
      <c r="AH547" s="17" t="s">
        <v>2528</v>
      </c>
      <c r="AI547" s="18">
        <v>128</v>
      </c>
      <c r="AJ547" s="19">
        <v>0.95</v>
      </c>
      <c r="AK547" s="20">
        <v>0.94699999999999995</v>
      </c>
      <c r="AL547" s="17" t="s">
        <v>261</v>
      </c>
      <c r="AM547" s="5" t="s">
        <v>2422</v>
      </c>
      <c r="AN547" s="5" t="s">
        <v>66</v>
      </c>
      <c r="AO547" s="5" t="s">
        <v>66</v>
      </c>
      <c r="AP547" s="5" t="s">
        <v>66</v>
      </c>
      <c r="AQ547" s="5" t="s">
        <v>66</v>
      </c>
      <c r="AR547" s="5" t="s">
        <v>66</v>
      </c>
      <c r="AS547" s="5" t="s">
        <v>66</v>
      </c>
      <c r="AT547" s="5" t="s">
        <v>66</v>
      </c>
      <c r="AU547" s="5" t="s">
        <v>66</v>
      </c>
      <c r="AV547" s="5" t="s">
        <v>66</v>
      </c>
      <c r="AW547" s="5" t="s">
        <v>2525</v>
      </c>
      <c r="AX547" s="5" t="s">
        <v>2516</v>
      </c>
      <c r="AY547" s="5" t="s">
        <v>353</v>
      </c>
      <c r="AZ547" s="5" t="s">
        <v>80</v>
      </c>
      <c r="BA547" s="19" t="s">
        <v>2529</v>
      </c>
      <c r="BB547" s="17" t="s">
        <v>353</v>
      </c>
      <c r="BC547" s="5" t="s">
        <v>2516</v>
      </c>
      <c r="BD547" s="5" t="s">
        <v>3324</v>
      </c>
    </row>
    <row r="548" spans="1:56" ht="84" hidden="1" x14ac:dyDescent="0.25">
      <c r="A548" s="78" t="s">
        <v>2186</v>
      </c>
      <c r="B548" s="5" t="s">
        <v>433</v>
      </c>
      <c r="C548" s="5" t="s">
        <v>3293</v>
      </c>
      <c r="D548" s="5" t="s">
        <v>252</v>
      </c>
      <c r="E548" s="99" t="str">
        <f>VLOOKUP(D548,'Dropdown List'!$F$26:$G$40,2,0)</f>
        <v>India</v>
      </c>
      <c r="F548" s="8" t="s">
        <v>2187</v>
      </c>
      <c r="G548" s="96">
        <v>7</v>
      </c>
      <c r="H548" s="5" t="s">
        <v>57</v>
      </c>
      <c r="I548" s="8" t="s">
        <v>71</v>
      </c>
      <c r="J548" s="8" t="s">
        <v>102</v>
      </c>
      <c r="K548" s="8" t="s">
        <v>516</v>
      </c>
      <c r="L548" s="8" t="s">
        <v>516</v>
      </c>
      <c r="M548" s="8" t="s">
        <v>2530</v>
      </c>
      <c r="N548" s="5" t="s">
        <v>268</v>
      </c>
      <c r="O548" s="5" t="s">
        <v>2531</v>
      </c>
      <c r="P548" s="5" t="s">
        <v>2532</v>
      </c>
      <c r="Q548" s="9" t="s">
        <v>3325</v>
      </c>
      <c r="R548" s="5" t="s">
        <v>76</v>
      </c>
      <c r="S548" s="5" t="s">
        <v>64</v>
      </c>
      <c r="T548" s="96" t="s">
        <v>2533</v>
      </c>
      <c r="U548" s="96" t="s">
        <v>271</v>
      </c>
      <c r="V548" s="96" t="s">
        <v>271</v>
      </c>
      <c r="W548" s="5" t="s">
        <v>91</v>
      </c>
      <c r="X548" s="10" t="s">
        <v>79</v>
      </c>
      <c r="Y548" s="11">
        <v>34253.56</v>
      </c>
      <c r="Z548" s="12">
        <v>0.33481182708732332</v>
      </c>
      <c r="AA548" s="12">
        <v>0.2</v>
      </c>
      <c r="AB548" s="12">
        <v>0.1</v>
      </c>
      <c r="AC548" s="13">
        <v>0.1</v>
      </c>
      <c r="AD548" s="14">
        <f t="shared" si="18"/>
        <v>0.73481182708732329</v>
      </c>
      <c r="AE548" s="15">
        <f t="shared" si="19"/>
        <v>0.13608926301089086</v>
      </c>
      <c r="AF548" s="16">
        <v>50</v>
      </c>
      <c r="AG548" s="16">
        <v>50</v>
      </c>
      <c r="AH548" s="17" t="s">
        <v>66</v>
      </c>
      <c r="AI548" s="18">
        <v>25.1</v>
      </c>
      <c r="AJ548" s="19">
        <v>0.92700000000000005</v>
      </c>
      <c r="AK548" s="20">
        <v>0.94699999999999995</v>
      </c>
      <c r="AL548" s="17" t="s">
        <v>261</v>
      </c>
      <c r="AM548" s="5" t="s">
        <v>2422</v>
      </c>
      <c r="AN548" s="5" t="s">
        <v>66</v>
      </c>
      <c r="AO548" s="5" t="s">
        <v>66</v>
      </c>
      <c r="AP548" s="5" t="s">
        <v>66</v>
      </c>
      <c r="AQ548" s="5" t="s">
        <v>66</v>
      </c>
      <c r="AR548" s="5" t="s">
        <v>66</v>
      </c>
      <c r="AS548" s="5" t="s">
        <v>66</v>
      </c>
      <c r="AT548" s="5" t="s">
        <v>66</v>
      </c>
      <c r="AU548" s="5" t="s">
        <v>66</v>
      </c>
      <c r="AV548" s="5" t="s">
        <v>66</v>
      </c>
      <c r="AW548" s="5" t="s">
        <v>66</v>
      </c>
      <c r="AX548" s="5" t="s">
        <v>2534</v>
      </c>
      <c r="AY548" s="5" t="s">
        <v>69</v>
      </c>
      <c r="AZ548" s="5" t="s">
        <v>80</v>
      </c>
      <c r="BA548" s="19" t="s">
        <v>3326</v>
      </c>
      <c r="BB548" s="17" t="s">
        <v>353</v>
      </c>
      <c r="BC548" s="5" t="s">
        <v>2535</v>
      </c>
      <c r="BD548" s="5" t="s">
        <v>3327</v>
      </c>
    </row>
    <row r="549" spans="1:56" ht="84" hidden="1" x14ac:dyDescent="0.25">
      <c r="A549" s="78" t="s">
        <v>2186</v>
      </c>
      <c r="B549" s="5" t="s">
        <v>433</v>
      </c>
      <c r="C549" s="5" t="s">
        <v>3293</v>
      </c>
      <c r="D549" s="5" t="s">
        <v>252</v>
      </c>
      <c r="E549" s="99" t="str">
        <f>VLOOKUP(D549,'Dropdown List'!$F$26:$G$40,2,0)</f>
        <v>India</v>
      </c>
      <c r="F549" s="8" t="s">
        <v>2187</v>
      </c>
      <c r="G549" s="96">
        <v>7</v>
      </c>
      <c r="H549" s="5" t="s">
        <v>57</v>
      </c>
      <c r="I549" s="8" t="s">
        <v>71</v>
      </c>
      <c r="J549" s="8" t="s">
        <v>102</v>
      </c>
      <c r="K549" s="8" t="s">
        <v>369</v>
      </c>
      <c r="L549" s="8" t="s">
        <v>369</v>
      </c>
      <c r="M549" s="8" t="s">
        <v>2536</v>
      </c>
      <c r="N549" s="5" t="s">
        <v>268</v>
      </c>
      <c r="O549" s="5" t="s">
        <v>2531</v>
      </c>
      <c r="P549" s="5" t="s">
        <v>2532</v>
      </c>
      <c r="Q549" s="9" t="s">
        <v>3325</v>
      </c>
      <c r="R549" s="5" t="s">
        <v>76</v>
      </c>
      <c r="S549" s="5" t="s">
        <v>64</v>
      </c>
      <c r="T549" s="96" t="s">
        <v>2533</v>
      </c>
      <c r="U549" s="96" t="s">
        <v>271</v>
      </c>
      <c r="V549" s="96" t="s">
        <v>271</v>
      </c>
      <c r="W549" s="5" t="s">
        <v>91</v>
      </c>
      <c r="X549" s="10" t="s">
        <v>79</v>
      </c>
      <c r="Y549" s="11">
        <v>34253.56</v>
      </c>
      <c r="Z549" s="12">
        <v>1.217014419095191</v>
      </c>
      <c r="AA549" s="12">
        <v>0.2</v>
      </c>
      <c r="AB549" s="12">
        <v>0.1</v>
      </c>
      <c r="AC549" s="13">
        <v>0.1</v>
      </c>
      <c r="AD549" s="14">
        <f t="shared" si="18"/>
        <v>1.6170144190951912</v>
      </c>
      <c r="AE549" s="15">
        <f t="shared" si="19"/>
        <v>6.1842367525674589E-2</v>
      </c>
      <c r="AF549" s="16">
        <v>50</v>
      </c>
      <c r="AG549" s="16">
        <v>50</v>
      </c>
      <c r="AH549" s="17" t="s">
        <v>66</v>
      </c>
      <c r="AI549" s="18">
        <v>25.1</v>
      </c>
      <c r="AJ549" s="19">
        <v>0.92700000000000005</v>
      </c>
      <c r="AK549" s="20">
        <v>0.94699999999999995</v>
      </c>
      <c r="AL549" s="17" t="s">
        <v>261</v>
      </c>
      <c r="AM549" s="5" t="s">
        <v>2422</v>
      </c>
      <c r="AN549" s="5" t="s">
        <v>66</v>
      </c>
      <c r="AO549" s="5" t="s">
        <v>66</v>
      </c>
      <c r="AP549" s="5" t="s">
        <v>66</v>
      </c>
      <c r="AQ549" s="5" t="s">
        <v>66</v>
      </c>
      <c r="AR549" s="5" t="s">
        <v>66</v>
      </c>
      <c r="AS549" s="5" t="s">
        <v>66</v>
      </c>
      <c r="AT549" s="5" t="s">
        <v>66</v>
      </c>
      <c r="AU549" s="5" t="s">
        <v>66</v>
      </c>
      <c r="AV549" s="5" t="s">
        <v>66</v>
      </c>
      <c r="AW549" s="5" t="s">
        <v>66</v>
      </c>
      <c r="AX549" s="5" t="s">
        <v>2534</v>
      </c>
      <c r="AY549" s="5" t="s">
        <v>69</v>
      </c>
      <c r="AZ549" s="5" t="s">
        <v>80</v>
      </c>
      <c r="BA549" s="19" t="s">
        <v>3326</v>
      </c>
      <c r="BB549" s="17" t="s">
        <v>353</v>
      </c>
      <c r="BC549" s="5" t="s">
        <v>2535</v>
      </c>
      <c r="BD549" s="5" t="s">
        <v>3327</v>
      </c>
    </row>
    <row r="550" spans="1:56" ht="84" hidden="1" x14ac:dyDescent="0.25">
      <c r="A550" s="78" t="s">
        <v>2186</v>
      </c>
      <c r="B550" s="5" t="s">
        <v>433</v>
      </c>
      <c r="C550" s="5" t="s">
        <v>3293</v>
      </c>
      <c r="D550" s="5" t="s">
        <v>252</v>
      </c>
      <c r="E550" s="99" t="str">
        <f>VLOOKUP(D550,'Dropdown List'!$F$26:$G$40,2,0)</f>
        <v>India</v>
      </c>
      <c r="F550" s="8" t="s">
        <v>2187</v>
      </c>
      <c r="G550" s="96">
        <v>7</v>
      </c>
      <c r="H550" s="5" t="s">
        <v>57</v>
      </c>
      <c r="I550" s="8" t="s">
        <v>71</v>
      </c>
      <c r="J550" s="8" t="s">
        <v>102</v>
      </c>
      <c r="K550" s="8" t="s">
        <v>103</v>
      </c>
      <c r="L550" s="8" t="s">
        <v>2537</v>
      </c>
      <c r="M550" s="8" t="s">
        <v>2538</v>
      </c>
      <c r="N550" s="5" t="s">
        <v>268</v>
      </c>
      <c r="O550" s="5" t="s">
        <v>2531</v>
      </c>
      <c r="P550" s="5" t="s">
        <v>2532</v>
      </c>
      <c r="Q550" s="9" t="s">
        <v>3325</v>
      </c>
      <c r="R550" s="5" t="s">
        <v>76</v>
      </c>
      <c r="S550" s="5" t="s">
        <v>64</v>
      </c>
      <c r="T550" s="96" t="s">
        <v>2533</v>
      </c>
      <c r="U550" s="96" t="s">
        <v>271</v>
      </c>
      <c r="V550" s="96" t="s">
        <v>271</v>
      </c>
      <c r="W550" s="5" t="s">
        <v>91</v>
      </c>
      <c r="X550" s="10" t="s">
        <v>79</v>
      </c>
      <c r="Y550" s="11">
        <v>34253.56</v>
      </c>
      <c r="Z550" s="12">
        <v>1.64</v>
      </c>
      <c r="AA550" s="12">
        <v>0.3</v>
      </c>
      <c r="AB550" s="12">
        <v>0.2</v>
      </c>
      <c r="AC550" s="13">
        <v>0.1</v>
      </c>
      <c r="AD550" s="14">
        <f t="shared" si="18"/>
        <v>2.2400000000000002</v>
      </c>
      <c r="AE550" s="15">
        <f t="shared" si="19"/>
        <v>4.4642857142857144E-2</v>
      </c>
      <c r="AF550" s="16">
        <v>150</v>
      </c>
      <c r="AG550" s="16">
        <v>150</v>
      </c>
      <c r="AH550" s="17" t="s">
        <v>66</v>
      </c>
      <c r="AI550" s="18">
        <v>29</v>
      </c>
      <c r="AJ550" s="19">
        <v>0.92700000000000005</v>
      </c>
      <c r="AK550" s="20">
        <v>0.94699999999999995</v>
      </c>
      <c r="AL550" s="17" t="s">
        <v>261</v>
      </c>
      <c r="AM550" s="5" t="s">
        <v>2422</v>
      </c>
      <c r="AN550" s="5" t="s">
        <v>66</v>
      </c>
      <c r="AO550" s="5" t="s">
        <v>3328</v>
      </c>
      <c r="AP550" s="5" t="s">
        <v>66</v>
      </c>
      <c r="AQ550" s="5" t="s">
        <v>2539</v>
      </c>
      <c r="AR550" s="5" t="s">
        <v>2540</v>
      </c>
      <c r="AS550" s="5" t="s">
        <v>2541</v>
      </c>
      <c r="AT550" s="5" t="s">
        <v>66</v>
      </c>
      <c r="AU550" s="5" t="s">
        <v>66</v>
      </c>
      <c r="AV550" s="5" t="s">
        <v>66</v>
      </c>
      <c r="AW550" s="5" t="s">
        <v>66</v>
      </c>
      <c r="AX550" s="5" t="s">
        <v>2534</v>
      </c>
      <c r="AY550" s="5" t="s">
        <v>69</v>
      </c>
      <c r="AZ550" s="5" t="s">
        <v>70</v>
      </c>
      <c r="BA550" s="19" t="s">
        <v>2542</v>
      </c>
      <c r="BB550" s="17" t="s">
        <v>353</v>
      </c>
      <c r="BC550" s="5" t="s">
        <v>2535</v>
      </c>
      <c r="BD550" s="5" t="s">
        <v>3327</v>
      </c>
    </row>
    <row r="551" spans="1:56" ht="84" hidden="1" x14ac:dyDescent="0.25">
      <c r="A551" s="78" t="s">
        <v>2186</v>
      </c>
      <c r="B551" s="5" t="s">
        <v>433</v>
      </c>
      <c r="C551" s="5" t="s">
        <v>3293</v>
      </c>
      <c r="D551" s="5" t="s">
        <v>252</v>
      </c>
      <c r="E551" s="99" t="str">
        <f>VLOOKUP(D551,'Dropdown List'!$F$26:$G$40,2,0)</f>
        <v>India</v>
      </c>
      <c r="F551" s="8" t="s">
        <v>2187</v>
      </c>
      <c r="G551" s="96">
        <v>7</v>
      </c>
      <c r="H551" s="5" t="s">
        <v>57</v>
      </c>
      <c r="I551" s="8" t="s">
        <v>71</v>
      </c>
      <c r="J551" s="8" t="s">
        <v>2702</v>
      </c>
      <c r="K551" s="8" t="s">
        <v>855</v>
      </c>
      <c r="L551" s="8" t="s">
        <v>2543</v>
      </c>
      <c r="M551" s="8" t="s">
        <v>2544</v>
      </c>
      <c r="N551" s="5" t="s">
        <v>268</v>
      </c>
      <c r="O551" s="5" t="s">
        <v>2531</v>
      </c>
      <c r="P551" s="5" t="s">
        <v>2532</v>
      </c>
      <c r="Q551" s="9" t="s">
        <v>3325</v>
      </c>
      <c r="R551" s="5" t="s">
        <v>76</v>
      </c>
      <c r="S551" s="5" t="s">
        <v>64</v>
      </c>
      <c r="T551" s="96" t="s">
        <v>2533</v>
      </c>
      <c r="U551" s="96" t="s">
        <v>271</v>
      </c>
      <c r="V551" s="96" t="s">
        <v>271</v>
      </c>
      <c r="W551" s="5" t="s">
        <v>91</v>
      </c>
      <c r="X551" s="10" t="s">
        <v>79</v>
      </c>
      <c r="Y551" s="11">
        <v>34253.56</v>
      </c>
      <c r="Z551" s="12">
        <v>2.44</v>
      </c>
      <c r="AA551" s="12">
        <v>0.5</v>
      </c>
      <c r="AB551" s="12">
        <v>0.2</v>
      </c>
      <c r="AC551" s="13">
        <v>0.2</v>
      </c>
      <c r="AD551" s="14">
        <f t="shared" si="18"/>
        <v>3.3400000000000003</v>
      </c>
      <c r="AE551" s="15">
        <f t="shared" si="19"/>
        <v>5.9880239520958084E-2</v>
      </c>
      <c r="AF551" s="16">
        <v>250</v>
      </c>
      <c r="AG551" s="16">
        <v>250</v>
      </c>
      <c r="AH551" s="17" t="s">
        <v>66</v>
      </c>
      <c r="AI551" s="18">
        <v>71.900000000000006</v>
      </c>
      <c r="AJ551" s="19">
        <v>0.92700000000000005</v>
      </c>
      <c r="AK551" s="20">
        <v>0.94699999999999995</v>
      </c>
      <c r="AL551" s="17" t="s">
        <v>261</v>
      </c>
      <c r="AM551" s="5" t="s">
        <v>2422</v>
      </c>
      <c r="AN551" s="5" t="s">
        <v>66</v>
      </c>
      <c r="AO551" s="5" t="s">
        <v>66</v>
      </c>
      <c r="AP551" s="5" t="s">
        <v>66</v>
      </c>
      <c r="AQ551" s="5" t="s">
        <v>66</v>
      </c>
      <c r="AR551" s="5" t="s">
        <v>66</v>
      </c>
      <c r="AS551" s="5" t="s">
        <v>66</v>
      </c>
      <c r="AT551" s="5" t="s">
        <v>66</v>
      </c>
      <c r="AU551" s="5" t="s">
        <v>66</v>
      </c>
      <c r="AV551" s="5" t="s">
        <v>66</v>
      </c>
      <c r="AW551" s="5" t="s">
        <v>66</v>
      </c>
      <c r="AX551" s="5" t="s">
        <v>2534</v>
      </c>
      <c r="AY551" s="5" t="s">
        <v>69</v>
      </c>
      <c r="AZ551" s="5" t="s">
        <v>145</v>
      </c>
      <c r="BA551" s="19" t="s">
        <v>3329</v>
      </c>
      <c r="BB551" s="17" t="s">
        <v>65</v>
      </c>
      <c r="BC551" s="5" t="s">
        <v>2535</v>
      </c>
      <c r="BD551" s="5" t="s">
        <v>3327</v>
      </c>
    </row>
    <row r="552" spans="1:56" ht="84" hidden="1" x14ac:dyDescent="0.25">
      <c r="A552" s="78" t="s">
        <v>2186</v>
      </c>
      <c r="B552" s="5" t="s">
        <v>433</v>
      </c>
      <c r="C552" s="5" t="s">
        <v>3293</v>
      </c>
      <c r="D552" s="5" t="s">
        <v>252</v>
      </c>
      <c r="E552" s="99" t="str">
        <f>VLOOKUP(D552,'Dropdown List'!$F$26:$G$40,2,0)</f>
        <v>India</v>
      </c>
      <c r="F552" s="8" t="s">
        <v>2187</v>
      </c>
      <c r="G552" s="96">
        <v>7</v>
      </c>
      <c r="H552" s="5" t="s">
        <v>57</v>
      </c>
      <c r="I552" s="8" t="s">
        <v>71</v>
      </c>
      <c r="J552" s="8" t="s">
        <v>2702</v>
      </c>
      <c r="K552" s="8" t="s">
        <v>1956</v>
      </c>
      <c r="L552" s="8" t="s">
        <v>2545</v>
      </c>
      <c r="M552" s="8" t="s">
        <v>2546</v>
      </c>
      <c r="N552" s="5" t="s">
        <v>268</v>
      </c>
      <c r="O552" s="5" t="s">
        <v>2531</v>
      </c>
      <c r="P552" s="5" t="s">
        <v>2532</v>
      </c>
      <c r="Q552" s="9" t="s">
        <v>3325</v>
      </c>
      <c r="R552" s="5" t="s">
        <v>76</v>
      </c>
      <c r="S552" s="5" t="s">
        <v>64</v>
      </c>
      <c r="T552" s="96" t="s">
        <v>2533</v>
      </c>
      <c r="U552" s="96" t="s">
        <v>271</v>
      </c>
      <c r="V552" s="96" t="s">
        <v>271</v>
      </c>
      <c r="W552" s="5" t="s">
        <v>91</v>
      </c>
      <c r="X552" s="10" t="s">
        <v>79</v>
      </c>
      <c r="Y552" s="11">
        <v>34253.56</v>
      </c>
      <c r="Z552" s="12">
        <v>2.3221718256638542</v>
      </c>
      <c r="AA552" s="12">
        <v>0.2</v>
      </c>
      <c r="AB552" s="12">
        <v>0.1</v>
      </c>
      <c r="AC552" s="13">
        <v>0.2</v>
      </c>
      <c r="AD552" s="14">
        <f t="shared" si="18"/>
        <v>2.8221718256638546</v>
      </c>
      <c r="AE552" s="15">
        <f t="shared" si="19"/>
        <v>7.0867407214992781E-2</v>
      </c>
      <c r="AF552" s="16">
        <v>275</v>
      </c>
      <c r="AG552" s="16">
        <v>275</v>
      </c>
      <c r="AH552" s="17" t="s">
        <v>66</v>
      </c>
      <c r="AI552" s="18">
        <v>71.900000000000006</v>
      </c>
      <c r="AJ552" s="19">
        <v>0.92700000000000005</v>
      </c>
      <c r="AK552" s="20">
        <v>0.94699999999999995</v>
      </c>
      <c r="AL552" s="17" t="s">
        <v>261</v>
      </c>
      <c r="AM552" s="5" t="s">
        <v>2422</v>
      </c>
      <c r="AN552" s="5" t="s">
        <v>66</v>
      </c>
      <c r="AO552" s="5" t="s">
        <v>66</v>
      </c>
      <c r="AP552" s="5" t="s">
        <v>66</v>
      </c>
      <c r="AQ552" s="5" t="s">
        <v>66</v>
      </c>
      <c r="AR552" s="5" t="s">
        <v>66</v>
      </c>
      <c r="AS552" s="5" t="s">
        <v>66</v>
      </c>
      <c r="AT552" s="5" t="s">
        <v>66</v>
      </c>
      <c r="AU552" s="5" t="s">
        <v>66</v>
      </c>
      <c r="AV552" s="5" t="s">
        <v>66</v>
      </c>
      <c r="AW552" s="5" t="s">
        <v>66</v>
      </c>
      <c r="AX552" s="5" t="s">
        <v>2534</v>
      </c>
      <c r="AY552" s="5" t="s">
        <v>69</v>
      </c>
      <c r="AZ552" s="5" t="s">
        <v>145</v>
      </c>
      <c r="BA552" s="19" t="s">
        <v>3329</v>
      </c>
      <c r="BB552" s="17" t="s">
        <v>65</v>
      </c>
      <c r="BC552" s="5" t="s">
        <v>2535</v>
      </c>
      <c r="BD552" s="5" t="s">
        <v>3327</v>
      </c>
    </row>
    <row r="553" spans="1:56" ht="84" hidden="1" x14ac:dyDescent="0.25">
      <c r="A553" s="78" t="s">
        <v>2186</v>
      </c>
      <c r="B553" s="5" t="s">
        <v>433</v>
      </c>
      <c r="C553" s="5" t="s">
        <v>3293</v>
      </c>
      <c r="D553" s="5" t="s">
        <v>252</v>
      </c>
      <c r="E553" s="99" t="str">
        <f>VLOOKUP(D553,'Dropdown List'!$F$26:$G$40,2,0)</f>
        <v>India</v>
      </c>
      <c r="F553" s="8" t="s">
        <v>2187</v>
      </c>
      <c r="G553" s="96">
        <v>7</v>
      </c>
      <c r="H553" s="5" t="s">
        <v>57</v>
      </c>
      <c r="I553" s="8" t="s">
        <v>71</v>
      </c>
      <c r="J553" s="8" t="s">
        <v>2702</v>
      </c>
      <c r="K553" s="8" t="s">
        <v>372</v>
      </c>
      <c r="L553" s="8" t="s">
        <v>2547</v>
      </c>
      <c r="M553" s="8" t="s">
        <v>2548</v>
      </c>
      <c r="N553" s="5" t="s">
        <v>268</v>
      </c>
      <c r="O553" s="5" t="s">
        <v>2531</v>
      </c>
      <c r="P553" s="5" t="s">
        <v>2532</v>
      </c>
      <c r="Q553" s="9" t="s">
        <v>3325</v>
      </c>
      <c r="R553" s="5" t="s">
        <v>76</v>
      </c>
      <c r="S553" s="5" t="s">
        <v>64</v>
      </c>
      <c r="T553" s="96" t="s">
        <v>2533</v>
      </c>
      <c r="U553" s="96" t="s">
        <v>271</v>
      </c>
      <c r="V553" s="96" t="s">
        <v>271</v>
      </c>
      <c r="W553" s="5" t="s">
        <v>91</v>
      </c>
      <c r="X553" s="10" t="s">
        <v>79</v>
      </c>
      <c r="Y553" s="11">
        <v>34253.56</v>
      </c>
      <c r="Z553" s="12">
        <v>1</v>
      </c>
      <c r="AA553" s="12">
        <v>0.2</v>
      </c>
      <c r="AB553" s="12">
        <v>0.1</v>
      </c>
      <c r="AC553" s="13">
        <v>0.1</v>
      </c>
      <c r="AD553" s="14">
        <f t="shared" si="18"/>
        <v>1.4000000000000001</v>
      </c>
      <c r="AE553" s="15">
        <f t="shared" si="19"/>
        <v>7.1428571428571425E-2</v>
      </c>
      <c r="AF553" s="16">
        <v>25</v>
      </c>
      <c r="AG553" s="16">
        <v>25</v>
      </c>
      <c r="AH553" s="17" t="s">
        <v>66</v>
      </c>
      <c r="AI553" s="18">
        <v>71.900000000000006</v>
      </c>
      <c r="AJ553" s="19">
        <v>0.92700000000000005</v>
      </c>
      <c r="AK553" s="20">
        <v>0.94699999999999995</v>
      </c>
      <c r="AL553" s="17" t="s">
        <v>261</v>
      </c>
      <c r="AM553" s="5" t="s">
        <v>2422</v>
      </c>
      <c r="AN553" s="5" t="s">
        <v>66</v>
      </c>
      <c r="AO553" s="5" t="s">
        <v>66</v>
      </c>
      <c r="AP553" s="5" t="s">
        <v>66</v>
      </c>
      <c r="AQ553" s="5" t="s">
        <v>66</v>
      </c>
      <c r="AR553" s="5" t="s">
        <v>66</v>
      </c>
      <c r="AS553" s="5" t="s">
        <v>66</v>
      </c>
      <c r="AT553" s="5" t="s">
        <v>66</v>
      </c>
      <c r="AU553" s="5" t="s">
        <v>66</v>
      </c>
      <c r="AV553" s="5" t="s">
        <v>66</v>
      </c>
      <c r="AW553" s="5" t="s">
        <v>66</v>
      </c>
      <c r="AX553" s="5" t="s">
        <v>2534</v>
      </c>
      <c r="AY553" s="5" t="s">
        <v>69</v>
      </c>
      <c r="AZ553" s="5" t="s">
        <v>145</v>
      </c>
      <c r="BA553" s="19" t="s">
        <v>3329</v>
      </c>
      <c r="BB553" s="17" t="s">
        <v>65</v>
      </c>
      <c r="BC553" s="5" t="s">
        <v>2535</v>
      </c>
      <c r="BD553" s="5" t="s">
        <v>3327</v>
      </c>
    </row>
    <row r="554" spans="1:56" ht="84" hidden="1" x14ac:dyDescent="0.25">
      <c r="A554" s="78" t="s">
        <v>2186</v>
      </c>
      <c r="B554" s="5" t="s">
        <v>433</v>
      </c>
      <c r="C554" s="5" t="s">
        <v>3293</v>
      </c>
      <c r="D554" s="5" t="s">
        <v>252</v>
      </c>
      <c r="E554" s="99" t="str">
        <f>VLOOKUP(D554,'Dropdown List'!$F$26:$G$40,2,0)</f>
        <v>India</v>
      </c>
      <c r="F554" s="8" t="s">
        <v>2187</v>
      </c>
      <c r="G554" s="96">
        <v>7</v>
      </c>
      <c r="H554" s="5" t="s">
        <v>57</v>
      </c>
      <c r="I554" s="8" t="s">
        <v>71</v>
      </c>
      <c r="J554" s="8" t="s">
        <v>112</v>
      </c>
      <c r="K554" s="8" t="s">
        <v>1202</v>
      </c>
      <c r="L554" s="8" t="s">
        <v>2549</v>
      </c>
      <c r="M554" s="8" t="s">
        <v>2550</v>
      </c>
      <c r="N554" s="5" t="s">
        <v>268</v>
      </c>
      <c r="O554" s="5" t="s">
        <v>2531</v>
      </c>
      <c r="P554" s="5" t="s">
        <v>2532</v>
      </c>
      <c r="Q554" s="9" t="s">
        <v>3325</v>
      </c>
      <c r="R554" s="5" t="s">
        <v>76</v>
      </c>
      <c r="S554" s="5" t="s">
        <v>64</v>
      </c>
      <c r="T554" s="96" t="s">
        <v>2533</v>
      </c>
      <c r="U554" s="96" t="s">
        <v>271</v>
      </c>
      <c r="V554" s="96" t="s">
        <v>271</v>
      </c>
      <c r="W554" s="5" t="s">
        <v>91</v>
      </c>
      <c r="X554" s="10" t="s">
        <v>79</v>
      </c>
      <c r="Y554" s="11">
        <v>34253.56</v>
      </c>
      <c r="Z554" s="12">
        <v>5.7362570526424761E-3</v>
      </c>
      <c r="AA554" s="12">
        <v>0.2</v>
      </c>
      <c r="AB554" s="12">
        <v>0</v>
      </c>
      <c r="AC554" s="13">
        <v>0.1</v>
      </c>
      <c r="AD554" s="14">
        <f t="shared" si="18"/>
        <v>0.30573625705264251</v>
      </c>
      <c r="AE554" s="15">
        <f t="shared" si="19"/>
        <v>0.32707929692088084</v>
      </c>
      <c r="AF554" s="16">
        <v>2</v>
      </c>
      <c r="AG554" s="16">
        <v>2</v>
      </c>
      <c r="AH554" s="17" t="s">
        <v>66</v>
      </c>
      <c r="AI554" s="18">
        <v>17</v>
      </c>
      <c r="AJ554" s="19">
        <v>0.92700000000000005</v>
      </c>
      <c r="AK554" s="20">
        <v>0.94699999999999995</v>
      </c>
      <c r="AL554" s="17" t="s">
        <v>261</v>
      </c>
      <c r="AM554" s="5" t="s">
        <v>2422</v>
      </c>
      <c r="AN554" s="5" t="s">
        <v>66</v>
      </c>
      <c r="AO554" s="5" t="s">
        <v>66</v>
      </c>
      <c r="AP554" s="5" t="s">
        <v>66</v>
      </c>
      <c r="AQ554" s="5" t="s">
        <v>66</v>
      </c>
      <c r="AR554" s="5" t="s">
        <v>66</v>
      </c>
      <c r="AS554" s="5" t="s">
        <v>66</v>
      </c>
      <c r="AT554" s="5" t="s">
        <v>66</v>
      </c>
      <c r="AU554" s="5" t="s">
        <v>66</v>
      </c>
      <c r="AV554" s="5" t="s">
        <v>66</v>
      </c>
      <c r="AW554" s="5" t="s">
        <v>66</v>
      </c>
      <c r="AX554" s="5" t="s">
        <v>2534</v>
      </c>
      <c r="AY554" s="5" t="s">
        <v>94</v>
      </c>
      <c r="AZ554" s="5" t="s">
        <v>80</v>
      </c>
      <c r="BA554" s="19" t="s">
        <v>2551</v>
      </c>
      <c r="BB554" s="17" t="s">
        <v>353</v>
      </c>
      <c r="BC554" s="5" t="s">
        <v>2535</v>
      </c>
      <c r="BD554" s="5" t="s">
        <v>3327</v>
      </c>
    </row>
    <row r="555" spans="1:56" ht="84" hidden="1" x14ac:dyDescent="0.25">
      <c r="A555" s="78" t="s">
        <v>2186</v>
      </c>
      <c r="B555" s="5" t="s">
        <v>433</v>
      </c>
      <c r="C555" s="5" t="s">
        <v>3293</v>
      </c>
      <c r="D555" s="5" t="s">
        <v>252</v>
      </c>
      <c r="E555" s="99" t="str">
        <f>VLOOKUP(D555,'Dropdown List'!$F$26:$G$40,2,0)</f>
        <v>India</v>
      </c>
      <c r="F555" s="8" t="s">
        <v>2187</v>
      </c>
      <c r="G555" s="96">
        <v>7</v>
      </c>
      <c r="H555" s="5" t="s">
        <v>57</v>
      </c>
      <c r="I555" s="8" t="s">
        <v>71</v>
      </c>
      <c r="J555" s="8" t="s">
        <v>112</v>
      </c>
      <c r="K555" s="8" t="s">
        <v>1202</v>
      </c>
      <c r="L555" s="8" t="s">
        <v>1211</v>
      </c>
      <c r="M555" s="8" t="s">
        <v>2552</v>
      </c>
      <c r="N555" s="5" t="s">
        <v>268</v>
      </c>
      <c r="O555" s="5" t="s">
        <v>2531</v>
      </c>
      <c r="P555" s="5" t="s">
        <v>2532</v>
      </c>
      <c r="Q555" s="9" t="s">
        <v>3325</v>
      </c>
      <c r="R555" s="5" t="s">
        <v>76</v>
      </c>
      <c r="S555" s="5" t="s">
        <v>64</v>
      </c>
      <c r="T555" s="96" t="s">
        <v>2533</v>
      </c>
      <c r="U555" s="96" t="s">
        <v>271</v>
      </c>
      <c r="V555" s="96" t="s">
        <v>271</v>
      </c>
      <c r="W555" s="5" t="s">
        <v>91</v>
      </c>
      <c r="X555" s="10" t="s">
        <v>79</v>
      </c>
      <c r="Y555" s="11">
        <v>34253.56</v>
      </c>
      <c r="Z555" s="12">
        <v>5.0000000000000001E-3</v>
      </c>
      <c r="AA555" s="12">
        <v>0.2</v>
      </c>
      <c r="AB555" s="12">
        <v>0</v>
      </c>
      <c r="AC555" s="13">
        <v>0.1</v>
      </c>
      <c r="AD555" s="14">
        <f t="shared" si="18"/>
        <v>0.30500000000000005</v>
      </c>
      <c r="AE555" s="15">
        <f t="shared" si="19"/>
        <v>0.32786885245901637</v>
      </c>
      <c r="AF555" s="16">
        <v>1</v>
      </c>
      <c r="AG555" s="16">
        <v>1</v>
      </c>
      <c r="AH555" s="17" t="s">
        <v>66</v>
      </c>
      <c r="AI555" s="18">
        <v>8</v>
      </c>
      <c r="AJ555" s="19">
        <v>0.92700000000000005</v>
      </c>
      <c r="AK555" s="20">
        <v>0.94699999999999995</v>
      </c>
      <c r="AL555" s="17" t="s">
        <v>261</v>
      </c>
      <c r="AM555" s="5" t="s">
        <v>2422</v>
      </c>
      <c r="AN555" s="5" t="s">
        <v>66</v>
      </c>
      <c r="AO555" s="5" t="s">
        <v>66</v>
      </c>
      <c r="AP555" s="5" t="s">
        <v>66</v>
      </c>
      <c r="AQ555" s="5" t="s">
        <v>66</v>
      </c>
      <c r="AR555" s="5" t="s">
        <v>66</v>
      </c>
      <c r="AS555" s="5" t="s">
        <v>66</v>
      </c>
      <c r="AT555" s="5" t="s">
        <v>66</v>
      </c>
      <c r="AU555" s="5" t="s">
        <v>66</v>
      </c>
      <c r="AV555" s="5" t="s">
        <v>66</v>
      </c>
      <c r="AW555" s="5" t="s">
        <v>66</v>
      </c>
      <c r="AX555" s="5" t="s">
        <v>2534</v>
      </c>
      <c r="AY555" s="5" t="s">
        <v>69</v>
      </c>
      <c r="AZ555" s="5" t="s">
        <v>80</v>
      </c>
      <c r="BA555" s="19" t="s">
        <v>2551</v>
      </c>
      <c r="BB555" s="17" t="s">
        <v>353</v>
      </c>
      <c r="BC555" s="5" t="s">
        <v>2535</v>
      </c>
      <c r="BD555" s="5" t="s">
        <v>3327</v>
      </c>
    </row>
    <row r="556" spans="1:56" ht="72" hidden="1" x14ac:dyDescent="0.25">
      <c r="A556" s="78" t="s">
        <v>2186</v>
      </c>
      <c r="B556" s="5" t="s">
        <v>433</v>
      </c>
      <c r="C556" s="5" t="s">
        <v>3293</v>
      </c>
      <c r="D556" s="5" t="s">
        <v>252</v>
      </c>
      <c r="E556" s="99" t="str">
        <f>VLOOKUP(D556,'Dropdown List'!$F$26:$G$40,2,0)</f>
        <v>India</v>
      </c>
      <c r="F556" s="8" t="s">
        <v>2187</v>
      </c>
      <c r="G556" s="96">
        <v>7</v>
      </c>
      <c r="H556" s="5" t="s">
        <v>57</v>
      </c>
      <c r="I556" s="8" t="s">
        <v>71</v>
      </c>
      <c r="J556" s="8" t="s">
        <v>2702</v>
      </c>
      <c r="K556" s="8" t="s">
        <v>372</v>
      </c>
      <c r="L556" s="8" t="s">
        <v>2553</v>
      </c>
      <c r="M556" s="8" t="s">
        <v>2554</v>
      </c>
      <c r="N556" s="5" t="s">
        <v>268</v>
      </c>
      <c r="O556" s="5" t="s">
        <v>61</v>
      </c>
      <c r="P556" s="5" t="s">
        <v>2555</v>
      </c>
      <c r="Q556" s="9" t="s">
        <v>615</v>
      </c>
      <c r="R556" s="5" t="s">
        <v>76</v>
      </c>
      <c r="S556" s="5" t="s">
        <v>90</v>
      </c>
      <c r="T556" s="96" t="s">
        <v>2533</v>
      </c>
      <c r="U556" s="96" t="s">
        <v>2556</v>
      </c>
      <c r="V556" s="96" t="s">
        <v>2556</v>
      </c>
      <c r="W556" s="5" t="s">
        <v>91</v>
      </c>
      <c r="X556" s="10" t="s">
        <v>79</v>
      </c>
      <c r="Y556" s="11">
        <v>34253.56</v>
      </c>
      <c r="Z556" s="12">
        <v>0.5</v>
      </c>
      <c r="AA556" s="12">
        <v>0</v>
      </c>
      <c r="AB556" s="12">
        <v>0</v>
      </c>
      <c r="AC556" s="13">
        <v>0</v>
      </c>
      <c r="AD556" s="14">
        <f t="shared" si="18"/>
        <v>0.5</v>
      </c>
      <c r="AE556" s="15">
        <f t="shared" si="19"/>
        <v>0</v>
      </c>
      <c r="AF556" s="16">
        <v>120</v>
      </c>
      <c r="AG556" s="16">
        <v>120</v>
      </c>
      <c r="AH556" s="17" t="s">
        <v>66</v>
      </c>
      <c r="AI556" s="18">
        <v>26</v>
      </c>
      <c r="AJ556" s="19">
        <v>0.95</v>
      </c>
      <c r="AK556" s="20">
        <v>0.94699999999999995</v>
      </c>
      <c r="AL556" s="17" t="s">
        <v>261</v>
      </c>
      <c r="AM556" s="5" t="s">
        <v>2422</v>
      </c>
      <c r="AN556" s="5" t="s">
        <v>66</v>
      </c>
      <c r="AO556" s="5" t="s">
        <v>66</v>
      </c>
      <c r="AP556" s="5" t="s">
        <v>66</v>
      </c>
      <c r="AQ556" s="5" t="s">
        <v>66</v>
      </c>
      <c r="AR556" s="5" t="s">
        <v>66</v>
      </c>
      <c r="AS556" s="5" t="s">
        <v>66</v>
      </c>
      <c r="AT556" s="5" t="s">
        <v>66</v>
      </c>
      <c r="AU556" s="5" t="s">
        <v>66</v>
      </c>
      <c r="AV556" s="5" t="s">
        <v>66</v>
      </c>
      <c r="AW556" s="5" t="s">
        <v>66</v>
      </c>
      <c r="AX556" s="5" t="s">
        <v>2534</v>
      </c>
      <c r="AY556" s="5" t="s">
        <v>94</v>
      </c>
      <c r="AZ556" s="5" t="s">
        <v>80</v>
      </c>
      <c r="BA556" s="19" t="s">
        <v>2557</v>
      </c>
      <c r="BB556" s="17" t="s">
        <v>65</v>
      </c>
      <c r="BC556" s="5" t="s">
        <v>2535</v>
      </c>
      <c r="BD556" s="5" t="s">
        <v>3330</v>
      </c>
    </row>
    <row r="557" spans="1:56" ht="84" hidden="1" x14ac:dyDescent="0.25">
      <c r="A557" s="78" t="s">
        <v>2186</v>
      </c>
      <c r="B557" s="5" t="s">
        <v>433</v>
      </c>
      <c r="C557" s="5" t="s">
        <v>3293</v>
      </c>
      <c r="D557" s="5" t="s">
        <v>252</v>
      </c>
      <c r="E557" s="99" t="str">
        <f>VLOOKUP(D557,'Dropdown List'!$F$26:$G$40,2,0)</f>
        <v>India</v>
      </c>
      <c r="F557" s="8" t="s">
        <v>2187</v>
      </c>
      <c r="G557" s="96">
        <v>6</v>
      </c>
      <c r="H557" s="5" t="s">
        <v>57</v>
      </c>
      <c r="I557" s="8" t="s">
        <v>71</v>
      </c>
      <c r="J557" s="8" t="s">
        <v>292</v>
      </c>
      <c r="K557" s="8" t="s">
        <v>2558</v>
      </c>
      <c r="L557" s="8" t="s">
        <v>2559</v>
      </c>
      <c r="M557" s="8" t="s">
        <v>2560</v>
      </c>
      <c r="N557" s="5" t="s">
        <v>1034</v>
      </c>
      <c r="O557" s="5" t="s">
        <v>279</v>
      </c>
      <c r="P557" s="5" t="s">
        <v>3331</v>
      </c>
      <c r="Q557" s="9" t="s">
        <v>270</v>
      </c>
      <c r="R557" s="5" t="s">
        <v>76</v>
      </c>
      <c r="S557" s="5" t="s">
        <v>64</v>
      </c>
      <c r="T557" s="96" t="s">
        <v>2533</v>
      </c>
      <c r="U557" s="96">
        <v>4</v>
      </c>
      <c r="V557" s="96">
        <v>4</v>
      </c>
      <c r="W557" s="5" t="s">
        <v>91</v>
      </c>
      <c r="X557" s="10" t="s">
        <v>79</v>
      </c>
      <c r="Y557" s="11">
        <v>34253.56</v>
      </c>
      <c r="Z557" s="12">
        <v>13</v>
      </c>
      <c r="AA557" s="12">
        <v>1</v>
      </c>
      <c r="AB557" s="12">
        <v>0.5</v>
      </c>
      <c r="AC557" s="13">
        <v>1</v>
      </c>
      <c r="AD557" s="14">
        <f t="shared" si="18"/>
        <v>15.5</v>
      </c>
      <c r="AE557" s="15">
        <f t="shared" si="19"/>
        <v>6.4516129032258063E-2</v>
      </c>
      <c r="AF557" s="16">
        <v>200</v>
      </c>
      <c r="AG557" s="16">
        <v>200</v>
      </c>
      <c r="AH557" s="17" t="s">
        <v>66</v>
      </c>
      <c r="AI557" s="18">
        <v>150</v>
      </c>
      <c r="AJ557" s="19">
        <v>0.93</v>
      </c>
      <c r="AK557" s="20">
        <v>0.93500000000000005</v>
      </c>
      <c r="AL557" s="17" t="s">
        <v>261</v>
      </c>
      <c r="AM557" s="5" t="s">
        <v>2422</v>
      </c>
      <c r="AN557" s="5" t="s">
        <v>66</v>
      </c>
      <c r="AO557" s="5" t="s">
        <v>66</v>
      </c>
      <c r="AP557" s="5" t="s">
        <v>66</v>
      </c>
      <c r="AQ557" s="5" t="s">
        <v>2561</v>
      </c>
      <c r="AR557" s="5" t="s">
        <v>2562</v>
      </c>
      <c r="AS557" s="5" t="s">
        <v>1134</v>
      </c>
      <c r="AT557" s="5" t="s">
        <v>66</v>
      </c>
      <c r="AU557" s="5" t="s">
        <v>66</v>
      </c>
      <c r="AV557" s="5" t="s">
        <v>66</v>
      </c>
      <c r="AW557" s="5" t="s">
        <v>66</v>
      </c>
      <c r="AX557" s="5" t="s">
        <v>2534</v>
      </c>
      <c r="AY557" s="5" t="s">
        <v>673</v>
      </c>
      <c r="AZ557" s="5" t="s">
        <v>80</v>
      </c>
      <c r="BA557" s="19" t="s">
        <v>2563</v>
      </c>
      <c r="BB557" s="17" t="s">
        <v>673</v>
      </c>
      <c r="BC557" s="5" t="s">
        <v>2535</v>
      </c>
      <c r="BD557" s="5" t="s">
        <v>3332</v>
      </c>
    </row>
    <row r="558" spans="1:56" ht="84" hidden="1" x14ac:dyDescent="0.25">
      <c r="A558" s="78" t="s">
        <v>2186</v>
      </c>
      <c r="B558" s="5" t="s">
        <v>433</v>
      </c>
      <c r="C558" s="5" t="s">
        <v>3293</v>
      </c>
      <c r="D558" s="5" t="s">
        <v>252</v>
      </c>
      <c r="E558" s="99" t="str">
        <f>VLOOKUP(D558,'Dropdown List'!$F$26:$G$40,2,0)</f>
        <v>India</v>
      </c>
      <c r="F558" s="8" t="s">
        <v>2187</v>
      </c>
      <c r="G558" s="96">
        <v>7</v>
      </c>
      <c r="H558" s="5" t="s">
        <v>85</v>
      </c>
      <c r="I558" s="8" t="s">
        <v>71</v>
      </c>
      <c r="J558" s="8" t="s">
        <v>2702</v>
      </c>
      <c r="K558" s="8" t="s">
        <v>855</v>
      </c>
      <c r="L558" s="8" t="s">
        <v>2564</v>
      </c>
      <c r="M558" s="8" t="s">
        <v>2565</v>
      </c>
      <c r="N558" s="5" t="s">
        <v>1034</v>
      </c>
      <c r="O558" s="5" t="s">
        <v>61</v>
      </c>
      <c r="P558" s="5" t="s">
        <v>2566</v>
      </c>
      <c r="Q558" s="9" t="s">
        <v>75</v>
      </c>
      <c r="R558" s="5" t="s">
        <v>76</v>
      </c>
      <c r="S558" s="5" t="s">
        <v>64</v>
      </c>
      <c r="T558" s="96" t="s">
        <v>2533</v>
      </c>
      <c r="U558" s="96" t="s">
        <v>271</v>
      </c>
      <c r="V558" s="96" t="s">
        <v>2567</v>
      </c>
      <c r="W558" s="5" t="s">
        <v>91</v>
      </c>
      <c r="X558" s="10" t="s">
        <v>79</v>
      </c>
      <c r="Y558" s="11">
        <v>34253.56</v>
      </c>
      <c r="Z558" s="12">
        <v>0</v>
      </c>
      <c r="AA558" s="12">
        <v>0</v>
      </c>
      <c r="AB558" s="12">
        <v>0.5</v>
      </c>
      <c r="AC558" s="13">
        <v>0</v>
      </c>
      <c r="AD558" s="14">
        <f t="shared" si="18"/>
        <v>0.5</v>
      </c>
      <c r="AE558" s="15">
        <f t="shared" si="19"/>
        <v>0</v>
      </c>
      <c r="AF558" s="16">
        <v>2</v>
      </c>
      <c r="AG558" s="16" t="s">
        <v>2568</v>
      </c>
      <c r="AH558" s="17" t="s">
        <v>66</v>
      </c>
      <c r="AI558" s="18" t="s">
        <v>2569</v>
      </c>
      <c r="AJ558" s="19">
        <v>0.95</v>
      </c>
      <c r="AK558" s="20">
        <v>0.94699999999999995</v>
      </c>
      <c r="AL558" s="17" t="s">
        <v>261</v>
      </c>
      <c r="AM558" s="5" t="s">
        <v>2422</v>
      </c>
      <c r="AN558" s="5" t="s">
        <v>66</v>
      </c>
      <c r="AO558" s="5" t="s">
        <v>66</v>
      </c>
      <c r="AP558" s="5" t="s">
        <v>2570</v>
      </c>
      <c r="AQ558" s="5" t="s">
        <v>66</v>
      </c>
      <c r="AR558" s="5" t="s">
        <v>66</v>
      </c>
      <c r="AS558" s="5" t="s">
        <v>66</v>
      </c>
      <c r="AT558" s="5" t="s">
        <v>66</v>
      </c>
      <c r="AU558" s="5" t="s">
        <v>66</v>
      </c>
      <c r="AV558" s="5" t="s">
        <v>66</v>
      </c>
      <c r="AW558" s="5" t="s">
        <v>2571</v>
      </c>
      <c r="AX558" s="5" t="s">
        <v>2572</v>
      </c>
      <c r="AY558" s="5" t="s">
        <v>69</v>
      </c>
      <c r="AZ558" s="5" t="s">
        <v>145</v>
      </c>
      <c r="BA558" s="19" t="s">
        <v>2573</v>
      </c>
      <c r="BB558" s="17" t="s">
        <v>353</v>
      </c>
      <c r="BC558" s="5" t="s">
        <v>2574</v>
      </c>
      <c r="BD558" s="5" t="s">
        <v>3333</v>
      </c>
    </row>
    <row r="559" spans="1:56" ht="96" hidden="1" x14ac:dyDescent="0.25">
      <c r="A559" s="78" t="s">
        <v>2186</v>
      </c>
      <c r="B559" s="5" t="s">
        <v>433</v>
      </c>
      <c r="C559" s="5" t="s">
        <v>3293</v>
      </c>
      <c r="D559" s="5" t="s">
        <v>252</v>
      </c>
      <c r="E559" s="99" t="str">
        <f>VLOOKUP(D559,'Dropdown List'!$F$26:$G$40,2,0)</f>
        <v>India</v>
      </c>
      <c r="F559" s="8" t="s">
        <v>2187</v>
      </c>
      <c r="G559" s="96">
        <v>7</v>
      </c>
      <c r="H559" s="5" t="s">
        <v>57</v>
      </c>
      <c r="I559" s="8" t="s">
        <v>71</v>
      </c>
      <c r="J559" s="8" t="s">
        <v>2702</v>
      </c>
      <c r="K559" s="8" t="s">
        <v>2575</v>
      </c>
      <c r="L559" s="8" t="s">
        <v>2576</v>
      </c>
      <c r="M559" s="8" t="s">
        <v>2577</v>
      </c>
      <c r="N559" s="5" t="s">
        <v>1034</v>
      </c>
      <c r="O559" s="5" t="s">
        <v>1069</v>
      </c>
      <c r="P559" s="5" t="s">
        <v>1069</v>
      </c>
      <c r="Q559" s="9" t="s">
        <v>75</v>
      </c>
      <c r="R559" s="5" t="s">
        <v>76</v>
      </c>
      <c r="S559" s="5" t="s">
        <v>64</v>
      </c>
      <c r="T559" s="96" t="s">
        <v>2533</v>
      </c>
      <c r="U559" s="96" t="s">
        <v>271</v>
      </c>
      <c r="V559" s="96" t="s">
        <v>2567</v>
      </c>
      <c r="W559" s="5" t="s">
        <v>91</v>
      </c>
      <c r="X559" s="10" t="s">
        <v>79</v>
      </c>
      <c r="Y559" s="11">
        <v>34253.56</v>
      </c>
      <c r="Z559" s="12">
        <v>14</v>
      </c>
      <c r="AA559" s="12">
        <v>2</v>
      </c>
      <c r="AB559" s="12">
        <v>0.5</v>
      </c>
      <c r="AC559" s="13">
        <v>0</v>
      </c>
      <c r="AD559" s="14">
        <f t="shared" si="18"/>
        <v>16.5</v>
      </c>
      <c r="AE559" s="15">
        <f t="shared" si="19"/>
        <v>0</v>
      </c>
      <c r="AF559" s="16">
        <v>450</v>
      </c>
      <c r="AG559" s="16" t="s">
        <v>3334</v>
      </c>
      <c r="AH559" s="17" t="s">
        <v>66</v>
      </c>
      <c r="AI559" s="18" t="s">
        <v>3335</v>
      </c>
      <c r="AJ559" s="19">
        <v>0.95</v>
      </c>
      <c r="AK559" s="20">
        <v>0.94699999999999995</v>
      </c>
      <c r="AL559" s="17" t="s">
        <v>261</v>
      </c>
      <c r="AM559" s="5" t="s">
        <v>2422</v>
      </c>
      <c r="AN559" s="5" t="s">
        <v>66</v>
      </c>
      <c r="AO559" s="5" t="s">
        <v>66</v>
      </c>
      <c r="AP559" s="5" t="s">
        <v>2570</v>
      </c>
      <c r="AQ559" s="5" t="s">
        <v>66</v>
      </c>
      <c r="AR559" s="5" t="s">
        <v>66</v>
      </c>
      <c r="AS559" s="5" t="s">
        <v>66</v>
      </c>
      <c r="AT559" s="5" t="s">
        <v>66</v>
      </c>
      <c r="AU559" s="5" t="s">
        <v>66</v>
      </c>
      <c r="AV559" s="5" t="s">
        <v>66</v>
      </c>
      <c r="AW559" s="5" t="s">
        <v>2571</v>
      </c>
      <c r="AX559" s="5" t="s">
        <v>2572</v>
      </c>
      <c r="AY559" s="5" t="s">
        <v>69</v>
      </c>
      <c r="AZ559" s="5" t="s">
        <v>145</v>
      </c>
      <c r="BA559" s="19" t="s">
        <v>2573</v>
      </c>
      <c r="BB559" s="17" t="s">
        <v>353</v>
      </c>
      <c r="BC559" s="5" t="s">
        <v>2574</v>
      </c>
      <c r="BD559" s="5" t="s">
        <v>3336</v>
      </c>
    </row>
    <row r="560" spans="1:56" ht="84" hidden="1" x14ac:dyDescent="0.25">
      <c r="A560" s="78" t="s">
        <v>2186</v>
      </c>
      <c r="B560" s="5" t="s">
        <v>433</v>
      </c>
      <c r="C560" s="5" t="s">
        <v>3293</v>
      </c>
      <c r="D560" s="5" t="s">
        <v>252</v>
      </c>
      <c r="E560" s="99" t="str">
        <f>VLOOKUP(D560,'Dropdown List'!$F$26:$G$40,2,0)</f>
        <v>India</v>
      </c>
      <c r="F560" s="8" t="s">
        <v>2187</v>
      </c>
      <c r="G560" s="96">
        <v>7</v>
      </c>
      <c r="H560" s="5" t="s">
        <v>85</v>
      </c>
      <c r="I560" s="8" t="s">
        <v>71</v>
      </c>
      <c r="J560" s="8" t="s">
        <v>102</v>
      </c>
      <c r="K560" s="8" t="s">
        <v>516</v>
      </c>
      <c r="L560" s="8" t="s">
        <v>516</v>
      </c>
      <c r="M560" s="8" t="s">
        <v>2579</v>
      </c>
      <c r="N560" s="5" t="s">
        <v>1034</v>
      </c>
      <c r="O560" s="5" t="s">
        <v>61</v>
      </c>
      <c r="P560" s="5" t="s">
        <v>2566</v>
      </c>
      <c r="Q560" s="9" t="s">
        <v>75</v>
      </c>
      <c r="R560" s="5" t="s">
        <v>76</v>
      </c>
      <c r="S560" s="5" t="s">
        <v>64</v>
      </c>
      <c r="T560" s="96" t="s">
        <v>2533</v>
      </c>
      <c r="U560" s="96" t="s">
        <v>273</v>
      </c>
      <c r="V560" s="96" t="s">
        <v>271</v>
      </c>
      <c r="W560" s="5" t="s">
        <v>91</v>
      </c>
      <c r="X560" s="10" t="s">
        <v>79</v>
      </c>
      <c r="Y560" s="11">
        <v>34253.56</v>
      </c>
      <c r="Z560" s="12">
        <v>0</v>
      </c>
      <c r="AA560" s="12">
        <v>0</v>
      </c>
      <c r="AB560" s="12">
        <v>0</v>
      </c>
      <c r="AC560" s="13">
        <v>0</v>
      </c>
      <c r="AD560" s="14">
        <f t="shared" si="18"/>
        <v>0</v>
      </c>
      <c r="AE560" s="15" t="e">
        <f t="shared" si="19"/>
        <v>#DIV/0!</v>
      </c>
      <c r="AF560" s="16">
        <v>2</v>
      </c>
      <c r="AG560" s="16" t="s">
        <v>2578</v>
      </c>
      <c r="AH560" s="17" t="s">
        <v>66</v>
      </c>
      <c r="AI560" s="18" t="s">
        <v>2580</v>
      </c>
      <c r="AJ560" s="19">
        <v>0.95</v>
      </c>
      <c r="AK560" s="20">
        <v>0.94699999999999995</v>
      </c>
      <c r="AL560" s="17" t="s">
        <v>261</v>
      </c>
      <c r="AM560" s="5" t="s">
        <v>2422</v>
      </c>
      <c r="AN560" s="5" t="s">
        <v>66</v>
      </c>
      <c r="AO560" s="5" t="s">
        <v>66</v>
      </c>
      <c r="AP560" s="5" t="s">
        <v>2570</v>
      </c>
      <c r="AQ560" s="5" t="s">
        <v>66</v>
      </c>
      <c r="AR560" s="5" t="s">
        <v>66</v>
      </c>
      <c r="AS560" s="5" t="s">
        <v>66</v>
      </c>
      <c r="AT560" s="5" t="s">
        <v>66</v>
      </c>
      <c r="AU560" s="5" t="s">
        <v>66</v>
      </c>
      <c r="AV560" s="5" t="s">
        <v>66</v>
      </c>
      <c r="AW560" s="5" t="s">
        <v>2581</v>
      </c>
      <c r="AX560" s="5" t="s">
        <v>2572</v>
      </c>
      <c r="AY560" s="5" t="s">
        <v>69</v>
      </c>
      <c r="AZ560" s="5" t="s">
        <v>145</v>
      </c>
      <c r="BA560" s="19" t="s">
        <v>2573</v>
      </c>
      <c r="BB560" s="17" t="s">
        <v>353</v>
      </c>
      <c r="BC560" s="5" t="s">
        <v>1539</v>
      </c>
      <c r="BD560" s="5" t="s">
        <v>3333</v>
      </c>
    </row>
    <row r="561" spans="1:56" ht="84" hidden="1" x14ac:dyDescent="0.25">
      <c r="A561" s="78" t="s">
        <v>2186</v>
      </c>
      <c r="B561" s="5" t="s">
        <v>433</v>
      </c>
      <c r="C561" s="5" t="s">
        <v>3293</v>
      </c>
      <c r="D561" s="5" t="s">
        <v>252</v>
      </c>
      <c r="E561" s="99" t="str">
        <f>VLOOKUP(D561,'Dropdown List'!$F$26:$G$40,2,0)</f>
        <v>India</v>
      </c>
      <c r="F561" s="8" t="s">
        <v>2187</v>
      </c>
      <c r="G561" s="96">
        <v>6</v>
      </c>
      <c r="H561" s="5" t="s">
        <v>85</v>
      </c>
      <c r="I561" s="8" t="s">
        <v>71</v>
      </c>
      <c r="J561" s="8" t="s">
        <v>102</v>
      </c>
      <c r="K561" s="8" t="s">
        <v>369</v>
      </c>
      <c r="L561" s="8" t="s">
        <v>369</v>
      </c>
      <c r="M561" s="8" t="s">
        <v>2582</v>
      </c>
      <c r="N561" s="5" t="s">
        <v>1034</v>
      </c>
      <c r="O561" s="5" t="s">
        <v>61</v>
      </c>
      <c r="P561" s="5" t="s">
        <v>2566</v>
      </c>
      <c r="Q561" s="9" t="s">
        <v>75</v>
      </c>
      <c r="R561" s="5" t="s">
        <v>76</v>
      </c>
      <c r="S561" s="5" t="s">
        <v>64</v>
      </c>
      <c r="T561" s="96" t="s">
        <v>2533</v>
      </c>
      <c r="U561" s="96" t="s">
        <v>273</v>
      </c>
      <c r="V561" s="96" t="s">
        <v>271</v>
      </c>
      <c r="W561" s="5" t="s">
        <v>91</v>
      </c>
      <c r="X561" s="10" t="s">
        <v>79</v>
      </c>
      <c r="Y561" s="11">
        <v>34253.56</v>
      </c>
      <c r="Z561" s="12">
        <v>0</v>
      </c>
      <c r="AA561" s="12">
        <v>0</v>
      </c>
      <c r="AB561" s="12">
        <v>0</v>
      </c>
      <c r="AC561" s="13">
        <v>0</v>
      </c>
      <c r="AD561" s="14">
        <f t="shared" si="18"/>
        <v>0</v>
      </c>
      <c r="AE561" s="15" t="e">
        <f t="shared" si="19"/>
        <v>#DIV/0!</v>
      </c>
      <c r="AF561" s="16">
        <v>0</v>
      </c>
      <c r="AG561" s="16">
        <v>0</v>
      </c>
      <c r="AH561" s="17" t="s">
        <v>66</v>
      </c>
      <c r="AI561" s="18" t="s">
        <v>66</v>
      </c>
      <c r="AJ561" s="19">
        <v>0.95</v>
      </c>
      <c r="AK561" s="20">
        <v>0.94699999999999995</v>
      </c>
      <c r="AL561" s="17" t="s">
        <v>261</v>
      </c>
      <c r="AM561" s="5" t="s">
        <v>2422</v>
      </c>
      <c r="AN561" s="5" t="s">
        <v>66</v>
      </c>
      <c r="AO561" s="5" t="s">
        <v>66</v>
      </c>
      <c r="AP561" s="5" t="s">
        <v>2570</v>
      </c>
      <c r="AQ561" s="5" t="s">
        <v>66</v>
      </c>
      <c r="AR561" s="5"/>
      <c r="AS561" s="5" t="s">
        <v>66</v>
      </c>
      <c r="AT561" s="5" t="s">
        <v>66</v>
      </c>
      <c r="AU561" s="5" t="s">
        <v>66</v>
      </c>
      <c r="AV561" s="5" t="s">
        <v>66</v>
      </c>
      <c r="AW561" s="5" t="s">
        <v>2581</v>
      </c>
      <c r="AX561" s="5" t="s">
        <v>2572</v>
      </c>
      <c r="AY561" s="5" t="s">
        <v>69</v>
      </c>
      <c r="AZ561" s="5" t="s">
        <v>145</v>
      </c>
      <c r="BA561" s="19" t="s">
        <v>2573</v>
      </c>
      <c r="BB561" s="17" t="s">
        <v>353</v>
      </c>
      <c r="BC561" s="5" t="s">
        <v>1539</v>
      </c>
      <c r="BD561" s="5" t="s">
        <v>3333</v>
      </c>
    </row>
    <row r="562" spans="1:56" ht="96" hidden="1" x14ac:dyDescent="0.25">
      <c r="A562" s="78" t="s">
        <v>2186</v>
      </c>
      <c r="B562" s="5" t="s">
        <v>433</v>
      </c>
      <c r="C562" s="5" t="s">
        <v>3293</v>
      </c>
      <c r="D562" s="5" t="s">
        <v>56</v>
      </c>
      <c r="E562" s="99" t="str">
        <f>VLOOKUP(D562,'Dropdown List'!$F$26:$G$40,2,0)</f>
        <v>India</v>
      </c>
      <c r="F562" s="8" t="s">
        <v>2187</v>
      </c>
      <c r="G562" s="96">
        <v>7</v>
      </c>
      <c r="H562" s="5" t="s">
        <v>57</v>
      </c>
      <c r="I562" s="8" t="s">
        <v>71</v>
      </c>
      <c r="J562" s="8" t="s">
        <v>112</v>
      </c>
      <c r="K562" s="8" t="s">
        <v>113</v>
      </c>
      <c r="L562" s="8" t="s">
        <v>2537</v>
      </c>
      <c r="M562" s="8" t="s">
        <v>2583</v>
      </c>
      <c r="N562" s="5" t="s">
        <v>1034</v>
      </c>
      <c r="O562" s="5" t="s">
        <v>61</v>
      </c>
      <c r="P562" s="5" t="s">
        <v>2566</v>
      </c>
      <c r="Q562" s="9" t="s">
        <v>75</v>
      </c>
      <c r="R562" s="5" t="s">
        <v>76</v>
      </c>
      <c r="S562" s="5" t="s">
        <v>64</v>
      </c>
      <c r="T562" s="96" t="s">
        <v>2533</v>
      </c>
      <c r="U562" s="96" t="s">
        <v>271</v>
      </c>
      <c r="V562" s="96" t="s">
        <v>2567</v>
      </c>
      <c r="W562" s="5" t="s">
        <v>91</v>
      </c>
      <c r="X562" s="10" t="s">
        <v>79</v>
      </c>
      <c r="Y562" s="11">
        <v>34253.56</v>
      </c>
      <c r="Z562" s="12">
        <v>1</v>
      </c>
      <c r="AA562" s="12">
        <v>0</v>
      </c>
      <c r="AB562" s="12">
        <v>0</v>
      </c>
      <c r="AC562" s="13">
        <v>0</v>
      </c>
      <c r="AD562" s="14">
        <f t="shared" si="18"/>
        <v>1</v>
      </c>
      <c r="AE562" s="15">
        <f t="shared" si="19"/>
        <v>0</v>
      </c>
      <c r="AF562" s="16">
        <v>20</v>
      </c>
      <c r="AG562" s="16">
        <v>20</v>
      </c>
      <c r="AH562" s="17" t="s">
        <v>66</v>
      </c>
      <c r="AI562" s="18" t="s">
        <v>3337</v>
      </c>
      <c r="AJ562" s="19">
        <v>0.95</v>
      </c>
      <c r="AK562" s="20">
        <v>0.94699999999999995</v>
      </c>
      <c r="AL562" s="17" t="s">
        <v>261</v>
      </c>
      <c r="AM562" s="5" t="s">
        <v>2422</v>
      </c>
      <c r="AN562" s="5" t="s">
        <v>66</v>
      </c>
      <c r="AO562" s="5" t="s">
        <v>66</v>
      </c>
      <c r="AP562" s="5" t="s">
        <v>2570</v>
      </c>
      <c r="AQ562" s="5" t="s">
        <v>66</v>
      </c>
      <c r="AR562" s="5" t="s">
        <v>66</v>
      </c>
      <c r="AS562" s="5" t="s">
        <v>66</v>
      </c>
      <c r="AT562" s="5" t="s">
        <v>66</v>
      </c>
      <c r="AU562" s="5" t="s">
        <v>66</v>
      </c>
      <c r="AV562" s="5" t="s">
        <v>66</v>
      </c>
      <c r="AW562" s="5" t="s">
        <v>66</v>
      </c>
      <c r="AX562" s="5" t="s">
        <v>2572</v>
      </c>
      <c r="AY562" s="5" t="s">
        <v>69</v>
      </c>
      <c r="AZ562" s="5" t="s">
        <v>145</v>
      </c>
      <c r="BA562" s="19" t="s">
        <v>2584</v>
      </c>
      <c r="BB562" s="17" t="s">
        <v>353</v>
      </c>
      <c r="BC562" s="5" t="s">
        <v>1539</v>
      </c>
      <c r="BD562" s="5" t="s">
        <v>3338</v>
      </c>
    </row>
    <row r="563" spans="1:56" ht="84" hidden="1" x14ac:dyDescent="0.25">
      <c r="A563" s="78" t="s">
        <v>2186</v>
      </c>
      <c r="B563" s="5" t="s">
        <v>433</v>
      </c>
      <c r="C563" s="5" t="s">
        <v>3293</v>
      </c>
      <c r="D563" s="5" t="s">
        <v>252</v>
      </c>
      <c r="E563" s="99" t="str">
        <f>VLOOKUP(D563,'Dropdown List'!$F$26:$G$40,2,0)</f>
        <v>India</v>
      </c>
      <c r="F563" s="8" t="s">
        <v>2187</v>
      </c>
      <c r="G563" s="96">
        <v>7</v>
      </c>
      <c r="H563" s="5" t="s">
        <v>57</v>
      </c>
      <c r="I563" s="8" t="s">
        <v>71</v>
      </c>
      <c r="J563" s="8" t="s">
        <v>102</v>
      </c>
      <c r="K563" s="8" t="s">
        <v>516</v>
      </c>
      <c r="L563" s="8" t="s">
        <v>516</v>
      </c>
      <c r="M563" s="8" t="s">
        <v>2585</v>
      </c>
      <c r="N563" s="5" t="s">
        <v>1034</v>
      </c>
      <c r="O563" s="5" t="s">
        <v>61</v>
      </c>
      <c r="P563" s="5" t="s">
        <v>2586</v>
      </c>
      <c r="Q563" s="9" t="s">
        <v>2685</v>
      </c>
      <c r="R563" s="5" t="s">
        <v>76</v>
      </c>
      <c r="S563" s="5" t="s">
        <v>64</v>
      </c>
      <c r="T563" s="96" t="s">
        <v>77</v>
      </c>
      <c r="U563" s="96" t="s">
        <v>77</v>
      </c>
      <c r="V563" s="96" t="s">
        <v>77</v>
      </c>
      <c r="W563" s="5" t="s">
        <v>91</v>
      </c>
      <c r="X563" s="10" t="s">
        <v>79</v>
      </c>
      <c r="Y563" s="11">
        <v>34253.56</v>
      </c>
      <c r="Z563" s="12">
        <v>0.5</v>
      </c>
      <c r="AA563" s="12">
        <v>1</v>
      </c>
      <c r="AB563" s="12">
        <v>0.1</v>
      </c>
      <c r="AC563" s="13">
        <v>0</v>
      </c>
      <c r="AD563" s="14">
        <f t="shared" si="18"/>
        <v>1.6</v>
      </c>
      <c r="AE563" s="15">
        <f t="shared" si="19"/>
        <v>0</v>
      </c>
      <c r="AF563" s="16">
        <v>20</v>
      </c>
      <c r="AG563" s="16">
        <v>20</v>
      </c>
      <c r="AH563" s="17" t="s">
        <v>2587</v>
      </c>
      <c r="AI563" s="18">
        <v>96.8</v>
      </c>
      <c r="AJ563" s="19">
        <v>0.96799999999999997</v>
      </c>
      <c r="AK563" s="20">
        <v>0.94699999999999995</v>
      </c>
      <c r="AL563" s="17" t="s">
        <v>261</v>
      </c>
      <c r="AM563" s="5" t="s">
        <v>2422</v>
      </c>
      <c r="AN563" s="5" t="s">
        <v>66</v>
      </c>
      <c r="AO563" s="5" t="s">
        <v>66</v>
      </c>
      <c r="AP563" s="5" t="s">
        <v>66</v>
      </c>
      <c r="AQ563" s="5" t="s">
        <v>66</v>
      </c>
      <c r="AR563" s="5" t="s">
        <v>66</v>
      </c>
      <c r="AS563" s="5" t="s">
        <v>66</v>
      </c>
      <c r="AT563" s="5" t="s">
        <v>66</v>
      </c>
      <c r="AU563" s="5" t="s">
        <v>66</v>
      </c>
      <c r="AV563" s="5" t="s">
        <v>66</v>
      </c>
      <c r="AW563" s="5" t="s">
        <v>66</v>
      </c>
      <c r="AX563" s="5" t="s">
        <v>2534</v>
      </c>
      <c r="AY563" s="5" t="s">
        <v>110</v>
      </c>
      <c r="AZ563" s="5" t="s">
        <v>145</v>
      </c>
      <c r="BA563" s="19" t="s">
        <v>2588</v>
      </c>
      <c r="BB563" s="17" t="s">
        <v>2589</v>
      </c>
      <c r="BC563" s="5" t="s">
        <v>2590</v>
      </c>
      <c r="BD563" s="5" t="s">
        <v>3339</v>
      </c>
    </row>
    <row r="564" spans="1:56" ht="84" hidden="1" x14ac:dyDescent="0.25">
      <c r="A564" s="78" t="s">
        <v>2186</v>
      </c>
      <c r="B564" s="5" t="s">
        <v>433</v>
      </c>
      <c r="C564" s="5" t="s">
        <v>3293</v>
      </c>
      <c r="D564" s="5" t="s">
        <v>252</v>
      </c>
      <c r="E564" s="99" t="str">
        <f>VLOOKUP(D564,'Dropdown List'!$F$26:$G$40,2,0)</f>
        <v>India</v>
      </c>
      <c r="F564" s="8" t="s">
        <v>2187</v>
      </c>
      <c r="G564" s="96">
        <v>7</v>
      </c>
      <c r="H564" s="5" t="s">
        <v>57</v>
      </c>
      <c r="I564" s="8" t="s">
        <v>71</v>
      </c>
      <c r="J564" s="8" t="s">
        <v>102</v>
      </c>
      <c r="K564" s="8" t="s">
        <v>369</v>
      </c>
      <c r="L564" s="8" t="s">
        <v>369</v>
      </c>
      <c r="M564" s="8" t="s">
        <v>2591</v>
      </c>
      <c r="N564" s="5" t="s">
        <v>1034</v>
      </c>
      <c r="O564" s="5" t="s">
        <v>61</v>
      </c>
      <c r="P564" s="5" t="s">
        <v>2586</v>
      </c>
      <c r="Q564" s="9" t="s">
        <v>2685</v>
      </c>
      <c r="R564" s="5" t="s">
        <v>76</v>
      </c>
      <c r="S564" s="5" t="s">
        <v>64</v>
      </c>
      <c r="T564" s="96" t="s">
        <v>77</v>
      </c>
      <c r="U564" s="96" t="s">
        <v>77</v>
      </c>
      <c r="V564" s="96" t="s">
        <v>77</v>
      </c>
      <c r="W564" s="5" t="s">
        <v>91</v>
      </c>
      <c r="X564" s="10" t="s">
        <v>79</v>
      </c>
      <c r="Y564" s="11">
        <v>34253.56</v>
      </c>
      <c r="Z564" s="12">
        <v>1.5</v>
      </c>
      <c r="AA564" s="12">
        <v>0</v>
      </c>
      <c r="AB564" s="12">
        <v>0.1</v>
      </c>
      <c r="AC564" s="13">
        <v>0</v>
      </c>
      <c r="AD564" s="14">
        <f t="shared" si="18"/>
        <v>1.6</v>
      </c>
      <c r="AE564" s="15">
        <f t="shared" si="19"/>
        <v>0</v>
      </c>
      <c r="AF564" s="16">
        <v>86</v>
      </c>
      <c r="AG564" s="16">
        <v>86</v>
      </c>
      <c r="AH564" s="17" t="s">
        <v>2587</v>
      </c>
      <c r="AI564" s="18">
        <v>90</v>
      </c>
      <c r="AJ564" s="19">
        <v>0.96799999999999997</v>
      </c>
      <c r="AK564" s="20">
        <v>0.94699999999999995</v>
      </c>
      <c r="AL564" s="17" t="s">
        <v>261</v>
      </c>
      <c r="AM564" s="5" t="s">
        <v>2422</v>
      </c>
      <c r="AN564" s="5" t="s">
        <v>66</v>
      </c>
      <c r="AO564" s="5" t="s">
        <v>66</v>
      </c>
      <c r="AP564" s="5" t="s">
        <v>66</v>
      </c>
      <c r="AQ564" s="5" t="s">
        <v>66</v>
      </c>
      <c r="AR564" s="5" t="s">
        <v>66</v>
      </c>
      <c r="AS564" s="5" t="s">
        <v>66</v>
      </c>
      <c r="AT564" s="5" t="s">
        <v>66</v>
      </c>
      <c r="AU564" s="5" t="s">
        <v>66</v>
      </c>
      <c r="AV564" s="5" t="s">
        <v>66</v>
      </c>
      <c r="AW564" s="5" t="s">
        <v>66</v>
      </c>
      <c r="AX564" s="5" t="s">
        <v>2534</v>
      </c>
      <c r="AY564" s="5" t="s">
        <v>110</v>
      </c>
      <c r="AZ564" s="5" t="s">
        <v>145</v>
      </c>
      <c r="BA564" s="19" t="s">
        <v>2588</v>
      </c>
      <c r="BB564" s="17" t="s">
        <v>2589</v>
      </c>
      <c r="BC564" s="5" t="s">
        <v>2590</v>
      </c>
      <c r="BD564" s="5" t="s">
        <v>3339</v>
      </c>
    </row>
    <row r="565" spans="1:56" ht="84" hidden="1" x14ac:dyDescent="0.25">
      <c r="A565" s="78" t="s">
        <v>2186</v>
      </c>
      <c r="B565" s="5" t="s">
        <v>433</v>
      </c>
      <c r="C565" s="5" t="s">
        <v>3293</v>
      </c>
      <c r="D565" s="5" t="s">
        <v>252</v>
      </c>
      <c r="E565" s="99" t="str">
        <f>VLOOKUP(D565,'Dropdown List'!$F$26:$G$40,2,0)</f>
        <v>India</v>
      </c>
      <c r="F565" s="8" t="s">
        <v>2187</v>
      </c>
      <c r="G565" s="96">
        <v>7</v>
      </c>
      <c r="H565" s="5" t="s">
        <v>57</v>
      </c>
      <c r="I565" s="8" t="s">
        <v>71</v>
      </c>
      <c r="J565" s="8" t="s">
        <v>2702</v>
      </c>
      <c r="K565" s="8" t="s">
        <v>855</v>
      </c>
      <c r="L565" s="8" t="s">
        <v>2564</v>
      </c>
      <c r="M565" s="8" t="s">
        <v>2592</v>
      </c>
      <c r="N565" s="5" t="s">
        <v>1034</v>
      </c>
      <c r="O565" s="5" t="s">
        <v>61</v>
      </c>
      <c r="P565" s="5" t="s">
        <v>2586</v>
      </c>
      <c r="Q565" s="9" t="s">
        <v>2685</v>
      </c>
      <c r="R565" s="5" t="s">
        <v>76</v>
      </c>
      <c r="S565" s="5" t="s">
        <v>64</v>
      </c>
      <c r="T565" s="96" t="s">
        <v>77</v>
      </c>
      <c r="U565" s="96" t="s">
        <v>77</v>
      </c>
      <c r="V565" s="96" t="s">
        <v>77</v>
      </c>
      <c r="W565" s="5" t="s">
        <v>91</v>
      </c>
      <c r="X565" s="10" t="s">
        <v>79</v>
      </c>
      <c r="Y565" s="11">
        <v>34253.56</v>
      </c>
      <c r="Z565" s="12">
        <v>1.9</v>
      </c>
      <c r="AA565" s="12">
        <v>0</v>
      </c>
      <c r="AB565" s="12">
        <v>0.1</v>
      </c>
      <c r="AC565" s="13">
        <v>0</v>
      </c>
      <c r="AD565" s="14">
        <f t="shared" si="18"/>
        <v>2</v>
      </c>
      <c r="AE565" s="15">
        <f t="shared" si="19"/>
        <v>0</v>
      </c>
      <c r="AF565" s="16">
        <v>49</v>
      </c>
      <c r="AG565" s="16">
        <v>49</v>
      </c>
      <c r="AH565" s="17" t="s">
        <v>2587</v>
      </c>
      <c r="AI565" s="18">
        <v>171</v>
      </c>
      <c r="AJ565" s="19">
        <v>0.96799999999999997</v>
      </c>
      <c r="AK565" s="20">
        <v>0.94699999999999995</v>
      </c>
      <c r="AL565" s="17" t="s">
        <v>261</v>
      </c>
      <c r="AM565" s="5" t="s">
        <v>2422</v>
      </c>
      <c r="AN565" s="5" t="s">
        <v>66</v>
      </c>
      <c r="AO565" s="5" t="s">
        <v>66</v>
      </c>
      <c r="AP565" s="5" t="s">
        <v>66</v>
      </c>
      <c r="AQ565" s="5" t="s">
        <v>66</v>
      </c>
      <c r="AR565" s="5" t="s">
        <v>66</v>
      </c>
      <c r="AS565" s="5" t="s">
        <v>66</v>
      </c>
      <c r="AT565" s="5" t="s">
        <v>66</v>
      </c>
      <c r="AU565" s="5" t="s">
        <v>66</v>
      </c>
      <c r="AV565" s="5" t="s">
        <v>66</v>
      </c>
      <c r="AW565" s="5" t="s">
        <v>66</v>
      </c>
      <c r="AX565" s="5" t="s">
        <v>2534</v>
      </c>
      <c r="AY565" s="5" t="s">
        <v>110</v>
      </c>
      <c r="AZ565" s="5" t="s">
        <v>145</v>
      </c>
      <c r="BA565" s="19" t="s">
        <v>2593</v>
      </c>
      <c r="BB565" s="17" t="s">
        <v>2594</v>
      </c>
      <c r="BC565" s="5" t="s">
        <v>2574</v>
      </c>
      <c r="BD565" s="5" t="s">
        <v>3339</v>
      </c>
    </row>
    <row r="566" spans="1:56" ht="84" hidden="1" x14ac:dyDescent="0.25">
      <c r="A566" s="78" t="s">
        <v>2186</v>
      </c>
      <c r="B566" s="5" t="s">
        <v>433</v>
      </c>
      <c r="C566" s="5" t="s">
        <v>3293</v>
      </c>
      <c r="D566" s="5" t="s">
        <v>252</v>
      </c>
      <c r="E566" s="99" t="str">
        <f>VLOOKUP(D566,'Dropdown List'!$F$26:$G$40,2,0)</f>
        <v>India</v>
      </c>
      <c r="F566" s="8" t="s">
        <v>2187</v>
      </c>
      <c r="G566" s="96">
        <v>7</v>
      </c>
      <c r="H566" s="5" t="s">
        <v>57</v>
      </c>
      <c r="I566" s="8" t="s">
        <v>71</v>
      </c>
      <c r="J566" s="8" t="s">
        <v>2702</v>
      </c>
      <c r="K566" s="8" t="s">
        <v>2575</v>
      </c>
      <c r="L566" s="8" t="s">
        <v>2576</v>
      </c>
      <c r="M566" s="8" t="s">
        <v>2595</v>
      </c>
      <c r="N566" s="5" t="s">
        <v>1034</v>
      </c>
      <c r="O566" s="5" t="s">
        <v>61</v>
      </c>
      <c r="P566" s="5" t="s">
        <v>2586</v>
      </c>
      <c r="Q566" s="9" t="s">
        <v>2685</v>
      </c>
      <c r="R566" s="5" t="s">
        <v>76</v>
      </c>
      <c r="S566" s="5" t="s">
        <v>64</v>
      </c>
      <c r="T566" s="96" t="s">
        <v>77</v>
      </c>
      <c r="U566" s="96" t="s">
        <v>77</v>
      </c>
      <c r="V566" s="96" t="s">
        <v>77</v>
      </c>
      <c r="W566" s="5" t="s">
        <v>91</v>
      </c>
      <c r="X566" s="10" t="s">
        <v>79</v>
      </c>
      <c r="Y566" s="11">
        <v>34253.56</v>
      </c>
      <c r="Z566" s="12">
        <v>3.1</v>
      </c>
      <c r="AA566" s="12">
        <v>0</v>
      </c>
      <c r="AB566" s="12">
        <v>0.1</v>
      </c>
      <c r="AC566" s="13">
        <v>0</v>
      </c>
      <c r="AD566" s="14">
        <f t="shared" si="18"/>
        <v>3.2</v>
      </c>
      <c r="AE566" s="15">
        <f t="shared" si="19"/>
        <v>0</v>
      </c>
      <c r="AF566" s="16">
        <v>90</v>
      </c>
      <c r="AG566" s="16">
        <v>90</v>
      </c>
      <c r="AH566" s="17" t="s">
        <v>2587</v>
      </c>
      <c r="AI566" s="18">
        <v>140</v>
      </c>
      <c r="AJ566" s="19">
        <v>0.96799999999999997</v>
      </c>
      <c r="AK566" s="20">
        <v>0.94699999999999995</v>
      </c>
      <c r="AL566" s="17" t="s">
        <v>261</v>
      </c>
      <c r="AM566" s="5" t="s">
        <v>2422</v>
      </c>
      <c r="AN566" s="5" t="s">
        <v>66</v>
      </c>
      <c r="AO566" s="5" t="s">
        <v>66</v>
      </c>
      <c r="AP566" s="5" t="s">
        <v>66</v>
      </c>
      <c r="AQ566" s="5" t="s">
        <v>66</v>
      </c>
      <c r="AR566" s="5" t="s">
        <v>66</v>
      </c>
      <c r="AS566" s="5" t="s">
        <v>66</v>
      </c>
      <c r="AT566" s="5" t="s">
        <v>66</v>
      </c>
      <c r="AU566" s="5" t="s">
        <v>66</v>
      </c>
      <c r="AV566" s="5" t="s">
        <v>66</v>
      </c>
      <c r="AW566" s="5" t="s">
        <v>66</v>
      </c>
      <c r="AX566" s="5" t="s">
        <v>2534</v>
      </c>
      <c r="AY566" s="5" t="s">
        <v>110</v>
      </c>
      <c r="AZ566" s="5" t="s">
        <v>145</v>
      </c>
      <c r="BA566" s="19" t="s">
        <v>2593</v>
      </c>
      <c r="BB566" s="17" t="s">
        <v>2596</v>
      </c>
      <c r="BC566" s="5" t="s">
        <v>2574</v>
      </c>
      <c r="BD566" s="5" t="s">
        <v>3339</v>
      </c>
    </row>
    <row r="567" spans="1:56" ht="84" hidden="1" x14ac:dyDescent="0.25">
      <c r="A567" s="78" t="s">
        <v>2186</v>
      </c>
      <c r="B567" s="5" t="s">
        <v>433</v>
      </c>
      <c r="C567" s="5" t="s">
        <v>3293</v>
      </c>
      <c r="D567" s="5" t="s">
        <v>252</v>
      </c>
      <c r="E567" s="99" t="str">
        <f>VLOOKUP(D567,'Dropdown List'!$F$26:$G$40,2,0)</f>
        <v>India</v>
      </c>
      <c r="F567" s="8" t="s">
        <v>2187</v>
      </c>
      <c r="G567" s="96">
        <v>7</v>
      </c>
      <c r="H567" s="5" t="s">
        <v>57</v>
      </c>
      <c r="I567" s="8" t="s">
        <v>71</v>
      </c>
      <c r="J567" s="8" t="s">
        <v>2702</v>
      </c>
      <c r="K567" s="8" t="s">
        <v>372</v>
      </c>
      <c r="L567" s="8" t="s">
        <v>2597</v>
      </c>
      <c r="M567" s="8" t="s">
        <v>2598</v>
      </c>
      <c r="N567" s="5" t="s">
        <v>1034</v>
      </c>
      <c r="O567" s="5" t="s">
        <v>61</v>
      </c>
      <c r="P567" s="5" t="s">
        <v>2586</v>
      </c>
      <c r="Q567" s="9" t="s">
        <v>2685</v>
      </c>
      <c r="R567" s="5" t="s">
        <v>76</v>
      </c>
      <c r="S567" s="5" t="s">
        <v>64</v>
      </c>
      <c r="T567" s="96" t="s">
        <v>77</v>
      </c>
      <c r="U567" s="96" t="s">
        <v>77</v>
      </c>
      <c r="V567" s="96" t="s">
        <v>77</v>
      </c>
      <c r="W567" s="5" t="s">
        <v>91</v>
      </c>
      <c r="X567" s="10" t="s">
        <v>79</v>
      </c>
      <c r="Y567" s="11">
        <v>34253.56</v>
      </c>
      <c r="Z567" s="12">
        <v>2</v>
      </c>
      <c r="AA567" s="12">
        <v>0</v>
      </c>
      <c r="AB567" s="12">
        <v>0.1</v>
      </c>
      <c r="AC567" s="13">
        <v>0</v>
      </c>
      <c r="AD567" s="14">
        <f t="shared" si="18"/>
        <v>2.1</v>
      </c>
      <c r="AE567" s="15">
        <f t="shared" si="19"/>
        <v>0</v>
      </c>
      <c r="AF567" s="16">
        <v>49</v>
      </c>
      <c r="AG567" s="16">
        <v>49</v>
      </c>
      <c r="AH567" s="17" t="s">
        <v>2587</v>
      </c>
      <c r="AI567" s="18">
        <v>83</v>
      </c>
      <c r="AJ567" s="19">
        <v>0.96799999999999997</v>
      </c>
      <c r="AK567" s="20">
        <v>0.94699999999999995</v>
      </c>
      <c r="AL567" s="17" t="s">
        <v>261</v>
      </c>
      <c r="AM567" s="5" t="s">
        <v>2422</v>
      </c>
      <c r="AN567" s="5" t="s">
        <v>66</v>
      </c>
      <c r="AO567" s="5" t="s">
        <v>66</v>
      </c>
      <c r="AP567" s="5" t="s">
        <v>66</v>
      </c>
      <c r="AQ567" s="5" t="s">
        <v>66</v>
      </c>
      <c r="AR567" s="5" t="s">
        <v>66</v>
      </c>
      <c r="AS567" s="5" t="s">
        <v>66</v>
      </c>
      <c r="AT567" s="5" t="s">
        <v>66</v>
      </c>
      <c r="AU567" s="5" t="s">
        <v>66</v>
      </c>
      <c r="AV567" s="5" t="s">
        <v>66</v>
      </c>
      <c r="AW567" s="5" t="s">
        <v>66</v>
      </c>
      <c r="AX567" s="5" t="s">
        <v>2534</v>
      </c>
      <c r="AY567" s="5" t="s">
        <v>110</v>
      </c>
      <c r="AZ567" s="5" t="s">
        <v>145</v>
      </c>
      <c r="BA567" s="19" t="s">
        <v>2599</v>
      </c>
      <c r="BB567" s="17" t="s">
        <v>2600</v>
      </c>
      <c r="BC567" s="5" t="s">
        <v>2574</v>
      </c>
      <c r="BD567" s="5" t="s">
        <v>3339</v>
      </c>
    </row>
    <row r="568" spans="1:56" ht="84" hidden="1" x14ac:dyDescent="0.25">
      <c r="A568" s="78" t="s">
        <v>2186</v>
      </c>
      <c r="B568" s="5" t="s">
        <v>433</v>
      </c>
      <c r="C568" s="5" t="s">
        <v>3293</v>
      </c>
      <c r="D568" s="5" t="s">
        <v>252</v>
      </c>
      <c r="E568" s="99" t="str">
        <f>VLOOKUP(D568,'Dropdown List'!$F$26:$G$40,2,0)</f>
        <v>India</v>
      </c>
      <c r="F568" s="8" t="s">
        <v>2187</v>
      </c>
      <c r="G568" s="96">
        <v>3</v>
      </c>
      <c r="H568" s="5" t="s">
        <v>57</v>
      </c>
      <c r="I568" s="8" t="s">
        <v>71</v>
      </c>
      <c r="J568" s="8" t="s">
        <v>112</v>
      </c>
      <c r="K568" s="8" t="s">
        <v>113</v>
      </c>
      <c r="L568" s="8" t="s">
        <v>2601</v>
      </c>
      <c r="M568" s="8" t="s">
        <v>2602</v>
      </c>
      <c r="N568" s="5" t="s">
        <v>1034</v>
      </c>
      <c r="O568" s="5" t="s">
        <v>61</v>
      </c>
      <c r="P568" s="5" t="s">
        <v>2586</v>
      </c>
      <c r="Q568" s="9" t="s">
        <v>2685</v>
      </c>
      <c r="R568" s="5" t="s">
        <v>76</v>
      </c>
      <c r="S568" s="5" t="s">
        <v>64</v>
      </c>
      <c r="T568" s="96" t="s">
        <v>77</v>
      </c>
      <c r="U568" s="96" t="s">
        <v>77</v>
      </c>
      <c r="V568" s="96" t="s">
        <v>77</v>
      </c>
      <c r="W568" s="5" t="s">
        <v>91</v>
      </c>
      <c r="X568" s="10" t="s">
        <v>79</v>
      </c>
      <c r="Y568" s="11">
        <v>34253.56</v>
      </c>
      <c r="Z568" s="12">
        <v>3</v>
      </c>
      <c r="AA568" s="12">
        <v>0</v>
      </c>
      <c r="AB568" s="12">
        <v>0</v>
      </c>
      <c r="AC568" s="13">
        <v>0</v>
      </c>
      <c r="AD568" s="14">
        <f t="shared" si="18"/>
        <v>3</v>
      </c>
      <c r="AE568" s="15">
        <f t="shared" si="19"/>
        <v>0</v>
      </c>
      <c r="AF568" s="16">
        <v>351</v>
      </c>
      <c r="AG568" s="16">
        <v>351</v>
      </c>
      <c r="AH568" s="17" t="s">
        <v>2587</v>
      </c>
      <c r="AI568" s="18">
        <v>75</v>
      </c>
      <c r="AJ568" s="19">
        <v>0.96799999999999997</v>
      </c>
      <c r="AK568" s="20">
        <v>0.94699999999999995</v>
      </c>
      <c r="AL568" s="17" t="s">
        <v>261</v>
      </c>
      <c r="AM568" s="5" t="s">
        <v>2422</v>
      </c>
      <c r="AN568" s="5" t="s">
        <v>66</v>
      </c>
      <c r="AO568" s="5" t="s">
        <v>66</v>
      </c>
      <c r="AP568" s="5" t="s">
        <v>66</v>
      </c>
      <c r="AQ568" s="5" t="s">
        <v>66</v>
      </c>
      <c r="AR568" s="5" t="s">
        <v>66</v>
      </c>
      <c r="AS568" s="5" t="s">
        <v>66</v>
      </c>
      <c r="AT568" s="5" t="s">
        <v>66</v>
      </c>
      <c r="AU568" s="5" t="s">
        <v>66</v>
      </c>
      <c r="AV568" s="5" t="s">
        <v>66</v>
      </c>
      <c r="AW568" s="5" t="s">
        <v>66</v>
      </c>
      <c r="AX568" s="5" t="s">
        <v>2534</v>
      </c>
      <c r="AY568" s="5" t="s">
        <v>2603</v>
      </c>
      <c r="AZ568" s="5" t="s">
        <v>145</v>
      </c>
      <c r="BA568" s="19" t="s">
        <v>2604</v>
      </c>
      <c r="BB568" s="17" t="s">
        <v>2605</v>
      </c>
      <c r="BC568" s="5" t="s">
        <v>2606</v>
      </c>
      <c r="BD568" s="5" t="s">
        <v>3339</v>
      </c>
    </row>
    <row r="569" spans="1:56" ht="96" hidden="1" x14ac:dyDescent="0.25">
      <c r="A569" s="78" t="s">
        <v>2186</v>
      </c>
      <c r="B569" s="5" t="s">
        <v>433</v>
      </c>
      <c r="C569" s="5" t="s">
        <v>3293</v>
      </c>
      <c r="D569" s="5" t="s">
        <v>56</v>
      </c>
      <c r="E569" s="99" t="str">
        <f>VLOOKUP(D569,'Dropdown List'!$F$26:$G$40,2,0)</f>
        <v>India</v>
      </c>
      <c r="F569" s="8" t="s">
        <v>2187</v>
      </c>
      <c r="G569" s="96">
        <v>7</v>
      </c>
      <c r="H569" s="5" t="s">
        <v>57</v>
      </c>
      <c r="I569" s="8" t="s">
        <v>71</v>
      </c>
      <c r="J569" s="8" t="s">
        <v>112</v>
      </c>
      <c r="K569" s="8" t="s">
        <v>113</v>
      </c>
      <c r="L569" s="8" t="s">
        <v>2607</v>
      </c>
      <c r="M569" s="8" t="s">
        <v>2608</v>
      </c>
      <c r="N569" s="5" t="s">
        <v>1034</v>
      </c>
      <c r="O569" s="5" t="s">
        <v>89</v>
      </c>
      <c r="P569" s="5" t="s">
        <v>89</v>
      </c>
      <c r="Q569" s="9" t="s">
        <v>75</v>
      </c>
      <c r="R569" s="5" t="s">
        <v>76</v>
      </c>
      <c r="S569" s="5" t="s">
        <v>64</v>
      </c>
      <c r="T569" s="96">
        <v>2</v>
      </c>
      <c r="U569" s="96" t="s">
        <v>271</v>
      </c>
      <c r="V569" s="96" t="s">
        <v>273</v>
      </c>
      <c r="W569" s="5" t="s">
        <v>91</v>
      </c>
      <c r="X569" s="10" t="s">
        <v>79</v>
      </c>
      <c r="Y569" s="11">
        <v>34253.56</v>
      </c>
      <c r="Z569" s="12">
        <v>1</v>
      </c>
      <c r="AA569" s="12">
        <v>0</v>
      </c>
      <c r="AB569" s="12">
        <v>0</v>
      </c>
      <c r="AC569" s="13">
        <v>0</v>
      </c>
      <c r="AD569" s="14">
        <f t="shared" si="18"/>
        <v>1</v>
      </c>
      <c r="AE569" s="15">
        <f t="shared" si="19"/>
        <v>0</v>
      </c>
      <c r="AF569" s="16">
        <v>75</v>
      </c>
      <c r="AG569" s="16">
        <v>75</v>
      </c>
      <c r="AH569" s="17" t="s">
        <v>2609</v>
      </c>
      <c r="AI569" s="18">
        <v>46</v>
      </c>
      <c r="AJ569" s="19">
        <v>0.95</v>
      </c>
      <c r="AK569" s="20">
        <v>0.94699999999999995</v>
      </c>
      <c r="AL569" s="17" t="s">
        <v>261</v>
      </c>
      <c r="AM569" s="5" t="s">
        <v>2422</v>
      </c>
      <c r="AN569" s="5" t="s">
        <v>2610</v>
      </c>
      <c r="AO569" s="5" t="s">
        <v>66</v>
      </c>
      <c r="AP569" s="5" t="s">
        <v>66</v>
      </c>
      <c r="AQ569" s="5" t="s">
        <v>2611</v>
      </c>
      <c r="AR569" s="5" t="s">
        <v>2612</v>
      </c>
      <c r="AS569" s="5" t="s">
        <v>1134</v>
      </c>
      <c r="AT569" s="5" t="s">
        <v>67</v>
      </c>
      <c r="AU569" s="5" t="s">
        <v>67</v>
      </c>
      <c r="AV569" s="5" t="s">
        <v>2613</v>
      </c>
      <c r="AW569" s="5" t="s">
        <v>66</v>
      </c>
      <c r="AX569" s="5" t="s">
        <v>2614</v>
      </c>
      <c r="AY569" s="5" t="s">
        <v>2425</v>
      </c>
      <c r="AZ569" s="5" t="s">
        <v>145</v>
      </c>
      <c r="BA569" s="19" t="s">
        <v>2615</v>
      </c>
      <c r="BB569" s="17" t="s">
        <v>2616</v>
      </c>
      <c r="BC569" s="5" t="s">
        <v>2617</v>
      </c>
      <c r="BD569" s="5" t="s">
        <v>3338</v>
      </c>
    </row>
    <row r="570" spans="1:56" ht="72" hidden="1" x14ac:dyDescent="0.25">
      <c r="A570" s="78" t="s">
        <v>2186</v>
      </c>
      <c r="B570" s="5" t="s">
        <v>433</v>
      </c>
      <c r="C570" s="5" t="s">
        <v>3293</v>
      </c>
      <c r="D570" s="5" t="s">
        <v>56</v>
      </c>
      <c r="E570" s="99" t="str">
        <f>VLOOKUP(D570,'Dropdown List'!$F$26:$G$40,2,0)</f>
        <v>India</v>
      </c>
      <c r="F570" s="8" t="s">
        <v>2187</v>
      </c>
      <c r="G570" s="96">
        <v>7</v>
      </c>
      <c r="H570" s="5" t="s">
        <v>57</v>
      </c>
      <c r="I570" s="8" t="s">
        <v>71</v>
      </c>
      <c r="J570" s="8" t="s">
        <v>112</v>
      </c>
      <c r="K570" s="8" t="s">
        <v>113</v>
      </c>
      <c r="L570" s="8" t="s">
        <v>3340</v>
      </c>
      <c r="M570" s="8" t="s">
        <v>3341</v>
      </c>
      <c r="N570" s="5" t="s">
        <v>1034</v>
      </c>
      <c r="O570" s="5" t="s">
        <v>1069</v>
      </c>
      <c r="P570" s="5" t="s">
        <v>1069</v>
      </c>
      <c r="Q570" s="9" t="s">
        <v>75</v>
      </c>
      <c r="R570" s="5" t="s">
        <v>76</v>
      </c>
      <c r="S570" s="5" t="s">
        <v>64</v>
      </c>
      <c r="T570" s="96">
        <v>2</v>
      </c>
      <c r="U570" s="96" t="s">
        <v>271</v>
      </c>
      <c r="V570" s="96" t="s">
        <v>273</v>
      </c>
      <c r="W570" s="5" t="s">
        <v>91</v>
      </c>
      <c r="X570" s="10" t="s">
        <v>79</v>
      </c>
      <c r="Y570" s="11">
        <v>34253.56</v>
      </c>
      <c r="Z570" s="12">
        <v>1.9</v>
      </c>
      <c r="AA570" s="12">
        <v>0</v>
      </c>
      <c r="AB570" s="12">
        <v>0</v>
      </c>
      <c r="AC570" s="13">
        <v>0</v>
      </c>
      <c r="AD570" s="14">
        <f t="shared" si="18"/>
        <v>1.9</v>
      </c>
      <c r="AE570" s="15">
        <f t="shared" si="19"/>
        <v>0</v>
      </c>
      <c r="AF570" s="16">
        <v>250</v>
      </c>
      <c r="AG570" s="16">
        <v>250</v>
      </c>
      <c r="AH570" s="17" t="s">
        <v>66</v>
      </c>
      <c r="AI570" s="18">
        <v>57</v>
      </c>
      <c r="AJ570" s="19">
        <v>0.95</v>
      </c>
      <c r="AK570" s="20">
        <v>0.94699999999999995</v>
      </c>
      <c r="AL570" s="17" t="s">
        <v>261</v>
      </c>
      <c r="AM570" s="5" t="s">
        <v>2422</v>
      </c>
      <c r="AN570" s="5" t="s">
        <v>2610</v>
      </c>
      <c r="AO570" s="5" t="s">
        <v>66</v>
      </c>
      <c r="AP570" s="5" t="s">
        <v>66</v>
      </c>
      <c r="AQ570" s="5" t="s">
        <v>66</v>
      </c>
      <c r="AR570" s="5" t="s">
        <v>66</v>
      </c>
      <c r="AS570" s="5" t="s">
        <v>66</v>
      </c>
      <c r="AT570" s="5" t="s">
        <v>66</v>
      </c>
      <c r="AU570" s="5" t="s">
        <v>66</v>
      </c>
      <c r="AV570" s="5" t="s">
        <v>66</v>
      </c>
      <c r="AW570" s="5" t="s">
        <v>66</v>
      </c>
      <c r="AX570" s="5" t="s">
        <v>2614</v>
      </c>
      <c r="AY570" s="5" t="s">
        <v>353</v>
      </c>
      <c r="AZ570" s="5" t="s">
        <v>145</v>
      </c>
      <c r="BA570" s="19" t="s">
        <v>3342</v>
      </c>
      <c r="BB570" s="17" t="s">
        <v>2616</v>
      </c>
      <c r="BC570" s="5" t="s">
        <v>3343</v>
      </c>
      <c r="BD570" s="5" t="s">
        <v>3344</v>
      </c>
    </row>
    <row r="571" spans="1:56" ht="96" hidden="1" x14ac:dyDescent="0.25">
      <c r="A571" s="78" t="s">
        <v>2186</v>
      </c>
      <c r="B571" s="5" t="s">
        <v>433</v>
      </c>
      <c r="C571" s="5" t="s">
        <v>3293</v>
      </c>
      <c r="D571" s="5" t="s">
        <v>56</v>
      </c>
      <c r="E571" s="99" t="str">
        <f>VLOOKUP(D571,'Dropdown List'!$F$26:$G$40,2,0)</f>
        <v>India</v>
      </c>
      <c r="F571" s="8" t="s">
        <v>2187</v>
      </c>
      <c r="G571" s="96">
        <v>7</v>
      </c>
      <c r="H571" s="5" t="s">
        <v>57</v>
      </c>
      <c r="I571" s="8" t="s">
        <v>71</v>
      </c>
      <c r="J571" s="8" t="s">
        <v>112</v>
      </c>
      <c r="K571" s="8" t="s">
        <v>113</v>
      </c>
      <c r="L571" s="8" t="s">
        <v>2607</v>
      </c>
      <c r="M571" s="8" t="s">
        <v>2608</v>
      </c>
      <c r="N571" s="5" t="s">
        <v>1034</v>
      </c>
      <c r="O571" s="5" t="s">
        <v>1051</v>
      </c>
      <c r="P571" s="5" t="s">
        <v>1051</v>
      </c>
      <c r="Q571" s="9" t="s">
        <v>75</v>
      </c>
      <c r="R571" s="5" t="s">
        <v>76</v>
      </c>
      <c r="S571" s="5" t="s">
        <v>64</v>
      </c>
      <c r="T571" s="96">
        <v>2</v>
      </c>
      <c r="U571" s="96" t="s">
        <v>271</v>
      </c>
      <c r="V571" s="96" t="s">
        <v>273</v>
      </c>
      <c r="W571" s="5" t="s">
        <v>91</v>
      </c>
      <c r="X571" s="10" t="s">
        <v>79</v>
      </c>
      <c r="Y571" s="11">
        <v>34253.56</v>
      </c>
      <c r="Z571" s="12">
        <v>2</v>
      </c>
      <c r="AA571" s="12">
        <v>0</v>
      </c>
      <c r="AB571" s="12">
        <v>0.5</v>
      </c>
      <c r="AC571" s="13">
        <v>0</v>
      </c>
      <c r="AD571" s="14">
        <f t="shared" si="18"/>
        <v>2.5</v>
      </c>
      <c r="AE571" s="15">
        <f t="shared" si="19"/>
        <v>0</v>
      </c>
      <c r="AF571" s="16">
        <v>95</v>
      </c>
      <c r="AG571" s="16">
        <v>95</v>
      </c>
      <c r="AH571" s="17" t="s">
        <v>2609</v>
      </c>
      <c r="AI571" s="18">
        <v>45</v>
      </c>
      <c r="AJ571" s="19">
        <v>0.95</v>
      </c>
      <c r="AK571" s="20">
        <v>0.94699999999999995</v>
      </c>
      <c r="AL571" s="17" t="s">
        <v>261</v>
      </c>
      <c r="AM571" s="5" t="s">
        <v>2422</v>
      </c>
      <c r="AN571" s="5" t="s">
        <v>2610</v>
      </c>
      <c r="AO571" s="5" t="s">
        <v>66</v>
      </c>
      <c r="AP571" s="5" t="s">
        <v>66</v>
      </c>
      <c r="AQ571" s="5" t="s">
        <v>2611</v>
      </c>
      <c r="AR571" s="5" t="s">
        <v>2612</v>
      </c>
      <c r="AS571" s="5" t="s">
        <v>2618</v>
      </c>
      <c r="AT571" s="5" t="s">
        <v>67</v>
      </c>
      <c r="AU571" s="5" t="s">
        <v>67</v>
      </c>
      <c r="AV571" s="5" t="s">
        <v>2619</v>
      </c>
      <c r="AW571" s="5" t="s">
        <v>66</v>
      </c>
      <c r="AX571" s="5" t="s">
        <v>2614</v>
      </c>
      <c r="AY571" s="5" t="s">
        <v>2425</v>
      </c>
      <c r="AZ571" s="5" t="s">
        <v>145</v>
      </c>
      <c r="BA571" s="19" t="s">
        <v>2615</v>
      </c>
      <c r="BB571" s="17" t="s">
        <v>2616</v>
      </c>
      <c r="BC571" s="5" t="s">
        <v>2617</v>
      </c>
      <c r="BD571" s="5" t="s">
        <v>3338</v>
      </c>
    </row>
    <row r="572" spans="1:56" ht="96" hidden="1" x14ac:dyDescent="0.25">
      <c r="A572" s="78" t="s">
        <v>2186</v>
      </c>
      <c r="B572" s="5" t="s">
        <v>433</v>
      </c>
      <c r="C572" s="5" t="s">
        <v>3293</v>
      </c>
      <c r="D572" s="5" t="s">
        <v>56</v>
      </c>
      <c r="E572" s="99" t="str">
        <f>VLOOKUP(D572,'Dropdown List'!$F$26:$G$40,2,0)</f>
        <v>India</v>
      </c>
      <c r="F572" s="8" t="s">
        <v>2187</v>
      </c>
      <c r="G572" s="96">
        <v>7</v>
      </c>
      <c r="H572" s="5" t="s">
        <v>57</v>
      </c>
      <c r="I572" s="8" t="s">
        <v>71</v>
      </c>
      <c r="J572" s="8" t="s">
        <v>112</v>
      </c>
      <c r="K572" s="8" t="s">
        <v>113</v>
      </c>
      <c r="L572" s="8" t="s">
        <v>2607</v>
      </c>
      <c r="M572" s="8" t="s">
        <v>2608</v>
      </c>
      <c r="N572" s="5" t="s">
        <v>1034</v>
      </c>
      <c r="O572" s="5" t="s">
        <v>1069</v>
      </c>
      <c r="P572" s="5" t="s">
        <v>1069</v>
      </c>
      <c r="Q572" s="9" t="s">
        <v>75</v>
      </c>
      <c r="R572" s="5" t="s">
        <v>76</v>
      </c>
      <c r="S572" s="5" t="s">
        <v>64</v>
      </c>
      <c r="T572" s="96">
        <v>2</v>
      </c>
      <c r="U572" s="96" t="s">
        <v>271</v>
      </c>
      <c r="V572" s="96" t="s">
        <v>273</v>
      </c>
      <c r="W572" s="5" t="s">
        <v>91</v>
      </c>
      <c r="X572" s="10" t="s">
        <v>79</v>
      </c>
      <c r="Y572" s="11">
        <v>34253.56</v>
      </c>
      <c r="Z572" s="12">
        <v>2.9</v>
      </c>
      <c r="AA572" s="12">
        <v>0</v>
      </c>
      <c r="AB572" s="12">
        <v>0</v>
      </c>
      <c r="AC572" s="13">
        <v>0</v>
      </c>
      <c r="AD572" s="14">
        <f t="shared" si="18"/>
        <v>2.9</v>
      </c>
      <c r="AE572" s="15">
        <f t="shared" si="19"/>
        <v>0</v>
      </c>
      <c r="AF572" s="16">
        <v>111</v>
      </c>
      <c r="AG572" s="16">
        <v>111</v>
      </c>
      <c r="AH572" s="17" t="s">
        <v>2609</v>
      </c>
      <c r="AI572" s="18">
        <v>47</v>
      </c>
      <c r="AJ572" s="19">
        <v>0.95</v>
      </c>
      <c r="AK572" s="20">
        <v>0.94699999999999995</v>
      </c>
      <c r="AL572" s="17" t="s">
        <v>261</v>
      </c>
      <c r="AM572" s="5" t="s">
        <v>2422</v>
      </c>
      <c r="AN572" s="5" t="s">
        <v>2610</v>
      </c>
      <c r="AO572" s="5" t="s">
        <v>66</v>
      </c>
      <c r="AP572" s="5" t="s">
        <v>66</v>
      </c>
      <c r="AQ572" s="5" t="s">
        <v>2611</v>
      </c>
      <c r="AR572" s="5" t="s">
        <v>2612</v>
      </c>
      <c r="AS572" s="5" t="s">
        <v>2618</v>
      </c>
      <c r="AT572" s="5" t="s">
        <v>67</v>
      </c>
      <c r="AU572" s="5" t="s">
        <v>67</v>
      </c>
      <c r="AV572" s="5" t="s">
        <v>2619</v>
      </c>
      <c r="AW572" s="5" t="s">
        <v>66</v>
      </c>
      <c r="AX572" s="5" t="s">
        <v>2614</v>
      </c>
      <c r="AY572" s="5" t="s">
        <v>2425</v>
      </c>
      <c r="AZ572" s="5" t="s">
        <v>145</v>
      </c>
      <c r="BA572" s="19" t="s">
        <v>2615</v>
      </c>
      <c r="BB572" s="17" t="s">
        <v>2616</v>
      </c>
      <c r="BC572" s="5" t="s">
        <v>2617</v>
      </c>
      <c r="BD572" s="5" t="s">
        <v>3338</v>
      </c>
    </row>
    <row r="573" spans="1:56" ht="96" hidden="1" x14ac:dyDescent="0.25">
      <c r="A573" s="78" t="s">
        <v>2186</v>
      </c>
      <c r="B573" s="5" t="s">
        <v>433</v>
      </c>
      <c r="C573" s="5" t="s">
        <v>3293</v>
      </c>
      <c r="D573" s="5" t="s">
        <v>56</v>
      </c>
      <c r="E573" s="99" t="str">
        <f>VLOOKUP(D573,'Dropdown List'!$F$26:$G$40,2,0)</f>
        <v>India</v>
      </c>
      <c r="F573" s="8" t="s">
        <v>2187</v>
      </c>
      <c r="G573" s="96">
        <v>7</v>
      </c>
      <c r="H573" s="5" t="s">
        <v>57</v>
      </c>
      <c r="I573" s="8" t="s">
        <v>71</v>
      </c>
      <c r="J573" s="8" t="s">
        <v>112</v>
      </c>
      <c r="K573" s="8" t="s">
        <v>113</v>
      </c>
      <c r="L573" s="8" t="s">
        <v>2607</v>
      </c>
      <c r="M573" s="8" t="s">
        <v>2608</v>
      </c>
      <c r="N573" s="5" t="s">
        <v>1034</v>
      </c>
      <c r="O573" s="5" t="s">
        <v>106</v>
      </c>
      <c r="P573" s="5" t="s">
        <v>2620</v>
      </c>
      <c r="Q573" s="9" t="s">
        <v>75</v>
      </c>
      <c r="R573" s="5" t="s">
        <v>76</v>
      </c>
      <c r="S573" s="5" t="s">
        <v>64</v>
      </c>
      <c r="T573" s="96">
        <v>2</v>
      </c>
      <c r="U573" s="96" t="s">
        <v>271</v>
      </c>
      <c r="V573" s="96" t="s">
        <v>273</v>
      </c>
      <c r="W573" s="5" t="s">
        <v>91</v>
      </c>
      <c r="X573" s="10" t="s">
        <v>79</v>
      </c>
      <c r="Y573" s="11">
        <v>34253.56</v>
      </c>
      <c r="Z573" s="12">
        <v>0.1</v>
      </c>
      <c r="AA573" s="12">
        <v>0</v>
      </c>
      <c r="AB573" s="12">
        <v>0</v>
      </c>
      <c r="AC573" s="13">
        <v>0</v>
      </c>
      <c r="AD573" s="14">
        <f t="shared" si="18"/>
        <v>0.1</v>
      </c>
      <c r="AE573" s="15">
        <f t="shared" si="19"/>
        <v>0</v>
      </c>
      <c r="AF573" s="16">
        <v>32</v>
      </c>
      <c r="AG573" s="16">
        <v>32</v>
      </c>
      <c r="AH573" s="17" t="s">
        <v>2609</v>
      </c>
      <c r="AI573" s="18">
        <v>45</v>
      </c>
      <c r="AJ573" s="19">
        <v>0.95</v>
      </c>
      <c r="AK573" s="20">
        <v>0.94699999999999995</v>
      </c>
      <c r="AL573" s="17" t="s">
        <v>261</v>
      </c>
      <c r="AM573" s="5" t="s">
        <v>2422</v>
      </c>
      <c r="AN573" s="5" t="s">
        <v>2610</v>
      </c>
      <c r="AO573" s="5" t="s">
        <v>66</v>
      </c>
      <c r="AP573" s="5" t="s">
        <v>66</v>
      </c>
      <c r="AQ573" s="5" t="s">
        <v>2611</v>
      </c>
      <c r="AR573" s="5" t="s">
        <v>2612</v>
      </c>
      <c r="AS573" s="5" t="s">
        <v>2618</v>
      </c>
      <c r="AT573" s="5" t="s">
        <v>67</v>
      </c>
      <c r="AU573" s="5" t="s">
        <v>67</v>
      </c>
      <c r="AV573" s="5" t="s">
        <v>2619</v>
      </c>
      <c r="AW573" s="5" t="s">
        <v>66</v>
      </c>
      <c r="AX573" s="5" t="s">
        <v>2614</v>
      </c>
      <c r="AY573" s="5" t="s">
        <v>2425</v>
      </c>
      <c r="AZ573" s="5" t="s">
        <v>145</v>
      </c>
      <c r="BA573" s="19" t="s">
        <v>2615</v>
      </c>
      <c r="BB573" s="17" t="s">
        <v>2616</v>
      </c>
      <c r="BC573" s="5" t="s">
        <v>2617</v>
      </c>
      <c r="BD573" s="5" t="s">
        <v>3338</v>
      </c>
    </row>
    <row r="574" spans="1:56" ht="96" hidden="1" x14ac:dyDescent="0.25">
      <c r="A574" s="78" t="s">
        <v>2186</v>
      </c>
      <c r="B574" s="5" t="s">
        <v>433</v>
      </c>
      <c r="C574" s="5" t="s">
        <v>3293</v>
      </c>
      <c r="D574" s="5" t="s">
        <v>56</v>
      </c>
      <c r="E574" s="99" t="str">
        <f>VLOOKUP(D574,'Dropdown List'!$F$26:$G$40,2,0)</f>
        <v>India</v>
      </c>
      <c r="F574" s="8" t="s">
        <v>2187</v>
      </c>
      <c r="G574" s="96">
        <v>7</v>
      </c>
      <c r="H574" s="5" t="s">
        <v>57</v>
      </c>
      <c r="I574" s="8" t="s">
        <v>71</v>
      </c>
      <c r="J574" s="8" t="s">
        <v>112</v>
      </c>
      <c r="K574" s="8" t="s">
        <v>113</v>
      </c>
      <c r="L574" s="8" t="s">
        <v>2607</v>
      </c>
      <c r="M574" s="8" t="s">
        <v>2608</v>
      </c>
      <c r="N574" s="5" t="s">
        <v>1034</v>
      </c>
      <c r="O574" s="5" t="s">
        <v>74</v>
      </c>
      <c r="P574" s="5" t="s">
        <v>74</v>
      </c>
      <c r="Q574" s="9" t="s">
        <v>75</v>
      </c>
      <c r="R574" s="5" t="s">
        <v>76</v>
      </c>
      <c r="S574" s="5" t="s">
        <v>64</v>
      </c>
      <c r="T574" s="96">
        <v>2</v>
      </c>
      <c r="U574" s="96" t="s">
        <v>271</v>
      </c>
      <c r="V574" s="96" t="s">
        <v>273</v>
      </c>
      <c r="W574" s="5" t="s">
        <v>91</v>
      </c>
      <c r="X574" s="10" t="s">
        <v>79</v>
      </c>
      <c r="Y574" s="11">
        <v>34253.56</v>
      </c>
      <c r="Z574" s="12">
        <v>0.1</v>
      </c>
      <c r="AA574" s="12">
        <v>0</v>
      </c>
      <c r="AB574" s="12">
        <v>0</v>
      </c>
      <c r="AC574" s="13">
        <v>0</v>
      </c>
      <c r="AD574" s="14">
        <f t="shared" si="18"/>
        <v>0.1</v>
      </c>
      <c r="AE574" s="15">
        <f t="shared" si="19"/>
        <v>0</v>
      </c>
      <c r="AF574" s="16">
        <v>1</v>
      </c>
      <c r="AG574" s="16">
        <v>1</v>
      </c>
      <c r="AH574" s="17" t="s">
        <v>2609</v>
      </c>
      <c r="AI574" s="18">
        <v>95</v>
      </c>
      <c r="AJ574" s="19">
        <v>0.95</v>
      </c>
      <c r="AK574" s="20">
        <v>0.94699999999999995</v>
      </c>
      <c r="AL574" s="17" t="s">
        <v>261</v>
      </c>
      <c r="AM574" s="5" t="s">
        <v>2422</v>
      </c>
      <c r="AN574" s="5" t="s">
        <v>2610</v>
      </c>
      <c r="AO574" s="5" t="s">
        <v>66</v>
      </c>
      <c r="AP574" s="5" t="s">
        <v>66</v>
      </c>
      <c r="AQ574" s="5" t="s">
        <v>2611</v>
      </c>
      <c r="AR574" s="5" t="s">
        <v>2612</v>
      </c>
      <c r="AS574" s="5" t="s">
        <v>2618</v>
      </c>
      <c r="AT574" s="5" t="s">
        <v>67</v>
      </c>
      <c r="AU574" s="5" t="s">
        <v>67</v>
      </c>
      <c r="AV574" s="5" t="s">
        <v>2619</v>
      </c>
      <c r="AW574" s="5" t="s">
        <v>66</v>
      </c>
      <c r="AX574" s="5" t="s">
        <v>2614</v>
      </c>
      <c r="AY574" s="5" t="s">
        <v>2425</v>
      </c>
      <c r="AZ574" s="5" t="s">
        <v>145</v>
      </c>
      <c r="BA574" s="19" t="s">
        <v>2615</v>
      </c>
      <c r="BB574" s="17" t="s">
        <v>2616</v>
      </c>
      <c r="BC574" s="5" t="s">
        <v>2617</v>
      </c>
      <c r="BD574" s="5" t="s">
        <v>3338</v>
      </c>
    </row>
    <row r="575" spans="1:56" ht="96" hidden="1" x14ac:dyDescent="0.25">
      <c r="A575" s="78" t="s">
        <v>2186</v>
      </c>
      <c r="B575" s="5" t="s">
        <v>433</v>
      </c>
      <c r="C575" s="5" t="s">
        <v>3293</v>
      </c>
      <c r="D575" s="5" t="s">
        <v>252</v>
      </c>
      <c r="E575" s="99" t="str">
        <f>VLOOKUP(D575,'Dropdown List'!$F$26:$G$40,2,0)</f>
        <v>India</v>
      </c>
      <c r="F575" s="8" t="s">
        <v>2187</v>
      </c>
      <c r="G575" s="96">
        <v>2</v>
      </c>
      <c r="H575" s="5" t="s">
        <v>85</v>
      </c>
      <c r="I575" s="8" t="s">
        <v>71</v>
      </c>
      <c r="J575" s="8" t="s">
        <v>2702</v>
      </c>
      <c r="K575" s="8" t="s">
        <v>2621</v>
      </c>
      <c r="L575" s="8" t="s">
        <v>2622</v>
      </c>
      <c r="M575" s="8" t="s">
        <v>2623</v>
      </c>
      <c r="N575" s="5" t="s">
        <v>1034</v>
      </c>
      <c r="O575" s="5" t="s">
        <v>74</v>
      </c>
      <c r="P575" s="5" t="s">
        <v>74</v>
      </c>
      <c r="Q575" s="9" t="s">
        <v>75</v>
      </c>
      <c r="R575" s="5" t="s">
        <v>76</v>
      </c>
      <c r="S575" s="5" t="s">
        <v>64</v>
      </c>
      <c r="T575" s="96">
        <v>2</v>
      </c>
      <c r="U575" s="96" t="s">
        <v>271</v>
      </c>
      <c r="V575" s="96" t="s">
        <v>273</v>
      </c>
      <c r="W575" s="5" t="s">
        <v>91</v>
      </c>
      <c r="X575" s="10" t="s">
        <v>79</v>
      </c>
      <c r="Y575" s="11">
        <v>34253.56</v>
      </c>
      <c r="Z575" s="12">
        <v>2</v>
      </c>
      <c r="AA575" s="12">
        <v>0</v>
      </c>
      <c r="AB575" s="12">
        <v>0</v>
      </c>
      <c r="AC575" s="13">
        <v>0</v>
      </c>
      <c r="AD575" s="14">
        <f t="shared" si="18"/>
        <v>2</v>
      </c>
      <c r="AE575" s="15">
        <f t="shared" si="19"/>
        <v>0</v>
      </c>
      <c r="AF575" s="16">
        <v>150</v>
      </c>
      <c r="AG575" s="16">
        <v>150</v>
      </c>
      <c r="AH575" s="17" t="s">
        <v>2609</v>
      </c>
      <c r="AI575" s="18">
        <v>120</v>
      </c>
      <c r="AJ575" s="19">
        <v>0.95</v>
      </c>
      <c r="AK575" s="20">
        <v>0.93500000000000005</v>
      </c>
      <c r="AL575" s="17" t="s">
        <v>261</v>
      </c>
      <c r="AM575" s="5" t="s">
        <v>2422</v>
      </c>
      <c r="AN575" s="5" t="s">
        <v>2610</v>
      </c>
      <c r="AO575" s="5" t="s">
        <v>66</v>
      </c>
      <c r="AP575" s="5" t="s">
        <v>66</v>
      </c>
      <c r="AQ575" s="5" t="s">
        <v>66</v>
      </c>
      <c r="AR575" s="5" t="s">
        <v>66</v>
      </c>
      <c r="AS575" s="5" t="s">
        <v>66</v>
      </c>
      <c r="AT575" s="5" t="s">
        <v>66</v>
      </c>
      <c r="AU575" s="5" t="s">
        <v>66</v>
      </c>
      <c r="AV575" s="5" t="s">
        <v>66</v>
      </c>
      <c r="AW575" s="5" t="s">
        <v>66</v>
      </c>
      <c r="AX575" s="5" t="s">
        <v>2624</v>
      </c>
      <c r="AY575" s="5" t="s">
        <v>2425</v>
      </c>
      <c r="AZ575" s="5" t="s">
        <v>80</v>
      </c>
      <c r="BA575" s="19" t="s">
        <v>2615</v>
      </c>
      <c r="BB575" s="17" t="s">
        <v>2625</v>
      </c>
      <c r="BC575" s="5" t="s">
        <v>2626</v>
      </c>
      <c r="BD575" s="5" t="s">
        <v>3338</v>
      </c>
    </row>
    <row r="576" spans="1:56" ht="60" hidden="1" x14ac:dyDescent="0.25">
      <c r="A576" s="78" t="s">
        <v>2186</v>
      </c>
      <c r="B576" s="5" t="s">
        <v>433</v>
      </c>
      <c r="C576" s="5" t="s">
        <v>3293</v>
      </c>
      <c r="D576" s="5" t="s">
        <v>252</v>
      </c>
      <c r="E576" s="99" t="str">
        <f>VLOOKUP(D576,'Dropdown List'!$F$26:$G$40,2,0)</f>
        <v>India</v>
      </c>
      <c r="F576" s="8" t="s">
        <v>2187</v>
      </c>
      <c r="G576" s="96">
        <v>7</v>
      </c>
      <c r="H576" s="5" t="s">
        <v>57</v>
      </c>
      <c r="I576" s="8" t="s">
        <v>71</v>
      </c>
      <c r="J576" s="8" t="s">
        <v>112</v>
      </c>
      <c r="K576" s="8" t="s">
        <v>2627</v>
      </c>
      <c r="L576" s="8" t="s">
        <v>2628</v>
      </c>
      <c r="M576" s="8" t="s">
        <v>2629</v>
      </c>
      <c r="N576" s="5" t="s">
        <v>1034</v>
      </c>
      <c r="O576" s="5" t="s">
        <v>61</v>
      </c>
      <c r="P576" s="5" t="s">
        <v>2630</v>
      </c>
      <c r="Q576" s="9" t="s">
        <v>75</v>
      </c>
      <c r="R576" s="5" t="s">
        <v>76</v>
      </c>
      <c r="S576" s="5" t="s">
        <v>90</v>
      </c>
      <c r="T576" s="96" t="s">
        <v>2533</v>
      </c>
      <c r="U576" s="96" t="s">
        <v>2567</v>
      </c>
      <c r="V576" s="96" t="s">
        <v>2567</v>
      </c>
      <c r="W576" s="5" t="s">
        <v>91</v>
      </c>
      <c r="X576" s="10" t="s">
        <v>79</v>
      </c>
      <c r="Y576" s="11">
        <v>26002.87</v>
      </c>
      <c r="Z576" s="12">
        <v>2</v>
      </c>
      <c r="AA576" s="12">
        <v>1</v>
      </c>
      <c r="AB576" s="12">
        <v>0.1</v>
      </c>
      <c r="AC576" s="13">
        <v>0.25</v>
      </c>
      <c r="AD576" s="14">
        <f t="shared" si="18"/>
        <v>3.35</v>
      </c>
      <c r="AE576" s="15">
        <f t="shared" si="19"/>
        <v>7.4626865671641784E-2</v>
      </c>
      <c r="AF576" s="16">
        <v>230</v>
      </c>
      <c r="AG576" s="16">
        <v>230</v>
      </c>
      <c r="AH576" s="17" t="s">
        <v>2631</v>
      </c>
      <c r="AI576" s="18">
        <v>33</v>
      </c>
      <c r="AJ576" s="19">
        <v>0.96399999999999997</v>
      </c>
      <c r="AK576" s="20">
        <v>0.98799999999999999</v>
      </c>
      <c r="AL576" s="17" t="s">
        <v>261</v>
      </c>
      <c r="AM576" s="5" t="s">
        <v>2422</v>
      </c>
      <c r="AN576" s="5" t="s">
        <v>66</v>
      </c>
      <c r="AO576" s="5" t="s">
        <v>66</v>
      </c>
      <c r="AP576" s="5" t="s">
        <v>66</v>
      </c>
      <c r="AQ576" s="5" t="s">
        <v>66</v>
      </c>
      <c r="AR576" s="5" t="s">
        <v>66</v>
      </c>
      <c r="AS576" s="5" t="s">
        <v>66</v>
      </c>
      <c r="AT576" s="5" t="s">
        <v>66</v>
      </c>
      <c r="AU576" s="5" t="s">
        <v>66</v>
      </c>
      <c r="AV576" s="5" t="s">
        <v>66</v>
      </c>
      <c r="AW576" s="5" t="s">
        <v>2632</v>
      </c>
      <c r="AX576" s="5" t="s">
        <v>2633</v>
      </c>
      <c r="AY576" s="5" t="s">
        <v>94</v>
      </c>
      <c r="AZ576" s="5" t="s">
        <v>145</v>
      </c>
      <c r="BA576" s="19" t="s">
        <v>2634</v>
      </c>
      <c r="BB576" s="17" t="s">
        <v>353</v>
      </c>
      <c r="BC576" s="5" t="s">
        <v>2635</v>
      </c>
      <c r="BD576" s="5" t="s">
        <v>3345</v>
      </c>
    </row>
    <row r="577" spans="1:56" ht="60" hidden="1" x14ac:dyDescent="0.25">
      <c r="A577" s="78" t="s">
        <v>2186</v>
      </c>
      <c r="B577" s="5" t="s">
        <v>433</v>
      </c>
      <c r="C577" s="5" t="s">
        <v>3293</v>
      </c>
      <c r="D577" s="5" t="s">
        <v>252</v>
      </c>
      <c r="E577" s="99" t="str">
        <f>VLOOKUP(D577,'Dropdown List'!$F$26:$G$40,2,0)</f>
        <v>India</v>
      </c>
      <c r="F577" s="8" t="s">
        <v>2187</v>
      </c>
      <c r="G577" s="96">
        <v>7</v>
      </c>
      <c r="H577" s="5" t="s">
        <v>57</v>
      </c>
      <c r="I577" s="8" t="s">
        <v>71</v>
      </c>
      <c r="J577" s="8" t="s">
        <v>112</v>
      </c>
      <c r="K577" s="8" t="s">
        <v>2627</v>
      </c>
      <c r="L577" s="8" t="s">
        <v>2636</v>
      </c>
      <c r="M577" s="8" t="s">
        <v>2629</v>
      </c>
      <c r="N577" s="5" t="s">
        <v>1034</v>
      </c>
      <c r="O577" s="5" t="s">
        <v>61</v>
      </c>
      <c r="P577" s="5" t="s">
        <v>2630</v>
      </c>
      <c r="Q577" s="9" t="s">
        <v>75</v>
      </c>
      <c r="R577" s="5" t="s">
        <v>76</v>
      </c>
      <c r="S577" s="5" t="s">
        <v>90</v>
      </c>
      <c r="T577" s="96" t="s">
        <v>2533</v>
      </c>
      <c r="U577" s="96" t="s">
        <v>2567</v>
      </c>
      <c r="V577" s="96" t="s">
        <v>2567</v>
      </c>
      <c r="W577" s="5" t="s">
        <v>91</v>
      </c>
      <c r="X577" s="10" t="s">
        <v>79</v>
      </c>
      <c r="Y577" s="11">
        <v>26002.87</v>
      </c>
      <c r="Z577" s="12">
        <v>2</v>
      </c>
      <c r="AA577" s="12">
        <v>0</v>
      </c>
      <c r="AB577" s="12">
        <v>0.1</v>
      </c>
      <c r="AC577" s="13">
        <v>0.25</v>
      </c>
      <c r="AD577" s="14">
        <f t="shared" si="18"/>
        <v>2.35</v>
      </c>
      <c r="AE577" s="15">
        <f t="shared" si="19"/>
        <v>0.10638297872340426</v>
      </c>
      <c r="AF577" s="16">
        <v>150</v>
      </c>
      <c r="AG577" s="16">
        <v>150</v>
      </c>
      <c r="AH577" s="17" t="s">
        <v>2631</v>
      </c>
      <c r="AI577" s="18">
        <v>34</v>
      </c>
      <c r="AJ577" s="19">
        <v>0.96399999999999997</v>
      </c>
      <c r="AK577" s="20">
        <v>0.98799999999999999</v>
      </c>
      <c r="AL577" s="17" t="s">
        <v>261</v>
      </c>
      <c r="AM577" s="5" t="s">
        <v>2422</v>
      </c>
      <c r="AN577" s="5" t="s">
        <v>66</v>
      </c>
      <c r="AO577" s="5" t="s">
        <v>66</v>
      </c>
      <c r="AP577" s="5" t="s">
        <v>66</v>
      </c>
      <c r="AQ577" s="5" t="s">
        <v>66</v>
      </c>
      <c r="AR577" s="5" t="s">
        <v>66</v>
      </c>
      <c r="AS577" s="5" t="s">
        <v>66</v>
      </c>
      <c r="AT577" s="5" t="s">
        <v>66</v>
      </c>
      <c r="AU577" s="5" t="s">
        <v>66</v>
      </c>
      <c r="AV577" s="5" t="s">
        <v>66</v>
      </c>
      <c r="AW577" s="5" t="s">
        <v>2632</v>
      </c>
      <c r="AX577" s="5" t="s">
        <v>2637</v>
      </c>
      <c r="AY577" s="5" t="s">
        <v>94</v>
      </c>
      <c r="AZ577" s="5" t="s">
        <v>145</v>
      </c>
      <c r="BA577" s="19" t="s">
        <v>2634</v>
      </c>
      <c r="BB577" s="17" t="s">
        <v>353</v>
      </c>
      <c r="BC577" s="5" t="s">
        <v>2635</v>
      </c>
      <c r="BD577" s="5" t="s">
        <v>3345</v>
      </c>
    </row>
    <row r="578" spans="1:56" ht="60" hidden="1" x14ac:dyDescent="0.25">
      <c r="A578" s="78" t="s">
        <v>2186</v>
      </c>
      <c r="B578" s="5" t="s">
        <v>433</v>
      </c>
      <c r="C578" s="5" t="s">
        <v>3293</v>
      </c>
      <c r="D578" s="5" t="s">
        <v>252</v>
      </c>
      <c r="E578" s="99" t="str">
        <f>VLOOKUP(D578,'Dropdown List'!$F$26:$G$40,2,0)</f>
        <v>India</v>
      </c>
      <c r="F578" s="8" t="s">
        <v>2187</v>
      </c>
      <c r="G578" s="96">
        <v>7</v>
      </c>
      <c r="H578" s="5" t="s">
        <v>57</v>
      </c>
      <c r="I578" s="8" t="s">
        <v>71</v>
      </c>
      <c r="J578" s="8" t="s">
        <v>112</v>
      </c>
      <c r="K578" s="8" t="s">
        <v>2627</v>
      </c>
      <c r="L578" s="8" t="s">
        <v>2638</v>
      </c>
      <c r="M578" s="8" t="s">
        <v>2629</v>
      </c>
      <c r="N578" s="5" t="s">
        <v>1034</v>
      </c>
      <c r="O578" s="5" t="s">
        <v>61</v>
      </c>
      <c r="P578" s="5" t="s">
        <v>2630</v>
      </c>
      <c r="Q578" s="9" t="s">
        <v>75</v>
      </c>
      <c r="R578" s="5" t="s">
        <v>76</v>
      </c>
      <c r="S578" s="5" t="s">
        <v>90</v>
      </c>
      <c r="T578" s="96" t="s">
        <v>2533</v>
      </c>
      <c r="U578" s="96" t="s">
        <v>2567</v>
      </c>
      <c r="V578" s="96" t="s">
        <v>2567</v>
      </c>
      <c r="W578" s="5" t="s">
        <v>91</v>
      </c>
      <c r="X578" s="10" t="s">
        <v>79</v>
      </c>
      <c r="Y578" s="11">
        <v>26002.87</v>
      </c>
      <c r="Z578" s="12">
        <v>0.5</v>
      </c>
      <c r="AA578" s="12">
        <v>0</v>
      </c>
      <c r="AB578" s="12">
        <v>0.1</v>
      </c>
      <c r="AC578" s="13">
        <v>0.25</v>
      </c>
      <c r="AD578" s="14">
        <f t="shared" si="18"/>
        <v>0.85</v>
      </c>
      <c r="AE578" s="15">
        <f t="shared" si="19"/>
        <v>0.29411764705882354</v>
      </c>
      <c r="AF578" s="16">
        <v>15</v>
      </c>
      <c r="AG578" s="16">
        <v>15</v>
      </c>
      <c r="AH578" s="17" t="s">
        <v>2631</v>
      </c>
      <c r="AI578" s="18">
        <v>16</v>
      </c>
      <c r="AJ578" s="19">
        <v>0.96399999999999997</v>
      </c>
      <c r="AK578" s="20">
        <v>0.98799999999999999</v>
      </c>
      <c r="AL578" s="17" t="s">
        <v>261</v>
      </c>
      <c r="AM578" s="5" t="s">
        <v>2422</v>
      </c>
      <c r="AN578" s="5" t="s">
        <v>66</v>
      </c>
      <c r="AO578" s="5" t="s">
        <v>66</v>
      </c>
      <c r="AP578" s="5" t="s">
        <v>66</v>
      </c>
      <c r="AQ578" s="5" t="s">
        <v>66</v>
      </c>
      <c r="AR578" s="5" t="s">
        <v>66</v>
      </c>
      <c r="AS578" s="5" t="s">
        <v>66</v>
      </c>
      <c r="AT578" s="5" t="s">
        <v>66</v>
      </c>
      <c r="AU578" s="5" t="s">
        <v>66</v>
      </c>
      <c r="AV578" s="5" t="s">
        <v>66</v>
      </c>
      <c r="AW578" s="5" t="s">
        <v>2632</v>
      </c>
      <c r="AX578" s="5" t="s">
        <v>2639</v>
      </c>
      <c r="AY578" s="5" t="s">
        <v>94</v>
      </c>
      <c r="AZ578" s="5" t="s">
        <v>145</v>
      </c>
      <c r="BA578" s="19" t="s">
        <v>2634</v>
      </c>
      <c r="BB578" s="17" t="s">
        <v>353</v>
      </c>
      <c r="BC578" s="5" t="s">
        <v>2635</v>
      </c>
      <c r="BD578" s="5" t="s">
        <v>3345</v>
      </c>
    </row>
    <row r="579" spans="1:56" ht="60" hidden="1" x14ac:dyDescent="0.25">
      <c r="A579" s="78" t="s">
        <v>2186</v>
      </c>
      <c r="B579" s="5" t="s">
        <v>433</v>
      </c>
      <c r="C579" s="5" t="s">
        <v>3293</v>
      </c>
      <c r="D579" s="5" t="s">
        <v>252</v>
      </c>
      <c r="E579" s="99" t="str">
        <f>VLOOKUP(D579,'Dropdown List'!$F$26:$G$40,2,0)</f>
        <v>India</v>
      </c>
      <c r="F579" s="8" t="s">
        <v>2187</v>
      </c>
      <c r="G579" s="96">
        <v>7</v>
      </c>
      <c r="H579" s="5" t="s">
        <v>57</v>
      </c>
      <c r="I579" s="8" t="s">
        <v>71</v>
      </c>
      <c r="J579" s="8" t="s">
        <v>112</v>
      </c>
      <c r="K579" s="8" t="s">
        <v>2627</v>
      </c>
      <c r="L579" s="8" t="s">
        <v>2640</v>
      </c>
      <c r="M579" s="8" t="s">
        <v>2629</v>
      </c>
      <c r="N579" s="5" t="s">
        <v>1034</v>
      </c>
      <c r="O579" s="5" t="s">
        <v>61</v>
      </c>
      <c r="P579" s="5" t="s">
        <v>2630</v>
      </c>
      <c r="Q579" s="9" t="s">
        <v>75</v>
      </c>
      <c r="R579" s="5" t="s">
        <v>76</v>
      </c>
      <c r="S579" s="5" t="s">
        <v>90</v>
      </c>
      <c r="T579" s="96" t="s">
        <v>2533</v>
      </c>
      <c r="U579" s="96" t="s">
        <v>2567</v>
      </c>
      <c r="V579" s="96" t="s">
        <v>2567</v>
      </c>
      <c r="W579" s="5" t="s">
        <v>91</v>
      </c>
      <c r="X579" s="10" t="s">
        <v>79</v>
      </c>
      <c r="Y579" s="11">
        <v>26002.87</v>
      </c>
      <c r="Z579" s="12">
        <v>0.5</v>
      </c>
      <c r="AA579" s="12">
        <v>0</v>
      </c>
      <c r="AB579" s="12">
        <v>0.1</v>
      </c>
      <c r="AC579" s="13">
        <v>0.25</v>
      </c>
      <c r="AD579" s="14">
        <f t="shared" si="18"/>
        <v>0.85</v>
      </c>
      <c r="AE579" s="15">
        <f t="shared" si="19"/>
        <v>0.29411764705882354</v>
      </c>
      <c r="AF579" s="16">
        <v>120</v>
      </c>
      <c r="AG579" s="16">
        <v>120</v>
      </c>
      <c r="AH579" s="17" t="s">
        <v>2631</v>
      </c>
      <c r="AI579" s="18">
        <v>29</v>
      </c>
      <c r="AJ579" s="19">
        <v>0.96399999999999997</v>
      </c>
      <c r="AK579" s="20">
        <v>0.98799999999999999</v>
      </c>
      <c r="AL579" s="17" t="s">
        <v>261</v>
      </c>
      <c r="AM579" s="5" t="s">
        <v>2422</v>
      </c>
      <c r="AN579" s="5" t="s">
        <v>66</v>
      </c>
      <c r="AO579" s="5" t="s">
        <v>66</v>
      </c>
      <c r="AP579" s="5" t="s">
        <v>66</v>
      </c>
      <c r="AQ579" s="5" t="s">
        <v>66</v>
      </c>
      <c r="AR579" s="5" t="s">
        <v>66</v>
      </c>
      <c r="AS579" s="5" t="s">
        <v>66</v>
      </c>
      <c r="AT579" s="5" t="s">
        <v>66</v>
      </c>
      <c r="AU579" s="5" t="s">
        <v>66</v>
      </c>
      <c r="AV579" s="5" t="s">
        <v>66</v>
      </c>
      <c r="AW579" s="5" t="s">
        <v>66</v>
      </c>
      <c r="AX579" s="5" t="s">
        <v>2534</v>
      </c>
      <c r="AY579" s="5" t="s">
        <v>94</v>
      </c>
      <c r="AZ579" s="5" t="s">
        <v>145</v>
      </c>
      <c r="BA579" s="19" t="s">
        <v>2634</v>
      </c>
      <c r="BB579" s="17" t="s">
        <v>353</v>
      </c>
      <c r="BC579" s="5" t="s">
        <v>2635</v>
      </c>
      <c r="BD579" s="5" t="s">
        <v>3345</v>
      </c>
    </row>
    <row r="580" spans="1:56" ht="60" hidden="1" x14ac:dyDescent="0.25">
      <c r="A580" s="78" t="s">
        <v>2186</v>
      </c>
      <c r="B580" s="5" t="s">
        <v>433</v>
      </c>
      <c r="C580" s="5" t="s">
        <v>3293</v>
      </c>
      <c r="D580" s="5" t="s">
        <v>252</v>
      </c>
      <c r="E580" s="99" t="str">
        <f>VLOOKUP(D580,'Dropdown List'!$F$26:$G$40,2,0)</f>
        <v>India</v>
      </c>
      <c r="F580" s="8" t="s">
        <v>2187</v>
      </c>
      <c r="G580" s="96">
        <v>7</v>
      </c>
      <c r="H580" s="5" t="s">
        <v>57</v>
      </c>
      <c r="I580" s="8" t="s">
        <v>71</v>
      </c>
      <c r="J580" s="8" t="s">
        <v>112</v>
      </c>
      <c r="K580" s="8" t="s">
        <v>2627</v>
      </c>
      <c r="L580" s="8" t="s">
        <v>2641</v>
      </c>
      <c r="M580" s="8" t="s">
        <v>2629</v>
      </c>
      <c r="N580" s="5" t="s">
        <v>1034</v>
      </c>
      <c r="O580" s="5" t="s">
        <v>61</v>
      </c>
      <c r="P580" s="5" t="s">
        <v>2566</v>
      </c>
      <c r="Q580" s="9" t="s">
        <v>75</v>
      </c>
      <c r="R580" s="5" t="s">
        <v>76</v>
      </c>
      <c r="S580" s="5" t="s">
        <v>90</v>
      </c>
      <c r="T580" s="96" t="s">
        <v>2533</v>
      </c>
      <c r="U580" s="96" t="s">
        <v>2567</v>
      </c>
      <c r="V580" s="96" t="s">
        <v>2567</v>
      </c>
      <c r="W580" s="5" t="s">
        <v>91</v>
      </c>
      <c r="X580" s="10" t="s">
        <v>79</v>
      </c>
      <c r="Y580" s="11">
        <v>26002.87</v>
      </c>
      <c r="Z580" s="12">
        <v>0</v>
      </c>
      <c r="AA580" s="12">
        <v>0</v>
      </c>
      <c r="AB580" s="12">
        <v>0</v>
      </c>
      <c r="AC580" s="13">
        <v>0</v>
      </c>
      <c r="AD580" s="14">
        <f t="shared" si="18"/>
        <v>0</v>
      </c>
      <c r="AE580" s="15" t="e">
        <f t="shared" si="19"/>
        <v>#DIV/0!</v>
      </c>
      <c r="AF580" s="16">
        <v>0</v>
      </c>
      <c r="AG580" s="16">
        <v>0</v>
      </c>
      <c r="AH580" s="17" t="s">
        <v>2631</v>
      </c>
      <c r="AI580" s="18">
        <v>28</v>
      </c>
      <c r="AJ580" s="19">
        <v>0.96399999999999997</v>
      </c>
      <c r="AK580" s="20">
        <v>0.98799999999999999</v>
      </c>
      <c r="AL580" s="17" t="s">
        <v>261</v>
      </c>
      <c r="AM580" s="5" t="s">
        <v>2422</v>
      </c>
      <c r="AN580" s="5" t="s">
        <v>66</v>
      </c>
      <c r="AO580" s="5" t="s">
        <v>66</v>
      </c>
      <c r="AP580" s="5" t="s">
        <v>66</v>
      </c>
      <c r="AQ580" s="5" t="s">
        <v>66</v>
      </c>
      <c r="AR580" s="5" t="s">
        <v>66</v>
      </c>
      <c r="AS580" s="5" t="s">
        <v>66</v>
      </c>
      <c r="AT580" s="5" t="s">
        <v>66</v>
      </c>
      <c r="AU580" s="5" t="s">
        <v>66</v>
      </c>
      <c r="AV580" s="5" t="s">
        <v>66</v>
      </c>
      <c r="AW580" s="5" t="s">
        <v>66</v>
      </c>
      <c r="AX580" s="5" t="s">
        <v>2642</v>
      </c>
      <c r="AY580" s="5" t="s">
        <v>69</v>
      </c>
      <c r="AZ580" s="5" t="s">
        <v>145</v>
      </c>
      <c r="BA580" s="19" t="s">
        <v>2643</v>
      </c>
      <c r="BB580" s="17" t="s">
        <v>353</v>
      </c>
      <c r="BC580" s="5" t="s">
        <v>2635</v>
      </c>
      <c r="BD580" s="5" t="s">
        <v>3345</v>
      </c>
    </row>
    <row r="581" spans="1:56" ht="60" hidden="1" x14ac:dyDescent="0.25">
      <c r="A581" s="78" t="s">
        <v>2186</v>
      </c>
      <c r="B581" s="5" t="s">
        <v>433</v>
      </c>
      <c r="C581" s="5" t="s">
        <v>3293</v>
      </c>
      <c r="D581" s="5" t="s">
        <v>252</v>
      </c>
      <c r="E581" s="99" t="str">
        <f>VLOOKUP(D581,'Dropdown List'!$F$26:$G$40,2,0)</f>
        <v>India</v>
      </c>
      <c r="F581" s="8" t="s">
        <v>2187</v>
      </c>
      <c r="G581" s="96">
        <v>7</v>
      </c>
      <c r="H581" s="5" t="s">
        <v>57</v>
      </c>
      <c r="I581" s="8" t="s">
        <v>71</v>
      </c>
      <c r="J581" s="8" t="s">
        <v>112</v>
      </c>
      <c r="K581" s="8" t="s">
        <v>2627</v>
      </c>
      <c r="L581" s="8" t="s">
        <v>2644</v>
      </c>
      <c r="M581" s="8" t="s">
        <v>2629</v>
      </c>
      <c r="N581" s="5" t="s">
        <v>1034</v>
      </c>
      <c r="O581" s="5" t="s">
        <v>61</v>
      </c>
      <c r="P581" s="5" t="s">
        <v>2630</v>
      </c>
      <c r="Q581" s="9" t="s">
        <v>75</v>
      </c>
      <c r="R581" s="5" t="s">
        <v>76</v>
      </c>
      <c r="S581" s="5" t="s">
        <v>90</v>
      </c>
      <c r="T581" s="96" t="s">
        <v>2533</v>
      </c>
      <c r="U581" s="96" t="s">
        <v>2567</v>
      </c>
      <c r="V581" s="96" t="s">
        <v>2567</v>
      </c>
      <c r="W581" s="5" t="s">
        <v>91</v>
      </c>
      <c r="X581" s="10" t="s">
        <v>79</v>
      </c>
      <c r="Y581" s="11">
        <v>26002.87</v>
      </c>
      <c r="Z581" s="12">
        <v>0</v>
      </c>
      <c r="AA581" s="12">
        <v>0</v>
      </c>
      <c r="AB581" s="12">
        <v>0</v>
      </c>
      <c r="AC581" s="13">
        <v>0</v>
      </c>
      <c r="AD581" s="14">
        <f t="shared" ref="AD581:AD644" si="20">SUM(Z581:AC581)</f>
        <v>0</v>
      </c>
      <c r="AE581" s="15" t="e">
        <f t="shared" ref="AE581:AE644" si="21">AC581/AD581</f>
        <v>#DIV/0!</v>
      </c>
      <c r="AF581" s="16">
        <v>0</v>
      </c>
      <c r="AG581" s="16">
        <v>0</v>
      </c>
      <c r="AH581" s="17" t="s">
        <v>2631</v>
      </c>
      <c r="AI581" s="18">
        <v>20</v>
      </c>
      <c r="AJ581" s="19">
        <v>0.96399999999999997</v>
      </c>
      <c r="AK581" s="20">
        <v>0.98799999999999999</v>
      </c>
      <c r="AL581" s="17" t="s">
        <v>261</v>
      </c>
      <c r="AM581" s="5" t="s">
        <v>2422</v>
      </c>
      <c r="AN581" s="5" t="s">
        <v>66</v>
      </c>
      <c r="AO581" s="5" t="s">
        <v>66</v>
      </c>
      <c r="AP581" s="5" t="s">
        <v>66</v>
      </c>
      <c r="AQ581" s="5" t="s">
        <v>66</v>
      </c>
      <c r="AR581" s="5" t="s">
        <v>66</v>
      </c>
      <c r="AS581" s="5" t="s">
        <v>66</v>
      </c>
      <c r="AT581" s="5" t="s">
        <v>66</v>
      </c>
      <c r="AU581" s="5" t="s">
        <v>66</v>
      </c>
      <c r="AV581" s="5" t="s">
        <v>66</v>
      </c>
      <c r="AW581" s="5" t="s">
        <v>66</v>
      </c>
      <c r="AX581" s="5" t="s">
        <v>2534</v>
      </c>
      <c r="AY581" s="5" t="s">
        <v>94</v>
      </c>
      <c r="AZ581" s="5" t="s">
        <v>145</v>
      </c>
      <c r="BA581" s="19" t="s">
        <v>2634</v>
      </c>
      <c r="BB581" s="17" t="s">
        <v>353</v>
      </c>
      <c r="BC581" s="5" t="s">
        <v>2635</v>
      </c>
      <c r="BD581" s="5" t="s">
        <v>3345</v>
      </c>
    </row>
    <row r="582" spans="1:56" ht="36" hidden="1" x14ac:dyDescent="0.25">
      <c r="A582" s="78" t="s">
        <v>2186</v>
      </c>
      <c r="B582" s="5" t="s">
        <v>433</v>
      </c>
      <c r="C582" s="5" t="s">
        <v>3293</v>
      </c>
      <c r="D582" s="5" t="s">
        <v>252</v>
      </c>
      <c r="E582" s="99" t="str">
        <f>VLOOKUP(D582,'Dropdown List'!$F$26:$G$40,2,0)</f>
        <v>India</v>
      </c>
      <c r="F582" s="8" t="s">
        <v>2187</v>
      </c>
      <c r="G582" s="96">
        <v>7</v>
      </c>
      <c r="H582" s="5" t="s">
        <v>57</v>
      </c>
      <c r="I582" s="8" t="s">
        <v>71</v>
      </c>
      <c r="J582" s="8" t="s">
        <v>112</v>
      </c>
      <c r="K582" s="8" t="s">
        <v>2627</v>
      </c>
      <c r="L582" s="8" t="s">
        <v>2645</v>
      </c>
      <c r="M582" s="8" t="s">
        <v>2646</v>
      </c>
      <c r="N582" s="5" t="s">
        <v>1034</v>
      </c>
      <c r="O582" s="5" t="s">
        <v>61</v>
      </c>
      <c r="P582" s="5" t="s">
        <v>2630</v>
      </c>
      <c r="Q582" s="9" t="s">
        <v>75</v>
      </c>
      <c r="R582" s="5" t="s">
        <v>76</v>
      </c>
      <c r="S582" s="5" t="s">
        <v>90</v>
      </c>
      <c r="T582" s="96" t="s">
        <v>2533</v>
      </c>
      <c r="U582" s="96" t="s">
        <v>2567</v>
      </c>
      <c r="V582" s="96" t="s">
        <v>2567</v>
      </c>
      <c r="W582" s="5" t="s">
        <v>91</v>
      </c>
      <c r="X582" s="10" t="s">
        <v>79</v>
      </c>
      <c r="Y582" s="11">
        <v>26002.87</v>
      </c>
      <c r="Z582" s="12">
        <v>1</v>
      </c>
      <c r="AA582" s="12">
        <v>0</v>
      </c>
      <c r="AB582" s="12">
        <v>0</v>
      </c>
      <c r="AC582" s="13">
        <v>0</v>
      </c>
      <c r="AD582" s="14">
        <f t="shared" si="20"/>
        <v>1</v>
      </c>
      <c r="AE582" s="15">
        <f t="shared" si="21"/>
        <v>0</v>
      </c>
      <c r="AF582" s="16">
        <v>230</v>
      </c>
      <c r="AG582" s="16">
        <v>230</v>
      </c>
      <c r="AH582" s="17" t="s">
        <v>2631</v>
      </c>
      <c r="AI582" s="18">
        <v>6</v>
      </c>
      <c r="AJ582" s="19">
        <v>0.96399999999999997</v>
      </c>
      <c r="AK582" s="20">
        <v>0.98799999999999999</v>
      </c>
      <c r="AL582" s="17" t="s">
        <v>261</v>
      </c>
      <c r="AM582" s="5" t="s">
        <v>2422</v>
      </c>
      <c r="AN582" s="5" t="s">
        <v>66</v>
      </c>
      <c r="AO582" s="5" t="s">
        <v>66</v>
      </c>
      <c r="AP582" s="5" t="s">
        <v>66</v>
      </c>
      <c r="AQ582" s="5" t="s">
        <v>66</v>
      </c>
      <c r="AR582" s="5" t="s">
        <v>66</v>
      </c>
      <c r="AS582" s="5" t="s">
        <v>66</v>
      </c>
      <c r="AT582" s="5" t="s">
        <v>66</v>
      </c>
      <c r="AU582" s="5" t="s">
        <v>66</v>
      </c>
      <c r="AV582" s="5" t="s">
        <v>66</v>
      </c>
      <c r="AW582" s="5" t="s">
        <v>66</v>
      </c>
      <c r="AX582" s="5" t="s">
        <v>2534</v>
      </c>
      <c r="AY582" s="5" t="s">
        <v>110</v>
      </c>
      <c r="AZ582" s="5" t="s">
        <v>145</v>
      </c>
      <c r="BA582" s="19" t="s">
        <v>2647</v>
      </c>
      <c r="BB582" s="17" t="s">
        <v>65</v>
      </c>
      <c r="BC582" s="5" t="s">
        <v>2635</v>
      </c>
      <c r="BD582" s="5" t="s">
        <v>3346</v>
      </c>
    </row>
    <row r="583" spans="1:56" ht="60" hidden="1" x14ac:dyDescent="0.25">
      <c r="A583" s="78" t="s">
        <v>2186</v>
      </c>
      <c r="B583" s="5" t="s">
        <v>433</v>
      </c>
      <c r="C583" s="5" t="s">
        <v>3293</v>
      </c>
      <c r="D583" s="5" t="s">
        <v>252</v>
      </c>
      <c r="E583" s="99" t="str">
        <f>VLOOKUP(D583,'Dropdown List'!$F$26:$G$40,2,0)</f>
        <v>India</v>
      </c>
      <c r="F583" s="8" t="s">
        <v>2187</v>
      </c>
      <c r="G583" s="96">
        <v>7</v>
      </c>
      <c r="H583" s="5" t="s">
        <v>57</v>
      </c>
      <c r="I583" s="8" t="s">
        <v>71</v>
      </c>
      <c r="J583" s="8" t="s">
        <v>2702</v>
      </c>
      <c r="K583" s="8" t="s">
        <v>855</v>
      </c>
      <c r="L583" s="8" t="s">
        <v>2648</v>
      </c>
      <c r="M583" s="8" t="s">
        <v>2649</v>
      </c>
      <c r="N583" s="5" t="s">
        <v>1034</v>
      </c>
      <c r="O583" s="5" t="s">
        <v>1069</v>
      </c>
      <c r="P583" s="5" t="s">
        <v>1069</v>
      </c>
      <c r="Q583" s="9" t="s">
        <v>75</v>
      </c>
      <c r="R583" s="5" t="s">
        <v>76</v>
      </c>
      <c r="S583" s="5" t="s">
        <v>64</v>
      </c>
      <c r="T583" s="96" t="s">
        <v>272</v>
      </c>
      <c r="U583" s="96" t="s">
        <v>2567</v>
      </c>
      <c r="V583" s="96" t="s">
        <v>2567</v>
      </c>
      <c r="W583" s="5" t="s">
        <v>91</v>
      </c>
      <c r="X583" s="10" t="s">
        <v>79</v>
      </c>
      <c r="Y583" s="11">
        <v>34253.56</v>
      </c>
      <c r="Z583" s="12">
        <v>3</v>
      </c>
      <c r="AA583" s="12">
        <v>0.75</v>
      </c>
      <c r="AB583" s="12">
        <v>0.1</v>
      </c>
      <c r="AC583" s="13">
        <v>0.3</v>
      </c>
      <c r="AD583" s="14">
        <f t="shared" si="20"/>
        <v>4.1500000000000004</v>
      </c>
      <c r="AE583" s="15">
        <f t="shared" si="21"/>
        <v>7.2289156626506021E-2</v>
      </c>
      <c r="AF583" s="16">
        <v>1250</v>
      </c>
      <c r="AG583" s="16">
        <v>1250</v>
      </c>
      <c r="AH583" s="17" t="s">
        <v>2650</v>
      </c>
      <c r="AI583" s="18">
        <v>23</v>
      </c>
      <c r="AJ583" s="19">
        <v>0.97099999999999997</v>
      </c>
      <c r="AK583" s="20">
        <v>0.94699999999999995</v>
      </c>
      <c r="AL583" s="17" t="s">
        <v>261</v>
      </c>
      <c r="AM583" s="5" t="s">
        <v>2422</v>
      </c>
      <c r="AN583" s="5" t="s">
        <v>66</v>
      </c>
      <c r="AO583" s="5" t="s">
        <v>66</v>
      </c>
      <c r="AP583" s="5" t="s">
        <v>2651</v>
      </c>
      <c r="AQ583" s="5" t="s">
        <v>828</v>
      </c>
      <c r="AR583" s="5" t="s">
        <v>2652</v>
      </c>
      <c r="AS583" s="5" t="s">
        <v>2653</v>
      </c>
      <c r="AT583" s="5" t="s">
        <v>66</v>
      </c>
      <c r="AU583" s="5" t="s">
        <v>66</v>
      </c>
      <c r="AV583" s="5" t="s">
        <v>66</v>
      </c>
      <c r="AW583" s="5" t="s">
        <v>66</v>
      </c>
      <c r="AX583" s="5" t="s">
        <v>2654</v>
      </c>
      <c r="AY583" s="5" t="s">
        <v>110</v>
      </c>
      <c r="AZ583" s="5" t="s">
        <v>145</v>
      </c>
      <c r="BA583" s="19" t="s">
        <v>2647</v>
      </c>
      <c r="BB583" s="17" t="s">
        <v>353</v>
      </c>
      <c r="BC583" s="5" t="s">
        <v>2635</v>
      </c>
      <c r="BD583" s="5" t="s">
        <v>3347</v>
      </c>
    </row>
    <row r="584" spans="1:56" ht="60" hidden="1" x14ac:dyDescent="0.25">
      <c r="A584" s="78" t="s">
        <v>2186</v>
      </c>
      <c r="B584" s="5" t="s">
        <v>433</v>
      </c>
      <c r="C584" s="5" t="s">
        <v>3293</v>
      </c>
      <c r="D584" s="5" t="s">
        <v>252</v>
      </c>
      <c r="E584" s="99" t="str">
        <f>VLOOKUP(D584,'Dropdown List'!$F$26:$G$40,2,0)</f>
        <v>India</v>
      </c>
      <c r="F584" s="8" t="s">
        <v>2187</v>
      </c>
      <c r="G584" s="96">
        <v>7</v>
      </c>
      <c r="H584" s="5" t="s">
        <v>57</v>
      </c>
      <c r="I584" s="8" t="s">
        <v>71</v>
      </c>
      <c r="J584" s="8" t="s">
        <v>102</v>
      </c>
      <c r="K584" s="8" t="s">
        <v>369</v>
      </c>
      <c r="L584" s="8" t="s">
        <v>2655</v>
      </c>
      <c r="M584" s="8" t="s">
        <v>2656</v>
      </c>
      <c r="N584" s="5" t="s">
        <v>1034</v>
      </c>
      <c r="O584" s="5" t="s">
        <v>1069</v>
      </c>
      <c r="P584" s="5" t="s">
        <v>1069</v>
      </c>
      <c r="Q584" s="9" t="s">
        <v>75</v>
      </c>
      <c r="R584" s="5" t="s">
        <v>76</v>
      </c>
      <c r="S584" s="5" t="s">
        <v>64</v>
      </c>
      <c r="T584" s="96" t="s">
        <v>272</v>
      </c>
      <c r="U584" s="96" t="s">
        <v>2567</v>
      </c>
      <c r="V584" s="96" t="s">
        <v>2567</v>
      </c>
      <c r="W584" s="5" t="s">
        <v>91</v>
      </c>
      <c r="X584" s="10" t="s">
        <v>79</v>
      </c>
      <c r="Y584" s="11">
        <v>34253.56</v>
      </c>
      <c r="Z584" s="12">
        <v>2.25</v>
      </c>
      <c r="AA584" s="12">
        <v>0.75</v>
      </c>
      <c r="AB584" s="12">
        <v>0.1</v>
      </c>
      <c r="AC584" s="13">
        <v>0.4</v>
      </c>
      <c r="AD584" s="14">
        <f t="shared" si="20"/>
        <v>3.5</v>
      </c>
      <c r="AE584" s="15">
        <f t="shared" si="21"/>
        <v>0.1142857142857143</v>
      </c>
      <c r="AF584" s="16">
        <v>2000</v>
      </c>
      <c r="AG584" s="16">
        <v>2000</v>
      </c>
      <c r="AH584" s="17" t="s">
        <v>2650</v>
      </c>
      <c r="AI584" s="18">
        <v>6</v>
      </c>
      <c r="AJ584" s="19">
        <v>0.97099999999999997</v>
      </c>
      <c r="AK584" s="20">
        <v>0.94699999999999995</v>
      </c>
      <c r="AL584" s="17" t="s">
        <v>261</v>
      </c>
      <c r="AM584" s="5" t="s">
        <v>2422</v>
      </c>
      <c r="AN584" s="5" t="s">
        <v>66</v>
      </c>
      <c r="AO584" s="5" t="s">
        <v>66</v>
      </c>
      <c r="AP584" s="5" t="s">
        <v>2651</v>
      </c>
      <c r="AQ584" s="5" t="s">
        <v>828</v>
      </c>
      <c r="AR584" s="5" t="s">
        <v>2657</v>
      </c>
      <c r="AS584" s="5" t="s">
        <v>2653</v>
      </c>
      <c r="AT584" s="5" t="s">
        <v>66</v>
      </c>
      <c r="AU584" s="5" t="s">
        <v>66</v>
      </c>
      <c r="AV584" s="5" t="s">
        <v>66</v>
      </c>
      <c r="AW584" s="5" t="s">
        <v>66</v>
      </c>
      <c r="AX584" s="5" t="s">
        <v>2654</v>
      </c>
      <c r="AY584" s="5" t="s">
        <v>110</v>
      </c>
      <c r="AZ584" s="5" t="s">
        <v>145</v>
      </c>
      <c r="BA584" s="19" t="s">
        <v>2647</v>
      </c>
      <c r="BB584" s="17" t="s">
        <v>353</v>
      </c>
      <c r="BC584" s="5" t="s">
        <v>2635</v>
      </c>
      <c r="BD584" s="5" t="s">
        <v>3347</v>
      </c>
    </row>
    <row r="585" spans="1:56" ht="60" hidden="1" x14ac:dyDescent="0.25">
      <c r="A585" s="78" t="s">
        <v>2186</v>
      </c>
      <c r="B585" s="5" t="s">
        <v>433</v>
      </c>
      <c r="C585" s="5" t="s">
        <v>3293</v>
      </c>
      <c r="D585" s="5" t="s">
        <v>252</v>
      </c>
      <c r="E585" s="99" t="str">
        <f>VLOOKUP(D585,'Dropdown List'!$F$26:$G$40,2,0)</f>
        <v>India</v>
      </c>
      <c r="F585" s="8" t="s">
        <v>2187</v>
      </c>
      <c r="G585" s="96">
        <v>7</v>
      </c>
      <c r="H585" s="5" t="s">
        <v>57</v>
      </c>
      <c r="I585" s="8" t="s">
        <v>71</v>
      </c>
      <c r="J585" s="8" t="s">
        <v>112</v>
      </c>
      <c r="K585" s="8" t="s">
        <v>113</v>
      </c>
      <c r="L585" s="8" t="s">
        <v>2658</v>
      </c>
      <c r="M585" s="8" t="s">
        <v>2659</v>
      </c>
      <c r="N585" s="5" t="s">
        <v>1034</v>
      </c>
      <c r="O585" s="5" t="s">
        <v>1069</v>
      </c>
      <c r="P585" s="5" t="s">
        <v>1069</v>
      </c>
      <c r="Q585" s="9" t="s">
        <v>75</v>
      </c>
      <c r="R585" s="5" t="s">
        <v>76</v>
      </c>
      <c r="S585" s="5" t="s">
        <v>64</v>
      </c>
      <c r="T585" s="96" t="s">
        <v>272</v>
      </c>
      <c r="U585" s="96" t="s">
        <v>2567</v>
      </c>
      <c r="V585" s="96" t="s">
        <v>2567</v>
      </c>
      <c r="W585" s="5" t="s">
        <v>91</v>
      </c>
      <c r="X585" s="10" t="s">
        <v>79</v>
      </c>
      <c r="Y585" s="11">
        <v>34253.56</v>
      </c>
      <c r="Z585" s="12">
        <v>0.25</v>
      </c>
      <c r="AA585" s="12">
        <v>0.2</v>
      </c>
      <c r="AB585" s="12">
        <v>0</v>
      </c>
      <c r="AC585" s="13">
        <v>0.1</v>
      </c>
      <c r="AD585" s="14">
        <f t="shared" si="20"/>
        <v>0.55000000000000004</v>
      </c>
      <c r="AE585" s="15">
        <f t="shared" si="21"/>
        <v>0.18181818181818182</v>
      </c>
      <c r="AF585" s="16">
        <v>150</v>
      </c>
      <c r="AG585" s="16">
        <v>150</v>
      </c>
      <c r="AH585" s="17" t="s">
        <v>2650</v>
      </c>
      <c r="AI585" s="18">
        <v>10</v>
      </c>
      <c r="AJ585" s="19">
        <v>0.97099999999999997</v>
      </c>
      <c r="AK585" s="20">
        <v>0.94699999999999995</v>
      </c>
      <c r="AL585" s="17" t="s">
        <v>261</v>
      </c>
      <c r="AM585" s="5" t="s">
        <v>2422</v>
      </c>
      <c r="AN585" s="5" t="s">
        <v>66</v>
      </c>
      <c r="AO585" s="5" t="s">
        <v>66</v>
      </c>
      <c r="AP585" s="5" t="s">
        <v>2651</v>
      </c>
      <c r="AQ585" s="5" t="s">
        <v>66</v>
      </c>
      <c r="AR585" s="5" t="s">
        <v>66</v>
      </c>
      <c r="AS585" s="5" t="s">
        <v>66</v>
      </c>
      <c r="AT585" s="5" t="s">
        <v>66</v>
      </c>
      <c r="AU585" s="5" t="s">
        <v>66</v>
      </c>
      <c r="AV585" s="5" t="s">
        <v>66</v>
      </c>
      <c r="AW585" s="5" t="s">
        <v>66</v>
      </c>
      <c r="AX585" s="5" t="s">
        <v>2654</v>
      </c>
      <c r="AY585" s="5" t="s">
        <v>110</v>
      </c>
      <c r="AZ585" s="5" t="s">
        <v>145</v>
      </c>
      <c r="BA585" s="19" t="s">
        <v>2647</v>
      </c>
      <c r="BB585" s="17" t="s">
        <v>353</v>
      </c>
      <c r="BC585" s="5" t="s">
        <v>2635</v>
      </c>
      <c r="BD585" s="5" t="s">
        <v>3347</v>
      </c>
    </row>
    <row r="586" spans="1:56" ht="60" hidden="1" x14ac:dyDescent="0.25">
      <c r="A586" s="78" t="s">
        <v>2186</v>
      </c>
      <c r="B586" s="5" t="s">
        <v>433</v>
      </c>
      <c r="C586" s="5" t="s">
        <v>3293</v>
      </c>
      <c r="D586" s="5" t="s">
        <v>252</v>
      </c>
      <c r="E586" s="99" t="str">
        <f>VLOOKUP(D586,'Dropdown List'!$F$26:$G$40,2,0)</f>
        <v>India</v>
      </c>
      <c r="F586" s="8" t="s">
        <v>2187</v>
      </c>
      <c r="G586" s="96">
        <v>7</v>
      </c>
      <c r="H586" s="5" t="s">
        <v>57</v>
      </c>
      <c r="I586" s="8" t="s">
        <v>71</v>
      </c>
      <c r="J586" s="8" t="s">
        <v>112</v>
      </c>
      <c r="K586" s="8" t="s">
        <v>356</v>
      </c>
      <c r="L586" s="8" t="s">
        <v>2660</v>
      </c>
      <c r="M586" s="8" t="s">
        <v>2661</v>
      </c>
      <c r="N586" s="5" t="s">
        <v>1034</v>
      </c>
      <c r="O586" s="5" t="s">
        <v>1069</v>
      </c>
      <c r="P586" s="5" t="s">
        <v>1069</v>
      </c>
      <c r="Q586" s="9" t="s">
        <v>75</v>
      </c>
      <c r="R586" s="5" t="s">
        <v>76</v>
      </c>
      <c r="S586" s="5" t="s">
        <v>64</v>
      </c>
      <c r="T586" s="96" t="s">
        <v>272</v>
      </c>
      <c r="U586" s="96" t="s">
        <v>2567</v>
      </c>
      <c r="V586" s="96" t="s">
        <v>2567</v>
      </c>
      <c r="W586" s="5" t="s">
        <v>91</v>
      </c>
      <c r="X586" s="10" t="s">
        <v>79</v>
      </c>
      <c r="Y586" s="11">
        <v>34253.56</v>
      </c>
      <c r="Z586" s="12">
        <v>0.26</v>
      </c>
      <c r="AA586" s="12">
        <v>0.2</v>
      </c>
      <c r="AB586" s="12">
        <v>0</v>
      </c>
      <c r="AC586" s="13">
        <v>0.1</v>
      </c>
      <c r="AD586" s="14">
        <f t="shared" si="20"/>
        <v>0.56000000000000005</v>
      </c>
      <c r="AE586" s="15">
        <f t="shared" si="21"/>
        <v>0.17857142857142858</v>
      </c>
      <c r="AF586" s="16">
        <v>750</v>
      </c>
      <c r="AG586" s="16">
        <v>750</v>
      </c>
      <c r="AH586" s="17" t="s">
        <v>2650</v>
      </c>
      <c r="AI586" s="18">
        <v>1.3</v>
      </c>
      <c r="AJ586" s="19">
        <v>0.97099999999999997</v>
      </c>
      <c r="AK586" s="20">
        <v>0.94699999999999995</v>
      </c>
      <c r="AL586" s="17" t="s">
        <v>261</v>
      </c>
      <c r="AM586" s="5" t="s">
        <v>2422</v>
      </c>
      <c r="AN586" s="5" t="s">
        <v>66</v>
      </c>
      <c r="AO586" s="5" t="s">
        <v>66</v>
      </c>
      <c r="AP586" s="5" t="s">
        <v>2651</v>
      </c>
      <c r="AQ586" s="5" t="s">
        <v>66</v>
      </c>
      <c r="AR586" s="5" t="s">
        <v>66</v>
      </c>
      <c r="AS586" s="5" t="s">
        <v>66</v>
      </c>
      <c r="AT586" s="5" t="s">
        <v>66</v>
      </c>
      <c r="AU586" s="5" t="s">
        <v>66</v>
      </c>
      <c r="AV586" s="5" t="s">
        <v>66</v>
      </c>
      <c r="AW586" s="5" t="s">
        <v>66</v>
      </c>
      <c r="AX586" s="5" t="s">
        <v>2654</v>
      </c>
      <c r="AY586" s="5" t="s">
        <v>110</v>
      </c>
      <c r="AZ586" s="5" t="s">
        <v>145</v>
      </c>
      <c r="BA586" s="19" t="s">
        <v>2647</v>
      </c>
      <c r="BB586" s="17" t="s">
        <v>353</v>
      </c>
      <c r="BC586" s="5" t="s">
        <v>2635</v>
      </c>
      <c r="BD586" s="5" t="s">
        <v>3347</v>
      </c>
    </row>
    <row r="587" spans="1:56" ht="60" hidden="1" x14ac:dyDescent="0.25">
      <c r="A587" s="78" t="s">
        <v>2186</v>
      </c>
      <c r="B587" s="5" t="s">
        <v>433</v>
      </c>
      <c r="C587" s="5" t="s">
        <v>3293</v>
      </c>
      <c r="D587" s="5" t="s">
        <v>252</v>
      </c>
      <c r="E587" s="99" t="str">
        <f>VLOOKUP(D587,'Dropdown List'!$F$26:$G$40,2,0)</f>
        <v>India</v>
      </c>
      <c r="F587" s="8" t="s">
        <v>2187</v>
      </c>
      <c r="G587" s="96">
        <v>7</v>
      </c>
      <c r="H587" s="5" t="s">
        <v>57</v>
      </c>
      <c r="I587" s="8" t="s">
        <v>71</v>
      </c>
      <c r="J587" s="8" t="s">
        <v>112</v>
      </c>
      <c r="K587" s="8" t="s">
        <v>361</v>
      </c>
      <c r="L587" s="8" t="s">
        <v>2662</v>
      </c>
      <c r="M587" s="8" t="s">
        <v>2663</v>
      </c>
      <c r="N587" s="5" t="s">
        <v>1034</v>
      </c>
      <c r="O587" s="5" t="s">
        <v>1069</v>
      </c>
      <c r="P587" s="5" t="s">
        <v>1069</v>
      </c>
      <c r="Q587" s="9" t="s">
        <v>75</v>
      </c>
      <c r="R587" s="5" t="s">
        <v>76</v>
      </c>
      <c r="S587" s="5" t="s">
        <v>64</v>
      </c>
      <c r="T587" s="96" t="s">
        <v>272</v>
      </c>
      <c r="U587" s="96" t="s">
        <v>2567</v>
      </c>
      <c r="V587" s="96" t="s">
        <v>2567</v>
      </c>
      <c r="W587" s="5" t="s">
        <v>91</v>
      </c>
      <c r="X587" s="10" t="s">
        <v>79</v>
      </c>
      <c r="Y587" s="11">
        <v>34253.56</v>
      </c>
      <c r="Z587" s="12">
        <v>0.2</v>
      </c>
      <c r="AA587" s="12">
        <v>0.1</v>
      </c>
      <c r="AB587" s="12">
        <v>0</v>
      </c>
      <c r="AC587" s="13">
        <v>0.1</v>
      </c>
      <c r="AD587" s="14">
        <f t="shared" si="20"/>
        <v>0.4</v>
      </c>
      <c r="AE587" s="15">
        <f t="shared" si="21"/>
        <v>0.25</v>
      </c>
      <c r="AF587" s="16">
        <v>100</v>
      </c>
      <c r="AG587" s="16">
        <v>100</v>
      </c>
      <c r="AH587" s="17" t="s">
        <v>2650</v>
      </c>
      <c r="AI587" s="18">
        <v>5</v>
      </c>
      <c r="AJ587" s="19">
        <v>0.97099999999999997</v>
      </c>
      <c r="AK587" s="20">
        <v>0.94699999999999995</v>
      </c>
      <c r="AL587" s="17" t="s">
        <v>261</v>
      </c>
      <c r="AM587" s="5" t="s">
        <v>2422</v>
      </c>
      <c r="AN587" s="5" t="s">
        <v>66</v>
      </c>
      <c r="AO587" s="5" t="s">
        <v>66</v>
      </c>
      <c r="AP587" s="5" t="s">
        <v>2651</v>
      </c>
      <c r="AQ587" s="5" t="s">
        <v>66</v>
      </c>
      <c r="AR587" s="5" t="s">
        <v>66</v>
      </c>
      <c r="AS587" s="5" t="s">
        <v>66</v>
      </c>
      <c r="AT587" s="5" t="s">
        <v>66</v>
      </c>
      <c r="AU587" s="5" t="s">
        <v>66</v>
      </c>
      <c r="AV587" s="5" t="s">
        <v>66</v>
      </c>
      <c r="AW587" s="5" t="s">
        <v>66</v>
      </c>
      <c r="AX587" s="5" t="s">
        <v>2654</v>
      </c>
      <c r="AY587" s="5" t="s">
        <v>110</v>
      </c>
      <c r="AZ587" s="5" t="s">
        <v>80</v>
      </c>
      <c r="BA587" s="19" t="s">
        <v>2647</v>
      </c>
      <c r="BB587" s="17" t="s">
        <v>353</v>
      </c>
      <c r="BC587" s="5" t="s">
        <v>2635</v>
      </c>
      <c r="BD587" s="5" t="s">
        <v>3347</v>
      </c>
    </row>
    <row r="588" spans="1:56" ht="84" hidden="1" x14ac:dyDescent="0.25">
      <c r="A588" s="78" t="s">
        <v>2186</v>
      </c>
      <c r="B588" s="5" t="s">
        <v>433</v>
      </c>
      <c r="C588" s="5" t="s">
        <v>3293</v>
      </c>
      <c r="D588" s="5" t="s">
        <v>252</v>
      </c>
      <c r="E588" s="99" t="str">
        <f>VLOOKUP(D588,'Dropdown List'!$F$26:$G$40,2,0)</f>
        <v>India</v>
      </c>
      <c r="F588" s="8" t="s">
        <v>2187</v>
      </c>
      <c r="G588" s="96">
        <v>7</v>
      </c>
      <c r="H588" s="5" t="s">
        <v>57</v>
      </c>
      <c r="I588" s="8" t="s">
        <v>71</v>
      </c>
      <c r="J588" s="8" t="s">
        <v>112</v>
      </c>
      <c r="K588" s="8" t="s">
        <v>2664</v>
      </c>
      <c r="L588" s="8" t="s">
        <v>2665</v>
      </c>
      <c r="M588" s="8" t="s">
        <v>2666</v>
      </c>
      <c r="N588" s="5" t="s">
        <v>1034</v>
      </c>
      <c r="O588" s="5" t="s">
        <v>61</v>
      </c>
      <c r="P588" s="5" t="s">
        <v>2667</v>
      </c>
      <c r="Q588" s="9" t="s">
        <v>75</v>
      </c>
      <c r="R588" s="5" t="s">
        <v>76</v>
      </c>
      <c r="S588" s="5" t="s">
        <v>90</v>
      </c>
      <c r="T588" s="96" t="s">
        <v>272</v>
      </c>
      <c r="U588" s="96" t="s">
        <v>2567</v>
      </c>
      <c r="V588" s="96" t="s">
        <v>2567</v>
      </c>
      <c r="W588" s="5" t="s">
        <v>91</v>
      </c>
      <c r="X588" s="10" t="s">
        <v>79</v>
      </c>
      <c r="Y588" s="11">
        <v>26002.87</v>
      </c>
      <c r="Z588" s="12">
        <v>4.41</v>
      </c>
      <c r="AA588" s="12">
        <v>1</v>
      </c>
      <c r="AB588" s="12">
        <v>0.3</v>
      </c>
      <c r="AC588" s="13">
        <v>1</v>
      </c>
      <c r="AD588" s="14">
        <f t="shared" si="20"/>
        <v>6.71</v>
      </c>
      <c r="AE588" s="15">
        <f t="shared" si="21"/>
        <v>0.14903129657228018</v>
      </c>
      <c r="AF588" s="16">
        <v>4500</v>
      </c>
      <c r="AG588" s="16">
        <v>4500</v>
      </c>
      <c r="AH588" s="17" t="s">
        <v>2668</v>
      </c>
      <c r="AI588" s="18">
        <v>8.4</v>
      </c>
      <c r="AJ588" s="19">
        <v>0.96399999999999997</v>
      </c>
      <c r="AK588" s="20">
        <v>0.98799999999999999</v>
      </c>
      <c r="AL588" s="17" t="s">
        <v>261</v>
      </c>
      <c r="AM588" s="5" t="s">
        <v>2422</v>
      </c>
      <c r="AN588" s="5" t="s">
        <v>66</v>
      </c>
      <c r="AO588" s="5" t="s">
        <v>66</v>
      </c>
      <c r="AP588" s="5" t="s">
        <v>2669</v>
      </c>
      <c r="AQ588" s="5" t="s">
        <v>828</v>
      </c>
      <c r="AR588" s="5" t="s">
        <v>2670</v>
      </c>
      <c r="AS588" s="5" t="s">
        <v>2671</v>
      </c>
      <c r="AT588" s="5" t="s">
        <v>66</v>
      </c>
      <c r="AU588" s="5" t="s">
        <v>66</v>
      </c>
      <c r="AV588" s="5" t="s">
        <v>66</v>
      </c>
      <c r="AW588" s="5" t="s">
        <v>66</v>
      </c>
      <c r="AX588" s="5" t="s">
        <v>2672</v>
      </c>
      <c r="AY588" s="5" t="s">
        <v>94</v>
      </c>
      <c r="AZ588" s="5" t="s">
        <v>145</v>
      </c>
      <c r="BA588" s="19" t="s">
        <v>2634</v>
      </c>
      <c r="BB588" s="17" t="s">
        <v>69</v>
      </c>
      <c r="BC588" s="5" t="s">
        <v>53</v>
      </c>
      <c r="BD588" s="5" t="s">
        <v>3348</v>
      </c>
    </row>
    <row r="589" spans="1:56" ht="84" hidden="1" x14ac:dyDescent="0.25">
      <c r="A589" s="78" t="s">
        <v>2186</v>
      </c>
      <c r="B589" s="5" t="s">
        <v>433</v>
      </c>
      <c r="C589" s="5" t="s">
        <v>3293</v>
      </c>
      <c r="D589" s="5" t="s">
        <v>252</v>
      </c>
      <c r="E589" s="99" t="str">
        <f>VLOOKUP(D589,'Dropdown List'!$F$26:$G$40,2,0)</f>
        <v>India</v>
      </c>
      <c r="F589" s="8" t="s">
        <v>2187</v>
      </c>
      <c r="G589" s="96">
        <v>7</v>
      </c>
      <c r="H589" s="5" t="s">
        <v>57</v>
      </c>
      <c r="I589" s="8" t="s">
        <v>71</v>
      </c>
      <c r="J589" s="8" t="s">
        <v>112</v>
      </c>
      <c r="K589" s="8" t="s">
        <v>2664</v>
      </c>
      <c r="L589" s="8" t="s">
        <v>2673</v>
      </c>
      <c r="M589" s="8" t="s">
        <v>2674</v>
      </c>
      <c r="N589" s="5" t="s">
        <v>1034</v>
      </c>
      <c r="O589" s="5" t="s">
        <v>61</v>
      </c>
      <c r="P589" s="5" t="s">
        <v>2667</v>
      </c>
      <c r="Q589" s="9" t="s">
        <v>75</v>
      </c>
      <c r="R589" s="5" t="s">
        <v>76</v>
      </c>
      <c r="S589" s="5" t="s">
        <v>90</v>
      </c>
      <c r="T589" s="96" t="s">
        <v>272</v>
      </c>
      <c r="U589" s="96" t="s">
        <v>2567</v>
      </c>
      <c r="V589" s="96" t="s">
        <v>2567</v>
      </c>
      <c r="W589" s="5" t="s">
        <v>91</v>
      </c>
      <c r="X589" s="10" t="s">
        <v>79</v>
      </c>
      <c r="Y589" s="11">
        <v>26002.87</v>
      </c>
      <c r="Z589" s="12">
        <v>2.2000000000000002</v>
      </c>
      <c r="AA589" s="12">
        <v>0.5</v>
      </c>
      <c r="AB589" s="12">
        <v>0</v>
      </c>
      <c r="AC589" s="13">
        <v>0.5</v>
      </c>
      <c r="AD589" s="14">
        <f t="shared" si="20"/>
        <v>3.2</v>
      </c>
      <c r="AE589" s="15">
        <f t="shared" si="21"/>
        <v>0.15625</v>
      </c>
      <c r="AF589" s="16">
        <v>3000</v>
      </c>
      <c r="AG589" s="16">
        <v>3000</v>
      </c>
      <c r="AH589" s="17" t="s">
        <v>2668</v>
      </c>
      <c r="AI589" s="18">
        <v>6.5</v>
      </c>
      <c r="AJ589" s="19">
        <v>0.96399999999999997</v>
      </c>
      <c r="AK589" s="20">
        <v>0.98799999999999999</v>
      </c>
      <c r="AL589" s="17" t="s">
        <v>261</v>
      </c>
      <c r="AM589" s="5" t="s">
        <v>2422</v>
      </c>
      <c r="AN589" s="5" t="s">
        <v>66</v>
      </c>
      <c r="AO589" s="5" t="s">
        <v>66</v>
      </c>
      <c r="AP589" s="5" t="s">
        <v>2675</v>
      </c>
      <c r="AQ589" s="5" t="s">
        <v>828</v>
      </c>
      <c r="AR589" s="5" t="s">
        <v>2676</v>
      </c>
      <c r="AS589" s="5" t="s">
        <v>2671</v>
      </c>
      <c r="AT589" s="5" t="s">
        <v>66</v>
      </c>
      <c r="AU589" s="5" t="s">
        <v>66</v>
      </c>
      <c r="AV589" s="5" t="s">
        <v>66</v>
      </c>
      <c r="AW589" s="5" t="s">
        <v>66</v>
      </c>
      <c r="AX589" s="5" t="s">
        <v>2677</v>
      </c>
      <c r="AY589" s="5" t="s">
        <v>94</v>
      </c>
      <c r="AZ589" s="5" t="s">
        <v>145</v>
      </c>
      <c r="BA589" s="19" t="s">
        <v>2634</v>
      </c>
      <c r="BB589" s="17" t="s">
        <v>69</v>
      </c>
      <c r="BC589" s="5" t="s">
        <v>2635</v>
      </c>
      <c r="BD589" s="5" t="s">
        <v>3348</v>
      </c>
    </row>
    <row r="590" spans="1:56" ht="84" hidden="1" x14ac:dyDescent="0.25">
      <c r="A590" s="78" t="s">
        <v>2186</v>
      </c>
      <c r="B590" s="5" t="s">
        <v>433</v>
      </c>
      <c r="C590" s="5" t="s">
        <v>3293</v>
      </c>
      <c r="D590" s="5" t="s">
        <v>252</v>
      </c>
      <c r="E590" s="99" t="str">
        <f>VLOOKUP(D590,'Dropdown List'!$F$26:$G$40,2,0)</f>
        <v>India</v>
      </c>
      <c r="F590" s="8" t="s">
        <v>2187</v>
      </c>
      <c r="G590" s="96">
        <v>7</v>
      </c>
      <c r="H590" s="5" t="s">
        <v>57</v>
      </c>
      <c r="I590" s="8" t="s">
        <v>71</v>
      </c>
      <c r="J590" s="8" t="s">
        <v>112</v>
      </c>
      <c r="K590" s="8" t="s">
        <v>2664</v>
      </c>
      <c r="L590" s="8" t="s">
        <v>2678</v>
      </c>
      <c r="M590" s="8" t="s">
        <v>2666</v>
      </c>
      <c r="N590" s="5" t="s">
        <v>1034</v>
      </c>
      <c r="O590" s="5" t="s">
        <v>61</v>
      </c>
      <c r="P590" s="5" t="s">
        <v>2667</v>
      </c>
      <c r="Q590" s="9" t="s">
        <v>75</v>
      </c>
      <c r="R590" s="5" t="s">
        <v>76</v>
      </c>
      <c r="S590" s="5" t="s">
        <v>90</v>
      </c>
      <c r="T590" s="96" t="s">
        <v>272</v>
      </c>
      <c r="U590" s="96" t="s">
        <v>2567</v>
      </c>
      <c r="V590" s="96" t="s">
        <v>2567</v>
      </c>
      <c r="W590" s="5" t="s">
        <v>91</v>
      </c>
      <c r="X590" s="10" t="s">
        <v>79</v>
      </c>
      <c r="Y590" s="11">
        <v>26002.87</v>
      </c>
      <c r="Z590" s="12">
        <v>0.3</v>
      </c>
      <c r="AA590" s="12">
        <v>0</v>
      </c>
      <c r="AB590" s="12">
        <v>0</v>
      </c>
      <c r="AC590" s="13">
        <v>0</v>
      </c>
      <c r="AD590" s="14">
        <f t="shared" si="20"/>
        <v>0.3</v>
      </c>
      <c r="AE590" s="15">
        <f t="shared" si="21"/>
        <v>0</v>
      </c>
      <c r="AF590" s="16">
        <v>600</v>
      </c>
      <c r="AG590" s="16">
        <v>600</v>
      </c>
      <c r="AH590" s="17" t="s">
        <v>2668</v>
      </c>
      <c r="AI590" s="18">
        <v>5</v>
      </c>
      <c r="AJ590" s="19">
        <v>0.96399999999999997</v>
      </c>
      <c r="AK590" s="20">
        <v>0.98799999999999999</v>
      </c>
      <c r="AL590" s="17" t="s">
        <v>261</v>
      </c>
      <c r="AM590" s="5" t="s">
        <v>2422</v>
      </c>
      <c r="AN590" s="5" t="s">
        <v>66</v>
      </c>
      <c r="AO590" s="5" t="s">
        <v>66</v>
      </c>
      <c r="AP590" s="5" t="s">
        <v>2669</v>
      </c>
      <c r="AQ590" s="5" t="s">
        <v>66</v>
      </c>
      <c r="AR590" s="5" t="s">
        <v>66</v>
      </c>
      <c r="AS590" s="5" t="s">
        <v>66</v>
      </c>
      <c r="AT590" s="5" t="s">
        <v>66</v>
      </c>
      <c r="AU590" s="5" t="s">
        <v>66</v>
      </c>
      <c r="AV590" s="5" t="s">
        <v>66</v>
      </c>
      <c r="AW590" s="5" t="s">
        <v>66</v>
      </c>
      <c r="AX590" s="5" t="s">
        <v>2672</v>
      </c>
      <c r="AY590" s="5" t="s">
        <v>110</v>
      </c>
      <c r="AZ590" s="5" t="s">
        <v>145</v>
      </c>
      <c r="BA590" s="19" t="s">
        <v>2647</v>
      </c>
      <c r="BB590" s="17" t="s">
        <v>69</v>
      </c>
      <c r="BC590" s="5" t="s">
        <v>53</v>
      </c>
      <c r="BD590" s="5" t="s">
        <v>3348</v>
      </c>
    </row>
    <row r="591" spans="1:56" ht="84" hidden="1" x14ac:dyDescent="0.25">
      <c r="A591" s="78" t="s">
        <v>2186</v>
      </c>
      <c r="B591" s="5" t="s">
        <v>433</v>
      </c>
      <c r="C591" s="5" t="s">
        <v>3293</v>
      </c>
      <c r="D591" s="5" t="s">
        <v>252</v>
      </c>
      <c r="E591" s="99" t="str">
        <f>VLOOKUP(D591,'Dropdown List'!$F$26:$G$40,2,0)</f>
        <v>India</v>
      </c>
      <c r="F591" s="8" t="s">
        <v>2187</v>
      </c>
      <c r="G591" s="96">
        <v>7</v>
      </c>
      <c r="H591" s="5" t="s">
        <v>57</v>
      </c>
      <c r="I591" s="8" t="s">
        <v>71</v>
      </c>
      <c r="J591" s="8" t="s">
        <v>112</v>
      </c>
      <c r="K591" s="8" t="s">
        <v>2664</v>
      </c>
      <c r="L591" s="8" t="s">
        <v>2679</v>
      </c>
      <c r="M591" s="8" t="s">
        <v>2666</v>
      </c>
      <c r="N591" s="5" t="s">
        <v>1034</v>
      </c>
      <c r="O591" s="5" t="s">
        <v>61</v>
      </c>
      <c r="P591" s="5" t="s">
        <v>2667</v>
      </c>
      <c r="Q591" s="9" t="s">
        <v>75</v>
      </c>
      <c r="R591" s="5" t="s">
        <v>76</v>
      </c>
      <c r="S591" s="5" t="s">
        <v>90</v>
      </c>
      <c r="T591" s="96" t="s">
        <v>272</v>
      </c>
      <c r="U591" s="96" t="s">
        <v>2567</v>
      </c>
      <c r="V591" s="96" t="s">
        <v>2567</v>
      </c>
      <c r="W591" s="5" t="s">
        <v>91</v>
      </c>
      <c r="X591" s="10" t="s">
        <v>79</v>
      </c>
      <c r="Y591" s="11">
        <v>26002.87</v>
      </c>
      <c r="Z591" s="12">
        <v>0.5</v>
      </c>
      <c r="AA591" s="12">
        <v>0</v>
      </c>
      <c r="AB591" s="12">
        <v>0</v>
      </c>
      <c r="AC591" s="13">
        <v>0</v>
      </c>
      <c r="AD591" s="14">
        <f t="shared" si="20"/>
        <v>0.5</v>
      </c>
      <c r="AE591" s="15">
        <f t="shared" si="21"/>
        <v>0</v>
      </c>
      <c r="AF591" s="16">
        <v>60</v>
      </c>
      <c r="AG591" s="16">
        <v>60</v>
      </c>
      <c r="AH591" s="17" t="s">
        <v>2668</v>
      </c>
      <c r="AI591" s="18">
        <v>5.2</v>
      </c>
      <c r="AJ591" s="19">
        <v>0.96399999999999997</v>
      </c>
      <c r="AK591" s="20">
        <v>0.98799999999999999</v>
      </c>
      <c r="AL591" s="17" t="s">
        <v>261</v>
      </c>
      <c r="AM591" s="5" t="s">
        <v>2422</v>
      </c>
      <c r="AN591" s="5" t="s">
        <v>66</v>
      </c>
      <c r="AO591" s="5" t="s">
        <v>66</v>
      </c>
      <c r="AP591" s="5" t="s">
        <v>2675</v>
      </c>
      <c r="AQ591" s="5" t="s">
        <v>66</v>
      </c>
      <c r="AR591" s="5" t="s">
        <v>66</v>
      </c>
      <c r="AS591" s="5" t="s">
        <v>66</v>
      </c>
      <c r="AT591" s="5" t="s">
        <v>66</v>
      </c>
      <c r="AU591" s="5" t="s">
        <v>66</v>
      </c>
      <c r="AV591" s="5" t="s">
        <v>66</v>
      </c>
      <c r="AW591" s="5" t="s">
        <v>66</v>
      </c>
      <c r="AX591" s="5" t="s">
        <v>2672</v>
      </c>
      <c r="AY591" s="5" t="s">
        <v>94</v>
      </c>
      <c r="AZ591" s="5" t="s">
        <v>145</v>
      </c>
      <c r="BA591" s="19" t="s">
        <v>2634</v>
      </c>
      <c r="BB591" s="17" t="s">
        <v>69</v>
      </c>
      <c r="BC591" s="5" t="s">
        <v>2635</v>
      </c>
      <c r="BD591" s="5" t="s">
        <v>3348</v>
      </c>
    </row>
    <row r="592" spans="1:56" ht="84" hidden="1" x14ac:dyDescent="0.25">
      <c r="A592" s="78" t="s">
        <v>2186</v>
      </c>
      <c r="B592" s="5" t="s">
        <v>433</v>
      </c>
      <c r="C592" s="5" t="s">
        <v>3293</v>
      </c>
      <c r="D592" s="5" t="s">
        <v>252</v>
      </c>
      <c r="E592" s="99" t="str">
        <f>VLOOKUP(D592,'Dropdown List'!$F$26:$G$40,2,0)</f>
        <v>India</v>
      </c>
      <c r="F592" s="8" t="s">
        <v>2187</v>
      </c>
      <c r="G592" s="96">
        <v>4</v>
      </c>
      <c r="H592" s="5" t="s">
        <v>57</v>
      </c>
      <c r="I592" s="8" t="s">
        <v>71</v>
      </c>
      <c r="J592" s="8" t="s">
        <v>102</v>
      </c>
      <c r="K592" s="8" t="s">
        <v>516</v>
      </c>
      <c r="L592" s="8" t="s">
        <v>2680</v>
      </c>
      <c r="M592" s="8" t="s">
        <v>2681</v>
      </c>
      <c r="N592" s="5" t="s">
        <v>1034</v>
      </c>
      <c r="O592" s="5" t="s">
        <v>269</v>
      </c>
      <c r="P592" s="5" t="s">
        <v>74</v>
      </c>
      <c r="Q592" s="9" t="s">
        <v>270</v>
      </c>
      <c r="R592" s="5" t="s">
        <v>76</v>
      </c>
      <c r="S592" s="5" t="s">
        <v>64</v>
      </c>
      <c r="T592" s="96" t="s">
        <v>272</v>
      </c>
      <c r="U592" s="96" t="s">
        <v>2567</v>
      </c>
      <c r="V592" s="96" t="s">
        <v>2567</v>
      </c>
      <c r="W592" s="5" t="s">
        <v>91</v>
      </c>
      <c r="X592" s="10" t="s">
        <v>79</v>
      </c>
      <c r="Y592" s="11">
        <v>34253.56</v>
      </c>
      <c r="Z592" s="12">
        <v>1</v>
      </c>
      <c r="AA592" s="12">
        <v>0</v>
      </c>
      <c r="AB592" s="12">
        <v>0</v>
      </c>
      <c r="AC592" s="13">
        <v>1</v>
      </c>
      <c r="AD592" s="14">
        <f t="shared" si="20"/>
        <v>2</v>
      </c>
      <c r="AE592" s="15">
        <f t="shared" si="21"/>
        <v>0.5</v>
      </c>
      <c r="AF592" s="16">
        <v>30</v>
      </c>
      <c r="AG592" s="16">
        <v>30</v>
      </c>
      <c r="AH592" s="17" t="s">
        <v>2682</v>
      </c>
      <c r="AI592" s="18">
        <v>98.1</v>
      </c>
      <c r="AJ592" s="19">
        <v>0.95</v>
      </c>
      <c r="AK592" s="20">
        <v>0.94699999999999995</v>
      </c>
      <c r="AL592" s="17" t="s">
        <v>261</v>
      </c>
      <c r="AM592" s="5" t="s">
        <v>2422</v>
      </c>
      <c r="AN592" s="5" t="s">
        <v>66</v>
      </c>
      <c r="AO592" s="5" t="s">
        <v>66</v>
      </c>
      <c r="AP592" s="5" t="s">
        <v>66</v>
      </c>
      <c r="AQ592" s="5" t="s">
        <v>66</v>
      </c>
      <c r="AR592" s="5" t="s">
        <v>66</v>
      </c>
      <c r="AS592" s="5" t="s">
        <v>66</v>
      </c>
      <c r="AT592" s="5" t="s">
        <v>66</v>
      </c>
      <c r="AU592" s="5" t="s">
        <v>66</v>
      </c>
      <c r="AV592" s="5" t="s">
        <v>66</v>
      </c>
      <c r="AW592" s="5" t="s">
        <v>66</v>
      </c>
      <c r="AX592" s="5" t="s">
        <v>2534</v>
      </c>
      <c r="AY592" s="5" t="s">
        <v>80</v>
      </c>
      <c r="AZ592" s="5" t="s">
        <v>145</v>
      </c>
      <c r="BA592" s="19" t="s">
        <v>2634</v>
      </c>
      <c r="BB592" s="17" t="s">
        <v>353</v>
      </c>
      <c r="BC592" s="5" t="s">
        <v>2683</v>
      </c>
      <c r="BD592" s="5" t="s">
        <v>3349</v>
      </c>
    </row>
    <row r="593" spans="1:56" ht="24" hidden="1" x14ac:dyDescent="0.25">
      <c r="A593" s="78" t="s">
        <v>2186</v>
      </c>
      <c r="B593" s="5" t="s">
        <v>433</v>
      </c>
      <c r="C593" s="5" t="s">
        <v>3293</v>
      </c>
      <c r="D593" s="5" t="s">
        <v>252</v>
      </c>
      <c r="E593" s="99" t="str">
        <f>VLOOKUP(D593,'Dropdown List'!$F$26:$G$40,2,0)</f>
        <v>India</v>
      </c>
      <c r="F593" s="8" t="s">
        <v>2187</v>
      </c>
      <c r="G593" s="96">
        <v>3</v>
      </c>
      <c r="H593" s="5" t="s">
        <v>57</v>
      </c>
      <c r="I593" s="8" t="s">
        <v>71</v>
      </c>
      <c r="J593" s="8" t="s">
        <v>112</v>
      </c>
      <c r="K593" s="8" t="s">
        <v>361</v>
      </c>
      <c r="L593" s="8" t="s">
        <v>2684</v>
      </c>
      <c r="M593" s="8" t="s">
        <v>268</v>
      </c>
      <c r="N593" s="5" t="s">
        <v>1034</v>
      </c>
      <c r="O593" s="5" t="s">
        <v>89</v>
      </c>
      <c r="P593" s="5" t="s">
        <v>89</v>
      </c>
      <c r="Q593" s="9" t="s">
        <v>2685</v>
      </c>
      <c r="R593" s="5" t="s">
        <v>76</v>
      </c>
      <c r="S593" s="5" t="s">
        <v>90</v>
      </c>
      <c r="T593" s="96">
        <v>1</v>
      </c>
      <c r="U593" s="96">
        <v>1</v>
      </c>
      <c r="V593" s="96">
        <v>1</v>
      </c>
      <c r="W593" s="5" t="s">
        <v>91</v>
      </c>
      <c r="X593" s="10" t="s">
        <v>79</v>
      </c>
      <c r="Y593" s="11">
        <v>26002.87</v>
      </c>
      <c r="Z593" s="12">
        <v>3</v>
      </c>
      <c r="AA593" s="12">
        <v>0.5</v>
      </c>
      <c r="AB593" s="12">
        <v>0.5</v>
      </c>
      <c r="AC593" s="13">
        <v>0</v>
      </c>
      <c r="AD593" s="14">
        <f t="shared" si="20"/>
        <v>4</v>
      </c>
      <c r="AE593" s="15">
        <f t="shared" si="21"/>
        <v>0</v>
      </c>
      <c r="AF593" s="16">
        <v>9000</v>
      </c>
      <c r="AG593" s="16">
        <v>9000</v>
      </c>
      <c r="AH593" s="17" t="s">
        <v>66</v>
      </c>
      <c r="AI593" s="18">
        <v>3.1</v>
      </c>
      <c r="AJ593" s="19" t="s">
        <v>2686</v>
      </c>
      <c r="AK593" s="20">
        <v>0.98699999999999999</v>
      </c>
      <c r="AL593" s="17" t="s">
        <v>261</v>
      </c>
      <c r="AM593" s="5" t="s">
        <v>2422</v>
      </c>
      <c r="AN593" s="5" t="s">
        <v>66</v>
      </c>
      <c r="AO593" s="5" t="s">
        <v>66</v>
      </c>
      <c r="AP593" s="5" t="s">
        <v>66</v>
      </c>
      <c r="AQ593" s="5" t="s">
        <v>66</v>
      </c>
      <c r="AR593" s="5" t="s">
        <v>66</v>
      </c>
      <c r="AS593" s="5" t="s">
        <v>66</v>
      </c>
      <c r="AT593" s="5" t="s">
        <v>66</v>
      </c>
      <c r="AU593" s="5" t="s">
        <v>66</v>
      </c>
      <c r="AV593" s="5" t="s">
        <v>66</v>
      </c>
      <c r="AW593" s="5" t="s">
        <v>66</v>
      </c>
      <c r="AX593" s="5" t="s">
        <v>2687</v>
      </c>
      <c r="AY593" s="5" t="s">
        <v>80</v>
      </c>
      <c r="AZ593" s="5" t="s">
        <v>80</v>
      </c>
      <c r="BA593" s="19" t="s">
        <v>2634</v>
      </c>
      <c r="BB593" s="17" t="s">
        <v>353</v>
      </c>
      <c r="BC593" s="5" t="s">
        <v>220</v>
      </c>
      <c r="BD593" s="5" t="s">
        <v>3350</v>
      </c>
    </row>
    <row r="594" spans="1:56" ht="24" hidden="1" x14ac:dyDescent="0.25">
      <c r="A594" s="78" t="s">
        <v>2186</v>
      </c>
      <c r="B594" s="5" t="s">
        <v>433</v>
      </c>
      <c r="C594" s="5" t="s">
        <v>3293</v>
      </c>
      <c r="D594" s="5" t="s">
        <v>252</v>
      </c>
      <c r="E594" s="99" t="str">
        <f>VLOOKUP(D594,'Dropdown List'!$F$26:$G$40,2,0)</f>
        <v>India</v>
      </c>
      <c r="F594" s="8" t="s">
        <v>2187</v>
      </c>
      <c r="G594" s="96">
        <v>3</v>
      </c>
      <c r="H594" s="5" t="s">
        <v>57</v>
      </c>
      <c r="I594" s="8" t="s">
        <v>71</v>
      </c>
      <c r="J594" s="8" t="s">
        <v>2702</v>
      </c>
      <c r="K594" s="8" t="s">
        <v>855</v>
      </c>
      <c r="L594" s="100" t="s">
        <v>2688</v>
      </c>
      <c r="M594" s="8" t="s">
        <v>268</v>
      </c>
      <c r="N594" s="5" t="s">
        <v>1034</v>
      </c>
      <c r="O594" s="5" t="s">
        <v>89</v>
      </c>
      <c r="P594" s="5" t="s">
        <v>89</v>
      </c>
      <c r="Q594" s="9" t="s">
        <v>2685</v>
      </c>
      <c r="R594" s="5" t="s">
        <v>76</v>
      </c>
      <c r="S594" s="5" t="s">
        <v>90</v>
      </c>
      <c r="T594" s="96">
        <v>1</v>
      </c>
      <c r="U594" s="96">
        <v>1</v>
      </c>
      <c r="V594" s="96">
        <v>1</v>
      </c>
      <c r="W594" s="5" t="s">
        <v>91</v>
      </c>
      <c r="X594" s="10" t="s">
        <v>79</v>
      </c>
      <c r="Y594" s="11">
        <v>26002.87</v>
      </c>
      <c r="Z594" s="12">
        <v>1</v>
      </c>
      <c r="AA594" s="12">
        <v>0</v>
      </c>
      <c r="AB594" s="12">
        <v>0</v>
      </c>
      <c r="AC594" s="13">
        <v>0</v>
      </c>
      <c r="AD594" s="14">
        <f t="shared" si="20"/>
        <v>1</v>
      </c>
      <c r="AE594" s="15">
        <f t="shared" si="21"/>
        <v>0</v>
      </c>
      <c r="AF594" s="16">
        <v>50</v>
      </c>
      <c r="AG594" s="16">
        <v>50</v>
      </c>
      <c r="AH594" s="17" t="s">
        <v>66</v>
      </c>
      <c r="AI594" s="18">
        <v>15</v>
      </c>
      <c r="AJ594" s="19" t="s">
        <v>2686</v>
      </c>
      <c r="AK594" s="20">
        <v>0.98699999999999999</v>
      </c>
      <c r="AL594" s="17" t="s">
        <v>261</v>
      </c>
      <c r="AM594" s="5" t="s">
        <v>2422</v>
      </c>
      <c r="AN594" s="5" t="s">
        <v>66</v>
      </c>
      <c r="AO594" s="5" t="s">
        <v>66</v>
      </c>
      <c r="AP594" s="5" t="s">
        <v>66</v>
      </c>
      <c r="AQ594" s="5" t="s">
        <v>66</v>
      </c>
      <c r="AR594" s="5" t="s">
        <v>66</v>
      </c>
      <c r="AS594" s="5" t="s">
        <v>66</v>
      </c>
      <c r="AT594" s="5" t="s">
        <v>66</v>
      </c>
      <c r="AU594" s="5" t="s">
        <v>66</v>
      </c>
      <c r="AV594" s="5" t="s">
        <v>66</v>
      </c>
      <c r="AW594" s="5" t="s">
        <v>66</v>
      </c>
      <c r="AX594" s="5" t="s">
        <v>2687</v>
      </c>
      <c r="AY594" s="5" t="s">
        <v>80</v>
      </c>
      <c r="AZ594" s="5" t="s">
        <v>80</v>
      </c>
      <c r="BA594" s="19" t="s">
        <v>2634</v>
      </c>
      <c r="BB594" s="17" t="s">
        <v>353</v>
      </c>
      <c r="BC594" s="5" t="s">
        <v>220</v>
      </c>
      <c r="BD594" s="5" t="s">
        <v>3350</v>
      </c>
    </row>
    <row r="595" spans="1:56" ht="24" hidden="1" x14ac:dyDescent="0.25">
      <c r="A595" s="78" t="s">
        <v>2186</v>
      </c>
      <c r="B595" s="5" t="s">
        <v>433</v>
      </c>
      <c r="C595" s="5" t="s">
        <v>3293</v>
      </c>
      <c r="D595" s="5" t="s">
        <v>252</v>
      </c>
      <c r="E595" s="99" t="str">
        <f>VLOOKUP(D595,'Dropdown List'!$F$26:$G$40,2,0)</f>
        <v>India</v>
      </c>
      <c r="F595" s="8" t="s">
        <v>2187</v>
      </c>
      <c r="G595" s="96">
        <v>3</v>
      </c>
      <c r="H595" s="5" t="s">
        <v>57</v>
      </c>
      <c r="I595" s="8" t="s">
        <v>71</v>
      </c>
      <c r="J595" s="8" t="s">
        <v>2702</v>
      </c>
      <c r="K595" s="8" t="s">
        <v>855</v>
      </c>
      <c r="L595" s="8" t="s">
        <v>2689</v>
      </c>
      <c r="M595" s="8" t="s">
        <v>268</v>
      </c>
      <c r="N595" s="5" t="s">
        <v>1034</v>
      </c>
      <c r="O595" s="5" t="s">
        <v>89</v>
      </c>
      <c r="P595" s="5" t="s">
        <v>89</v>
      </c>
      <c r="Q595" s="9" t="s">
        <v>2685</v>
      </c>
      <c r="R595" s="5" t="s">
        <v>76</v>
      </c>
      <c r="S595" s="5" t="s">
        <v>90</v>
      </c>
      <c r="T595" s="96">
        <v>1</v>
      </c>
      <c r="U595" s="96">
        <v>1</v>
      </c>
      <c r="V595" s="96">
        <v>2</v>
      </c>
      <c r="W595" s="5" t="s">
        <v>91</v>
      </c>
      <c r="X595" s="10" t="s">
        <v>79</v>
      </c>
      <c r="Y595" s="11">
        <v>26002.87</v>
      </c>
      <c r="Z595" s="12">
        <v>1</v>
      </c>
      <c r="AA595" s="12">
        <v>0</v>
      </c>
      <c r="AB595" s="12">
        <v>0</v>
      </c>
      <c r="AC595" s="13">
        <v>0</v>
      </c>
      <c r="AD595" s="14">
        <f t="shared" si="20"/>
        <v>1</v>
      </c>
      <c r="AE595" s="15">
        <f t="shared" si="21"/>
        <v>0</v>
      </c>
      <c r="AF595" s="16">
        <v>400</v>
      </c>
      <c r="AG595" s="16">
        <v>400</v>
      </c>
      <c r="AH595" s="17" t="s">
        <v>66</v>
      </c>
      <c r="AI595" s="18">
        <v>6.5</v>
      </c>
      <c r="AJ595" s="19" t="s">
        <v>2690</v>
      </c>
      <c r="AK595" s="20">
        <v>0.98699999999999999</v>
      </c>
      <c r="AL595" s="17" t="s">
        <v>261</v>
      </c>
      <c r="AM595" s="5" t="s">
        <v>2422</v>
      </c>
      <c r="AN595" s="5" t="s">
        <v>66</v>
      </c>
      <c r="AO595" s="5" t="s">
        <v>66</v>
      </c>
      <c r="AP595" s="5" t="s">
        <v>66</v>
      </c>
      <c r="AQ595" s="5" t="s">
        <v>66</v>
      </c>
      <c r="AR595" s="5" t="s">
        <v>66</v>
      </c>
      <c r="AS595" s="5" t="s">
        <v>66</v>
      </c>
      <c r="AT595" s="5" t="s">
        <v>66</v>
      </c>
      <c r="AU595" s="5" t="s">
        <v>66</v>
      </c>
      <c r="AV595" s="5" t="s">
        <v>66</v>
      </c>
      <c r="AW595" s="5" t="s">
        <v>66</v>
      </c>
      <c r="AX595" s="5" t="s">
        <v>2687</v>
      </c>
      <c r="AY595" s="5" t="s">
        <v>80</v>
      </c>
      <c r="AZ595" s="5" t="s">
        <v>80</v>
      </c>
      <c r="BA595" s="19" t="s">
        <v>2634</v>
      </c>
      <c r="BB595" s="17" t="s">
        <v>353</v>
      </c>
      <c r="BC595" s="5" t="s">
        <v>220</v>
      </c>
      <c r="BD595" s="5" t="s">
        <v>3350</v>
      </c>
    </row>
    <row r="596" spans="1:56" ht="72" hidden="1" x14ac:dyDescent="0.25">
      <c r="A596" s="78" t="s">
        <v>2186</v>
      </c>
      <c r="B596" s="5" t="s">
        <v>433</v>
      </c>
      <c r="C596" s="5" t="s">
        <v>3293</v>
      </c>
      <c r="D596" s="5" t="s">
        <v>56</v>
      </c>
      <c r="E596" s="99" t="str">
        <f>VLOOKUP(D596,'Dropdown List'!$F$26:$G$40,2,0)</f>
        <v>India</v>
      </c>
      <c r="F596" s="8" t="s">
        <v>2187</v>
      </c>
      <c r="G596" s="96">
        <v>0.7</v>
      </c>
      <c r="H596" s="5" t="s">
        <v>57</v>
      </c>
      <c r="I596" s="8" t="s">
        <v>71</v>
      </c>
      <c r="J596" s="8" t="s">
        <v>2702</v>
      </c>
      <c r="K596" s="8" t="s">
        <v>372</v>
      </c>
      <c r="L596" s="8" t="s">
        <v>2518</v>
      </c>
      <c r="M596" s="8" t="s">
        <v>2691</v>
      </c>
      <c r="N596" s="5" t="s">
        <v>1034</v>
      </c>
      <c r="O596" s="5" t="s">
        <v>2692</v>
      </c>
      <c r="P596" s="5" t="s">
        <v>89</v>
      </c>
      <c r="Q596" s="9" t="s">
        <v>3325</v>
      </c>
      <c r="R596" s="5" t="s">
        <v>76</v>
      </c>
      <c r="S596" s="5" t="s">
        <v>64</v>
      </c>
      <c r="T596" s="96">
        <v>2</v>
      </c>
      <c r="U596" s="96">
        <v>4</v>
      </c>
      <c r="V596" s="96">
        <v>4</v>
      </c>
      <c r="W596" s="5" t="s">
        <v>91</v>
      </c>
      <c r="X596" s="10" t="s">
        <v>79</v>
      </c>
      <c r="Y596" s="11">
        <v>34253.56</v>
      </c>
      <c r="Z596" s="12">
        <v>3</v>
      </c>
      <c r="AA596" s="12">
        <v>0</v>
      </c>
      <c r="AB596" s="12">
        <v>0</v>
      </c>
      <c r="AC596" s="13">
        <v>0</v>
      </c>
      <c r="AD596" s="14">
        <f t="shared" si="20"/>
        <v>3</v>
      </c>
      <c r="AE596" s="15">
        <f t="shared" si="21"/>
        <v>0</v>
      </c>
      <c r="AF596" s="16">
        <v>15</v>
      </c>
      <c r="AG596" s="16">
        <v>15</v>
      </c>
      <c r="AH596" s="17" t="s">
        <v>66</v>
      </c>
      <c r="AI596" s="18">
        <v>720</v>
      </c>
      <c r="AJ596" s="19">
        <v>0.95</v>
      </c>
      <c r="AK596" s="20">
        <v>0.93500000000000005</v>
      </c>
      <c r="AL596" s="17" t="s">
        <v>261</v>
      </c>
      <c r="AM596" s="5" t="s">
        <v>2422</v>
      </c>
      <c r="AN596" s="5" t="s">
        <v>66</v>
      </c>
      <c r="AO596" s="5" t="s">
        <v>66</v>
      </c>
      <c r="AP596" s="5" t="s">
        <v>66</v>
      </c>
      <c r="AQ596" s="5" t="s">
        <v>66</v>
      </c>
      <c r="AR596" s="5" t="s">
        <v>66</v>
      </c>
      <c r="AS596" s="5" t="s">
        <v>66</v>
      </c>
      <c r="AT596" s="5" t="s">
        <v>66</v>
      </c>
      <c r="AU596" s="5" t="s">
        <v>66</v>
      </c>
      <c r="AV596" s="5" t="s">
        <v>66</v>
      </c>
      <c r="AW596" s="5" t="s">
        <v>66</v>
      </c>
      <c r="AX596" s="5" t="s">
        <v>2516</v>
      </c>
      <c r="AY596" s="5" t="s">
        <v>2693</v>
      </c>
      <c r="AZ596" s="5" t="s">
        <v>145</v>
      </c>
      <c r="BA596" s="19" t="s">
        <v>2694</v>
      </c>
      <c r="BB596" s="17" t="s">
        <v>353</v>
      </c>
      <c r="BC596" s="5" t="s">
        <v>2516</v>
      </c>
      <c r="BD596" s="5" t="s">
        <v>3351</v>
      </c>
    </row>
    <row r="597" spans="1:56" ht="72" hidden="1" x14ac:dyDescent="0.25">
      <c r="A597" s="78" t="s">
        <v>2186</v>
      </c>
      <c r="B597" s="5" t="s">
        <v>433</v>
      </c>
      <c r="C597" s="5" t="s">
        <v>3293</v>
      </c>
      <c r="D597" s="5" t="s">
        <v>252</v>
      </c>
      <c r="E597" s="99" t="str">
        <f>VLOOKUP(D597,'Dropdown List'!$F$26:$G$40,2,0)</f>
        <v>India</v>
      </c>
      <c r="F597" s="8" t="s">
        <v>2187</v>
      </c>
      <c r="G597" s="96">
        <v>0.7</v>
      </c>
      <c r="H597" s="5" t="s">
        <v>57</v>
      </c>
      <c r="I597" s="8" t="s">
        <v>71</v>
      </c>
      <c r="J597" s="8" t="s">
        <v>2702</v>
      </c>
      <c r="K597" s="8" t="s">
        <v>372</v>
      </c>
      <c r="L597" s="8" t="s">
        <v>2518</v>
      </c>
      <c r="M597" s="8" t="s">
        <v>2691</v>
      </c>
      <c r="N597" s="5" t="s">
        <v>1034</v>
      </c>
      <c r="O597" s="5" t="s">
        <v>2692</v>
      </c>
      <c r="P597" s="5" t="s">
        <v>89</v>
      </c>
      <c r="Q597" s="9" t="s">
        <v>3325</v>
      </c>
      <c r="R597" s="5" t="s">
        <v>76</v>
      </c>
      <c r="S597" s="5" t="s">
        <v>64</v>
      </c>
      <c r="T597" s="96">
        <v>2</v>
      </c>
      <c r="U597" s="96">
        <v>4</v>
      </c>
      <c r="V597" s="96">
        <v>4</v>
      </c>
      <c r="W597" s="5" t="s">
        <v>91</v>
      </c>
      <c r="X597" s="10" t="s">
        <v>79</v>
      </c>
      <c r="Y597" s="11">
        <v>34253.56</v>
      </c>
      <c r="Z597" s="12">
        <v>7</v>
      </c>
      <c r="AA597" s="12">
        <v>1</v>
      </c>
      <c r="AB597" s="12">
        <v>0.5</v>
      </c>
      <c r="AC597" s="13">
        <v>0</v>
      </c>
      <c r="AD597" s="14">
        <f t="shared" si="20"/>
        <v>8.5</v>
      </c>
      <c r="AE597" s="15">
        <f t="shared" si="21"/>
        <v>0</v>
      </c>
      <c r="AF597" s="16">
        <v>37</v>
      </c>
      <c r="AG597" s="16">
        <v>37</v>
      </c>
      <c r="AH597" s="17" t="s">
        <v>66</v>
      </c>
      <c r="AI597" s="18">
        <v>720</v>
      </c>
      <c r="AJ597" s="19">
        <v>0.95</v>
      </c>
      <c r="AK597" s="20">
        <v>0.93500000000000005</v>
      </c>
      <c r="AL597" s="17" t="s">
        <v>261</v>
      </c>
      <c r="AM597" s="5" t="s">
        <v>2422</v>
      </c>
      <c r="AN597" s="5" t="s">
        <v>66</v>
      </c>
      <c r="AO597" s="5" t="s">
        <v>66</v>
      </c>
      <c r="AP597" s="5" t="s">
        <v>66</v>
      </c>
      <c r="AQ597" s="5" t="s">
        <v>66</v>
      </c>
      <c r="AR597" s="5" t="s">
        <v>66</v>
      </c>
      <c r="AS597" s="5" t="s">
        <v>66</v>
      </c>
      <c r="AT597" s="5" t="s">
        <v>66</v>
      </c>
      <c r="AU597" s="5" t="s">
        <v>66</v>
      </c>
      <c r="AV597" s="5" t="s">
        <v>66</v>
      </c>
      <c r="AW597" s="5" t="s">
        <v>66</v>
      </c>
      <c r="AX597" s="5" t="s">
        <v>2516</v>
      </c>
      <c r="AY597" s="5" t="s">
        <v>2693</v>
      </c>
      <c r="AZ597" s="5" t="s">
        <v>145</v>
      </c>
      <c r="BA597" s="19" t="s">
        <v>2694</v>
      </c>
      <c r="BB597" s="17" t="s">
        <v>353</v>
      </c>
      <c r="BC597" s="5" t="s">
        <v>2516</v>
      </c>
      <c r="BD597" s="5" t="s">
        <v>3351</v>
      </c>
    </row>
    <row r="598" spans="1:56" ht="24" hidden="1" x14ac:dyDescent="0.25">
      <c r="A598" s="78" t="s">
        <v>2186</v>
      </c>
      <c r="B598" s="5" t="s">
        <v>433</v>
      </c>
      <c r="C598" s="5" t="s">
        <v>3293</v>
      </c>
      <c r="D598" s="5" t="s">
        <v>252</v>
      </c>
      <c r="E598" s="99" t="str">
        <f>VLOOKUP(D598,'Dropdown List'!$F$26:$G$40,2,0)</f>
        <v>India</v>
      </c>
      <c r="F598" s="8" t="s">
        <v>2187</v>
      </c>
      <c r="G598" s="96">
        <v>1</v>
      </c>
      <c r="H598" s="5" t="s">
        <v>57</v>
      </c>
      <c r="I598" s="8" t="s">
        <v>71</v>
      </c>
      <c r="J598" s="8" t="s">
        <v>102</v>
      </c>
      <c r="K598" s="8" t="s">
        <v>205</v>
      </c>
      <c r="L598" s="8" t="s">
        <v>2695</v>
      </c>
      <c r="M598" s="8" t="s">
        <v>2696</v>
      </c>
      <c r="N598" s="5" t="s">
        <v>268</v>
      </c>
      <c r="O598" s="5" t="s">
        <v>2697</v>
      </c>
      <c r="P598" s="5" t="s">
        <v>61</v>
      </c>
      <c r="Q598" s="9" t="s">
        <v>270</v>
      </c>
      <c r="R598" s="5" t="s">
        <v>76</v>
      </c>
      <c r="S598" s="5" t="s">
        <v>64</v>
      </c>
      <c r="T598" s="96">
        <v>2</v>
      </c>
      <c r="U598" s="96">
        <v>4</v>
      </c>
      <c r="V598" s="96">
        <v>4</v>
      </c>
      <c r="W598" s="5" t="s">
        <v>91</v>
      </c>
      <c r="X598" s="10" t="s">
        <v>79</v>
      </c>
      <c r="Y598" s="11">
        <v>34253.56</v>
      </c>
      <c r="Z598" s="12">
        <v>4</v>
      </c>
      <c r="AA598" s="12">
        <v>0.5</v>
      </c>
      <c r="AB598" s="12">
        <v>0.5</v>
      </c>
      <c r="AC598" s="13">
        <v>0</v>
      </c>
      <c r="AD598" s="14">
        <f t="shared" si="20"/>
        <v>5</v>
      </c>
      <c r="AE598" s="15">
        <f t="shared" si="21"/>
        <v>0</v>
      </c>
      <c r="AF598" s="16">
        <v>30</v>
      </c>
      <c r="AG598" s="16">
        <v>30</v>
      </c>
      <c r="AH598" s="17" t="s">
        <v>66</v>
      </c>
      <c r="AI598" s="18">
        <v>300</v>
      </c>
      <c r="AJ598" s="19">
        <v>0.85</v>
      </c>
      <c r="AK598" s="20">
        <v>0.9</v>
      </c>
      <c r="AL598" s="17" t="s">
        <v>92</v>
      </c>
      <c r="AM598" s="5" t="s">
        <v>2422</v>
      </c>
      <c r="AN598" s="5" t="s">
        <v>66</v>
      </c>
      <c r="AO598" s="5" t="s">
        <v>66</v>
      </c>
      <c r="AP598" s="5" t="s">
        <v>66</v>
      </c>
      <c r="AQ598" s="5" t="s">
        <v>66</v>
      </c>
      <c r="AR598" s="5" t="s">
        <v>66</v>
      </c>
      <c r="AS598" s="5" t="s">
        <v>66</v>
      </c>
      <c r="AT598" s="5" t="s">
        <v>66</v>
      </c>
      <c r="AU598" s="5" t="s">
        <v>66</v>
      </c>
      <c r="AV598" s="5" t="s">
        <v>66</v>
      </c>
      <c r="AW598" s="5" t="s">
        <v>66</v>
      </c>
      <c r="AX598" s="5" t="s">
        <v>2516</v>
      </c>
      <c r="AY598" s="5" t="s">
        <v>2698</v>
      </c>
      <c r="AZ598" s="5" t="s">
        <v>145</v>
      </c>
      <c r="BA598" s="19" t="s">
        <v>2699</v>
      </c>
      <c r="BB598" s="17" t="s">
        <v>2698</v>
      </c>
      <c r="BC598" s="5" t="s">
        <v>2516</v>
      </c>
      <c r="BD598" s="5" t="s">
        <v>2700</v>
      </c>
    </row>
    <row r="599" spans="1:56" ht="96" hidden="1" x14ac:dyDescent="0.25">
      <c r="A599" s="78" t="s">
        <v>164</v>
      </c>
      <c r="B599" s="5" t="s">
        <v>165</v>
      </c>
      <c r="C599" s="5" t="s">
        <v>3293</v>
      </c>
      <c r="D599" s="5" t="s">
        <v>448</v>
      </c>
      <c r="E599" s="99" t="str">
        <f>VLOOKUP(D599,'Dropdown List'!$F$26:$G$40,2,0)</f>
        <v>Philippines</v>
      </c>
      <c r="F599" s="8" t="s">
        <v>3135</v>
      </c>
      <c r="G599" s="96">
        <v>0.4</v>
      </c>
      <c r="H599" s="5" t="s">
        <v>57</v>
      </c>
      <c r="I599" s="8" t="s">
        <v>58</v>
      </c>
      <c r="J599" s="8" t="s">
        <v>146</v>
      </c>
      <c r="K599" s="8" t="s">
        <v>154</v>
      </c>
      <c r="L599" s="8" t="s">
        <v>222</v>
      </c>
      <c r="M599" s="8" t="s">
        <v>3358</v>
      </c>
      <c r="N599" s="5" t="s">
        <v>269</v>
      </c>
      <c r="O599" s="5" t="s">
        <v>61</v>
      </c>
      <c r="P599" s="5" t="s">
        <v>171</v>
      </c>
      <c r="Q599" s="9" t="s">
        <v>172</v>
      </c>
      <c r="R599" s="5" t="s">
        <v>132</v>
      </c>
      <c r="S599" s="5" t="s">
        <v>90</v>
      </c>
      <c r="T599" s="96">
        <v>2</v>
      </c>
      <c r="U599" s="96">
        <v>3</v>
      </c>
      <c r="V599" s="96">
        <v>9</v>
      </c>
      <c r="W599" s="5" t="s">
        <v>91</v>
      </c>
      <c r="X599" s="10" t="s">
        <v>79</v>
      </c>
      <c r="Y599" s="11">
        <v>31500</v>
      </c>
      <c r="Z599" s="12">
        <v>3</v>
      </c>
      <c r="AA599" s="12">
        <v>1</v>
      </c>
      <c r="AB599" s="12">
        <v>1</v>
      </c>
      <c r="AC599" s="13">
        <v>1</v>
      </c>
      <c r="AD599" s="14">
        <f t="shared" si="20"/>
        <v>6</v>
      </c>
      <c r="AE599" s="15">
        <f t="shared" si="21"/>
        <v>0.16666666666666666</v>
      </c>
      <c r="AF599" s="16">
        <v>2500</v>
      </c>
      <c r="AG599" s="16" t="s">
        <v>66</v>
      </c>
      <c r="AH599" s="17" t="s">
        <v>1659</v>
      </c>
      <c r="AI599" s="18">
        <v>7</v>
      </c>
      <c r="AJ599" s="19" t="s">
        <v>174</v>
      </c>
      <c r="AK599" s="20">
        <v>0.93</v>
      </c>
      <c r="AL599" s="17" t="s">
        <v>92</v>
      </c>
      <c r="AM599" s="5" t="s">
        <v>66</v>
      </c>
      <c r="AN599" s="5" t="s">
        <v>66</v>
      </c>
      <c r="AO599" s="5" t="s">
        <v>66</v>
      </c>
      <c r="AP599" s="5" t="s">
        <v>66</v>
      </c>
      <c r="AQ599" s="5" t="s">
        <v>66</v>
      </c>
      <c r="AR599" s="5" t="s">
        <v>66</v>
      </c>
      <c r="AS599" s="5" t="s">
        <v>66</v>
      </c>
      <c r="AT599" s="5" t="s">
        <v>66</v>
      </c>
      <c r="AU599" s="5" t="s">
        <v>66</v>
      </c>
      <c r="AV599" s="5" t="s">
        <v>66</v>
      </c>
      <c r="AW599" s="5" t="s">
        <v>200</v>
      </c>
      <c r="AX599" s="5" t="s">
        <v>201</v>
      </c>
      <c r="AY599" s="5" t="s">
        <v>69</v>
      </c>
      <c r="AZ599" s="5" t="s">
        <v>80</v>
      </c>
      <c r="BA599" s="19" t="s">
        <v>3359</v>
      </c>
      <c r="BB599" s="17" t="s">
        <v>281</v>
      </c>
      <c r="BC599" s="5" t="s">
        <v>3360</v>
      </c>
      <c r="BD599" s="5" t="s">
        <v>3361</v>
      </c>
    </row>
    <row r="600" spans="1:56" ht="144" hidden="1" x14ac:dyDescent="0.25">
      <c r="A600" s="78" t="s">
        <v>164</v>
      </c>
      <c r="B600" s="5" t="s">
        <v>165</v>
      </c>
      <c r="C600" s="5" t="s">
        <v>3293</v>
      </c>
      <c r="D600" s="5" t="s">
        <v>448</v>
      </c>
      <c r="E600" s="99" t="str">
        <f>VLOOKUP(D600,'Dropdown List'!$F$26:$G$40,2,0)</f>
        <v>Philippines</v>
      </c>
      <c r="F600" s="8" t="s">
        <v>3135</v>
      </c>
      <c r="G600" s="96">
        <v>0.4</v>
      </c>
      <c r="H600" s="5" t="s">
        <v>57</v>
      </c>
      <c r="I600" s="8" t="s">
        <v>71</v>
      </c>
      <c r="J600" s="8" t="s">
        <v>112</v>
      </c>
      <c r="K600" s="8" t="s">
        <v>540</v>
      </c>
      <c r="L600" s="8" t="s">
        <v>3362</v>
      </c>
      <c r="M600" s="8" t="s">
        <v>3363</v>
      </c>
      <c r="N600" s="5" t="s">
        <v>269</v>
      </c>
      <c r="O600" s="5" t="s">
        <v>61</v>
      </c>
      <c r="P600" s="5" t="s">
        <v>171</v>
      </c>
      <c r="Q600" s="9" t="s">
        <v>172</v>
      </c>
      <c r="R600" s="5" t="s">
        <v>76</v>
      </c>
      <c r="S600" s="5" t="s">
        <v>90</v>
      </c>
      <c r="T600" s="96">
        <v>2</v>
      </c>
      <c r="U600" s="96">
        <v>3</v>
      </c>
      <c r="V600" s="96">
        <v>12</v>
      </c>
      <c r="W600" s="5" t="s">
        <v>91</v>
      </c>
      <c r="X600" s="10" t="s">
        <v>79</v>
      </c>
      <c r="Y600" s="11">
        <v>31500</v>
      </c>
      <c r="Z600" s="12">
        <v>10</v>
      </c>
      <c r="AA600" s="12">
        <v>2</v>
      </c>
      <c r="AB600" s="12">
        <v>1</v>
      </c>
      <c r="AC600" s="13">
        <v>4</v>
      </c>
      <c r="AD600" s="14">
        <f t="shared" si="20"/>
        <v>17</v>
      </c>
      <c r="AE600" s="15">
        <f t="shared" si="21"/>
        <v>0.23529411764705882</v>
      </c>
      <c r="AF600" s="16">
        <v>7000</v>
      </c>
      <c r="AG600" s="16" t="s">
        <v>66</v>
      </c>
      <c r="AH600" s="17" t="s">
        <v>3364</v>
      </c>
      <c r="AI600" s="18">
        <v>15.88</v>
      </c>
      <c r="AJ600" s="19" t="s">
        <v>174</v>
      </c>
      <c r="AK600" s="20">
        <v>0.9</v>
      </c>
      <c r="AL600" s="17" t="s">
        <v>92</v>
      </c>
      <c r="AM600" s="5" t="s">
        <v>66</v>
      </c>
      <c r="AN600" s="5" t="s">
        <v>66</v>
      </c>
      <c r="AO600" s="5" t="s">
        <v>66</v>
      </c>
      <c r="AP600" s="5" t="s">
        <v>66</v>
      </c>
      <c r="AQ600" s="5" t="s">
        <v>66</v>
      </c>
      <c r="AR600" s="5" t="s">
        <v>66</v>
      </c>
      <c r="AS600" s="5" t="s">
        <v>66</v>
      </c>
      <c r="AT600" s="5" t="s">
        <v>66</v>
      </c>
      <c r="AU600" s="5" t="s">
        <v>66</v>
      </c>
      <c r="AV600" s="5" t="s">
        <v>66</v>
      </c>
      <c r="AW600" s="5" t="s">
        <v>200</v>
      </c>
      <c r="AX600" s="5" t="s">
        <v>178</v>
      </c>
      <c r="AY600" s="5" t="s">
        <v>69</v>
      </c>
      <c r="AZ600" s="5" t="s">
        <v>70</v>
      </c>
      <c r="BA600" s="19" t="s">
        <v>3365</v>
      </c>
      <c r="BB600" s="17" t="s">
        <v>281</v>
      </c>
      <c r="BC600" s="5" t="s">
        <v>180</v>
      </c>
      <c r="BD600" s="5" t="s">
        <v>3366</v>
      </c>
    </row>
    <row r="601" spans="1:56" ht="48" hidden="1" x14ac:dyDescent="0.25">
      <c r="A601" s="78" t="s">
        <v>274</v>
      </c>
      <c r="B601" s="5" t="s">
        <v>82</v>
      </c>
      <c r="C601" s="5" t="s">
        <v>3293</v>
      </c>
      <c r="D601" s="5" t="s">
        <v>275</v>
      </c>
      <c r="E601" s="99" t="str">
        <f>VLOOKUP(D601,'Dropdown List'!$F$26:$G$40,2,0)</f>
        <v>South Africa</v>
      </c>
      <c r="F601" s="6" t="s">
        <v>276</v>
      </c>
      <c r="G601" s="7">
        <v>3.2</v>
      </c>
      <c r="H601" s="5" t="s">
        <v>57</v>
      </c>
      <c r="I601" s="8" t="s">
        <v>58</v>
      </c>
      <c r="J601" s="6" t="s">
        <v>163</v>
      </c>
      <c r="K601" s="6" t="s">
        <v>277</v>
      </c>
      <c r="L601" s="6" t="s">
        <v>278</v>
      </c>
      <c r="M601" s="6" t="s">
        <v>3373</v>
      </c>
      <c r="N601" s="5" t="s">
        <v>319</v>
      </c>
      <c r="O601" s="5" t="s">
        <v>279</v>
      </c>
      <c r="P601" s="5" t="s">
        <v>3374</v>
      </c>
      <c r="Q601" s="9" t="s">
        <v>75</v>
      </c>
      <c r="R601" s="5" t="s">
        <v>132</v>
      </c>
      <c r="S601" s="5" t="s">
        <v>64</v>
      </c>
      <c r="T601" s="7">
        <v>1</v>
      </c>
      <c r="U601" s="7">
        <v>3.5</v>
      </c>
      <c r="V601" s="7">
        <v>1</v>
      </c>
      <c r="W601" s="5" t="s">
        <v>91</v>
      </c>
      <c r="X601" s="10" t="s">
        <v>79</v>
      </c>
      <c r="Y601" s="11">
        <v>6187.5</v>
      </c>
      <c r="Z601" s="12">
        <v>7.5</v>
      </c>
      <c r="AA601" s="12">
        <v>0.5</v>
      </c>
      <c r="AB601" s="12">
        <v>1</v>
      </c>
      <c r="AC601" s="13">
        <v>2</v>
      </c>
      <c r="AD601" s="14">
        <f t="shared" si="20"/>
        <v>11</v>
      </c>
      <c r="AE601" s="15">
        <f t="shared" si="21"/>
        <v>0.18181818181818182</v>
      </c>
      <c r="AF601" s="16">
        <v>12182</v>
      </c>
      <c r="AG601" s="16"/>
      <c r="AH601" s="17" t="s">
        <v>3375</v>
      </c>
      <c r="AI601" s="18" t="s">
        <v>280</v>
      </c>
      <c r="AJ601" s="19" t="s">
        <v>281</v>
      </c>
      <c r="AK601" s="20">
        <v>0.9</v>
      </c>
      <c r="AL601" s="17" t="s">
        <v>261</v>
      </c>
      <c r="AM601" s="5">
        <v>0.97</v>
      </c>
      <c r="AN601" s="5" t="s">
        <v>66</v>
      </c>
      <c r="AO601" s="5" t="s">
        <v>281</v>
      </c>
      <c r="AP601" s="5" t="s">
        <v>281</v>
      </c>
      <c r="AQ601" s="5" t="s">
        <v>66</v>
      </c>
      <c r="AR601" s="5" t="s">
        <v>66</v>
      </c>
      <c r="AS601" s="5" t="s">
        <v>66</v>
      </c>
      <c r="AT601" s="5" t="s">
        <v>66</v>
      </c>
      <c r="AU601" s="5" t="s">
        <v>66</v>
      </c>
      <c r="AV601" s="5" t="s">
        <v>66</v>
      </c>
      <c r="AW601" s="5" t="s">
        <v>66</v>
      </c>
      <c r="AX601" s="5" t="s">
        <v>282</v>
      </c>
      <c r="AY601" s="5" t="s">
        <v>69</v>
      </c>
      <c r="AZ601" s="5" t="s">
        <v>70</v>
      </c>
      <c r="BA601" s="19" t="s">
        <v>66</v>
      </c>
      <c r="BB601" s="17" t="s">
        <v>66</v>
      </c>
      <c r="BC601" s="5" t="s">
        <v>283</v>
      </c>
      <c r="BD601" s="5" t="s">
        <v>284</v>
      </c>
    </row>
    <row r="602" spans="1:56" ht="132" hidden="1" x14ac:dyDescent="0.25">
      <c r="A602" s="78" t="s">
        <v>274</v>
      </c>
      <c r="B602" s="5" t="s">
        <v>82</v>
      </c>
      <c r="C602" s="5" t="s">
        <v>3293</v>
      </c>
      <c r="D602" s="5" t="s">
        <v>275</v>
      </c>
      <c r="E602" s="99" t="str">
        <f>VLOOKUP(D602,'Dropdown List'!$F$26:$G$40,2,0)</f>
        <v>South Africa</v>
      </c>
      <c r="F602" s="6" t="s">
        <v>276</v>
      </c>
      <c r="G602" s="7">
        <v>3.2</v>
      </c>
      <c r="H602" s="5" t="s">
        <v>57</v>
      </c>
      <c r="I602" s="8" t="s">
        <v>58</v>
      </c>
      <c r="J602" s="6" t="s">
        <v>163</v>
      </c>
      <c r="K602" s="6" t="s">
        <v>277</v>
      </c>
      <c r="L602" s="6" t="s">
        <v>278</v>
      </c>
      <c r="M602" s="6" t="s">
        <v>3373</v>
      </c>
      <c r="N602" s="5" t="s">
        <v>1034</v>
      </c>
      <c r="O602" s="5" t="s">
        <v>279</v>
      </c>
      <c r="P602" s="5" t="s">
        <v>3376</v>
      </c>
      <c r="Q602" s="9" t="s">
        <v>75</v>
      </c>
      <c r="R602" s="5" t="s">
        <v>132</v>
      </c>
      <c r="S602" s="5" t="s">
        <v>64</v>
      </c>
      <c r="T602" s="7">
        <v>1</v>
      </c>
      <c r="U602" s="7">
        <v>3.5</v>
      </c>
      <c r="V602" s="7">
        <v>1</v>
      </c>
      <c r="W602" s="5" t="s">
        <v>91</v>
      </c>
      <c r="X602" s="10" t="s">
        <v>79</v>
      </c>
      <c r="Y602" s="11">
        <v>6187.5</v>
      </c>
      <c r="Z602" s="12">
        <v>7.5</v>
      </c>
      <c r="AA602" s="12">
        <v>0.5</v>
      </c>
      <c r="AB602" s="12">
        <v>0.5</v>
      </c>
      <c r="AC602" s="13">
        <v>1.5</v>
      </c>
      <c r="AD602" s="14">
        <f t="shared" si="20"/>
        <v>10</v>
      </c>
      <c r="AE602" s="15">
        <f t="shared" si="21"/>
        <v>0.15</v>
      </c>
      <c r="AF602" s="16">
        <v>12182</v>
      </c>
      <c r="AG602" s="16"/>
      <c r="AH602" s="17" t="s">
        <v>3375</v>
      </c>
      <c r="AI602" s="18" t="s">
        <v>280</v>
      </c>
      <c r="AJ602" s="19" t="s">
        <v>281</v>
      </c>
      <c r="AK602" s="20">
        <v>0.9</v>
      </c>
      <c r="AL602" s="17" t="s">
        <v>261</v>
      </c>
      <c r="AM602" s="5">
        <v>0.97</v>
      </c>
      <c r="AN602" s="5" t="s">
        <v>66</v>
      </c>
      <c r="AO602" s="5" t="s">
        <v>281</v>
      </c>
      <c r="AP602" s="5" t="s">
        <v>281</v>
      </c>
      <c r="AQ602" s="5" t="s">
        <v>66</v>
      </c>
      <c r="AR602" s="5" t="s">
        <v>66</v>
      </c>
      <c r="AS602" s="5" t="s">
        <v>66</v>
      </c>
      <c r="AT602" s="5" t="s">
        <v>66</v>
      </c>
      <c r="AU602" s="5" t="s">
        <v>66</v>
      </c>
      <c r="AV602" s="5" t="s">
        <v>66</v>
      </c>
      <c r="AW602" s="5" t="s">
        <v>66</v>
      </c>
      <c r="AX602" s="5" t="s">
        <v>282</v>
      </c>
      <c r="AY602" s="5" t="s">
        <v>69</v>
      </c>
      <c r="AZ602" s="5" t="s">
        <v>70</v>
      </c>
      <c r="BA602" s="19" t="s">
        <v>66</v>
      </c>
      <c r="BB602" s="17" t="s">
        <v>66</v>
      </c>
      <c r="BC602" s="5" t="s">
        <v>283</v>
      </c>
      <c r="BD602" s="5" t="s">
        <v>284</v>
      </c>
    </row>
    <row r="603" spans="1:56" ht="60" hidden="1" x14ac:dyDescent="0.25">
      <c r="A603" s="78" t="s">
        <v>274</v>
      </c>
      <c r="B603" s="5" t="s">
        <v>82</v>
      </c>
      <c r="C603" s="5" t="s">
        <v>3293</v>
      </c>
      <c r="D603" s="5" t="s">
        <v>275</v>
      </c>
      <c r="E603" s="99" t="str">
        <f>VLOOKUP(D603,'Dropdown List'!$F$26:$G$40,2,0)</f>
        <v>South Africa</v>
      </c>
      <c r="F603" s="6" t="s">
        <v>276</v>
      </c>
      <c r="G603" s="7">
        <v>2.1</v>
      </c>
      <c r="H603" s="5" t="s">
        <v>57</v>
      </c>
      <c r="I603" s="8" t="s">
        <v>71</v>
      </c>
      <c r="J603" s="6" t="s">
        <v>112</v>
      </c>
      <c r="K603" s="6" t="s">
        <v>285</v>
      </c>
      <c r="L603" s="6" t="s">
        <v>286</v>
      </c>
      <c r="M603" s="6" t="s">
        <v>3377</v>
      </c>
      <c r="N603" s="5" t="s">
        <v>319</v>
      </c>
      <c r="O603" s="5" t="s">
        <v>279</v>
      </c>
      <c r="P603" s="5" t="s">
        <v>3374</v>
      </c>
      <c r="Q603" s="9" t="s">
        <v>75</v>
      </c>
      <c r="R603" s="5" t="s">
        <v>132</v>
      </c>
      <c r="S603" s="5" t="s">
        <v>64</v>
      </c>
      <c r="T603" s="7">
        <v>1</v>
      </c>
      <c r="U603" s="7">
        <v>3.5</v>
      </c>
      <c r="V603" s="7">
        <v>1</v>
      </c>
      <c r="W603" s="5" t="s">
        <v>91</v>
      </c>
      <c r="X603" s="10" t="s">
        <v>79</v>
      </c>
      <c r="Y603" s="11">
        <v>6187.5</v>
      </c>
      <c r="Z603" s="12">
        <v>7.5</v>
      </c>
      <c r="AA603" s="12">
        <v>0.5</v>
      </c>
      <c r="AB603" s="12">
        <v>0.5</v>
      </c>
      <c r="AC603" s="13">
        <v>1.5</v>
      </c>
      <c r="AD603" s="14">
        <f t="shared" si="20"/>
        <v>10</v>
      </c>
      <c r="AE603" s="15">
        <f t="shared" si="21"/>
        <v>0.15</v>
      </c>
      <c r="AF603" s="16">
        <v>12231</v>
      </c>
      <c r="AG603" s="16"/>
      <c r="AH603" s="17" t="s">
        <v>3375</v>
      </c>
      <c r="AI603" s="18" t="s">
        <v>280</v>
      </c>
      <c r="AJ603" s="19" t="s">
        <v>281</v>
      </c>
      <c r="AK603" s="20">
        <v>0.9</v>
      </c>
      <c r="AL603" s="17" t="s">
        <v>261</v>
      </c>
      <c r="AM603" s="5">
        <v>0.97</v>
      </c>
      <c r="AN603" s="5" t="s">
        <v>66</v>
      </c>
      <c r="AO603" s="5" t="s">
        <v>281</v>
      </c>
      <c r="AP603" s="5" t="s">
        <v>281</v>
      </c>
      <c r="AQ603" s="5" t="s">
        <v>66</v>
      </c>
      <c r="AR603" s="5" t="s">
        <v>66</v>
      </c>
      <c r="AS603" s="5" t="s">
        <v>66</v>
      </c>
      <c r="AT603" s="5" t="s">
        <v>66</v>
      </c>
      <c r="AU603" s="5" t="s">
        <v>66</v>
      </c>
      <c r="AV603" s="5" t="s">
        <v>66</v>
      </c>
      <c r="AW603" s="5" t="s">
        <v>66</v>
      </c>
      <c r="AX603" s="5" t="s">
        <v>287</v>
      </c>
      <c r="AY603" s="5" t="s">
        <v>69</v>
      </c>
      <c r="AZ603" s="5" t="s">
        <v>70</v>
      </c>
      <c r="BA603" s="19" t="s">
        <v>66</v>
      </c>
      <c r="BB603" s="17" t="s">
        <v>66</v>
      </c>
      <c r="BC603" s="5" t="s">
        <v>283</v>
      </c>
      <c r="BD603" s="5" t="s">
        <v>284</v>
      </c>
    </row>
    <row r="604" spans="1:56" ht="132" hidden="1" x14ac:dyDescent="0.25">
      <c r="A604" s="78" t="s">
        <v>274</v>
      </c>
      <c r="B604" s="5" t="s">
        <v>82</v>
      </c>
      <c r="C604" s="5" t="s">
        <v>3293</v>
      </c>
      <c r="D604" s="5" t="s">
        <v>275</v>
      </c>
      <c r="E604" s="99" t="str">
        <f>VLOOKUP(D604,'Dropdown List'!$F$26:$G$40,2,0)</f>
        <v>South Africa</v>
      </c>
      <c r="F604" s="6" t="s">
        <v>276</v>
      </c>
      <c r="G604" s="7">
        <v>2.1</v>
      </c>
      <c r="H604" s="5" t="s">
        <v>57</v>
      </c>
      <c r="I604" s="8" t="s">
        <v>71</v>
      </c>
      <c r="J604" s="6" t="s">
        <v>112</v>
      </c>
      <c r="K604" s="6" t="s">
        <v>285</v>
      </c>
      <c r="L604" s="6" t="s">
        <v>286</v>
      </c>
      <c r="M604" s="6" t="s">
        <v>3377</v>
      </c>
      <c r="N604" s="5" t="s">
        <v>1034</v>
      </c>
      <c r="O604" s="5" t="s">
        <v>279</v>
      </c>
      <c r="P604" s="5" t="s">
        <v>3376</v>
      </c>
      <c r="Q604" s="9" t="s">
        <v>75</v>
      </c>
      <c r="R604" s="5" t="s">
        <v>132</v>
      </c>
      <c r="S604" s="5" t="s">
        <v>64</v>
      </c>
      <c r="T604" s="7">
        <v>1</v>
      </c>
      <c r="U604" s="7">
        <v>3.5</v>
      </c>
      <c r="V604" s="7">
        <v>1</v>
      </c>
      <c r="W604" s="5" t="s">
        <v>91</v>
      </c>
      <c r="X604" s="10" t="s">
        <v>79</v>
      </c>
      <c r="Y604" s="11">
        <v>6187.5</v>
      </c>
      <c r="Z604" s="12">
        <v>7.5</v>
      </c>
      <c r="AA604" s="12">
        <v>0.5</v>
      </c>
      <c r="AB604" s="12">
        <v>1</v>
      </c>
      <c r="AC604" s="13">
        <v>2</v>
      </c>
      <c r="AD604" s="14">
        <f t="shared" si="20"/>
        <v>11</v>
      </c>
      <c r="AE604" s="15">
        <f t="shared" si="21"/>
        <v>0.18181818181818182</v>
      </c>
      <c r="AF604" s="16">
        <v>12231</v>
      </c>
      <c r="AG604" s="16"/>
      <c r="AH604" s="17" t="s">
        <v>3375</v>
      </c>
      <c r="AI604" s="18" t="s">
        <v>280</v>
      </c>
      <c r="AJ604" s="19" t="s">
        <v>281</v>
      </c>
      <c r="AK604" s="20">
        <v>0.9</v>
      </c>
      <c r="AL604" s="17" t="s">
        <v>261</v>
      </c>
      <c r="AM604" s="5">
        <v>0.97</v>
      </c>
      <c r="AN604" s="5" t="s">
        <v>66</v>
      </c>
      <c r="AO604" s="5" t="s">
        <v>281</v>
      </c>
      <c r="AP604" s="5" t="s">
        <v>281</v>
      </c>
      <c r="AQ604" s="5" t="s">
        <v>66</v>
      </c>
      <c r="AR604" s="5" t="s">
        <v>66</v>
      </c>
      <c r="AS604" s="5" t="s">
        <v>66</v>
      </c>
      <c r="AT604" s="5" t="s">
        <v>66</v>
      </c>
      <c r="AU604" s="5" t="s">
        <v>66</v>
      </c>
      <c r="AV604" s="5" t="s">
        <v>66</v>
      </c>
      <c r="AW604" s="5" t="s">
        <v>66</v>
      </c>
      <c r="AX604" s="5" t="s">
        <v>287</v>
      </c>
      <c r="AY604" s="5" t="s">
        <v>69</v>
      </c>
      <c r="AZ604" s="5" t="s">
        <v>70</v>
      </c>
      <c r="BA604" s="19" t="s">
        <v>66</v>
      </c>
      <c r="BB604" s="17" t="s">
        <v>66</v>
      </c>
      <c r="BC604" s="5" t="s">
        <v>283</v>
      </c>
      <c r="BD604" s="5" t="s">
        <v>284</v>
      </c>
    </row>
    <row r="605" spans="1:56" ht="72" hidden="1" x14ac:dyDescent="0.25">
      <c r="A605" s="78" t="s">
        <v>1056</v>
      </c>
      <c r="B605" s="5" t="s">
        <v>1057</v>
      </c>
      <c r="C605" s="5" t="s">
        <v>3293</v>
      </c>
      <c r="D605" s="5" t="s">
        <v>448</v>
      </c>
      <c r="E605" s="99" t="str">
        <f>VLOOKUP(D605,'Dropdown List'!$F$26:$G$40,2,0)</f>
        <v>Philippines</v>
      </c>
      <c r="F605" s="6" t="s">
        <v>3135</v>
      </c>
      <c r="G605" s="7">
        <v>6.5</v>
      </c>
      <c r="H605" s="5" t="s">
        <v>57</v>
      </c>
      <c r="I605" s="8" t="s">
        <v>58</v>
      </c>
      <c r="J605" s="6" t="s">
        <v>881</v>
      </c>
      <c r="K605" s="6" t="s">
        <v>1287</v>
      </c>
      <c r="L605" s="6" t="s">
        <v>1288</v>
      </c>
      <c r="M605" s="6" t="s">
        <v>3136</v>
      </c>
      <c r="N605" s="5" t="s">
        <v>1034</v>
      </c>
      <c r="O605" s="5" t="s">
        <v>61</v>
      </c>
      <c r="P605" s="5" t="s">
        <v>3137</v>
      </c>
      <c r="Q605" s="9" t="s">
        <v>75</v>
      </c>
      <c r="R605" s="5" t="s">
        <v>63</v>
      </c>
      <c r="S605" s="5" t="s">
        <v>64</v>
      </c>
      <c r="T605" s="7">
        <v>2</v>
      </c>
      <c r="U605" s="7">
        <v>6</v>
      </c>
      <c r="V605" s="7">
        <v>5</v>
      </c>
      <c r="W605" s="5" t="s">
        <v>91</v>
      </c>
      <c r="X605" s="10" t="s">
        <v>79</v>
      </c>
      <c r="Y605" s="11">
        <v>27469.702125</v>
      </c>
      <c r="Z605" s="12">
        <v>14</v>
      </c>
      <c r="AA605" s="12">
        <v>1.5</v>
      </c>
      <c r="AB605" s="12">
        <v>1</v>
      </c>
      <c r="AC605" s="13">
        <v>4.2899999999999991</v>
      </c>
      <c r="AD605" s="14">
        <f t="shared" si="20"/>
        <v>20.79</v>
      </c>
      <c r="AE605" s="15">
        <f t="shared" si="21"/>
        <v>0.20634920634920631</v>
      </c>
      <c r="AF605" s="16">
        <v>49000</v>
      </c>
      <c r="AG605" s="16">
        <v>49000</v>
      </c>
      <c r="AH605" s="17" t="s">
        <v>66</v>
      </c>
      <c r="AI605" s="18" t="s">
        <v>1289</v>
      </c>
      <c r="AJ605" s="19" t="s">
        <v>1290</v>
      </c>
      <c r="AK605" s="20">
        <v>0.96</v>
      </c>
      <c r="AL605" s="17" t="s">
        <v>92</v>
      </c>
      <c r="AM605" s="5" t="s">
        <v>66</v>
      </c>
      <c r="AN605" s="5" t="s">
        <v>66</v>
      </c>
      <c r="AO605" s="5" t="s">
        <v>66</v>
      </c>
      <c r="AP605" s="5" t="s">
        <v>66</v>
      </c>
      <c r="AQ605" s="5" t="s">
        <v>66</v>
      </c>
      <c r="AR605" s="5" t="s">
        <v>66</v>
      </c>
      <c r="AS605" s="5" t="s">
        <v>66</v>
      </c>
      <c r="AT605" s="5" t="s">
        <v>66</v>
      </c>
      <c r="AU605" s="5" t="s">
        <v>66</v>
      </c>
      <c r="AV605" s="5" t="s">
        <v>66</v>
      </c>
      <c r="AW605" s="5" t="s">
        <v>66</v>
      </c>
      <c r="AX605" s="5" t="s">
        <v>1291</v>
      </c>
      <c r="AY605" s="5" t="s">
        <v>65</v>
      </c>
      <c r="AZ605" s="5" t="s">
        <v>70</v>
      </c>
      <c r="BA605" s="19" t="s">
        <v>1292</v>
      </c>
      <c r="BB605" s="17" t="s">
        <v>65</v>
      </c>
      <c r="BC605" s="5" t="s">
        <v>1293</v>
      </c>
      <c r="BD605" s="5" t="s">
        <v>1294</v>
      </c>
    </row>
    <row r="606" spans="1:56" ht="60" hidden="1" x14ac:dyDescent="0.25">
      <c r="A606" s="78" t="s">
        <v>1056</v>
      </c>
      <c r="B606" s="5" t="s">
        <v>1057</v>
      </c>
      <c r="C606" s="5" t="s">
        <v>3293</v>
      </c>
      <c r="D606" s="5" t="s">
        <v>448</v>
      </c>
      <c r="E606" s="99" t="str">
        <f>VLOOKUP(D606,'Dropdown List'!$F$26:$G$40,2,0)</f>
        <v>Philippines</v>
      </c>
      <c r="F606" s="6" t="s">
        <v>3135</v>
      </c>
      <c r="G606" s="7">
        <v>6.5</v>
      </c>
      <c r="H606" s="5" t="s">
        <v>57</v>
      </c>
      <c r="I606" s="8" t="s">
        <v>58</v>
      </c>
      <c r="J606" s="6" t="s">
        <v>881</v>
      </c>
      <c r="K606" s="6" t="s">
        <v>1287</v>
      </c>
      <c r="L606" s="6" t="s">
        <v>1295</v>
      </c>
      <c r="M606" s="6" t="s">
        <v>3138</v>
      </c>
      <c r="N606" s="5" t="s">
        <v>1034</v>
      </c>
      <c r="O606" s="5" t="s">
        <v>61</v>
      </c>
      <c r="P606" s="5" t="s">
        <v>3137</v>
      </c>
      <c r="Q606" s="9" t="s">
        <v>75</v>
      </c>
      <c r="R606" s="5" t="s">
        <v>63</v>
      </c>
      <c r="S606" s="5" t="s">
        <v>64</v>
      </c>
      <c r="T606" s="7">
        <v>2</v>
      </c>
      <c r="U606" s="7">
        <v>5</v>
      </c>
      <c r="V606" s="7">
        <v>4</v>
      </c>
      <c r="W606" s="5" t="s">
        <v>91</v>
      </c>
      <c r="X606" s="10" t="s">
        <v>79</v>
      </c>
      <c r="Y606" s="11">
        <v>27469.702125</v>
      </c>
      <c r="Z606" s="12">
        <v>53.62</v>
      </c>
      <c r="AA606" s="12">
        <v>5</v>
      </c>
      <c r="AB606" s="12">
        <v>7</v>
      </c>
      <c r="AC606" s="13">
        <v>22.380000000000003</v>
      </c>
      <c r="AD606" s="14">
        <f t="shared" si="20"/>
        <v>88</v>
      </c>
      <c r="AE606" s="15">
        <f t="shared" si="21"/>
        <v>0.25431818181818183</v>
      </c>
      <c r="AF606" s="16">
        <v>56870</v>
      </c>
      <c r="AG606" s="16">
        <v>56870</v>
      </c>
      <c r="AH606" s="17" t="s">
        <v>66</v>
      </c>
      <c r="AI606" s="18" t="s">
        <v>1296</v>
      </c>
      <c r="AJ606" s="19">
        <v>0.95</v>
      </c>
      <c r="AK606" s="20">
        <v>0.95</v>
      </c>
      <c r="AL606" s="17" t="s">
        <v>92</v>
      </c>
      <c r="AM606" s="5" t="s">
        <v>66</v>
      </c>
      <c r="AN606" s="5" t="s">
        <v>66</v>
      </c>
      <c r="AO606" s="5" t="s">
        <v>66</v>
      </c>
      <c r="AP606" s="5" t="s">
        <v>66</v>
      </c>
      <c r="AQ606" s="5" t="s">
        <v>66</v>
      </c>
      <c r="AR606" s="5" t="s">
        <v>66</v>
      </c>
      <c r="AS606" s="5" t="s">
        <v>66</v>
      </c>
      <c r="AT606" s="5" t="s">
        <v>66</v>
      </c>
      <c r="AU606" s="5" t="s">
        <v>66</v>
      </c>
      <c r="AV606" s="5" t="s">
        <v>66</v>
      </c>
      <c r="AW606" s="5" t="s">
        <v>66</v>
      </c>
      <c r="AX606" s="5" t="s">
        <v>1297</v>
      </c>
      <c r="AY606" s="5" t="s">
        <v>65</v>
      </c>
      <c r="AZ606" s="5" t="s">
        <v>70</v>
      </c>
      <c r="BA606" s="19" t="s">
        <v>1292</v>
      </c>
      <c r="BB606" s="17" t="s">
        <v>65</v>
      </c>
      <c r="BC606" s="5" t="s">
        <v>1298</v>
      </c>
      <c r="BD606" s="5" t="s">
        <v>1294</v>
      </c>
    </row>
    <row r="607" spans="1:56" ht="132" hidden="1" x14ac:dyDescent="0.25">
      <c r="A607" s="78" t="s">
        <v>1056</v>
      </c>
      <c r="B607" s="5" t="s">
        <v>1057</v>
      </c>
      <c r="C607" s="5" t="s">
        <v>3293</v>
      </c>
      <c r="D607" s="5" t="s">
        <v>448</v>
      </c>
      <c r="E607" s="99" t="str">
        <f>VLOOKUP(D607,'Dropdown List'!$F$26:$G$40,2,0)</f>
        <v>Philippines</v>
      </c>
      <c r="F607" s="6" t="s">
        <v>3135</v>
      </c>
      <c r="G607" s="7">
        <v>7</v>
      </c>
      <c r="H607" s="5" t="s">
        <v>85</v>
      </c>
      <c r="I607" s="8" t="s">
        <v>58</v>
      </c>
      <c r="J607" s="6" t="s">
        <v>163</v>
      </c>
      <c r="K607" s="6" t="s">
        <v>762</v>
      </c>
      <c r="L607" s="6" t="s">
        <v>1299</v>
      </c>
      <c r="M607" s="6" t="s">
        <v>3139</v>
      </c>
      <c r="N607" s="5" t="s">
        <v>149</v>
      </c>
      <c r="O607" s="5" t="s">
        <v>89</v>
      </c>
      <c r="P607" s="5" t="s">
        <v>89</v>
      </c>
      <c r="Q607" s="9" t="s">
        <v>75</v>
      </c>
      <c r="R607" s="5" t="s">
        <v>132</v>
      </c>
      <c r="S607" s="5" t="s">
        <v>64</v>
      </c>
      <c r="T607" s="7">
        <v>2</v>
      </c>
      <c r="U607" s="7">
        <v>5</v>
      </c>
      <c r="V607" s="7">
        <v>4</v>
      </c>
      <c r="W607" s="5" t="s">
        <v>91</v>
      </c>
      <c r="X607" s="10" t="s">
        <v>79</v>
      </c>
      <c r="Y607" s="11">
        <v>0</v>
      </c>
      <c r="Z607" s="12">
        <v>0</v>
      </c>
      <c r="AA607" s="12">
        <v>0</v>
      </c>
      <c r="AB607" s="12">
        <v>0</v>
      </c>
      <c r="AC607" s="13">
        <v>0</v>
      </c>
      <c r="AD607" s="14">
        <f t="shared" si="20"/>
        <v>0</v>
      </c>
      <c r="AE607" s="15" t="e">
        <f t="shared" si="21"/>
        <v>#DIV/0!</v>
      </c>
      <c r="AF607" s="16">
        <v>0</v>
      </c>
      <c r="AG607" s="16">
        <v>0</v>
      </c>
      <c r="AH607" s="17" t="s">
        <v>66</v>
      </c>
      <c r="AI607" s="18" t="s">
        <v>66</v>
      </c>
      <c r="AJ607" s="19" t="s">
        <v>66</v>
      </c>
      <c r="AK607" s="20" t="s">
        <v>66</v>
      </c>
      <c r="AL607" s="17" t="s">
        <v>65</v>
      </c>
      <c r="AM607" s="5" t="s">
        <v>66</v>
      </c>
      <c r="AN607" s="5" t="s">
        <v>66</v>
      </c>
      <c r="AO607" s="5" t="s">
        <v>66</v>
      </c>
      <c r="AP607" s="5" t="s">
        <v>66</v>
      </c>
      <c r="AQ607" s="5" t="s">
        <v>66</v>
      </c>
      <c r="AR607" s="5" t="s">
        <v>66</v>
      </c>
      <c r="AS607" s="5" t="s">
        <v>66</v>
      </c>
      <c r="AT607" s="5" t="s">
        <v>66</v>
      </c>
      <c r="AU607" s="5" t="s">
        <v>66</v>
      </c>
      <c r="AV607" s="5" t="s">
        <v>66</v>
      </c>
      <c r="AW607" s="5" t="s">
        <v>66</v>
      </c>
      <c r="AX607" s="5" t="s">
        <v>66</v>
      </c>
      <c r="AY607" s="5" t="s">
        <v>66</v>
      </c>
      <c r="AZ607" s="5" t="s">
        <v>66</v>
      </c>
      <c r="BA607" s="19" t="s">
        <v>66</v>
      </c>
      <c r="BB607" s="17" t="s">
        <v>66</v>
      </c>
      <c r="BC607" s="5" t="s">
        <v>66</v>
      </c>
      <c r="BD607" s="5" t="s">
        <v>66</v>
      </c>
    </row>
    <row r="608" spans="1:56" ht="60" hidden="1" x14ac:dyDescent="0.25">
      <c r="A608" s="78" t="s">
        <v>1056</v>
      </c>
      <c r="B608" s="5" t="s">
        <v>1057</v>
      </c>
      <c r="C608" s="5" t="s">
        <v>3293</v>
      </c>
      <c r="D608" s="5" t="s">
        <v>448</v>
      </c>
      <c r="E608" s="99" t="str">
        <f>VLOOKUP(D608,'Dropdown List'!$F$26:$G$40,2,0)</f>
        <v>Philippines</v>
      </c>
      <c r="F608" s="6" t="s">
        <v>3135</v>
      </c>
      <c r="G608" s="7">
        <v>15</v>
      </c>
      <c r="H608" s="5" t="s">
        <v>57</v>
      </c>
      <c r="I608" s="8" t="s">
        <v>58</v>
      </c>
      <c r="J608" s="6" t="s">
        <v>163</v>
      </c>
      <c r="K608" s="6" t="s">
        <v>277</v>
      </c>
      <c r="L608" s="6" t="s">
        <v>1300</v>
      </c>
      <c r="M608" s="6" t="s">
        <v>3140</v>
      </c>
      <c r="N608" s="5" t="s">
        <v>1034</v>
      </c>
      <c r="O608" s="5" t="s">
        <v>1069</v>
      </c>
      <c r="P608" s="5" t="s">
        <v>1069</v>
      </c>
      <c r="Q608" s="9" t="s">
        <v>75</v>
      </c>
      <c r="R608" s="5" t="s">
        <v>132</v>
      </c>
      <c r="S608" s="5" t="s">
        <v>64</v>
      </c>
      <c r="T608" s="7">
        <v>2</v>
      </c>
      <c r="U608" s="7">
        <v>6</v>
      </c>
      <c r="V608" s="7">
        <v>4</v>
      </c>
      <c r="W608" s="5" t="s">
        <v>91</v>
      </c>
      <c r="X608" s="10" t="s">
        <v>79</v>
      </c>
      <c r="Y608" s="11">
        <v>29726.493749999998</v>
      </c>
      <c r="Z608" s="12">
        <v>14.65</v>
      </c>
      <c r="AA608" s="12">
        <v>1.5</v>
      </c>
      <c r="AB608" s="12">
        <v>1</v>
      </c>
      <c r="AC608" s="13">
        <v>3.3499999999999996</v>
      </c>
      <c r="AD608" s="14">
        <f t="shared" si="20"/>
        <v>20.5</v>
      </c>
      <c r="AE608" s="15">
        <f t="shared" si="21"/>
        <v>0.16341463414634144</v>
      </c>
      <c r="AF608" s="16">
        <v>15600</v>
      </c>
      <c r="AG608" s="16">
        <v>15600</v>
      </c>
      <c r="AH608" s="17" t="s">
        <v>66</v>
      </c>
      <c r="AI608" s="18">
        <v>4.3</v>
      </c>
      <c r="AJ608" s="19" t="s">
        <v>66</v>
      </c>
      <c r="AK608" s="20">
        <v>0.98</v>
      </c>
      <c r="AL608" s="17" t="s">
        <v>92</v>
      </c>
      <c r="AM608" s="5" t="s">
        <v>1301</v>
      </c>
      <c r="AN608" s="5" t="s">
        <v>66</v>
      </c>
      <c r="AO608" s="5" t="s">
        <v>66</v>
      </c>
      <c r="AP608" s="5" t="s">
        <v>66</v>
      </c>
      <c r="AQ608" s="5" t="s">
        <v>66</v>
      </c>
      <c r="AR608" s="5" t="s">
        <v>66</v>
      </c>
      <c r="AS608" s="5" t="s">
        <v>66</v>
      </c>
      <c r="AT608" s="5" t="s">
        <v>66</v>
      </c>
      <c r="AU608" s="5" t="s">
        <v>66</v>
      </c>
      <c r="AV608" s="5" t="s">
        <v>66</v>
      </c>
      <c r="AW608" s="5" t="s">
        <v>66</v>
      </c>
      <c r="AX608" s="5" t="s">
        <v>1302</v>
      </c>
      <c r="AY608" s="5" t="s">
        <v>65</v>
      </c>
      <c r="AZ608" s="5" t="s">
        <v>70</v>
      </c>
      <c r="BA608" s="19" t="s">
        <v>1292</v>
      </c>
      <c r="BB608" s="17" t="s">
        <v>353</v>
      </c>
      <c r="BC608" s="5" t="s">
        <v>1302</v>
      </c>
      <c r="BD608" s="5" t="s">
        <v>1303</v>
      </c>
    </row>
    <row r="609" spans="1:56" ht="60" hidden="1" x14ac:dyDescent="0.25">
      <c r="A609" s="78" t="s">
        <v>1056</v>
      </c>
      <c r="B609" s="5" t="s">
        <v>1057</v>
      </c>
      <c r="C609" s="5" t="s">
        <v>3293</v>
      </c>
      <c r="D609" s="5" t="s">
        <v>448</v>
      </c>
      <c r="E609" s="99" t="str">
        <f>VLOOKUP(D609,'Dropdown List'!$F$26:$G$40,2,0)</f>
        <v>Philippines</v>
      </c>
      <c r="F609" s="6" t="s">
        <v>3135</v>
      </c>
      <c r="G609" s="7">
        <v>2.1</v>
      </c>
      <c r="H609" s="5" t="s">
        <v>85</v>
      </c>
      <c r="I609" s="8" t="s">
        <v>58</v>
      </c>
      <c r="J609" s="6" t="s">
        <v>146</v>
      </c>
      <c r="K609" s="6" t="s">
        <v>154</v>
      </c>
      <c r="L609" s="6" t="s">
        <v>1304</v>
      </c>
      <c r="M609" s="6" t="s">
        <v>3141</v>
      </c>
      <c r="N609" s="5" t="s">
        <v>1034</v>
      </c>
      <c r="O609" s="5" t="s">
        <v>1069</v>
      </c>
      <c r="P609" s="5" t="s">
        <v>1069</v>
      </c>
      <c r="Q609" s="9" t="s">
        <v>75</v>
      </c>
      <c r="R609" s="5" t="s">
        <v>132</v>
      </c>
      <c r="S609" s="5" t="s">
        <v>64</v>
      </c>
      <c r="T609" s="7">
        <v>2</v>
      </c>
      <c r="U609" s="7">
        <v>6</v>
      </c>
      <c r="V609" s="7">
        <v>8</v>
      </c>
      <c r="W609" s="5" t="s">
        <v>91</v>
      </c>
      <c r="X609" s="10" t="s">
        <v>79</v>
      </c>
      <c r="Y609" s="11">
        <v>0</v>
      </c>
      <c r="Z609" s="12">
        <v>0</v>
      </c>
      <c r="AA609" s="12">
        <v>0</v>
      </c>
      <c r="AB609" s="12">
        <v>0</v>
      </c>
      <c r="AC609" s="13">
        <v>0</v>
      </c>
      <c r="AD609" s="14">
        <f t="shared" si="20"/>
        <v>0</v>
      </c>
      <c r="AE609" s="15" t="e">
        <f t="shared" si="21"/>
        <v>#DIV/0!</v>
      </c>
      <c r="AF609" s="16">
        <v>0</v>
      </c>
      <c r="AG609" s="16">
        <v>0</v>
      </c>
      <c r="AH609" s="17" t="s">
        <v>66</v>
      </c>
      <c r="AI609" s="18" t="s">
        <v>66</v>
      </c>
      <c r="AJ609" s="19" t="s">
        <v>66</v>
      </c>
      <c r="AK609" s="20" t="s">
        <v>66</v>
      </c>
      <c r="AL609" s="17" t="s">
        <v>65</v>
      </c>
      <c r="AM609" s="5" t="s">
        <v>66</v>
      </c>
      <c r="AN609" s="5" t="s">
        <v>66</v>
      </c>
      <c r="AO609" s="5" t="s">
        <v>66</v>
      </c>
      <c r="AP609" s="5" t="s">
        <v>66</v>
      </c>
      <c r="AQ609" s="5" t="s">
        <v>66</v>
      </c>
      <c r="AR609" s="5" t="s">
        <v>66</v>
      </c>
      <c r="AS609" s="5" t="s">
        <v>66</v>
      </c>
      <c r="AT609" s="5" t="s">
        <v>66</v>
      </c>
      <c r="AU609" s="5" t="s">
        <v>66</v>
      </c>
      <c r="AV609" s="5" t="s">
        <v>66</v>
      </c>
      <c r="AW609" s="5" t="s">
        <v>66</v>
      </c>
      <c r="AX609" s="5" t="s">
        <v>66</v>
      </c>
      <c r="AY609" s="5" t="s">
        <v>66</v>
      </c>
      <c r="AZ609" s="5" t="s">
        <v>66</v>
      </c>
      <c r="BA609" s="19" t="s">
        <v>66</v>
      </c>
      <c r="BB609" s="17" t="s">
        <v>66</v>
      </c>
      <c r="BC609" s="5" t="s">
        <v>66</v>
      </c>
      <c r="BD609" s="5" t="s">
        <v>66</v>
      </c>
    </row>
    <row r="610" spans="1:56" ht="60" hidden="1" x14ac:dyDescent="0.25">
      <c r="A610" s="78" t="s">
        <v>1056</v>
      </c>
      <c r="B610" s="5" t="s">
        <v>1057</v>
      </c>
      <c r="C610" s="5" t="s">
        <v>3293</v>
      </c>
      <c r="D610" s="5" t="s">
        <v>448</v>
      </c>
      <c r="E610" s="99" t="str">
        <f>VLOOKUP(D610,'Dropdown List'!$F$26:$G$40,2,0)</f>
        <v>Philippines</v>
      </c>
      <c r="F610" s="6" t="s">
        <v>3135</v>
      </c>
      <c r="G610" s="7">
        <v>2.1</v>
      </c>
      <c r="H610" s="5" t="s">
        <v>85</v>
      </c>
      <c r="I610" s="8" t="s">
        <v>58</v>
      </c>
      <c r="J610" s="6" t="s">
        <v>163</v>
      </c>
      <c r="K610" s="6" t="s">
        <v>277</v>
      </c>
      <c r="L610" s="6" t="s">
        <v>1305</v>
      </c>
      <c r="M610" s="6" t="s">
        <v>3142</v>
      </c>
      <c r="N610" s="5" t="s">
        <v>1034</v>
      </c>
      <c r="O610" s="5" t="s">
        <v>1069</v>
      </c>
      <c r="P610" s="5" t="s">
        <v>1069</v>
      </c>
      <c r="Q610" s="9" t="s">
        <v>75</v>
      </c>
      <c r="R610" s="5" t="s">
        <v>132</v>
      </c>
      <c r="S610" s="5" t="s">
        <v>64</v>
      </c>
      <c r="T610" s="7">
        <v>2</v>
      </c>
      <c r="U610" s="7">
        <v>6</v>
      </c>
      <c r="V610" s="7">
        <v>4</v>
      </c>
      <c r="W610" s="5" t="s">
        <v>91</v>
      </c>
      <c r="X610" s="10" t="s">
        <v>79</v>
      </c>
      <c r="Y610" s="11">
        <v>0</v>
      </c>
      <c r="Z610" s="12">
        <v>0</v>
      </c>
      <c r="AA610" s="12">
        <v>0</v>
      </c>
      <c r="AB610" s="12">
        <v>0</v>
      </c>
      <c r="AC610" s="13">
        <v>0</v>
      </c>
      <c r="AD610" s="14">
        <f t="shared" si="20"/>
        <v>0</v>
      </c>
      <c r="AE610" s="15" t="e">
        <f t="shared" si="21"/>
        <v>#DIV/0!</v>
      </c>
      <c r="AF610" s="16">
        <v>0</v>
      </c>
      <c r="AG610" s="16">
        <v>0</v>
      </c>
      <c r="AH610" s="17" t="s">
        <v>66</v>
      </c>
      <c r="AI610" s="18" t="s">
        <v>66</v>
      </c>
      <c r="AJ610" s="19" t="s">
        <v>66</v>
      </c>
      <c r="AK610" s="20" t="s">
        <v>66</v>
      </c>
      <c r="AL610" s="17" t="s">
        <v>65</v>
      </c>
      <c r="AM610" s="5" t="s">
        <v>66</v>
      </c>
      <c r="AN610" s="5" t="s">
        <v>66</v>
      </c>
      <c r="AO610" s="5" t="s">
        <v>66</v>
      </c>
      <c r="AP610" s="5" t="s">
        <v>66</v>
      </c>
      <c r="AQ610" s="5" t="s">
        <v>66</v>
      </c>
      <c r="AR610" s="5" t="s">
        <v>66</v>
      </c>
      <c r="AS610" s="5" t="s">
        <v>66</v>
      </c>
      <c r="AT610" s="5" t="s">
        <v>66</v>
      </c>
      <c r="AU610" s="5" t="s">
        <v>66</v>
      </c>
      <c r="AV610" s="5" t="s">
        <v>66</v>
      </c>
      <c r="AW610" s="5" t="s">
        <v>66</v>
      </c>
      <c r="AX610" s="5" t="s">
        <v>66</v>
      </c>
      <c r="AY610" s="5" t="s">
        <v>66</v>
      </c>
      <c r="AZ610" s="5" t="s">
        <v>66</v>
      </c>
      <c r="BA610" s="19" t="s">
        <v>66</v>
      </c>
      <c r="BB610" s="17" t="s">
        <v>66</v>
      </c>
      <c r="BC610" s="5" t="s">
        <v>66</v>
      </c>
      <c r="BD610" s="5" t="s">
        <v>66</v>
      </c>
    </row>
    <row r="611" spans="1:56" ht="48" hidden="1" x14ac:dyDescent="0.25">
      <c r="A611" s="78" t="s">
        <v>1056</v>
      </c>
      <c r="B611" s="5" t="s">
        <v>1057</v>
      </c>
      <c r="C611" s="5" t="s">
        <v>3293</v>
      </c>
      <c r="D611" s="5" t="s">
        <v>448</v>
      </c>
      <c r="E611" s="99" t="str">
        <f>VLOOKUP(D611,'Dropdown List'!$F$26:$G$40,2,0)</f>
        <v>Philippines</v>
      </c>
      <c r="F611" s="6" t="s">
        <v>3135</v>
      </c>
      <c r="G611" s="7">
        <v>5</v>
      </c>
      <c r="H611" s="5" t="s">
        <v>85</v>
      </c>
      <c r="I611" s="8" t="s">
        <v>58</v>
      </c>
      <c r="J611" s="6" t="s">
        <v>163</v>
      </c>
      <c r="K611" s="6" t="s">
        <v>277</v>
      </c>
      <c r="L611" s="6" t="s">
        <v>1306</v>
      </c>
      <c r="M611" s="6" t="s">
        <v>3143</v>
      </c>
      <c r="N611" s="5" t="s">
        <v>1034</v>
      </c>
      <c r="O611" s="5" t="s">
        <v>61</v>
      </c>
      <c r="P611" s="5" t="s">
        <v>3144</v>
      </c>
      <c r="Q611" s="9" t="s">
        <v>75</v>
      </c>
      <c r="R611" s="5" t="s">
        <v>76</v>
      </c>
      <c r="S611" s="5" t="s">
        <v>64</v>
      </c>
      <c r="T611" s="7">
        <v>2</v>
      </c>
      <c r="U611" s="7">
        <v>5</v>
      </c>
      <c r="V611" s="7">
        <v>6</v>
      </c>
      <c r="W611" s="5" t="s">
        <v>91</v>
      </c>
      <c r="X611" s="10" t="s">
        <v>79</v>
      </c>
      <c r="Y611" s="11">
        <v>0</v>
      </c>
      <c r="Z611" s="12">
        <v>0</v>
      </c>
      <c r="AA611" s="12">
        <v>0</v>
      </c>
      <c r="AB611" s="12">
        <v>0</v>
      </c>
      <c r="AC611" s="13">
        <v>0</v>
      </c>
      <c r="AD611" s="14">
        <f t="shared" si="20"/>
        <v>0</v>
      </c>
      <c r="AE611" s="15" t="e">
        <f t="shared" si="21"/>
        <v>#DIV/0!</v>
      </c>
      <c r="AF611" s="16">
        <v>0</v>
      </c>
      <c r="AG611" s="16">
        <v>0</v>
      </c>
      <c r="AH611" s="17" t="s">
        <v>66</v>
      </c>
      <c r="AI611" s="18" t="s">
        <v>66</v>
      </c>
      <c r="AJ611" s="19" t="s">
        <v>66</v>
      </c>
      <c r="AK611" s="20" t="s">
        <v>66</v>
      </c>
      <c r="AL611" s="17" t="s">
        <v>65</v>
      </c>
      <c r="AM611" s="5" t="s">
        <v>66</v>
      </c>
      <c r="AN611" s="5" t="s">
        <v>66</v>
      </c>
      <c r="AO611" s="5" t="s">
        <v>66</v>
      </c>
      <c r="AP611" s="5" t="s">
        <v>66</v>
      </c>
      <c r="AQ611" s="5" t="s">
        <v>66</v>
      </c>
      <c r="AR611" s="5" t="s">
        <v>66</v>
      </c>
      <c r="AS611" s="5" t="s">
        <v>66</v>
      </c>
      <c r="AT611" s="5" t="s">
        <v>66</v>
      </c>
      <c r="AU611" s="5" t="s">
        <v>66</v>
      </c>
      <c r="AV611" s="5" t="s">
        <v>66</v>
      </c>
      <c r="AW611" s="5" t="s">
        <v>66</v>
      </c>
      <c r="AX611" s="5" t="s">
        <v>66</v>
      </c>
      <c r="AY611" s="5" t="s">
        <v>66</v>
      </c>
      <c r="AZ611" s="5" t="s">
        <v>66</v>
      </c>
      <c r="BA611" s="19" t="s">
        <v>66</v>
      </c>
      <c r="BB611" s="17" t="s">
        <v>66</v>
      </c>
      <c r="BC611" s="5" t="s">
        <v>66</v>
      </c>
      <c r="BD611" s="5" t="s">
        <v>66</v>
      </c>
    </row>
    <row r="612" spans="1:56" ht="96" hidden="1" x14ac:dyDescent="0.25">
      <c r="A612" s="78" t="s">
        <v>1056</v>
      </c>
      <c r="B612" s="5" t="s">
        <v>1057</v>
      </c>
      <c r="C612" s="5" t="s">
        <v>3293</v>
      </c>
      <c r="D612" s="5" t="s">
        <v>448</v>
      </c>
      <c r="E612" s="99" t="str">
        <f>VLOOKUP(D612,'Dropdown List'!$F$26:$G$40,2,0)</f>
        <v>Philippines</v>
      </c>
      <c r="F612" s="6" t="s">
        <v>3135</v>
      </c>
      <c r="G612" s="7">
        <v>5</v>
      </c>
      <c r="H612" s="5" t="s">
        <v>57</v>
      </c>
      <c r="I612" s="8" t="s">
        <v>58</v>
      </c>
      <c r="J612" s="6" t="s">
        <v>163</v>
      </c>
      <c r="K612" s="6" t="s">
        <v>277</v>
      </c>
      <c r="L612" s="6" t="s">
        <v>1307</v>
      </c>
      <c r="M612" s="6" t="s">
        <v>3145</v>
      </c>
      <c r="N612" s="5" t="s">
        <v>1034</v>
      </c>
      <c r="O612" s="5" t="s">
        <v>61</v>
      </c>
      <c r="P612" s="5" t="s">
        <v>3146</v>
      </c>
      <c r="Q612" s="9" t="s">
        <v>75</v>
      </c>
      <c r="R612" s="5" t="s">
        <v>132</v>
      </c>
      <c r="S612" s="5" t="s">
        <v>64</v>
      </c>
      <c r="T612" s="7">
        <v>2</v>
      </c>
      <c r="U612" s="7">
        <v>5</v>
      </c>
      <c r="V612" s="7">
        <v>8</v>
      </c>
      <c r="W612" s="5" t="s">
        <v>91</v>
      </c>
      <c r="X612" s="10" t="s">
        <v>79</v>
      </c>
      <c r="Y612" s="11">
        <v>29726.493749999998</v>
      </c>
      <c r="Z612" s="12">
        <v>117</v>
      </c>
      <c r="AA612" s="12">
        <v>12</v>
      </c>
      <c r="AB612" s="12">
        <v>14</v>
      </c>
      <c r="AC612" s="13">
        <v>25</v>
      </c>
      <c r="AD612" s="14">
        <f t="shared" si="20"/>
        <v>168</v>
      </c>
      <c r="AE612" s="15">
        <f t="shared" si="21"/>
        <v>0.14880952380952381</v>
      </c>
      <c r="AF612" s="16">
        <v>128000</v>
      </c>
      <c r="AG612" s="16">
        <v>128000</v>
      </c>
      <c r="AH612" s="17" t="s">
        <v>66</v>
      </c>
      <c r="AI612" s="18" t="s">
        <v>1308</v>
      </c>
      <c r="AJ612" s="19" t="s">
        <v>66</v>
      </c>
      <c r="AK612" s="20">
        <v>0.76</v>
      </c>
      <c r="AL612" s="17" t="s">
        <v>65</v>
      </c>
      <c r="AM612" s="5" t="s">
        <v>1309</v>
      </c>
      <c r="AN612" s="5" t="s">
        <v>66</v>
      </c>
      <c r="AO612" s="5" t="s">
        <v>66</v>
      </c>
      <c r="AP612" s="5" t="s">
        <v>66</v>
      </c>
      <c r="AQ612" s="5" t="s">
        <v>66</v>
      </c>
      <c r="AR612" s="5" t="s">
        <v>66</v>
      </c>
      <c r="AS612" s="5" t="s">
        <v>66</v>
      </c>
      <c r="AT612" s="5" t="s">
        <v>66</v>
      </c>
      <c r="AU612" s="5" t="s">
        <v>66</v>
      </c>
      <c r="AV612" s="5" t="s">
        <v>66</v>
      </c>
      <c r="AW612" s="5" t="s">
        <v>66</v>
      </c>
      <c r="AX612" s="5" t="s">
        <v>1302</v>
      </c>
      <c r="AY612" s="5" t="s">
        <v>65</v>
      </c>
      <c r="AZ612" s="5" t="s">
        <v>70</v>
      </c>
      <c r="BA612" s="19" t="s">
        <v>557</v>
      </c>
      <c r="BB612" s="17" t="s">
        <v>65</v>
      </c>
      <c r="BC612" s="5" t="s">
        <v>1302</v>
      </c>
      <c r="BD612" s="5" t="s">
        <v>1310</v>
      </c>
    </row>
    <row r="613" spans="1:56" ht="48" hidden="1" x14ac:dyDescent="0.25">
      <c r="A613" s="78" t="s">
        <v>1056</v>
      </c>
      <c r="B613" s="5" t="s">
        <v>1057</v>
      </c>
      <c r="C613" s="5" t="s">
        <v>3293</v>
      </c>
      <c r="D613" s="5" t="s">
        <v>448</v>
      </c>
      <c r="E613" s="99" t="str">
        <f>VLOOKUP(D613,'Dropdown List'!$F$26:$G$40,2,0)</f>
        <v>Philippines</v>
      </c>
      <c r="F613" s="6" t="s">
        <v>3135</v>
      </c>
      <c r="G613" s="7">
        <v>6.5</v>
      </c>
      <c r="H613" s="5" t="s">
        <v>57</v>
      </c>
      <c r="I613" s="8" t="s">
        <v>58</v>
      </c>
      <c r="J613" s="6" t="s">
        <v>163</v>
      </c>
      <c r="K613" s="6" t="s">
        <v>277</v>
      </c>
      <c r="L613" s="6" t="s">
        <v>1311</v>
      </c>
      <c r="M613" s="6" t="s">
        <v>3147</v>
      </c>
      <c r="N613" s="5" t="s">
        <v>1034</v>
      </c>
      <c r="O613" s="5" t="s">
        <v>61</v>
      </c>
      <c r="P613" s="5" t="s">
        <v>3137</v>
      </c>
      <c r="Q613" s="9" t="s">
        <v>75</v>
      </c>
      <c r="R613" s="5" t="s">
        <v>63</v>
      </c>
      <c r="S613" s="5" t="s">
        <v>64</v>
      </c>
      <c r="T613" s="7">
        <v>2</v>
      </c>
      <c r="U613" s="7">
        <v>14</v>
      </c>
      <c r="V613" s="7">
        <v>3</v>
      </c>
      <c r="W613" s="5" t="s">
        <v>91</v>
      </c>
      <c r="X613" s="10" t="s">
        <v>79</v>
      </c>
      <c r="Y613" s="11">
        <v>31218.75</v>
      </c>
      <c r="Z613" s="12">
        <v>3.15</v>
      </c>
      <c r="AA613" s="12">
        <v>1</v>
      </c>
      <c r="AB613" s="12">
        <v>1</v>
      </c>
      <c r="AC613" s="13">
        <v>3</v>
      </c>
      <c r="AD613" s="14">
        <f t="shared" si="20"/>
        <v>8.15</v>
      </c>
      <c r="AE613" s="15">
        <f t="shared" si="21"/>
        <v>0.36809815950920244</v>
      </c>
      <c r="AF613" s="16">
        <v>306</v>
      </c>
      <c r="AG613" s="16">
        <v>306</v>
      </c>
      <c r="AH613" s="17" t="s">
        <v>66</v>
      </c>
      <c r="AI613" s="18" t="s">
        <v>1308</v>
      </c>
      <c r="AJ613" s="19" t="s">
        <v>1312</v>
      </c>
      <c r="AK613" s="20" t="s">
        <v>1313</v>
      </c>
      <c r="AL613" s="17" t="s">
        <v>65</v>
      </c>
      <c r="AM613" s="5" t="s">
        <v>66</v>
      </c>
      <c r="AN613" s="5" t="s">
        <v>66</v>
      </c>
      <c r="AO613" s="5" t="s">
        <v>66</v>
      </c>
      <c r="AP613" s="5" t="s">
        <v>66</v>
      </c>
      <c r="AQ613" s="5" t="s">
        <v>66</v>
      </c>
      <c r="AR613" s="5" t="s">
        <v>66</v>
      </c>
      <c r="AS613" s="5" t="s">
        <v>66</v>
      </c>
      <c r="AT613" s="5" t="s">
        <v>66</v>
      </c>
      <c r="AU613" s="5" t="s">
        <v>66</v>
      </c>
      <c r="AV613" s="5" t="s">
        <v>66</v>
      </c>
      <c r="AW613" s="5" t="s">
        <v>66</v>
      </c>
      <c r="AX613" s="5" t="s">
        <v>1314</v>
      </c>
      <c r="AY613" s="5" t="s">
        <v>65</v>
      </c>
      <c r="AZ613" s="5" t="s">
        <v>80</v>
      </c>
      <c r="BA613" s="19" t="s">
        <v>769</v>
      </c>
      <c r="BB613" s="17" t="s">
        <v>65</v>
      </c>
      <c r="BC613" s="5" t="s">
        <v>1314</v>
      </c>
      <c r="BD613" s="5" t="s">
        <v>1315</v>
      </c>
    </row>
    <row r="614" spans="1:56" ht="84" hidden="1" x14ac:dyDescent="0.25">
      <c r="A614" s="78" t="s">
        <v>1056</v>
      </c>
      <c r="B614" s="5" t="s">
        <v>1057</v>
      </c>
      <c r="C614" s="5" t="s">
        <v>3293</v>
      </c>
      <c r="D614" s="5" t="s">
        <v>448</v>
      </c>
      <c r="E614" s="99" t="str">
        <f>VLOOKUP(D614,'Dropdown List'!$F$26:$G$40,2,0)</f>
        <v>Philippines</v>
      </c>
      <c r="F614" s="6" t="s">
        <v>3135</v>
      </c>
      <c r="G614" s="7">
        <v>5</v>
      </c>
      <c r="H614" s="5" t="s">
        <v>57</v>
      </c>
      <c r="I614" s="8" t="s">
        <v>58</v>
      </c>
      <c r="J614" s="6" t="s">
        <v>163</v>
      </c>
      <c r="K614" s="6" t="s">
        <v>277</v>
      </c>
      <c r="L614" s="6" t="s">
        <v>1316</v>
      </c>
      <c r="M614" s="6" t="s">
        <v>3148</v>
      </c>
      <c r="N614" s="5" t="s">
        <v>1034</v>
      </c>
      <c r="O614" s="5" t="s">
        <v>61</v>
      </c>
      <c r="P614" s="5" t="s">
        <v>3149</v>
      </c>
      <c r="Q614" s="9" t="s">
        <v>75</v>
      </c>
      <c r="R614" s="5" t="s">
        <v>132</v>
      </c>
      <c r="S614" s="5" t="s">
        <v>64</v>
      </c>
      <c r="T614" s="7">
        <v>1</v>
      </c>
      <c r="U614" s="7">
        <v>7</v>
      </c>
      <c r="V614" s="7">
        <v>10</v>
      </c>
      <c r="W614" s="5" t="s">
        <v>91</v>
      </c>
      <c r="X614" s="10" t="s">
        <v>79</v>
      </c>
      <c r="Y614" s="11">
        <v>29726.493749999998</v>
      </c>
      <c r="Z614" s="12">
        <v>15</v>
      </c>
      <c r="AA614" s="12">
        <v>4</v>
      </c>
      <c r="AB614" s="12">
        <v>2</v>
      </c>
      <c r="AC614" s="13">
        <v>6</v>
      </c>
      <c r="AD614" s="14">
        <f t="shared" si="20"/>
        <v>27</v>
      </c>
      <c r="AE614" s="15">
        <f t="shared" si="21"/>
        <v>0.22222222222222221</v>
      </c>
      <c r="AF614" s="16">
        <v>7000</v>
      </c>
      <c r="AG614" s="16">
        <v>7000</v>
      </c>
      <c r="AH614" s="17" t="s">
        <v>66</v>
      </c>
      <c r="AI614" s="18">
        <v>16</v>
      </c>
      <c r="AJ614" s="19" t="s">
        <v>66</v>
      </c>
      <c r="AK614" s="20">
        <v>0.76</v>
      </c>
      <c r="AL614" s="17" t="s">
        <v>65</v>
      </c>
      <c r="AM614" s="5" t="s">
        <v>1309</v>
      </c>
      <c r="AN614" s="5" t="s">
        <v>66</v>
      </c>
      <c r="AO614" s="5" t="s">
        <v>66</v>
      </c>
      <c r="AP614" s="5" t="s">
        <v>66</v>
      </c>
      <c r="AQ614" s="5" t="s">
        <v>66</v>
      </c>
      <c r="AR614" s="5" t="s">
        <v>66</v>
      </c>
      <c r="AS614" s="5" t="s">
        <v>66</v>
      </c>
      <c r="AT614" s="5" t="s">
        <v>66</v>
      </c>
      <c r="AU614" s="5" t="s">
        <v>66</v>
      </c>
      <c r="AV614" s="5" t="s">
        <v>66</v>
      </c>
      <c r="AW614" s="5" t="s">
        <v>66</v>
      </c>
      <c r="AX614" s="5" t="s">
        <v>1317</v>
      </c>
      <c r="AY614" s="5" t="s">
        <v>65</v>
      </c>
      <c r="AZ614" s="5" t="s">
        <v>70</v>
      </c>
      <c r="BA614" s="19" t="s">
        <v>1292</v>
      </c>
      <c r="BB614" s="17" t="s">
        <v>65</v>
      </c>
      <c r="BC614" s="5" t="s">
        <v>1317</v>
      </c>
      <c r="BD614" s="5" t="s">
        <v>1310</v>
      </c>
    </row>
    <row r="615" spans="1:56" ht="72" hidden="1" x14ac:dyDescent="0.25">
      <c r="A615" s="78" t="s">
        <v>1056</v>
      </c>
      <c r="B615" s="5" t="s">
        <v>1057</v>
      </c>
      <c r="C615" s="5" t="s">
        <v>3293</v>
      </c>
      <c r="D615" s="5" t="s">
        <v>448</v>
      </c>
      <c r="E615" s="99" t="str">
        <f>VLOOKUP(D615,'Dropdown List'!$F$26:$G$40,2,0)</f>
        <v>Philippines</v>
      </c>
      <c r="F615" s="6" t="s">
        <v>3135</v>
      </c>
      <c r="G615" s="7">
        <v>15</v>
      </c>
      <c r="H615" s="5" t="s">
        <v>57</v>
      </c>
      <c r="I615" s="8" t="s">
        <v>58</v>
      </c>
      <c r="J615" s="6" t="s">
        <v>881</v>
      </c>
      <c r="K615" s="6" t="s">
        <v>1318</v>
      </c>
      <c r="L615" s="6" t="s">
        <v>1318</v>
      </c>
      <c r="M615" s="6" t="s">
        <v>3150</v>
      </c>
      <c r="N615" s="5" t="s">
        <v>1034</v>
      </c>
      <c r="O615" s="5" t="s">
        <v>1069</v>
      </c>
      <c r="P615" s="5" t="s">
        <v>1069</v>
      </c>
      <c r="Q615" s="9" t="s">
        <v>75</v>
      </c>
      <c r="R615" s="5" t="s">
        <v>63</v>
      </c>
      <c r="S615" s="5" t="s">
        <v>90</v>
      </c>
      <c r="T615" s="7">
        <v>2</v>
      </c>
      <c r="U615" s="7">
        <v>4</v>
      </c>
      <c r="V615" s="7">
        <v>4</v>
      </c>
      <c r="W615" s="5" t="s">
        <v>91</v>
      </c>
      <c r="X615" s="10" t="s">
        <v>79</v>
      </c>
      <c r="Y615" s="11">
        <v>27469.702125</v>
      </c>
      <c r="Z615" s="12">
        <v>1.85</v>
      </c>
      <c r="AA615" s="12">
        <v>0</v>
      </c>
      <c r="AB615" s="12">
        <v>0</v>
      </c>
      <c r="AC615" s="13">
        <v>1</v>
      </c>
      <c r="AD615" s="14">
        <f t="shared" si="20"/>
        <v>2.85</v>
      </c>
      <c r="AE615" s="15">
        <f t="shared" si="21"/>
        <v>0.35087719298245612</v>
      </c>
      <c r="AF615" s="16">
        <v>680</v>
      </c>
      <c r="AG615" s="16">
        <v>680</v>
      </c>
      <c r="AH615" s="17" t="s">
        <v>66</v>
      </c>
      <c r="AI615" s="18" t="s">
        <v>1319</v>
      </c>
      <c r="AJ615" s="19">
        <v>0.95</v>
      </c>
      <c r="AK615" s="20">
        <v>0.95</v>
      </c>
      <c r="AL615" s="17" t="s">
        <v>65</v>
      </c>
      <c r="AM615" s="5" t="s">
        <v>66</v>
      </c>
      <c r="AN615" s="5" t="s">
        <v>66</v>
      </c>
      <c r="AO615" s="5" t="s">
        <v>66</v>
      </c>
      <c r="AP615" s="5" t="s">
        <v>66</v>
      </c>
      <c r="AQ615" s="5" t="s">
        <v>66</v>
      </c>
      <c r="AR615" s="5" t="s">
        <v>66</v>
      </c>
      <c r="AS615" s="5" t="s">
        <v>66</v>
      </c>
      <c r="AT615" s="5" t="s">
        <v>66</v>
      </c>
      <c r="AU615" s="5" t="s">
        <v>66</v>
      </c>
      <c r="AV615" s="5" t="s">
        <v>66</v>
      </c>
      <c r="AW615" s="5" t="s">
        <v>66</v>
      </c>
      <c r="AX615" s="5" t="s">
        <v>1320</v>
      </c>
      <c r="AY615" s="5" t="s">
        <v>65</v>
      </c>
      <c r="AZ615" s="5" t="s">
        <v>70</v>
      </c>
      <c r="BA615" s="19" t="s">
        <v>1292</v>
      </c>
      <c r="BB615" s="17" t="s">
        <v>65</v>
      </c>
      <c r="BC615" s="5" t="s">
        <v>1321</v>
      </c>
      <c r="BD615" s="5" t="s">
        <v>1322</v>
      </c>
    </row>
    <row r="616" spans="1:56" ht="36" hidden="1" x14ac:dyDescent="0.25">
      <c r="A616" s="78" t="s">
        <v>1056</v>
      </c>
      <c r="B616" s="5" t="s">
        <v>1057</v>
      </c>
      <c r="C616" s="5" t="s">
        <v>3293</v>
      </c>
      <c r="D616" s="5" t="s">
        <v>448</v>
      </c>
      <c r="E616" s="99" t="str">
        <f>VLOOKUP(D616,'Dropdown List'!$F$26:$G$40,2,0)</f>
        <v>Philippines</v>
      </c>
      <c r="F616" s="6" t="s">
        <v>3135</v>
      </c>
      <c r="G616" s="7">
        <v>15</v>
      </c>
      <c r="H616" s="5" t="s">
        <v>57</v>
      </c>
      <c r="I616" s="8" t="s">
        <v>58</v>
      </c>
      <c r="J616" s="6" t="s">
        <v>881</v>
      </c>
      <c r="K616" s="6" t="s">
        <v>1323</v>
      </c>
      <c r="L616" s="6" t="s">
        <v>1324</v>
      </c>
      <c r="M616" s="6" t="s">
        <v>3151</v>
      </c>
      <c r="N616" s="5" t="s">
        <v>1034</v>
      </c>
      <c r="O616" s="5" t="s">
        <v>1069</v>
      </c>
      <c r="P616" s="5" t="s">
        <v>1069</v>
      </c>
      <c r="Q616" s="9" t="s">
        <v>75</v>
      </c>
      <c r="R616" s="5" t="s">
        <v>63</v>
      </c>
      <c r="S616" s="5" t="s">
        <v>120</v>
      </c>
      <c r="T616" s="7">
        <v>2</v>
      </c>
      <c r="U616" s="7">
        <v>8</v>
      </c>
      <c r="V616" s="7">
        <v>4</v>
      </c>
      <c r="W616" s="5" t="s">
        <v>91</v>
      </c>
      <c r="X616" s="10" t="s">
        <v>79</v>
      </c>
      <c r="Y616" s="11">
        <v>31218.75</v>
      </c>
      <c r="Z616" s="12">
        <v>26.95</v>
      </c>
      <c r="AA616" s="12">
        <v>8</v>
      </c>
      <c r="AB616" s="12">
        <v>3</v>
      </c>
      <c r="AC616" s="13">
        <v>15</v>
      </c>
      <c r="AD616" s="14">
        <f t="shared" si="20"/>
        <v>52.95</v>
      </c>
      <c r="AE616" s="15">
        <f t="shared" si="21"/>
        <v>0.28328611898016998</v>
      </c>
      <c r="AF616" s="16">
        <v>4700</v>
      </c>
      <c r="AG616" s="16">
        <v>4700</v>
      </c>
      <c r="AH616" s="17" t="s">
        <v>66</v>
      </c>
      <c r="AI616" s="18">
        <v>42.38</v>
      </c>
      <c r="AJ616" s="19" t="s">
        <v>1325</v>
      </c>
      <c r="AK616" s="20">
        <v>0.96</v>
      </c>
      <c r="AL616" s="17" t="s">
        <v>65</v>
      </c>
      <c r="AM616" s="5" t="s">
        <v>66</v>
      </c>
      <c r="AN616" s="5" t="s">
        <v>66</v>
      </c>
      <c r="AO616" s="5" t="s">
        <v>66</v>
      </c>
      <c r="AP616" s="5" t="s">
        <v>66</v>
      </c>
      <c r="AQ616" s="5" t="s">
        <v>66</v>
      </c>
      <c r="AR616" s="5" t="s">
        <v>66</v>
      </c>
      <c r="AS616" s="5" t="s">
        <v>66</v>
      </c>
      <c r="AT616" s="5" t="s">
        <v>66</v>
      </c>
      <c r="AU616" s="5" t="s">
        <v>66</v>
      </c>
      <c r="AV616" s="5" t="s">
        <v>66</v>
      </c>
      <c r="AW616" s="5" t="s">
        <v>66</v>
      </c>
      <c r="AX616" s="5" t="s">
        <v>1320</v>
      </c>
      <c r="AY616" s="5" t="s">
        <v>65</v>
      </c>
      <c r="AZ616" s="5" t="s">
        <v>70</v>
      </c>
      <c r="BA616" s="19" t="s">
        <v>1292</v>
      </c>
      <c r="BB616" s="17" t="s">
        <v>65</v>
      </c>
      <c r="BC616" s="5" t="s">
        <v>1321</v>
      </c>
      <c r="BD616" s="5" t="s">
        <v>1326</v>
      </c>
    </row>
    <row r="617" spans="1:56" ht="24" hidden="1" x14ac:dyDescent="0.25">
      <c r="A617" s="78" t="s">
        <v>1056</v>
      </c>
      <c r="B617" s="5" t="s">
        <v>1057</v>
      </c>
      <c r="C617" s="5" t="s">
        <v>3293</v>
      </c>
      <c r="D617" s="5" t="s">
        <v>448</v>
      </c>
      <c r="E617" s="99" t="str">
        <f>VLOOKUP(D617,'Dropdown List'!$F$26:$G$40,2,0)</f>
        <v>Philippines</v>
      </c>
      <c r="F617" s="6" t="s">
        <v>3135</v>
      </c>
      <c r="G617" s="7">
        <v>15</v>
      </c>
      <c r="H617" s="5" t="s">
        <v>57</v>
      </c>
      <c r="I617" s="8" t="s">
        <v>58</v>
      </c>
      <c r="J617" s="6" t="s">
        <v>881</v>
      </c>
      <c r="K617" s="6" t="s">
        <v>1327</v>
      </c>
      <c r="L617" s="6" t="s">
        <v>1328</v>
      </c>
      <c r="M617" s="6" t="s">
        <v>3151</v>
      </c>
      <c r="N617" s="5" t="s">
        <v>1034</v>
      </c>
      <c r="O617" s="5" t="s">
        <v>1069</v>
      </c>
      <c r="P617" s="5" t="s">
        <v>1069</v>
      </c>
      <c r="Q617" s="9" t="s">
        <v>75</v>
      </c>
      <c r="R617" s="5" t="s">
        <v>63</v>
      </c>
      <c r="S617" s="5" t="s">
        <v>64</v>
      </c>
      <c r="T617" s="7">
        <v>2</v>
      </c>
      <c r="U617" s="7">
        <v>8</v>
      </c>
      <c r="V617" s="7">
        <v>4</v>
      </c>
      <c r="W617" s="5" t="s">
        <v>91</v>
      </c>
      <c r="X617" s="10" t="s">
        <v>79</v>
      </c>
      <c r="Y617" s="11">
        <v>29726.493749999998</v>
      </c>
      <c r="Z617" s="12">
        <v>4</v>
      </c>
      <c r="AA617" s="12">
        <v>1</v>
      </c>
      <c r="AB617" s="12">
        <v>1</v>
      </c>
      <c r="AC617" s="13">
        <v>4</v>
      </c>
      <c r="AD617" s="14">
        <f t="shared" si="20"/>
        <v>10</v>
      </c>
      <c r="AE617" s="15">
        <f t="shared" si="21"/>
        <v>0.4</v>
      </c>
      <c r="AF617" s="16">
        <v>8900</v>
      </c>
      <c r="AG617" s="16">
        <v>8900</v>
      </c>
      <c r="AH617" s="17" t="s">
        <v>66</v>
      </c>
      <c r="AI617" s="18">
        <v>4.38</v>
      </c>
      <c r="AJ617" s="19">
        <v>0.95</v>
      </c>
      <c r="AK617" s="20">
        <v>0.95</v>
      </c>
      <c r="AL617" s="17" t="s">
        <v>65</v>
      </c>
      <c r="AM617" s="5" t="s">
        <v>66</v>
      </c>
      <c r="AN617" s="5" t="s">
        <v>66</v>
      </c>
      <c r="AO617" s="5" t="s">
        <v>66</v>
      </c>
      <c r="AP617" s="5" t="s">
        <v>66</v>
      </c>
      <c r="AQ617" s="5" t="s">
        <v>66</v>
      </c>
      <c r="AR617" s="5" t="s">
        <v>66</v>
      </c>
      <c r="AS617" s="5" t="s">
        <v>66</v>
      </c>
      <c r="AT617" s="5" t="s">
        <v>66</v>
      </c>
      <c r="AU617" s="5" t="s">
        <v>66</v>
      </c>
      <c r="AV617" s="5" t="s">
        <v>66</v>
      </c>
      <c r="AW617" s="5" t="s">
        <v>66</v>
      </c>
      <c r="AX617" s="5" t="s">
        <v>1329</v>
      </c>
      <c r="AY617" s="5" t="s">
        <v>65</v>
      </c>
      <c r="AZ617" s="5" t="s">
        <v>70</v>
      </c>
      <c r="BA617" s="19" t="s">
        <v>1292</v>
      </c>
      <c r="BB617" s="17" t="s">
        <v>65</v>
      </c>
      <c r="BC617" s="5" t="s">
        <v>1321</v>
      </c>
      <c r="BD617" s="5" t="s">
        <v>1326</v>
      </c>
    </row>
    <row r="618" spans="1:56" ht="36" hidden="1" x14ac:dyDescent="0.25">
      <c r="A618" s="78" t="s">
        <v>1056</v>
      </c>
      <c r="B618" s="5" t="s">
        <v>1057</v>
      </c>
      <c r="C618" s="5" t="s">
        <v>3293</v>
      </c>
      <c r="D618" s="5" t="s">
        <v>448</v>
      </c>
      <c r="E618" s="99" t="str">
        <f>VLOOKUP(D618,'Dropdown List'!$F$26:$G$40,2,0)</f>
        <v>Philippines</v>
      </c>
      <c r="F618" s="6" t="s">
        <v>3135</v>
      </c>
      <c r="G618" s="7">
        <v>11</v>
      </c>
      <c r="H618" s="5" t="s">
        <v>57</v>
      </c>
      <c r="I618" s="8" t="s">
        <v>58</v>
      </c>
      <c r="J618" s="6" t="s">
        <v>881</v>
      </c>
      <c r="K618" s="6" t="s">
        <v>1055</v>
      </c>
      <c r="L618" s="6" t="s">
        <v>1330</v>
      </c>
      <c r="M618" s="6" t="s">
        <v>3152</v>
      </c>
      <c r="N618" s="5" t="s">
        <v>1034</v>
      </c>
      <c r="O618" s="5" t="s">
        <v>1069</v>
      </c>
      <c r="P618" s="5" t="s">
        <v>1069</v>
      </c>
      <c r="Q618" s="9" t="s">
        <v>75</v>
      </c>
      <c r="R618" s="5" t="s">
        <v>63</v>
      </c>
      <c r="S618" s="5" t="s">
        <v>64</v>
      </c>
      <c r="T618" s="7">
        <v>2</v>
      </c>
      <c r="U618" s="7">
        <v>6</v>
      </c>
      <c r="V618" s="7">
        <v>4</v>
      </c>
      <c r="W618" s="5" t="s">
        <v>91</v>
      </c>
      <c r="X618" s="10" t="s">
        <v>79</v>
      </c>
      <c r="Y618" s="11">
        <v>27469.702125</v>
      </c>
      <c r="Z618" s="12">
        <v>5</v>
      </c>
      <c r="AA618" s="12">
        <v>0</v>
      </c>
      <c r="AB618" s="12">
        <v>1</v>
      </c>
      <c r="AC618" s="13">
        <v>2</v>
      </c>
      <c r="AD618" s="14">
        <f t="shared" si="20"/>
        <v>8</v>
      </c>
      <c r="AE618" s="15">
        <f t="shared" si="21"/>
        <v>0.25</v>
      </c>
      <c r="AF618" s="16">
        <v>13400</v>
      </c>
      <c r="AG618" s="16">
        <v>13400</v>
      </c>
      <c r="AH618" s="17" t="s">
        <v>66</v>
      </c>
      <c r="AI618" s="18" t="s">
        <v>1331</v>
      </c>
      <c r="AJ618" s="19">
        <v>0.95</v>
      </c>
      <c r="AK618" s="20">
        <v>0.95</v>
      </c>
      <c r="AL618" s="17" t="s">
        <v>65</v>
      </c>
      <c r="AM618" s="5" t="s">
        <v>66</v>
      </c>
      <c r="AN618" s="5" t="s">
        <v>66</v>
      </c>
      <c r="AO618" s="5" t="s">
        <v>66</v>
      </c>
      <c r="AP618" s="5" t="s">
        <v>66</v>
      </c>
      <c r="AQ618" s="5" t="s">
        <v>66</v>
      </c>
      <c r="AR618" s="5" t="s">
        <v>66</v>
      </c>
      <c r="AS618" s="5" t="s">
        <v>66</v>
      </c>
      <c r="AT618" s="5" t="s">
        <v>66</v>
      </c>
      <c r="AU618" s="5" t="s">
        <v>66</v>
      </c>
      <c r="AV618" s="5" t="s">
        <v>66</v>
      </c>
      <c r="AW618" s="5" t="s">
        <v>66</v>
      </c>
      <c r="AX618" s="5" t="s">
        <v>1329</v>
      </c>
      <c r="AY618" s="5" t="s">
        <v>65</v>
      </c>
      <c r="AZ618" s="5" t="s">
        <v>70</v>
      </c>
      <c r="BA618" s="19" t="s">
        <v>1292</v>
      </c>
      <c r="BB618" s="17" t="s">
        <v>65</v>
      </c>
      <c r="BC618" s="5" t="s">
        <v>1321</v>
      </c>
      <c r="BD618" s="5" t="s">
        <v>1326</v>
      </c>
    </row>
    <row r="619" spans="1:56" ht="24" hidden="1" x14ac:dyDescent="0.25">
      <c r="A619" s="78" t="s">
        <v>1056</v>
      </c>
      <c r="B619" s="5" t="s">
        <v>1057</v>
      </c>
      <c r="C619" s="5" t="s">
        <v>3293</v>
      </c>
      <c r="D619" s="5" t="s">
        <v>448</v>
      </c>
      <c r="E619" s="99" t="str">
        <f>VLOOKUP(D619,'Dropdown List'!$F$26:$G$40,2,0)</f>
        <v>Philippines</v>
      </c>
      <c r="F619" s="6" t="s">
        <v>3135</v>
      </c>
      <c r="G619" s="7">
        <v>8</v>
      </c>
      <c r="H619" s="5" t="s">
        <v>57</v>
      </c>
      <c r="I619" s="8" t="s">
        <v>58</v>
      </c>
      <c r="J619" s="6" t="s">
        <v>881</v>
      </c>
      <c r="K619" s="6" t="s">
        <v>1327</v>
      </c>
      <c r="L619" s="6" t="s">
        <v>1332</v>
      </c>
      <c r="M619" s="6" t="s">
        <v>3153</v>
      </c>
      <c r="N619" s="5" t="s">
        <v>1034</v>
      </c>
      <c r="O619" s="5" t="s">
        <v>1069</v>
      </c>
      <c r="P619" s="5" t="s">
        <v>1069</v>
      </c>
      <c r="Q619" s="9" t="s">
        <v>75</v>
      </c>
      <c r="R619" s="5" t="s">
        <v>63</v>
      </c>
      <c r="S619" s="5" t="s">
        <v>64</v>
      </c>
      <c r="T619" s="7">
        <v>2</v>
      </c>
      <c r="U619" s="7">
        <v>6</v>
      </c>
      <c r="V619" s="7">
        <v>6</v>
      </c>
      <c r="W619" s="5" t="s">
        <v>91</v>
      </c>
      <c r="X619" s="10" t="s">
        <v>79</v>
      </c>
      <c r="Y619" s="11">
        <v>29726.493749999998</v>
      </c>
      <c r="Z619" s="12">
        <v>1.3</v>
      </c>
      <c r="AA619" s="12">
        <v>0</v>
      </c>
      <c r="AB619" s="12">
        <v>0</v>
      </c>
      <c r="AC619" s="13">
        <v>0.7</v>
      </c>
      <c r="AD619" s="14">
        <f t="shared" si="20"/>
        <v>2</v>
      </c>
      <c r="AE619" s="15">
        <f t="shared" si="21"/>
        <v>0.35</v>
      </c>
      <c r="AF619" s="16">
        <v>2200</v>
      </c>
      <c r="AG619" s="16">
        <v>2200</v>
      </c>
      <c r="AH619" s="17" t="s">
        <v>66</v>
      </c>
      <c r="AI619" s="18">
        <v>4.38</v>
      </c>
      <c r="AJ619" s="19" t="s">
        <v>1333</v>
      </c>
      <c r="AK619" s="20">
        <v>0.95</v>
      </c>
      <c r="AL619" s="17" t="s">
        <v>65</v>
      </c>
      <c r="AM619" s="5" t="s">
        <v>66</v>
      </c>
      <c r="AN619" s="5" t="s">
        <v>66</v>
      </c>
      <c r="AO619" s="5" t="s">
        <v>66</v>
      </c>
      <c r="AP619" s="5" t="s">
        <v>66</v>
      </c>
      <c r="AQ619" s="5" t="s">
        <v>66</v>
      </c>
      <c r="AR619" s="5" t="s">
        <v>66</v>
      </c>
      <c r="AS619" s="5" t="s">
        <v>66</v>
      </c>
      <c r="AT619" s="5" t="s">
        <v>66</v>
      </c>
      <c r="AU619" s="5" t="s">
        <v>66</v>
      </c>
      <c r="AV619" s="5" t="s">
        <v>66</v>
      </c>
      <c r="AW619" s="5" t="s">
        <v>66</v>
      </c>
      <c r="AX619" s="5" t="s">
        <v>1329</v>
      </c>
      <c r="AY619" s="5" t="s">
        <v>65</v>
      </c>
      <c r="AZ619" s="5" t="s">
        <v>70</v>
      </c>
      <c r="BA619" s="19" t="s">
        <v>1292</v>
      </c>
      <c r="BB619" s="17" t="s">
        <v>65</v>
      </c>
      <c r="BC619" s="5" t="s">
        <v>1321</v>
      </c>
      <c r="BD619" s="5" t="s">
        <v>1326</v>
      </c>
    </row>
    <row r="620" spans="1:56" ht="60" hidden="1" x14ac:dyDescent="0.25">
      <c r="A620" s="78" t="s">
        <v>1056</v>
      </c>
      <c r="B620" s="5" t="s">
        <v>1057</v>
      </c>
      <c r="C620" s="5" t="s">
        <v>3293</v>
      </c>
      <c r="D620" s="5" t="s">
        <v>448</v>
      </c>
      <c r="E620" s="99" t="str">
        <f>VLOOKUP(D620,'Dropdown List'!$F$26:$G$40,2,0)</f>
        <v>Philippines</v>
      </c>
      <c r="F620" s="6" t="s">
        <v>3135</v>
      </c>
      <c r="G620" s="7">
        <v>4</v>
      </c>
      <c r="H620" s="5" t="s">
        <v>57</v>
      </c>
      <c r="I620" s="8" t="s">
        <v>58</v>
      </c>
      <c r="J620" s="6" t="s">
        <v>881</v>
      </c>
      <c r="K620" s="6" t="s">
        <v>1334</v>
      </c>
      <c r="L620" s="6" t="s">
        <v>1335</v>
      </c>
      <c r="M620" s="6" t="s">
        <v>3154</v>
      </c>
      <c r="N620" s="5" t="s">
        <v>1034</v>
      </c>
      <c r="O620" s="5" t="s">
        <v>61</v>
      </c>
      <c r="P620" s="5" t="s">
        <v>3137</v>
      </c>
      <c r="Q620" s="9" t="s">
        <v>75</v>
      </c>
      <c r="R620" s="5" t="s">
        <v>76</v>
      </c>
      <c r="S620" s="5" t="s">
        <v>64</v>
      </c>
      <c r="T620" s="7">
        <v>1</v>
      </c>
      <c r="U620" s="7">
        <v>3</v>
      </c>
      <c r="V620" s="7">
        <v>3</v>
      </c>
      <c r="W620" s="5" t="s">
        <v>91</v>
      </c>
      <c r="X620" s="10" t="s">
        <v>79</v>
      </c>
      <c r="Y620" s="11">
        <v>27469.702125</v>
      </c>
      <c r="Z620" s="12">
        <v>5.5</v>
      </c>
      <c r="AA620" s="12">
        <v>1</v>
      </c>
      <c r="AB620" s="12">
        <v>1</v>
      </c>
      <c r="AC620" s="13">
        <v>2</v>
      </c>
      <c r="AD620" s="14">
        <f t="shared" si="20"/>
        <v>9.5</v>
      </c>
      <c r="AE620" s="15">
        <f t="shared" si="21"/>
        <v>0.21052631578947367</v>
      </c>
      <c r="AF620" s="16">
        <v>80000</v>
      </c>
      <c r="AG620" s="16">
        <v>80000</v>
      </c>
      <c r="AH620" s="17" t="s">
        <v>66</v>
      </c>
      <c r="AI620" s="18" t="s">
        <v>1308</v>
      </c>
      <c r="AJ620" s="19">
        <v>0.95</v>
      </c>
      <c r="AK620" s="20">
        <v>0.95</v>
      </c>
      <c r="AL620" s="17" t="s">
        <v>65</v>
      </c>
      <c r="AM620" s="5" t="s">
        <v>66</v>
      </c>
      <c r="AN620" s="5" t="s">
        <v>66</v>
      </c>
      <c r="AO620" s="5" t="s">
        <v>66</v>
      </c>
      <c r="AP620" s="5" t="s">
        <v>66</v>
      </c>
      <c r="AQ620" s="5" t="s">
        <v>66</v>
      </c>
      <c r="AR620" s="5" t="s">
        <v>66</v>
      </c>
      <c r="AS620" s="5" t="s">
        <v>66</v>
      </c>
      <c r="AT620" s="5" t="s">
        <v>66</v>
      </c>
      <c r="AU620" s="5" t="s">
        <v>66</v>
      </c>
      <c r="AV620" s="5" t="s">
        <v>66</v>
      </c>
      <c r="AW620" s="5" t="s">
        <v>66</v>
      </c>
      <c r="AX620" s="5" t="s">
        <v>1314</v>
      </c>
      <c r="AY620" s="5" t="s">
        <v>65</v>
      </c>
      <c r="AZ620" s="5" t="s">
        <v>70</v>
      </c>
      <c r="BA620" s="19" t="s">
        <v>1292</v>
      </c>
      <c r="BB620" s="17" t="s">
        <v>65</v>
      </c>
      <c r="BC620" s="5" t="s">
        <v>1336</v>
      </c>
      <c r="BD620" s="5" t="s">
        <v>1337</v>
      </c>
    </row>
    <row r="621" spans="1:56" ht="60" hidden="1" x14ac:dyDescent="0.25">
      <c r="A621" s="78" t="s">
        <v>1056</v>
      </c>
      <c r="B621" s="5" t="s">
        <v>1057</v>
      </c>
      <c r="C621" s="5" t="s">
        <v>3293</v>
      </c>
      <c r="D621" s="5" t="s">
        <v>448</v>
      </c>
      <c r="E621" s="99" t="str">
        <f>VLOOKUP(D621,'Dropdown List'!$F$26:$G$40,2,0)</f>
        <v>Philippines</v>
      </c>
      <c r="F621" s="6" t="s">
        <v>3135</v>
      </c>
      <c r="G621" s="7">
        <v>4</v>
      </c>
      <c r="H621" s="5" t="s">
        <v>57</v>
      </c>
      <c r="I621" s="8" t="s">
        <v>58</v>
      </c>
      <c r="J621" s="6" t="s">
        <v>881</v>
      </c>
      <c r="K621" s="6" t="s">
        <v>1327</v>
      </c>
      <c r="L621" s="6" t="s">
        <v>1338</v>
      </c>
      <c r="M621" s="6" t="s">
        <v>3155</v>
      </c>
      <c r="N621" s="5" t="s">
        <v>1034</v>
      </c>
      <c r="O621" s="5" t="s">
        <v>61</v>
      </c>
      <c r="P621" s="5" t="s">
        <v>3137</v>
      </c>
      <c r="Q621" s="9" t="s">
        <v>75</v>
      </c>
      <c r="R621" s="5" t="s">
        <v>76</v>
      </c>
      <c r="S621" s="5" t="s">
        <v>64</v>
      </c>
      <c r="T621" s="7">
        <v>1</v>
      </c>
      <c r="U621" s="7">
        <v>3</v>
      </c>
      <c r="V621" s="7">
        <v>3</v>
      </c>
      <c r="W621" s="5" t="s">
        <v>91</v>
      </c>
      <c r="X621" s="10" t="s">
        <v>79</v>
      </c>
      <c r="Y621" s="11">
        <v>27469.702125</v>
      </c>
      <c r="Z621" s="12">
        <v>3</v>
      </c>
      <c r="AA621" s="12">
        <v>0</v>
      </c>
      <c r="AB621" s="12">
        <v>0</v>
      </c>
      <c r="AC621" s="13">
        <v>2</v>
      </c>
      <c r="AD621" s="14">
        <f t="shared" si="20"/>
        <v>5</v>
      </c>
      <c r="AE621" s="15">
        <f t="shared" si="21"/>
        <v>0.4</v>
      </c>
      <c r="AF621" s="16">
        <v>19060</v>
      </c>
      <c r="AG621" s="16">
        <v>19060</v>
      </c>
      <c r="AH621" s="17" t="s">
        <v>66</v>
      </c>
      <c r="AI621" s="18" t="s">
        <v>1308</v>
      </c>
      <c r="AJ621" s="19">
        <v>0.95</v>
      </c>
      <c r="AK621" s="20">
        <v>0.95</v>
      </c>
      <c r="AL621" s="17" t="s">
        <v>65</v>
      </c>
      <c r="AM621" s="5" t="s">
        <v>66</v>
      </c>
      <c r="AN621" s="5" t="s">
        <v>66</v>
      </c>
      <c r="AO621" s="5" t="s">
        <v>66</v>
      </c>
      <c r="AP621" s="5" t="s">
        <v>66</v>
      </c>
      <c r="AQ621" s="5" t="s">
        <v>66</v>
      </c>
      <c r="AR621" s="5" t="s">
        <v>66</v>
      </c>
      <c r="AS621" s="5" t="s">
        <v>66</v>
      </c>
      <c r="AT621" s="5" t="s">
        <v>66</v>
      </c>
      <c r="AU621" s="5" t="s">
        <v>66</v>
      </c>
      <c r="AV621" s="5" t="s">
        <v>66</v>
      </c>
      <c r="AW621" s="5" t="s">
        <v>66</v>
      </c>
      <c r="AX621" s="5" t="s">
        <v>1339</v>
      </c>
      <c r="AY621" s="5" t="s">
        <v>65</v>
      </c>
      <c r="AZ621" s="5" t="s">
        <v>80</v>
      </c>
      <c r="BA621" s="19" t="s">
        <v>769</v>
      </c>
      <c r="BB621" s="17" t="s">
        <v>65</v>
      </c>
      <c r="BC621" s="5" t="s">
        <v>1339</v>
      </c>
      <c r="BD621" s="5" t="s">
        <v>1340</v>
      </c>
    </row>
    <row r="622" spans="1:56" ht="48" hidden="1" x14ac:dyDescent="0.25">
      <c r="A622" s="78" t="s">
        <v>1056</v>
      </c>
      <c r="B622" s="5" t="s">
        <v>1057</v>
      </c>
      <c r="C622" s="5" t="s">
        <v>3293</v>
      </c>
      <c r="D622" s="5" t="s">
        <v>448</v>
      </c>
      <c r="E622" s="99" t="str">
        <f>VLOOKUP(D622,'Dropdown List'!$F$26:$G$40,2,0)</f>
        <v>Philippines</v>
      </c>
      <c r="F622" s="6" t="s">
        <v>3135</v>
      </c>
      <c r="G622" s="7">
        <v>1.3</v>
      </c>
      <c r="H622" s="5" t="s">
        <v>57</v>
      </c>
      <c r="I622" s="8" t="s">
        <v>58</v>
      </c>
      <c r="J622" s="6" t="s">
        <v>146</v>
      </c>
      <c r="K622" s="6" t="s">
        <v>147</v>
      </c>
      <c r="L622" s="6" t="s">
        <v>1341</v>
      </c>
      <c r="M622" s="6" t="s">
        <v>3156</v>
      </c>
      <c r="N622" s="5" t="s">
        <v>1034</v>
      </c>
      <c r="O622" s="5" t="s">
        <v>61</v>
      </c>
      <c r="P622" s="5" t="s">
        <v>3146</v>
      </c>
      <c r="Q622" s="9" t="s">
        <v>75</v>
      </c>
      <c r="R622" s="5" t="s">
        <v>76</v>
      </c>
      <c r="S622" s="5" t="s">
        <v>64</v>
      </c>
      <c r="T622" s="7">
        <v>2</v>
      </c>
      <c r="U622" s="7">
        <v>3</v>
      </c>
      <c r="V622" s="7">
        <v>8</v>
      </c>
      <c r="W622" s="5" t="s">
        <v>91</v>
      </c>
      <c r="X622" s="10" t="s">
        <v>79</v>
      </c>
      <c r="Y622" s="11">
        <v>29726.493749999998</v>
      </c>
      <c r="Z622" s="12">
        <v>2.5</v>
      </c>
      <c r="AA622" s="12">
        <v>1</v>
      </c>
      <c r="AB622" s="12">
        <v>1</v>
      </c>
      <c r="AC622" s="13">
        <v>3</v>
      </c>
      <c r="AD622" s="14">
        <f t="shared" si="20"/>
        <v>7.5</v>
      </c>
      <c r="AE622" s="15">
        <f t="shared" si="21"/>
        <v>0.4</v>
      </c>
      <c r="AF622" s="16" t="s">
        <v>1308</v>
      </c>
      <c r="AG622" s="16" t="s">
        <v>1308</v>
      </c>
      <c r="AH622" s="17" t="s">
        <v>66</v>
      </c>
      <c r="AI622" s="18" t="s">
        <v>1308</v>
      </c>
      <c r="AJ622" s="19" t="s">
        <v>1308</v>
      </c>
      <c r="AK622" s="20">
        <v>0.98</v>
      </c>
      <c r="AL622" s="17" t="s">
        <v>65</v>
      </c>
      <c r="AM622" s="5" t="s">
        <v>1308</v>
      </c>
      <c r="AN622" s="5" t="s">
        <v>1308</v>
      </c>
      <c r="AO622" s="5" t="s">
        <v>66</v>
      </c>
      <c r="AP622" s="5" t="s">
        <v>66</v>
      </c>
      <c r="AQ622" s="5" t="s">
        <v>66</v>
      </c>
      <c r="AR622" s="5" t="s">
        <v>66</v>
      </c>
      <c r="AS622" s="5" t="s">
        <v>66</v>
      </c>
      <c r="AT622" s="5" t="s">
        <v>66</v>
      </c>
      <c r="AU622" s="5" t="s">
        <v>66</v>
      </c>
      <c r="AV622" s="5" t="s">
        <v>66</v>
      </c>
      <c r="AW622" s="5" t="s">
        <v>66</v>
      </c>
      <c r="AX622" s="5" t="s">
        <v>1342</v>
      </c>
      <c r="AY622" s="5" t="s">
        <v>673</v>
      </c>
      <c r="AZ622" s="5" t="s">
        <v>80</v>
      </c>
      <c r="BA622" s="19" t="s">
        <v>769</v>
      </c>
      <c r="BB622" s="17" t="s">
        <v>69</v>
      </c>
      <c r="BC622" s="5" t="s">
        <v>1343</v>
      </c>
      <c r="BD622" s="5" t="s">
        <v>1344</v>
      </c>
    </row>
    <row r="623" spans="1:56" ht="84" hidden="1" x14ac:dyDescent="0.25">
      <c r="A623" s="78" t="s">
        <v>1056</v>
      </c>
      <c r="B623" s="5" t="s">
        <v>1057</v>
      </c>
      <c r="C623" s="5" t="s">
        <v>3293</v>
      </c>
      <c r="D623" s="5" t="s">
        <v>448</v>
      </c>
      <c r="E623" s="99" t="str">
        <f>VLOOKUP(D623,'Dropdown List'!$F$26:$G$40,2,0)</f>
        <v>Philippines</v>
      </c>
      <c r="F623" s="6" t="s">
        <v>3135</v>
      </c>
      <c r="G623" s="7">
        <v>1.08</v>
      </c>
      <c r="H623" s="5" t="s">
        <v>85</v>
      </c>
      <c r="I623" s="8" t="s">
        <v>58</v>
      </c>
      <c r="J623" s="6" t="s">
        <v>146</v>
      </c>
      <c r="K623" s="6" t="s">
        <v>154</v>
      </c>
      <c r="L623" s="6" t="s">
        <v>1345</v>
      </c>
      <c r="M623" s="6" t="s">
        <v>3157</v>
      </c>
      <c r="N623" s="5" t="s">
        <v>319</v>
      </c>
      <c r="O623" s="5" t="s">
        <v>61</v>
      </c>
      <c r="P623" s="5" t="s">
        <v>3158</v>
      </c>
      <c r="Q623" s="9" t="s">
        <v>62</v>
      </c>
      <c r="R623" s="5" t="s">
        <v>132</v>
      </c>
      <c r="S623" s="5" t="s">
        <v>90</v>
      </c>
      <c r="T623" s="7">
        <v>2</v>
      </c>
      <c r="U623" s="7">
        <v>12</v>
      </c>
      <c r="V623" s="7">
        <v>16</v>
      </c>
      <c r="W623" s="5" t="s">
        <v>91</v>
      </c>
      <c r="X623" s="10" t="s">
        <v>79</v>
      </c>
      <c r="Y623" s="11">
        <v>0</v>
      </c>
      <c r="Z623" s="12">
        <v>0</v>
      </c>
      <c r="AA623" s="12">
        <v>0</v>
      </c>
      <c r="AB623" s="12">
        <v>0</v>
      </c>
      <c r="AC623" s="13">
        <v>0</v>
      </c>
      <c r="AD623" s="14">
        <f t="shared" si="20"/>
        <v>0</v>
      </c>
      <c r="AE623" s="15" t="e">
        <f t="shared" si="21"/>
        <v>#DIV/0!</v>
      </c>
      <c r="AF623" s="16">
        <v>0</v>
      </c>
      <c r="AG623" s="16">
        <v>0</v>
      </c>
      <c r="AH623" s="17" t="s">
        <v>66</v>
      </c>
      <c r="AI623" s="18" t="s">
        <v>66</v>
      </c>
      <c r="AJ623" s="19" t="s">
        <v>66</v>
      </c>
      <c r="AK623" s="20" t="s">
        <v>66</v>
      </c>
      <c r="AL623" s="17" t="s">
        <v>65</v>
      </c>
      <c r="AM623" s="5" t="s">
        <v>66</v>
      </c>
      <c r="AN623" s="5" t="s">
        <v>66</v>
      </c>
      <c r="AO623" s="5" t="s">
        <v>66</v>
      </c>
      <c r="AP623" s="5" t="s">
        <v>66</v>
      </c>
      <c r="AQ623" s="5" t="s">
        <v>66</v>
      </c>
      <c r="AR623" s="5" t="s">
        <v>66</v>
      </c>
      <c r="AS623" s="5" t="s">
        <v>66</v>
      </c>
      <c r="AT623" s="5" t="s">
        <v>66</v>
      </c>
      <c r="AU623" s="5" t="s">
        <v>66</v>
      </c>
      <c r="AV623" s="5" t="s">
        <v>66</v>
      </c>
      <c r="AW623" s="5" t="s">
        <v>66</v>
      </c>
      <c r="AX623" s="5" t="s">
        <v>66</v>
      </c>
      <c r="AY623" s="5" t="s">
        <v>66</v>
      </c>
      <c r="AZ623" s="5" t="s">
        <v>66</v>
      </c>
      <c r="BA623" s="19" t="s">
        <v>66</v>
      </c>
      <c r="BB623" s="17" t="s">
        <v>66</v>
      </c>
      <c r="BC623" s="5" t="s">
        <v>66</v>
      </c>
      <c r="BD623" s="5" t="s">
        <v>66</v>
      </c>
    </row>
    <row r="624" spans="1:56" ht="72" hidden="1" x14ac:dyDescent="0.25">
      <c r="A624" s="78" t="s">
        <v>1056</v>
      </c>
      <c r="B624" s="5" t="s">
        <v>1057</v>
      </c>
      <c r="C624" s="5" t="s">
        <v>3293</v>
      </c>
      <c r="D624" s="5" t="s">
        <v>448</v>
      </c>
      <c r="E624" s="99" t="str">
        <f>VLOOKUP(D624,'Dropdown List'!$F$26:$G$40,2,0)</f>
        <v>Philippines</v>
      </c>
      <c r="F624" s="6" t="s">
        <v>3135</v>
      </c>
      <c r="G624" s="7">
        <v>4</v>
      </c>
      <c r="H624" s="5" t="s">
        <v>57</v>
      </c>
      <c r="I624" s="8" t="s">
        <v>58</v>
      </c>
      <c r="J624" s="6" t="s">
        <v>163</v>
      </c>
      <c r="K624" s="6" t="s">
        <v>277</v>
      </c>
      <c r="L624" s="6" t="s">
        <v>1346</v>
      </c>
      <c r="M624" s="6" t="s">
        <v>3159</v>
      </c>
      <c r="N624" s="5" t="s">
        <v>1034</v>
      </c>
      <c r="O624" s="5" t="s">
        <v>61</v>
      </c>
      <c r="P624" s="5" t="s">
        <v>3160</v>
      </c>
      <c r="Q624" s="9" t="s">
        <v>75</v>
      </c>
      <c r="R624" s="5" t="s">
        <v>132</v>
      </c>
      <c r="S624" s="5" t="s">
        <v>120</v>
      </c>
      <c r="T624" s="7">
        <v>1</v>
      </c>
      <c r="U624" s="7">
        <v>9</v>
      </c>
      <c r="V624" s="7">
        <v>12</v>
      </c>
      <c r="W624" s="5" t="s">
        <v>91</v>
      </c>
      <c r="X624" s="10" t="s">
        <v>79</v>
      </c>
      <c r="Y624" s="11">
        <v>29726.493749999998</v>
      </c>
      <c r="Z624" s="12">
        <v>101</v>
      </c>
      <c r="AA624" s="12">
        <v>18</v>
      </c>
      <c r="AB624" s="12">
        <v>9</v>
      </c>
      <c r="AC624" s="13">
        <v>25</v>
      </c>
      <c r="AD624" s="14">
        <f t="shared" si="20"/>
        <v>153</v>
      </c>
      <c r="AE624" s="15">
        <f t="shared" si="21"/>
        <v>0.16339869281045752</v>
      </c>
      <c r="AF624" s="16">
        <v>420000</v>
      </c>
      <c r="AG624" s="16">
        <v>420000</v>
      </c>
      <c r="AH624" s="17" t="s">
        <v>66</v>
      </c>
      <c r="AI624" s="18" t="s">
        <v>1308</v>
      </c>
      <c r="AJ624" s="19" t="s">
        <v>1347</v>
      </c>
      <c r="AK624" s="20" t="s">
        <v>1348</v>
      </c>
      <c r="AL624" s="17" t="s">
        <v>92</v>
      </c>
      <c r="AM624" s="5" t="s">
        <v>1349</v>
      </c>
      <c r="AN624" s="5" t="s">
        <v>66</v>
      </c>
      <c r="AO624" s="5" t="s">
        <v>66</v>
      </c>
      <c r="AP624" s="5" t="s">
        <v>66</v>
      </c>
      <c r="AQ624" s="5" t="s">
        <v>66</v>
      </c>
      <c r="AR624" s="5" t="s">
        <v>66</v>
      </c>
      <c r="AS624" s="5" t="s">
        <v>66</v>
      </c>
      <c r="AT624" s="5" t="s">
        <v>66</v>
      </c>
      <c r="AU624" s="5" t="s">
        <v>66</v>
      </c>
      <c r="AV624" s="5" t="s">
        <v>66</v>
      </c>
      <c r="AW624" s="5" t="s">
        <v>66</v>
      </c>
      <c r="AX624" s="5" t="s">
        <v>1350</v>
      </c>
      <c r="AY624" s="5" t="s">
        <v>65</v>
      </c>
      <c r="AZ624" s="5" t="s">
        <v>70</v>
      </c>
      <c r="BA624" s="19" t="s">
        <v>769</v>
      </c>
      <c r="BB624" s="17" t="s">
        <v>65</v>
      </c>
      <c r="BC624" s="5" t="s">
        <v>1351</v>
      </c>
      <c r="BD624" s="5" t="s">
        <v>1310</v>
      </c>
    </row>
    <row r="625" spans="1:56" ht="84" hidden="1" x14ac:dyDescent="0.25">
      <c r="A625" s="78" t="s">
        <v>1056</v>
      </c>
      <c r="B625" s="5" t="s">
        <v>1057</v>
      </c>
      <c r="C625" s="5" t="s">
        <v>3293</v>
      </c>
      <c r="D625" s="5" t="s">
        <v>448</v>
      </c>
      <c r="E625" s="99" t="str">
        <f>VLOOKUP(D625,'Dropdown List'!$F$26:$G$40,2,0)</f>
        <v>Philippines</v>
      </c>
      <c r="F625" s="6" t="s">
        <v>3135</v>
      </c>
      <c r="G625" s="7">
        <v>1.08</v>
      </c>
      <c r="H625" s="5" t="s">
        <v>85</v>
      </c>
      <c r="I625" s="8" t="s">
        <v>58</v>
      </c>
      <c r="J625" s="6" t="s">
        <v>146</v>
      </c>
      <c r="K625" s="6" t="s">
        <v>154</v>
      </c>
      <c r="L625" s="6" t="s">
        <v>1345</v>
      </c>
      <c r="M625" s="6" t="s">
        <v>3157</v>
      </c>
      <c r="N625" s="5" t="s">
        <v>1034</v>
      </c>
      <c r="O625" s="5" t="s">
        <v>61</v>
      </c>
      <c r="P625" s="5" t="s">
        <v>3158</v>
      </c>
      <c r="Q625" s="9" t="s">
        <v>62</v>
      </c>
      <c r="R625" s="5" t="s">
        <v>132</v>
      </c>
      <c r="S625" s="5" t="s">
        <v>90</v>
      </c>
      <c r="T625" s="7">
        <v>2</v>
      </c>
      <c r="U625" s="7">
        <v>12</v>
      </c>
      <c r="V625" s="7">
        <v>16</v>
      </c>
      <c r="W625" s="5" t="s">
        <v>91</v>
      </c>
      <c r="X625" s="10" t="s">
        <v>79</v>
      </c>
      <c r="Y625" s="11">
        <v>0</v>
      </c>
      <c r="Z625" s="12">
        <v>0</v>
      </c>
      <c r="AA625" s="12">
        <v>0</v>
      </c>
      <c r="AB625" s="12">
        <v>0</v>
      </c>
      <c r="AC625" s="13">
        <v>0</v>
      </c>
      <c r="AD625" s="14">
        <f t="shared" si="20"/>
        <v>0</v>
      </c>
      <c r="AE625" s="15" t="e">
        <f t="shared" si="21"/>
        <v>#DIV/0!</v>
      </c>
      <c r="AF625" s="16">
        <v>0</v>
      </c>
      <c r="AG625" s="16">
        <v>0</v>
      </c>
      <c r="AH625" s="17" t="s">
        <v>66</v>
      </c>
      <c r="AI625" s="18" t="s">
        <v>66</v>
      </c>
      <c r="AJ625" s="19" t="s">
        <v>66</v>
      </c>
      <c r="AK625" s="20" t="s">
        <v>66</v>
      </c>
      <c r="AL625" s="17" t="s">
        <v>65</v>
      </c>
      <c r="AM625" s="5" t="s">
        <v>66</v>
      </c>
      <c r="AN625" s="5" t="s">
        <v>66</v>
      </c>
      <c r="AO625" s="5" t="s">
        <v>66</v>
      </c>
      <c r="AP625" s="5" t="s">
        <v>66</v>
      </c>
      <c r="AQ625" s="5" t="s">
        <v>66</v>
      </c>
      <c r="AR625" s="5" t="s">
        <v>66</v>
      </c>
      <c r="AS625" s="5" t="s">
        <v>66</v>
      </c>
      <c r="AT625" s="5" t="s">
        <v>66</v>
      </c>
      <c r="AU625" s="5" t="s">
        <v>66</v>
      </c>
      <c r="AV625" s="5" t="s">
        <v>66</v>
      </c>
      <c r="AW625" s="5" t="s">
        <v>66</v>
      </c>
      <c r="AX625" s="5" t="s">
        <v>66</v>
      </c>
      <c r="AY625" s="5" t="s">
        <v>66</v>
      </c>
      <c r="AZ625" s="5" t="s">
        <v>66</v>
      </c>
      <c r="BA625" s="19" t="s">
        <v>66</v>
      </c>
      <c r="BB625" s="17" t="s">
        <v>66</v>
      </c>
      <c r="BC625" s="5" t="s">
        <v>66</v>
      </c>
      <c r="BD625" s="5" t="s">
        <v>66</v>
      </c>
    </row>
    <row r="626" spans="1:56" ht="60" hidden="1" x14ac:dyDescent="0.25">
      <c r="A626" s="78" t="s">
        <v>1056</v>
      </c>
      <c r="B626" s="5" t="s">
        <v>1057</v>
      </c>
      <c r="C626" s="5" t="s">
        <v>3293</v>
      </c>
      <c r="D626" s="5" t="s">
        <v>252</v>
      </c>
      <c r="E626" s="99" t="str">
        <f>VLOOKUP(D626,'Dropdown List'!$F$26:$G$40,2,0)</f>
        <v>India</v>
      </c>
      <c r="F626" s="6" t="s">
        <v>1058</v>
      </c>
      <c r="G626" s="7">
        <v>12</v>
      </c>
      <c r="H626" s="5" t="s">
        <v>57</v>
      </c>
      <c r="I626" s="8" t="s">
        <v>58</v>
      </c>
      <c r="J626" s="6" t="s">
        <v>396</v>
      </c>
      <c r="K626" s="6" t="s">
        <v>397</v>
      </c>
      <c r="L626" s="6" t="s">
        <v>1059</v>
      </c>
      <c r="M626" s="6" t="s">
        <v>1060</v>
      </c>
      <c r="N626" s="5" t="s">
        <v>1034</v>
      </c>
      <c r="O626" s="5" t="s">
        <v>1069</v>
      </c>
      <c r="P626" s="5" t="s">
        <v>1069</v>
      </c>
      <c r="Q626" s="9" t="s">
        <v>75</v>
      </c>
      <c r="R626" s="5" t="s">
        <v>76</v>
      </c>
      <c r="S626" s="5" t="s">
        <v>64</v>
      </c>
      <c r="T626" s="7">
        <v>2</v>
      </c>
      <c r="U626" s="7">
        <v>4</v>
      </c>
      <c r="V626" s="7">
        <v>4</v>
      </c>
      <c r="W626" s="5" t="s">
        <v>91</v>
      </c>
      <c r="X626" s="10" t="s">
        <v>79</v>
      </c>
      <c r="Y626" s="11">
        <v>20485.54</v>
      </c>
      <c r="Z626" s="12">
        <v>2.96</v>
      </c>
      <c r="AA626" s="12">
        <v>0</v>
      </c>
      <c r="AB626" s="12">
        <v>0</v>
      </c>
      <c r="AC626" s="13">
        <v>0.28800000000000003</v>
      </c>
      <c r="AD626" s="14">
        <f t="shared" si="20"/>
        <v>3.2480000000000002</v>
      </c>
      <c r="AE626" s="15">
        <f t="shared" si="21"/>
        <v>8.8669950738916259E-2</v>
      </c>
      <c r="AF626" s="16">
        <v>3100</v>
      </c>
      <c r="AG626" s="16" t="s">
        <v>3378</v>
      </c>
      <c r="AH626" s="17" t="s">
        <v>66</v>
      </c>
      <c r="AI626" s="18">
        <v>7.53</v>
      </c>
      <c r="AJ626" s="19" t="s">
        <v>1061</v>
      </c>
      <c r="AK626" s="20">
        <v>0.95</v>
      </c>
      <c r="AL626" s="17" t="s">
        <v>92</v>
      </c>
      <c r="AM626" s="5" t="s">
        <v>66</v>
      </c>
      <c r="AN626" s="5" t="s">
        <v>66</v>
      </c>
      <c r="AO626" s="5" t="s">
        <v>66</v>
      </c>
      <c r="AP626" s="5" t="s">
        <v>66</v>
      </c>
      <c r="AQ626" s="5" t="s">
        <v>66</v>
      </c>
      <c r="AR626" s="5" t="s">
        <v>66</v>
      </c>
      <c r="AS626" s="5" t="s">
        <v>66</v>
      </c>
      <c r="AT626" s="5" t="s">
        <v>66</v>
      </c>
      <c r="AU626" s="5" t="s">
        <v>66</v>
      </c>
      <c r="AV626" s="5" t="s">
        <v>66</v>
      </c>
      <c r="AW626" s="5" t="s">
        <v>66</v>
      </c>
      <c r="AX626" s="5" t="s">
        <v>1062</v>
      </c>
      <c r="AY626" s="5" t="s">
        <v>936</v>
      </c>
      <c r="AZ626" s="5" t="s">
        <v>80</v>
      </c>
      <c r="BA626" s="19" t="s">
        <v>1063</v>
      </c>
      <c r="BB626" s="17" t="s">
        <v>69</v>
      </c>
      <c r="BC626" s="5" t="s">
        <v>1064</v>
      </c>
      <c r="BD626" s="5" t="s">
        <v>1065</v>
      </c>
    </row>
    <row r="627" spans="1:56" ht="60" hidden="1" x14ac:dyDescent="0.25">
      <c r="A627" s="78" t="s">
        <v>1056</v>
      </c>
      <c r="B627" s="5" t="s">
        <v>1057</v>
      </c>
      <c r="C627" s="5" t="s">
        <v>3293</v>
      </c>
      <c r="D627" s="5" t="s">
        <v>252</v>
      </c>
      <c r="E627" s="99" t="str">
        <f>VLOOKUP(D627,'Dropdown List'!$F$26:$G$40,2,0)</f>
        <v>India</v>
      </c>
      <c r="F627" s="6" t="s">
        <v>1058</v>
      </c>
      <c r="G627" s="7">
        <v>12</v>
      </c>
      <c r="H627" s="5" t="s">
        <v>57</v>
      </c>
      <c r="I627" s="8" t="s">
        <v>58</v>
      </c>
      <c r="J627" s="6" t="s">
        <v>396</v>
      </c>
      <c r="K627" s="6" t="s">
        <v>397</v>
      </c>
      <c r="L627" s="6" t="s">
        <v>3379</v>
      </c>
      <c r="M627" s="6" t="s">
        <v>1060</v>
      </c>
      <c r="N627" s="5" t="s">
        <v>1034</v>
      </c>
      <c r="O627" s="5" t="s">
        <v>89</v>
      </c>
      <c r="P627" s="5" t="s">
        <v>89</v>
      </c>
      <c r="Q627" s="9" t="s">
        <v>75</v>
      </c>
      <c r="R627" s="5" t="s">
        <v>76</v>
      </c>
      <c r="S627" s="5" t="s">
        <v>64</v>
      </c>
      <c r="T627" s="7">
        <v>2</v>
      </c>
      <c r="U627" s="7">
        <v>4</v>
      </c>
      <c r="V627" s="7">
        <v>4</v>
      </c>
      <c r="W627" s="5" t="s">
        <v>91</v>
      </c>
      <c r="X627" s="10" t="s">
        <v>79</v>
      </c>
      <c r="Y627" s="11">
        <v>20485.54</v>
      </c>
      <c r="Z627" s="12">
        <v>1.1399999999999999</v>
      </c>
      <c r="AA627" s="12">
        <v>0</v>
      </c>
      <c r="AB627" s="12">
        <v>0</v>
      </c>
      <c r="AC627" s="13">
        <v>0.108</v>
      </c>
      <c r="AD627" s="14">
        <f t="shared" si="20"/>
        <v>1.248</v>
      </c>
      <c r="AE627" s="15">
        <f t="shared" si="21"/>
        <v>8.6538461538461536E-2</v>
      </c>
      <c r="AF627" s="16">
        <v>1200</v>
      </c>
      <c r="AG627" s="16" t="s">
        <v>3380</v>
      </c>
      <c r="AH627" s="17" t="s">
        <v>66</v>
      </c>
      <c r="AI627" s="18">
        <v>7.53</v>
      </c>
      <c r="AJ627" s="19" t="s">
        <v>1061</v>
      </c>
      <c r="AK627" s="20">
        <v>0.95</v>
      </c>
      <c r="AL627" s="17" t="s">
        <v>92</v>
      </c>
      <c r="AM627" s="5" t="s">
        <v>66</v>
      </c>
      <c r="AN627" s="5" t="s">
        <v>66</v>
      </c>
      <c r="AO627" s="5" t="s">
        <v>66</v>
      </c>
      <c r="AP627" s="5" t="s">
        <v>66</v>
      </c>
      <c r="AQ627" s="5" t="s">
        <v>66</v>
      </c>
      <c r="AR627" s="5" t="s">
        <v>66</v>
      </c>
      <c r="AS627" s="5" t="s">
        <v>66</v>
      </c>
      <c r="AT627" s="5" t="s">
        <v>66</v>
      </c>
      <c r="AU627" s="5" t="s">
        <v>66</v>
      </c>
      <c r="AV627" s="5" t="s">
        <v>66</v>
      </c>
      <c r="AW627" s="5" t="s">
        <v>66</v>
      </c>
      <c r="AX627" s="5" t="s">
        <v>1062</v>
      </c>
      <c r="AY627" s="5" t="s">
        <v>936</v>
      </c>
      <c r="AZ627" s="5" t="s">
        <v>80</v>
      </c>
      <c r="BA627" s="19" t="s">
        <v>1063</v>
      </c>
      <c r="BB627" s="17" t="s">
        <v>69</v>
      </c>
      <c r="BC627" s="5" t="s">
        <v>1064</v>
      </c>
      <c r="BD627" s="5" t="s">
        <v>1065</v>
      </c>
    </row>
    <row r="628" spans="1:56" ht="60" hidden="1" x14ac:dyDescent="0.25">
      <c r="A628" s="78" t="s">
        <v>1056</v>
      </c>
      <c r="B628" s="5" t="s">
        <v>1057</v>
      </c>
      <c r="C628" s="5" t="s">
        <v>3293</v>
      </c>
      <c r="D628" s="5" t="s">
        <v>252</v>
      </c>
      <c r="E628" s="99" t="str">
        <f>VLOOKUP(D628,'Dropdown List'!$F$26:$G$40,2,0)</f>
        <v>India</v>
      </c>
      <c r="F628" s="6" t="s">
        <v>1058</v>
      </c>
      <c r="G628" s="7">
        <v>12</v>
      </c>
      <c r="H628" s="5" t="s">
        <v>57</v>
      </c>
      <c r="I628" s="8" t="s">
        <v>58</v>
      </c>
      <c r="J628" s="6" t="s">
        <v>396</v>
      </c>
      <c r="K628" s="6" t="s">
        <v>397</v>
      </c>
      <c r="L628" s="6" t="s">
        <v>3381</v>
      </c>
      <c r="M628" s="6" t="s">
        <v>1060</v>
      </c>
      <c r="N628" s="5" t="s">
        <v>1034</v>
      </c>
      <c r="O628" s="5" t="s">
        <v>74</v>
      </c>
      <c r="P628" s="5" t="s">
        <v>74</v>
      </c>
      <c r="Q628" s="9" t="s">
        <v>75</v>
      </c>
      <c r="R628" s="5" t="s">
        <v>76</v>
      </c>
      <c r="S628" s="5" t="s">
        <v>64</v>
      </c>
      <c r="T628" s="7">
        <v>2</v>
      </c>
      <c r="U628" s="7">
        <v>4</v>
      </c>
      <c r="V628" s="7">
        <v>4</v>
      </c>
      <c r="W628" s="5" t="s">
        <v>91</v>
      </c>
      <c r="X628" s="10" t="s">
        <v>79</v>
      </c>
      <c r="Y628" s="11">
        <v>20485.54</v>
      </c>
      <c r="Z628" s="12">
        <v>0.45</v>
      </c>
      <c r="AA628" s="12">
        <v>0</v>
      </c>
      <c r="AB628" s="12">
        <v>0</v>
      </c>
      <c r="AC628" s="13">
        <v>4.9500000000000002E-2</v>
      </c>
      <c r="AD628" s="14">
        <f t="shared" si="20"/>
        <v>0.4995</v>
      </c>
      <c r="AE628" s="15">
        <f t="shared" si="21"/>
        <v>9.90990990990991E-2</v>
      </c>
      <c r="AF628" s="16">
        <v>540</v>
      </c>
      <c r="AG628" s="16" t="s">
        <v>3382</v>
      </c>
      <c r="AH628" s="17" t="s">
        <v>66</v>
      </c>
      <c r="AI628" s="18">
        <v>7.53</v>
      </c>
      <c r="AJ628" s="19" t="s">
        <v>1061</v>
      </c>
      <c r="AK628" s="20">
        <v>0.95</v>
      </c>
      <c r="AL628" s="17" t="s">
        <v>92</v>
      </c>
      <c r="AM628" s="5" t="s">
        <v>66</v>
      </c>
      <c r="AN628" s="5" t="s">
        <v>66</v>
      </c>
      <c r="AO628" s="5" t="s">
        <v>66</v>
      </c>
      <c r="AP628" s="5" t="s">
        <v>66</v>
      </c>
      <c r="AQ628" s="5" t="s">
        <v>66</v>
      </c>
      <c r="AR628" s="5" t="s">
        <v>66</v>
      </c>
      <c r="AS628" s="5" t="s">
        <v>66</v>
      </c>
      <c r="AT628" s="5" t="s">
        <v>66</v>
      </c>
      <c r="AU628" s="5" t="s">
        <v>66</v>
      </c>
      <c r="AV628" s="5" t="s">
        <v>66</v>
      </c>
      <c r="AW628" s="5" t="s">
        <v>66</v>
      </c>
      <c r="AX628" s="5" t="s">
        <v>1062</v>
      </c>
      <c r="AY628" s="5" t="s">
        <v>936</v>
      </c>
      <c r="AZ628" s="5" t="s">
        <v>80</v>
      </c>
      <c r="BA628" s="19" t="s">
        <v>1063</v>
      </c>
      <c r="BB628" s="17" t="s">
        <v>69</v>
      </c>
      <c r="BC628" s="5" t="s">
        <v>1064</v>
      </c>
      <c r="BD628" s="5" t="s">
        <v>1065</v>
      </c>
    </row>
    <row r="629" spans="1:56" ht="72" hidden="1" x14ac:dyDescent="0.25">
      <c r="A629" s="78" t="s">
        <v>1056</v>
      </c>
      <c r="B629" s="5" t="s">
        <v>1057</v>
      </c>
      <c r="C629" s="5" t="s">
        <v>3293</v>
      </c>
      <c r="D629" s="5" t="s">
        <v>252</v>
      </c>
      <c r="E629" s="99" t="str">
        <f>VLOOKUP(D629,'Dropdown List'!$F$26:$G$40,2,0)</f>
        <v>India</v>
      </c>
      <c r="F629" s="6" t="s">
        <v>1058</v>
      </c>
      <c r="G629" s="7">
        <v>16</v>
      </c>
      <c r="H629" s="5" t="s">
        <v>57</v>
      </c>
      <c r="I629" s="8" t="s">
        <v>58</v>
      </c>
      <c r="J629" s="6" t="s">
        <v>146</v>
      </c>
      <c r="K629" s="6" t="s">
        <v>2248</v>
      </c>
      <c r="L629" s="6" t="s">
        <v>1067</v>
      </c>
      <c r="M629" s="6" t="s">
        <v>1068</v>
      </c>
      <c r="N629" s="5" t="s">
        <v>1034</v>
      </c>
      <c r="O629" s="5" t="s">
        <v>1069</v>
      </c>
      <c r="P629" s="5" t="s">
        <v>1069</v>
      </c>
      <c r="Q629" s="9" t="s">
        <v>75</v>
      </c>
      <c r="R629" s="5" t="s">
        <v>76</v>
      </c>
      <c r="S629" s="5" t="s">
        <v>90</v>
      </c>
      <c r="T629" s="7">
        <v>2</v>
      </c>
      <c r="U629" s="7">
        <v>4</v>
      </c>
      <c r="V629" s="7">
        <v>8</v>
      </c>
      <c r="W629" s="5" t="s">
        <v>91</v>
      </c>
      <c r="X629" s="10" t="s">
        <v>79</v>
      </c>
      <c r="Y629" s="11">
        <v>20485.54</v>
      </c>
      <c r="Z629" s="12">
        <v>3.82</v>
      </c>
      <c r="AA629" s="12">
        <v>0</v>
      </c>
      <c r="AB629" s="12">
        <v>0</v>
      </c>
      <c r="AC629" s="13">
        <v>1.1800000000000002</v>
      </c>
      <c r="AD629" s="14">
        <f t="shared" si="20"/>
        <v>5</v>
      </c>
      <c r="AE629" s="15">
        <f t="shared" si="21"/>
        <v>0.23600000000000004</v>
      </c>
      <c r="AF629" s="16">
        <v>5189</v>
      </c>
      <c r="AG629" s="16" t="s">
        <v>66</v>
      </c>
      <c r="AH629" s="17" t="s">
        <v>66</v>
      </c>
      <c r="AI629" s="18">
        <v>6.55</v>
      </c>
      <c r="AJ629" s="19" t="s">
        <v>1070</v>
      </c>
      <c r="AK629" s="20">
        <v>0.95</v>
      </c>
      <c r="AL629" s="17" t="s">
        <v>92</v>
      </c>
      <c r="AM629" s="5" t="s">
        <v>66</v>
      </c>
      <c r="AN629" s="5" t="s">
        <v>66</v>
      </c>
      <c r="AO629" s="5" t="s">
        <v>66</v>
      </c>
      <c r="AP629" s="5" t="s">
        <v>66</v>
      </c>
      <c r="AQ629" s="5" t="s">
        <v>66</v>
      </c>
      <c r="AR629" s="5" t="s">
        <v>66</v>
      </c>
      <c r="AS629" s="5" t="s">
        <v>66</v>
      </c>
      <c r="AT629" s="5" t="s">
        <v>66</v>
      </c>
      <c r="AU629" s="5" t="s">
        <v>66</v>
      </c>
      <c r="AV629" s="5" t="s">
        <v>66</v>
      </c>
      <c r="AW629" s="5" t="s">
        <v>66</v>
      </c>
      <c r="AX629" s="5" t="s">
        <v>1071</v>
      </c>
      <c r="AY629" s="5" t="s">
        <v>673</v>
      </c>
      <c r="AZ629" s="5" t="s">
        <v>80</v>
      </c>
      <c r="BA629" s="19" t="s">
        <v>769</v>
      </c>
      <c r="BB629" s="17" t="s">
        <v>69</v>
      </c>
      <c r="BC629" s="5" t="s">
        <v>1072</v>
      </c>
      <c r="BD629" s="5" t="s">
        <v>1073</v>
      </c>
    </row>
    <row r="630" spans="1:56" ht="24" hidden="1" x14ac:dyDescent="0.25">
      <c r="A630" s="78" t="s">
        <v>1056</v>
      </c>
      <c r="B630" s="5" t="s">
        <v>1057</v>
      </c>
      <c r="C630" s="5" t="s">
        <v>3293</v>
      </c>
      <c r="D630" s="5" t="s">
        <v>252</v>
      </c>
      <c r="E630" s="99" t="str">
        <f>VLOOKUP(D630,'Dropdown List'!$F$26:$G$40,2,0)</f>
        <v>India</v>
      </c>
      <c r="F630" s="6" t="s">
        <v>1058</v>
      </c>
      <c r="G630" s="7">
        <v>16</v>
      </c>
      <c r="H630" s="5" t="s">
        <v>57</v>
      </c>
      <c r="I630" s="8" t="s">
        <v>58</v>
      </c>
      <c r="J630" s="6" t="s">
        <v>396</v>
      </c>
      <c r="K630" s="6" t="s">
        <v>2160</v>
      </c>
      <c r="L630" s="6" t="s">
        <v>1074</v>
      </c>
      <c r="M630" s="6" t="s">
        <v>1075</v>
      </c>
      <c r="N630" s="5" t="s">
        <v>1034</v>
      </c>
      <c r="O630" s="5" t="s">
        <v>1069</v>
      </c>
      <c r="P630" s="5" t="s">
        <v>1069</v>
      </c>
      <c r="Q630" s="9" t="s">
        <v>75</v>
      </c>
      <c r="R630" s="5" t="s">
        <v>76</v>
      </c>
      <c r="S630" s="5" t="s">
        <v>64</v>
      </c>
      <c r="T630" s="7">
        <v>2</v>
      </c>
      <c r="U630" s="7">
        <v>4</v>
      </c>
      <c r="V630" s="7">
        <v>8</v>
      </c>
      <c r="W630" s="5" t="s">
        <v>91</v>
      </c>
      <c r="X630" s="10" t="s">
        <v>79</v>
      </c>
      <c r="Y630" s="11">
        <v>20485.54</v>
      </c>
      <c r="Z630" s="12">
        <v>6.16</v>
      </c>
      <c r="AA630" s="12">
        <v>2</v>
      </c>
      <c r="AB630" s="12">
        <v>1</v>
      </c>
      <c r="AC630" s="13">
        <v>0.83999999999999986</v>
      </c>
      <c r="AD630" s="14">
        <f t="shared" si="20"/>
        <v>10</v>
      </c>
      <c r="AE630" s="15">
        <f t="shared" si="21"/>
        <v>8.3999999999999991E-2</v>
      </c>
      <c r="AF630" s="16">
        <v>14646</v>
      </c>
      <c r="AG630" s="16" t="s">
        <v>66</v>
      </c>
      <c r="AH630" s="17" t="s">
        <v>66</v>
      </c>
      <c r="AI630" s="18" t="s">
        <v>2945</v>
      </c>
      <c r="AJ630" s="19" t="s">
        <v>1076</v>
      </c>
      <c r="AK630" s="20">
        <v>0.95</v>
      </c>
      <c r="AL630" s="17" t="s">
        <v>92</v>
      </c>
      <c r="AM630" s="5" t="s">
        <v>66</v>
      </c>
      <c r="AN630" s="5" t="s">
        <v>66</v>
      </c>
      <c r="AO630" s="5" t="s">
        <v>66</v>
      </c>
      <c r="AP630" s="5" t="s">
        <v>66</v>
      </c>
      <c r="AQ630" s="5" t="s">
        <v>66</v>
      </c>
      <c r="AR630" s="5" t="s">
        <v>66</v>
      </c>
      <c r="AS630" s="5" t="s">
        <v>66</v>
      </c>
      <c r="AT630" s="5" t="s">
        <v>66</v>
      </c>
      <c r="AU630" s="5" t="s">
        <v>66</v>
      </c>
      <c r="AV630" s="5" t="s">
        <v>66</v>
      </c>
      <c r="AW630" s="5" t="s">
        <v>66</v>
      </c>
      <c r="AX630" s="5" t="s">
        <v>1077</v>
      </c>
      <c r="AY630" s="5" t="s">
        <v>936</v>
      </c>
      <c r="AZ630" s="5" t="s">
        <v>145</v>
      </c>
      <c r="BA630" s="19" t="s">
        <v>1078</v>
      </c>
      <c r="BB630" s="17" t="s">
        <v>69</v>
      </c>
      <c r="BC630" s="5" t="s">
        <v>1079</v>
      </c>
      <c r="BD630" s="5" t="s">
        <v>1073</v>
      </c>
    </row>
    <row r="631" spans="1:56" ht="48" hidden="1" x14ac:dyDescent="0.25">
      <c r="A631" s="78" t="s">
        <v>1056</v>
      </c>
      <c r="B631" s="5" t="s">
        <v>1057</v>
      </c>
      <c r="C631" s="5" t="s">
        <v>3293</v>
      </c>
      <c r="D631" s="5" t="s">
        <v>252</v>
      </c>
      <c r="E631" s="99" t="str">
        <f>VLOOKUP(D631,'Dropdown List'!$F$26:$G$40,2,0)</f>
        <v>India</v>
      </c>
      <c r="F631" s="6" t="s">
        <v>1058</v>
      </c>
      <c r="G631" s="7">
        <v>14</v>
      </c>
      <c r="H631" s="5" t="s">
        <v>57</v>
      </c>
      <c r="I631" s="8" t="s">
        <v>58</v>
      </c>
      <c r="J631" s="6" t="s">
        <v>163</v>
      </c>
      <c r="K631" s="6" t="s">
        <v>254</v>
      </c>
      <c r="L631" s="6" t="s">
        <v>1080</v>
      </c>
      <c r="M631" s="106" t="s">
        <v>1081</v>
      </c>
      <c r="N631" s="5" t="s">
        <v>1034</v>
      </c>
      <c r="O631" s="5" t="s">
        <v>1069</v>
      </c>
      <c r="P631" s="5" t="s">
        <v>1069</v>
      </c>
      <c r="Q631" s="9" t="s">
        <v>75</v>
      </c>
      <c r="R631" s="5" t="s">
        <v>76</v>
      </c>
      <c r="S631" s="5" t="s">
        <v>64</v>
      </c>
      <c r="T631" s="7">
        <v>2</v>
      </c>
      <c r="U631" s="7">
        <v>4</v>
      </c>
      <c r="V631" s="7">
        <v>8</v>
      </c>
      <c r="W631" s="5" t="s">
        <v>91</v>
      </c>
      <c r="X631" s="10" t="s">
        <v>79</v>
      </c>
      <c r="Y631" s="11">
        <v>20485.54</v>
      </c>
      <c r="Z631" s="12">
        <v>5.45</v>
      </c>
      <c r="AA631" s="12">
        <v>1</v>
      </c>
      <c r="AB631" s="12">
        <v>0</v>
      </c>
      <c r="AC631" s="13">
        <v>0.54999999999999982</v>
      </c>
      <c r="AD631" s="14">
        <f t="shared" si="20"/>
        <v>7</v>
      </c>
      <c r="AE631" s="15">
        <f t="shared" si="21"/>
        <v>7.8571428571428542E-2</v>
      </c>
      <c r="AF631" s="16">
        <v>20300</v>
      </c>
      <c r="AG631" s="16" t="s">
        <v>66</v>
      </c>
      <c r="AH631" s="17" t="s">
        <v>66</v>
      </c>
      <c r="AI631" s="18">
        <v>2.93</v>
      </c>
      <c r="AJ631" s="19" t="s">
        <v>1082</v>
      </c>
      <c r="AK631" s="20">
        <v>0.95</v>
      </c>
      <c r="AL631" s="17" t="s">
        <v>92</v>
      </c>
      <c r="AM631" s="5" t="s">
        <v>66</v>
      </c>
      <c r="AN631" s="5" t="s">
        <v>66</v>
      </c>
      <c r="AO631" s="5" t="s">
        <v>66</v>
      </c>
      <c r="AP631" s="5" t="s">
        <v>66</v>
      </c>
      <c r="AQ631" s="5" t="s">
        <v>66</v>
      </c>
      <c r="AR631" s="5" t="s">
        <v>66</v>
      </c>
      <c r="AS631" s="5" t="s">
        <v>66</v>
      </c>
      <c r="AT631" s="5" t="s">
        <v>66</v>
      </c>
      <c r="AU631" s="5" t="s">
        <v>66</v>
      </c>
      <c r="AV631" s="5" t="s">
        <v>66</v>
      </c>
      <c r="AW631" s="5" t="s">
        <v>66</v>
      </c>
      <c r="AX631" s="5" t="s">
        <v>1083</v>
      </c>
      <c r="AY631" s="5" t="s">
        <v>936</v>
      </c>
      <c r="AZ631" s="5" t="s">
        <v>145</v>
      </c>
      <c r="BA631" s="19" t="s">
        <v>1078</v>
      </c>
      <c r="BB631" s="17" t="s">
        <v>936</v>
      </c>
      <c r="BC631" s="5" t="s">
        <v>1084</v>
      </c>
      <c r="BD631" s="5" t="s">
        <v>1085</v>
      </c>
    </row>
    <row r="632" spans="1:56" ht="156" hidden="1" x14ac:dyDescent="0.25">
      <c r="A632" s="78" t="s">
        <v>1056</v>
      </c>
      <c r="B632" s="5" t="s">
        <v>1057</v>
      </c>
      <c r="C632" s="5" t="s">
        <v>3293</v>
      </c>
      <c r="D632" s="5" t="s">
        <v>252</v>
      </c>
      <c r="E632" s="99" t="str">
        <f>VLOOKUP(D632,'Dropdown List'!$F$26:$G$40,2,0)</f>
        <v>India</v>
      </c>
      <c r="F632" s="6" t="s">
        <v>1058</v>
      </c>
      <c r="G632" s="7">
        <v>16</v>
      </c>
      <c r="H632" s="5" t="s">
        <v>57</v>
      </c>
      <c r="I632" s="8" t="s">
        <v>58</v>
      </c>
      <c r="J632" s="6" t="s">
        <v>396</v>
      </c>
      <c r="K632" s="6" t="s">
        <v>1715</v>
      </c>
      <c r="L632" s="6" t="s">
        <v>3383</v>
      </c>
      <c r="M632" s="6" t="s">
        <v>1086</v>
      </c>
      <c r="N632" s="5" t="s">
        <v>319</v>
      </c>
      <c r="O632" s="5" t="s">
        <v>89</v>
      </c>
      <c r="P632" s="5" t="s">
        <v>89</v>
      </c>
      <c r="Q632" s="9" t="s">
        <v>75</v>
      </c>
      <c r="R632" s="5" t="s">
        <v>76</v>
      </c>
      <c r="S632" s="5" t="s">
        <v>64</v>
      </c>
      <c r="T632" s="7">
        <v>2</v>
      </c>
      <c r="U632" s="7">
        <v>16</v>
      </c>
      <c r="V632" s="7">
        <v>20</v>
      </c>
      <c r="W632" s="5" t="s">
        <v>91</v>
      </c>
      <c r="X632" s="10" t="s">
        <v>79</v>
      </c>
      <c r="Y632" s="11">
        <v>20485.54</v>
      </c>
      <c r="Z632" s="12">
        <v>3.16</v>
      </c>
      <c r="AA632" s="12">
        <v>0.66</v>
      </c>
      <c r="AB632" s="12">
        <v>0.33</v>
      </c>
      <c r="AC632" s="13">
        <v>1.0824</v>
      </c>
      <c r="AD632" s="14">
        <f t="shared" si="20"/>
        <v>5.2324000000000002</v>
      </c>
      <c r="AE632" s="15">
        <f t="shared" si="21"/>
        <v>0.20686491858420611</v>
      </c>
      <c r="AF632" s="16">
        <v>9100</v>
      </c>
      <c r="AG632" s="16" t="s">
        <v>3384</v>
      </c>
      <c r="AH632" s="17" t="s">
        <v>66</v>
      </c>
      <c r="AI632" s="18">
        <v>2.89</v>
      </c>
      <c r="AJ632" s="19" t="s">
        <v>1087</v>
      </c>
      <c r="AK632" s="20">
        <v>0.95</v>
      </c>
      <c r="AL632" s="17" t="s">
        <v>92</v>
      </c>
      <c r="AM632" s="5" t="s">
        <v>66</v>
      </c>
      <c r="AN632" s="5" t="s">
        <v>66</v>
      </c>
      <c r="AO632" s="5" t="s">
        <v>66</v>
      </c>
      <c r="AP632" s="5" t="s">
        <v>66</v>
      </c>
      <c r="AQ632" s="5" t="s">
        <v>66</v>
      </c>
      <c r="AR632" s="5" t="s">
        <v>66</v>
      </c>
      <c r="AS632" s="5" t="s">
        <v>66</v>
      </c>
      <c r="AT632" s="5" t="s">
        <v>66</v>
      </c>
      <c r="AU632" s="5" t="s">
        <v>66</v>
      </c>
      <c r="AV632" s="5" t="s">
        <v>66</v>
      </c>
      <c r="AW632" s="5" t="s">
        <v>66</v>
      </c>
      <c r="AX632" s="5" t="s">
        <v>1088</v>
      </c>
      <c r="AY632" s="5" t="s">
        <v>936</v>
      </c>
      <c r="AZ632" s="5" t="s">
        <v>145</v>
      </c>
      <c r="BA632" s="19" t="s">
        <v>1089</v>
      </c>
      <c r="BB632" s="17" t="s">
        <v>936</v>
      </c>
      <c r="BC632" s="5" t="s">
        <v>1064</v>
      </c>
      <c r="BD632" s="5" t="s">
        <v>3385</v>
      </c>
    </row>
    <row r="633" spans="1:56" ht="156" hidden="1" x14ac:dyDescent="0.25">
      <c r="A633" s="78" t="s">
        <v>1056</v>
      </c>
      <c r="B633" s="5" t="s">
        <v>1057</v>
      </c>
      <c r="C633" s="5" t="s">
        <v>3293</v>
      </c>
      <c r="D633" s="5" t="s">
        <v>252</v>
      </c>
      <c r="E633" s="99" t="str">
        <f>VLOOKUP(D633,'Dropdown List'!$F$26:$G$40,2,0)</f>
        <v>India</v>
      </c>
      <c r="F633" s="6" t="s">
        <v>1058</v>
      </c>
      <c r="G633" s="7">
        <v>16</v>
      </c>
      <c r="H633" s="5" t="s">
        <v>57</v>
      </c>
      <c r="I633" s="8" t="s">
        <v>58</v>
      </c>
      <c r="J633" s="6" t="s">
        <v>396</v>
      </c>
      <c r="K633" s="6" t="s">
        <v>1715</v>
      </c>
      <c r="L633" s="6" t="s">
        <v>3386</v>
      </c>
      <c r="M633" s="6" t="s">
        <v>1086</v>
      </c>
      <c r="N633" s="5" t="s">
        <v>319</v>
      </c>
      <c r="O633" s="5" t="s">
        <v>74</v>
      </c>
      <c r="P633" s="5" t="s">
        <v>74</v>
      </c>
      <c r="Q633" s="9" t="s">
        <v>75</v>
      </c>
      <c r="R633" s="5" t="s">
        <v>76</v>
      </c>
      <c r="S633" s="5" t="s">
        <v>64</v>
      </c>
      <c r="T633" s="7">
        <v>2</v>
      </c>
      <c r="U633" s="7">
        <v>16</v>
      </c>
      <c r="V633" s="7">
        <v>20</v>
      </c>
      <c r="W633" s="5" t="s">
        <v>91</v>
      </c>
      <c r="X633" s="10" t="s">
        <v>79</v>
      </c>
      <c r="Y633" s="11">
        <v>20485.54</v>
      </c>
      <c r="Z633" s="12">
        <v>0.97</v>
      </c>
      <c r="AA633" s="12">
        <v>0.2</v>
      </c>
      <c r="AB633" s="12">
        <v>0.1</v>
      </c>
      <c r="AC633" s="13">
        <v>0.32800000000000001</v>
      </c>
      <c r="AD633" s="14">
        <f t="shared" si="20"/>
        <v>1.5980000000000001</v>
      </c>
      <c r="AE633" s="15">
        <f t="shared" si="21"/>
        <v>0.20525657071339173</v>
      </c>
      <c r="AF633" s="16">
        <v>2800</v>
      </c>
      <c r="AG633" s="16" t="s">
        <v>3387</v>
      </c>
      <c r="AH633" s="17" t="s">
        <v>66</v>
      </c>
      <c r="AI633" s="18">
        <v>2.89</v>
      </c>
      <c r="AJ633" s="19" t="s">
        <v>1087</v>
      </c>
      <c r="AK633" s="20">
        <v>0.95</v>
      </c>
      <c r="AL633" s="17" t="s">
        <v>92</v>
      </c>
      <c r="AM633" s="5" t="s">
        <v>66</v>
      </c>
      <c r="AN633" s="5" t="s">
        <v>66</v>
      </c>
      <c r="AO633" s="5" t="s">
        <v>66</v>
      </c>
      <c r="AP633" s="5" t="s">
        <v>66</v>
      </c>
      <c r="AQ633" s="5" t="s">
        <v>66</v>
      </c>
      <c r="AR633" s="5" t="s">
        <v>66</v>
      </c>
      <c r="AS633" s="5" t="s">
        <v>66</v>
      </c>
      <c r="AT633" s="5" t="s">
        <v>66</v>
      </c>
      <c r="AU633" s="5" t="s">
        <v>66</v>
      </c>
      <c r="AV633" s="5" t="s">
        <v>66</v>
      </c>
      <c r="AW633" s="5" t="s">
        <v>66</v>
      </c>
      <c r="AX633" s="5" t="s">
        <v>1088</v>
      </c>
      <c r="AY633" s="5" t="s">
        <v>936</v>
      </c>
      <c r="AZ633" s="5" t="s">
        <v>145</v>
      </c>
      <c r="BA633" s="19" t="s">
        <v>1089</v>
      </c>
      <c r="BB633" s="17" t="s">
        <v>936</v>
      </c>
      <c r="BC633" s="5" t="s">
        <v>1064</v>
      </c>
      <c r="BD633" s="5" t="s">
        <v>3385</v>
      </c>
    </row>
    <row r="634" spans="1:56" ht="156" hidden="1" x14ac:dyDescent="0.25">
      <c r="A634" s="78" t="s">
        <v>1056</v>
      </c>
      <c r="B634" s="5" t="s">
        <v>1057</v>
      </c>
      <c r="C634" s="5" t="s">
        <v>3293</v>
      </c>
      <c r="D634" s="5" t="s">
        <v>252</v>
      </c>
      <c r="E634" s="99" t="str">
        <f>VLOOKUP(D634,'Dropdown List'!$F$26:$G$40,2,0)</f>
        <v>India</v>
      </c>
      <c r="F634" s="6" t="s">
        <v>1058</v>
      </c>
      <c r="G634" s="7">
        <v>16</v>
      </c>
      <c r="H634" s="5" t="s">
        <v>57</v>
      </c>
      <c r="I634" s="8" t="s">
        <v>58</v>
      </c>
      <c r="J634" s="6" t="s">
        <v>396</v>
      </c>
      <c r="K634" s="6" t="s">
        <v>1715</v>
      </c>
      <c r="L634" s="6" t="s">
        <v>3388</v>
      </c>
      <c r="M634" s="6" t="s">
        <v>1086</v>
      </c>
      <c r="N634" s="5" t="s">
        <v>1034</v>
      </c>
      <c r="O634" s="5" t="s">
        <v>89</v>
      </c>
      <c r="P634" s="5" t="s">
        <v>89</v>
      </c>
      <c r="Q634" s="9" t="s">
        <v>75</v>
      </c>
      <c r="R634" s="5" t="s">
        <v>76</v>
      </c>
      <c r="S634" s="5" t="s">
        <v>64</v>
      </c>
      <c r="T634" s="7">
        <v>2</v>
      </c>
      <c r="U634" s="7">
        <v>16</v>
      </c>
      <c r="V634" s="7">
        <v>20</v>
      </c>
      <c r="W634" s="5" t="s">
        <v>91</v>
      </c>
      <c r="X634" s="10" t="s">
        <v>79</v>
      </c>
      <c r="Y634" s="11">
        <v>20485.54</v>
      </c>
      <c r="Z634" s="12">
        <v>3.16</v>
      </c>
      <c r="AA634" s="12">
        <v>0.66</v>
      </c>
      <c r="AB634" s="12">
        <v>0.33</v>
      </c>
      <c r="AC634" s="13">
        <v>1.0824</v>
      </c>
      <c r="AD634" s="14">
        <f t="shared" si="20"/>
        <v>5.2324000000000002</v>
      </c>
      <c r="AE634" s="15">
        <f t="shared" si="21"/>
        <v>0.20686491858420611</v>
      </c>
      <c r="AF634" s="16">
        <v>9100</v>
      </c>
      <c r="AG634" s="16" t="s">
        <v>3389</v>
      </c>
      <c r="AH634" s="17" t="s">
        <v>66</v>
      </c>
      <c r="AI634" s="18">
        <v>2.89</v>
      </c>
      <c r="AJ634" s="19" t="s">
        <v>1087</v>
      </c>
      <c r="AK634" s="20">
        <v>0.95</v>
      </c>
      <c r="AL634" s="17" t="s">
        <v>92</v>
      </c>
      <c r="AM634" s="5" t="s">
        <v>66</v>
      </c>
      <c r="AN634" s="5" t="s">
        <v>66</v>
      </c>
      <c r="AO634" s="5" t="s">
        <v>66</v>
      </c>
      <c r="AP634" s="5" t="s">
        <v>66</v>
      </c>
      <c r="AQ634" s="5" t="s">
        <v>66</v>
      </c>
      <c r="AR634" s="5" t="s">
        <v>66</v>
      </c>
      <c r="AS634" s="5" t="s">
        <v>66</v>
      </c>
      <c r="AT634" s="5" t="s">
        <v>66</v>
      </c>
      <c r="AU634" s="5" t="s">
        <v>66</v>
      </c>
      <c r="AV634" s="5" t="s">
        <v>66</v>
      </c>
      <c r="AW634" s="5" t="s">
        <v>66</v>
      </c>
      <c r="AX634" s="5" t="s">
        <v>1088</v>
      </c>
      <c r="AY634" s="5" t="s">
        <v>936</v>
      </c>
      <c r="AZ634" s="5" t="s">
        <v>145</v>
      </c>
      <c r="BA634" s="19" t="s">
        <v>1089</v>
      </c>
      <c r="BB634" s="17" t="s">
        <v>936</v>
      </c>
      <c r="BC634" s="5" t="s">
        <v>1064</v>
      </c>
      <c r="BD634" s="5" t="s">
        <v>3385</v>
      </c>
    </row>
    <row r="635" spans="1:56" ht="156" hidden="1" x14ac:dyDescent="0.25">
      <c r="A635" s="78" t="s">
        <v>1056</v>
      </c>
      <c r="B635" s="5" t="s">
        <v>1057</v>
      </c>
      <c r="C635" s="5" t="s">
        <v>3293</v>
      </c>
      <c r="D635" s="5" t="s">
        <v>252</v>
      </c>
      <c r="E635" s="99" t="str">
        <f>VLOOKUP(D635,'Dropdown List'!$F$26:$G$40,2,0)</f>
        <v>India</v>
      </c>
      <c r="F635" s="6" t="s">
        <v>1058</v>
      </c>
      <c r="G635" s="7">
        <v>16</v>
      </c>
      <c r="H635" s="5" t="s">
        <v>57</v>
      </c>
      <c r="I635" s="8" t="s">
        <v>58</v>
      </c>
      <c r="J635" s="6" t="s">
        <v>396</v>
      </c>
      <c r="K635" s="6" t="s">
        <v>1715</v>
      </c>
      <c r="L635" s="6" t="s">
        <v>3390</v>
      </c>
      <c r="M635" s="6" t="s">
        <v>1086</v>
      </c>
      <c r="N635" s="5" t="s">
        <v>1034</v>
      </c>
      <c r="O635" s="5" t="s">
        <v>74</v>
      </c>
      <c r="P635" s="5" t="s">
        <v>74</v>
      </c>
      <c r="Q635" s="9" t="s">
        <v>75</v>
      </c>
      <c r="R635" s="5" t="s">
        <v>76</v>
      </c>
      <c r="S635" s="5" t="s">
        <v>64</v>
      </c>
      <c r="T635" s="7">
        <v>2</v>
      </c>
      <c r="U635" s="7">
        <v>16</v>
      </c>
      <c r="V635" s="7">
        <v>20</v>
      </c>
      <c r="W635" s="5" t="s">
        <v>91</v>
      </c>
      <c r="X635" s="10" t="s">
        <v>79</v>
      </c>
      <c r="Y635" s="11">
        <v>20485.54</v>
      </c>
      <c r="Z635" s="12">
        <v>0.97</v>
      </c>
      <c r="AA635" s="12">
        <v>0.2</v>
      </c>
      <c r="AB635" s="12">
        <v>0.1</v>
      </c>
      <c r="AC635" s="13">
        <v>0.32800000000000001</v>
      </c>
      <c r="AD635" s="14">
        <f t="shared" si="20"/>
        <v>1.5980000000000001</v>
      </c>
      <c r="AE635" s="15">
        <f t="shared" si="21"/>
        <v>0.20525657071339173</v>
      </c>
      <c r="AF635" s="16">
        <v>2800</v>
      </c>
      <c r="AG635" s="16" t="s">
        <v>3391</v>
      </c>
      <c r="AH635" s="17" t="s">
        <v>66</v>
      </c>
      <c r="AI635" s="18">
        <v>2.89</v>
      </c>
      <c r="AJ635" s="19" t="s">
        <v>1087</v>
      </c>
      <c r="AK635" s="20">
        <v>0.95</v>
      </c>
      <c r="AL635" s="17" t="s">
        <v>92</v>
      </c>
      <c r="AM635" s="5" t="s">
        <v>66</v>
      </c>
      <c r="AN635" s="5" t="s">
        <v>66</v>
      </c>
      <c r="AO635" s="5" t="s">
        <v>66</v>
      </c>
      <c r="AP635" s="5" t="s">
        <v>66</v>
      </c>
      <c r="AQ635" s="5" t="s">
        <v>66</v>
      </c>
      <c r="AR635" s="5" t="s">
        <v>66</v>
      </c>
      <c r="AS635" s="5" t="s">
        <v>66</v>
      </c>
      <c r="AT635" s="5" t="s">
        <v>66</v>
      </c>
      <c r="AU635" s="5" t="s">
        <v>66</v>
      </c>
      <c r="AV635" s="5" t="s">
        <v>66</v>
      </c>
      <c r="AW635" s="5" t="s">
        <v>66</v>
      </c>
      <c r="AX635" s="5" t="s">
        <v>1088</v>
      </c>
      <c r="AY635" s="5" t="s">
        <v>936</v>
      </c>
      <c r="AZ635" s="5" t="s">
        <v>145</v>
      </c>
      <c r="BA635" s="19" t="s">
        <v>1089</v>
      </c>
      <c r="BB635" s="17" t="s">
        <v>936</v>
      </c>
      <c r="BC635" s="5" t="s">
        <v>1064</v>
      </c>
      <c r="BD635" s="5" t="s">
        <v>3385</v>
      </c>
    </row>
    <row r="636" spans="1:56" ht="156" hidden="1" x14ac:dyDescent="0.25">
      <c r="A636" s="78" t="s">
        <v>1056</v>
      </c>
      <c r="B636" s="5" t="s">
        <v>1057</v>
      </c>
      <c r="C636" s="5" t="s">
        <v>3293</v>
      </c>
      <c r="D636" s="5" t="s">
        <v>252</v>
      </c>
      <c r="E636" s="99" t="str">
        <f>VLOOKUP(D636,'Dropdown List'!$F$26:$G$40,2,0)</f>
        <v>India</v>
      </c>
      <c r="F636" s="6" t="s">
        <v>1058</v>
      </c>
      <c r="G636" s="7">
        <v>16</v>
      </c>
      <c r="H636" s="5" t="s">
        <v>57</v>
      </c>
      <c r="I636" s="8" t="s">
        <v>58</v>
      </c>
      <c r="J636" s="6" t="s">
        <v>396</v>
      </c>
      <c r="K636" s="6" t="s">
        <v>1715</v>
      </c>
      <c r="L636" s="6" t="s">
        <v>3392</v>
      </c>
      <c r="M636" s="6" t="s">
        <v>1086</v>
      </c>
      <c r="N636" s="5" t="s">
        <v>1034</v>
      </c>
      <c r="O636" s="5" t="s">
        <v>2042</v>
      </c>
      <c r="P636" s="5" t="s">
        <v>2042</v>
      </c>
      <c r="Q636" s="9" t="s">
        <v>75</v>
      </c>
      <c r="R636" s="5" t="s">
        <v>76</v>
      </c>
      <c r="S636" s="5" t="s">
        <v>64</v>
      </c>
      <c r="T636" s="7">
        <v>2</v>
      </c>
      <c r="U636" s="7">
        <v>16</v>
      </c>
      <c r="V636" s="7">
        <v>20</v>
      </c>
      <c r="W636" s="5" t="s">
        <v>91</v>
      </c>
      <c r="X636" s="10" t="s">
        <v>79</v>
      </c>
      <c r="Y636" s="11">
        <v>20485.54</v>
      </c>
      <c r="Z636" s="12">
        <v>0.2</v>
      </c>
      <c r="AA636" s="12">
        <v>0.04</v>
      </c>
      <c r="AB636" s="12">
        <v>0.2</v>
      </c>
      <c r="AC636" s="13">
        <v>6.5599999999999992E-2</v>
      </c>
      <c r="AD636" s="14">
        <f t="shared" si="20"/>
        <v>0.50560000000000005</v>
      </c>
      <c r="AE636" s="15">
        <f t="shared" si="21"/>
        <v>0.12974683544303794</v>
      </c>
      <c r="AF636" s="16">
        <v>560</v>
      </c>
      <c r="AG636" s="16" t="s">
        <v>3393</v>
      </c>
      <c r="AH636" s="17" t="s">
        <v>66</v>
      </c>
      <c r="AI636" s="18">
        <v>2.89</v>
      </c>
      <c r="AJ636" s="19" t="s">
        <v>1087</v>
      </c>
      <c r="AK636" s="20">
        <v>0.95</v>
      </c>
      <c r="AL636" s="17" t="s">
        <v>92</v>
      </c>
      <c r="AM636" s="5" t="s">
        <v>66</v>
      </c>
      <c r="AN636" s="5" t="s">
        <v>66</v>
      </c>
      <c r="AO636" s="5" t="s">
        <v>66</v>
      </c>
      <c r="AP636" s="5" t="s">
        <v>66</v>
      </c>
      <c r="AQ636" s="5" t="s">
        <v>66</v>
      </c>
      <c r="AR636" s="5" t="s">
        <v>66</v>
      </c>
      <c r="AS636" s="5" t="s">
        <v>66</v>
      </c>
      <c r="AT636" s="5" t="s">
        <v>66</v>
      </c>
      <c r="AU636" s="5" t="s">
        <v>66</v>
      </c>
      <c r="AV636" s="5" t="s">
        <v>66</v>
      </c>
      <c r="AW636" s="5" t="s">
        <v>66</v>
      </c>
      <c r="AX636" s="5" t="s">
        <v>1088</v>
      </c>
      <c r="AY636" s="5" t="s">
        <v>936</v>
      </c>
      <c r="AZ636" s="5" t="s">
        <v>145</v>
      </c>
      <c r="BA636" s="19" t="s">
        <v>1089</v>
      </c>
      <c r="BB636" s="17" t="s">
        <v>936</v>
      </c>
      <c r="BC636" s="5" t="s">
        <v>1064</v>
      </c>
      <c r="BD636" s="5" t="s">
        <v>3385</v>
      </c>
    </row>
    <row r="637" spans="1:56" ht="156" hidden="1" x14ac:dyDescent="0.25">
      <c r="A637" s="78" t="s">
        <v>1056</v>
      </c>
      <c r="B637" s="5" t="s">
        <v>1057</v>
      </c>
      <c r="C637" s="5" t="s">
        <v>3293</v>
      </c>
      <c r="D637" s="5" t="s">
        <v>252</v>
      </c>
      <c r="E637" s="99" t="str">
        <f>VLOOKUP(D637,'Dropdown List'!$F$26:$G$40,2,0)</f>
        <v>India</v>
      </c>
      <c r="F637" s="6" t="s">
        <v>1058</v>
      </c>
      <c r="G637" s="7">
        <v>16</v>
      </c>
      <c r="H637" s="5" t="s">
        <v>57</v>
      </c>
      <c r="I637" s="8" t="s">
        <v>58</v>
      </c>
      <c r="J637" s="6" t="s">
        <v>396</v>
      </c>
      <c r="K637" s="6" t="s">
        <v>1715</v>
      </c>
      <c r="L637" s="6" t="s">
        <v>3394</v>
      </c>
      <c r="M637" s="6" t="s">
        <v>1086</v>
      </c>
      <c r="N637" s="5" t="s">
        <v>1034</v>
      </c>
      <c r="O637" s="5" t="s">
        <v>1069</v>
      </c>
      <c r="P637" s="5" t="s">
        <v>1069</v>
      </c>
      <c r="Q637" s="9" t="s">
        <v>75</v>
      </c>
      <c r="R637" s="5" t="s">
        <v>76</v>
      </c>
      <c r="S637" s="5" t="s">
        <v>64</v>
      </c>
      <c r="T637" s="7">
        <v>2</v>
      </c>
      <c r="U637" s="7">
        <v>16</v>
      </c>
      <c r="V637" s="7">
        <v>20</v>
      </c>
      <c r="W637" s="5" t="s">
        <v>91</v>
      </c>
      <c r="X637" s="10" t="s">
        <v>79</v>
      </c>
      <c r="Y637" s="11">
        <v>20485.54</v>
      </c>
      <c r="Z637" s="12">
        <v>1.26</v>
      </c>
      <c r="AA637" s="12">
        <v>0.26</v>
      </c>
      <c r="AB637" s="12">
        <v>0.13</v>
      </c>
      <c r="AC637" s="13">
        <v>0.4264</v>
      </c>
      <c r="AD637" s="14">
        <f t="shared" si="20"/>
        <v>2.0764</v>
      </c>
      <c r="AE637" s="15">
        <f t="shared" si="21"/>
        <v>0.2053554228472356</v>
      </c>
      <c r="AF637" s="16">
        <v>3640</v>
      </c>
      <c r="AG637" s="16" t="s">
        <v>3395</v>
      </c>
      <c r="AH637" s="17" t="s">
        <v>66</v>
      </c>
      <c r="AI637" s="18">
        <v>2.89</v>
      </c>
      <c r="AJ637" s="19" t="s">
        <v>1087</v>
      </c>
      <c r="AK637" s="20">
        <v>0.95</v>
      </c>
      <c r="AL637" s="17" t="s">
        <v>92</v>
      </c>
      <c r="AM637" s="5" t="s">
        <v>66</v>
      </c>
      <c r="AN637" s="5" t="s">
        <v>66</v>
      </c>
      <c r="AO637" s="5" t="s">
        <v>66</v>
      </c>
      <c r="AP637" s="5" t="s">
        <v>66</v>
      </c>
      <c r="AQ637" s="5" t="s">
        <v>66</v>
      </c>
      <c r="AR637" s="5" t="s">
        <v>66</v>
      </c>
      <c r="AS637" s="5" t="s">
        <v>66</v>
      </c>
      <c r="AT637" s="5" t="s">
        <v>66</v>
      </c>
      <c r="AU637" s="5" t="s">
        <v>66</v>
      </c>
      <c r="AV637" s="5" t="s">
        <v>66</v>
      </c>
      <c r="AW637" s="5" t="s">
        <v>66</v>
      </c>
      <c r="AX637" s="5" t="s">
        <v>1088</v>
      </c>
      <c r="AY637" s="5" t="s">
        <v>936</v>
      </c>
      <c r="AZ637" s="5" t="s">
        <v>145</v>
      </c>
      <c r="BA637" s="19" t="s">
        <v>1089</v>
      </c>
      <c r="BB637" s="17" t="s">
        <v>936</v>
      </c>
      <c r="BC637" s="5" t="s">
        <v>1064</v>
      </c>
      <c r="BD637" s="5" t="s">
        <v>3385</v>
      </c>
    </row>
    <row r="638" spans="1:56" ht="36" hidden="1" x14ac:dyDescent="0.25">
      <c r="A638" s="78" t="s">
        <v>1056</v>
      </c>
      <c r="B638" s="5" t="s">
        <v>1057</v>
      </c>
      <c r="C638" s="5" t="s">
        <v>3293</v>
      </c>
      <c r="D638" s="5" t="s">
        <v>252</v>
      </c>
      <c r="E638" s="99" t="str">
        <f>VLOOKUP(D638,'Dropdown List'!$F$26:$G$40,2,0)</f>
        <v>India</v>
      </c>
      <c r="F638" s="6" t="s">
        <v>1058</v>
      </c>
      <c r="G638" s="7">
        <v>16</v>
      </c>
      <c r="H638" s="5" t="s">
        <v>57</v>
      </c>
      <c r="I638" s="8" t="s">
        <v>58</v>
      </c>
      <c r="J638" s="6" t="s">
        <v>163</v>
      </c>
      <c r="K638" s="6" t="s">
        <v>254</v>
      </c>
      <c r="L638" s="6" t="s">
        <v>3396</v>
      </c>
      <c r="M638" s="106" t="s">
        <v>3397</v>
      </c>
      <c r="N638" s="5" t="s">
        <v>319</v>
      </c>
      <c r="O638" s="5" t="s">
        <v>89</v>
      </c>
      <c r="P638" s="5" t="s">
        <v>89</v>
      </c>
      <c r="Q638" s="9" t="s">
        <v>75</v>
      </c>
      <c r="R638" s="5" t="s">
        <v>76</v>
      </c>
      <c r="S638" s="5" t="s">
        <v>64</v>
      </c>
      <c r="T638" s="7">
        <v>2</v>
      </c>
      <c r="U638" s="7">
        <v>16</v>
      </c>
      <c r="V638" s="7">
        <v>16</v>
      </c>
      <c r="W638" s="5" t="s">
        <v>91</v>
      </c>
      <c r="X638" s="10" t="s">
        <v>79</v>
      </c>
      <c r="Y638" s="11">
        <v>20485.54</v>
      </c>
      <c r="Z638" s="12">
        <v>4.6960000000000006</v>
      </c>
      <c r="AA638" s="12">
        <v>0.9</v>
      </c>
      <c r="AB638" s="12">
        <v>0.45</v>
      </c>
      <c r="AC638" s="13">
        <v>1.7039999999999997</v>
      </c>
      <c r="AD638" s="14">
        <f t="shared" si="20"/>
        <v>7.7500000000000009</v>
      </c>
      <c r="AE638" s="15">
        <f t="shared" si="21"/>
        <v>0.21987096774193543</v>
      </c>
      <c r="AF638" s="16">
        <v>2080</v>
      </c>
      <c r="AG638" s="16" t="s">
        <v>3398</v>
      </c>
      <c r="AH638" s="17" t="s">
        <v>1090</v>
      </c>
      <c r="AI638" s="18" t="s">
        <v>2946</v>
      </c>
      <c r="AJ638" s="19" t="s">
        <v>1091</v>
      </c>
      <c r="AK638" s="20">
        <v>0.96</v>
      </c>
      <c r="AL638" s="17" t="s">
        <v>261</v>
      </c>
      <c r="AM638" s="5" t="s">
        <v>66</v>
      </c>
      <c r="AN638" s="5" t="s">
        <v>66</v>
      </c>
      <c r="AO638" s="5" t="s">
        <v>66</v>
      </c>
      <c r="AP638" s="5" t="s">
        <v>66</v>
      </c>
      <c r="AQ638" s="5" t="s">
        <v>66</v>
      </c>
      <c r="AR638" s="5" t="s">
        <v>66</v>
      </c>
      <c r="AS638" s="5" t="s">
        <v>66</v>
      </c>
      <c r="AT638" s="5" t="s">
        <v>66</v>
      </c>
      <c r="AU638" s="5" t="s">
        <v>66</v>
      </c>
      <c r="AV638" s="5" t="s">
        <v>66</v>
      </c>
      <c r="AW638" s="5" t="s">
        <v>66</v>
      </c>
      <c r="AX638" s="5" t="s">
        <v>1092</v>
      </c>
      <c r="AY638" s="5" t="s">
        <v>69</v>
      </c>
      <c r="AZ638" s="5" t="s">
        <v>145</v>
      </c>
      <c r="BA638" s="19" t="s">
        <v>1093</v>
      </c>
      <c r="BB638" s="17" t="s">
        <v>69</v>
      </c>
      <c r="BC638" s="5" t="s">
        <v>1094</v>
      </c>
      <c r="BD638" s="5" t="s">
        <v>3399</v>
      </c>
    </row>
    <row r="639" spans="1:56" ht="36" hidden="1" x14ac:dyDescent="0.25">
      <c r="A639" s="78" t="s">
        <v>1056</v>
      </c>
      <c r="B639" s="5" t="s">
        <v>1057</v>
      </c>
      <c r="C639" s="5" t="s">
        <v>3293</v>
      </c>
      <c r="D639" s="5" t="s">
        <v>252</v>
      </c>
      <c r="E639" s="99" t="str">
        <f>VLOOKUP(D639,'Dropdown List'!$F$26:$G$40,2,0)</f>
        <v>India</v>
      </c>
      <c r="F639" s="6" t="s">
        <v>1058</v>
      </c>
      <c r="G639" s="7">
        <v>16</v>
      </c>
      <c r="H639" s="5" t="s">
        <v>57</v>
      </c>
      <c r="I639" s="8" t="s">
        <v>58</v>
      </c>
      <c r="J639" s="6" t="s">
        <v>163</v>
      </c>
      <c r="K639" s="6" t="s">
        <v>254</v>
      </c>
      <c r="L639" s="6" t="s">
        <v>3400</v>
      </c>
      <c r="M639" s="106" t="s">
        <v>3401</v>
      </c>
      <c r="N639" s="5" t="s">
        <v>319</v>
      </c>
      <c r="O639" s="5" t="s">
        <v>74</v>
      </c>
      <c r="P639" s="5" t="s">
        <v>74</v>
      </c>
      <c r="Q639" s="9" t="s">
        <v>75</v>
      </c>
      <c r="R639" s="5" t="s">
        <v>76</v>
      </c>
      <c r="S639" s="5" t="s">
        <v>64</v>
      </c>
      <c r="T639" s="7">
        <v>2</v>
      </c>
      <c r="U639" s="7">
        <v>16</v>
      </c>
      <c r="V639" s="7">
        <v>16</v>
      </c>
      <c r="W639" s="5" t="s">
        <v>91</v>
      </c>
      <c r="X639" s="10" t="s">
        <v>79</v>
      </c>
      <c r="Y639" s="11">
        <v>20485.54</v>
      </c>
      <c r="Z639" s="12">
        <v>0.88049999999999995</v>
      </c>
      <c r="AA639" s="12">
        <v>0.75</v>
      </c>
      <c r="AB639" s="12">
        <v>0.375</v>
      </c>
      <c r="AC639" s="13">
        <v>0.31950000000000001</v>
      </c>
      <c r="AD639" s="14">
        <f t="shared" si="20"/>
        <v>2.3250000000000002</v>
      </c>
      <c r="AE639" s="15">
        <f t="shared" si="21"/>
        <v>0.13741935483870968</v>
      </c>
      <c r="AF639" s="16">
        <v>260</v>
      </c>
      <c r="AG639" s="16" t="s">
        <v>3402</v>
      </c>
      <c r="AH639" s="17" t="s">
        <v>1090</v>
      </c>
      <c r="AI639" s="18" t="s">
        <v>2946</v>
      </c>
      <c r="AJ639" s="19" t="s">
        <v>1091</v>
      </c>
      <c r="AK639" s="20">
        <v>0.96</v>
      </c>
      <c r="AL639" s="17" t="s">
        <v>261</v>
      </c>
      <c r="AM639" s="5" t="s">
        <v>66</v>
      </c>
      <c r="AN639" s="5" t="s">
        <v>66</v>
      </c>
      <c r="AO639" s="5" t="s">
        <v>66</v>
      </c>
      <c r="AP639" s="5" t="s">
        <v>66</v>
      </c>
      <c r="AQ639" s="5" t="s">
        <v>66</v>
      </c>
      <c r="AR639" s="5" t="s">
        <v>66</v>
      </c>
      <c r="AS639" s="5" t="s">
        <v>66</v>
      </c>
      <c r="AT639" s="5" t="s">
        <v>66</v>
      </c>
      <c r="AU639" s="5" t="s">
        <v>66</v>
      </c>
      <c r="AV639" s="5" t="s">
        <v>66</v>
      </c>
      <c r="AW639" s="5" t="s">
        <v>66</v>
      </c>
      <c r="AX639" s="5" t="s">
        <v>1092</v>
      </c>
      <c r="AY639" s="5" t="s">
        <v>69</v>
      </c>
      <c r="AZ639" s="5" t="s">
        <v>145</v>
      </c>
      <c r="BA639" s="19" t="s">
        <v>1093</v>
      </c>
      <c r="BB639" s="17" t="s">
        <v>69</v>
      </c>
      <c r="BC639" s="5" t="s">
        <v>1094</v>
      </c>
      <c r="BD639" s="5" t="s">
        <v>3399</v>
      </c>
    </row>
    <row r="640" spans="1:56" ht="36" hidden="1" x14ac:dyDescent="0.25">
      <c r="A640" s="78" t="s">
        <v>1056</v>
      </c>
      <c r="B640" s="5" t="s">
        <v>1057</v>
      </c>
      <c r="C640" s="5" t="s">
        <v>3293</v>
      </c>
      <c r="D640" s="5" t="s">
        <v>252</v>
      </c>
      <c r="E640" s="99" t="str">
        <f>VLOOKUP(D640,'Dropdown List'!$F$26:$G$40,2,0)</f>
        <v>India</v>
      </c>
      <c r="F640" s="6" t="s">
        <v>1058</v>
      </c>
      <c r="G640" s="7">
        <v>16</v>
      </c>
      <c r="H640" s="5" t="s">
        <v>57</v>
      </c>
      <c r="I640" s="8" t="s">
        <v>58</v>
      </c>
      <c r="J640" s="6" t="s">
        <v>163</v>
      </c>
      <c r="K640" s="6" t="s">
        <v>254</v>
      </c>
      <c r="L640" s="6" t="s">
        <v>3403</v>
      </c>
      <c r="M640" s="106" t="s">
        <v>3404</v>
      </c>
      <c r="N640" s="5" t="s">
        <v>319</v>
      </c>
      <c r="O640" s="5" t="s">
        <v>74</v>
      </c>
      <c r="P640" s="5" t="s">
        <v>74</v>
      </c>
      <c r="Q640" s="9" t="s">
        <v>75</v>
      </c>
      <c r="R640" s="5" t="s">
        <v>76</v>
      </c>
      <c r="S640" s="5" t="s">
        <v>64</v>
      </c>
      <c r="T640" s="7">
        <v>2</v>
      </c>
      <c r="U640" s="7">
        <v>16</v>
      </c>
      <c r="V640" s="7">
        <v>16</v>
      </c>
      <c r="W640" s="5" t="s">
        <v>91</v>
      </c>
      <c r="X640" s="10" t="s">
        <v>79</v>
      </c>
      <c r="Y640" s="11">
        <v>20485.54</v>
      </c>
      <c r="Z640" s="12">
        <v>0.29350000000000004</v>
      </c>
      <c r="AA640" s="12">
        <v>0.35</v>
      </c>
      <c r="AB640" s="12">
        <v>0.17499999999999999</v>
      </c>
      <c r="AC640" s="13">
        <v>0.10649999999999998</v>
      </c>
      <c r="AD640" s="14">
        <f t="shared" si="20"/>
        <v>0.92500000000000004</v>
      </c>
      <c r="AE640" s="15">
        <f t="shared" si="21"/>
        <v>0.11513513513513511</v>
      </c>
      <c r="AF640" s="16">
        <v>52</v>
      </c>
      <c r="AG640" s="16" t="s">
        <v>3405</v>
      </c>
      <c r="AH640" s="17" t="s">
        <v>1090</v>
      </c>
      <c r="AI640" s="18" t="s">
        <v>2946</v>
      </c>
      <c r="AJ640" s="19" t="s">
        <v>1091</v>
      </c>
      <c r="AK640" s="20">
        <v>0.96</v>
      </c>
      <c r="AL640" s="17" t="s">
        <v>261</v>
      </c>
      <c r="AM640" s="5" t="s">
        <v>66</v>
      </c>
      <c r="AN640" s="5" t="s">
        <v>66</v>
      </c>
      <c r="AO640" s="5" t="s">
        <v>66</v>
      </c>
      <c r="AP640" s="5" t="s">
        <v>66</v>
      </c>
      <c r="AQ640" s="5" t="s">
        <v>66</v>
      </c>
      <c r="AR640" s="5" t="s">
        <v>66</v>
      </c>
      <c r="AS640" s="5" t="s">
        <v>66</v>
      </c>
      <c r="AT640" s="5" t="s">
        <v>66</v>
      </c>
      <c r="AU640" s="5" t="s">
        <v>66</v>
      </c>
      <c r="AV640" s="5" t="s">
        <v>66</v>
      </c>
      <c r="AW640" s="5" t="s">
        <v>66</v>
      </c>
      <c r="AX640" s="5" t="s">
        <v>1092</v>
      </c>
      <c r="AY640" s="5" t="s">
        <v>69</v>
      </c>
      <c r="AZ640" s="5" t="s">
        <v>145</v>
      </c>
      <c r="BA640" s="19" t="s">
        <v>1093</v>
      </c>
      <c r="BB640" s="17" t="s">
        <v>69</v>
      </c>
      <c r="BC640" s="5" t="s">
        <v>1094</v>
      </c>
      <c r="BD640" s="5" t="s">
        <v>3399</v>
      </c>
    </row>
    <row r="641" spans="1:56" ht="84" hidden="1" x14ac:dyDescent="0.25">
      <c r="A641" s="78" t="s">
        <v>1056</v>
      </c>
      <c r="B641" s="5" t="s">
        <v>1057</v>
      </c>
      <c r="C641" s="5" t="s">
        <v>3293</v>
      </c>
      <c r="D641" s="5" t="s">
        <v>252</v>
      </c>
      <c r="E641" s="99" t="str">
        <f>VLOOKUP(D641,'Dropdown List'!$F$26:$G$40,2,0)</f>
        <v>India</v>
      </c>
      <c r="F641" s="6" t="s">
        <v>1058</v>
      </c>
      <c r="G641" s="7">
        <v>9</v>
      </c>
      <c r="H641" s="5" t="s">
        <v>57</v>
      </c>
      <c r="I641" s="8" t="s">
        <v>58</v>
      </c>
      <c r="J641" s="6" t="s">
        <v>881</v>
      </c>
      <c r="K641" s="6" t="s">
        <v>917</v>
      </c>
      <c r="L641" s="6" t="s">
        <v>1095</v>
      </c>
      <c r="M641" s="6" t="s">
        <v>1096</v>
      </c>
      <c r="N641" s="5" t="s">
        <v>1034</v>
      </c>
      <c r="O641" s="5" t="s">
        <v>1069</v>
      </c>
      <c r="P641" s="5" t="s">
        <v>1069</v>
      </c>
      <c r="Q641" s="9" t="s">
        <v>75</v>
      </c>
      <c r="R641" s="5" t="s">
        <v>76</v>
      </c>
      <c r="S641" s="5" t="s">
        <v>120</v>
      </c>
      <c r="T641" s="7">
        <v>2</v>
      </c>
      <c r="U641" s="7">
        <v>4</v>
      </c>
      <c r="V641" s="7">
        <v>8</v>
      </c>
      <c r="W641" s="5" t="s">
        <v>91</v>
      </c>
      <c r="X641" s="10" t="s">
        <v>79</v>
      </c>
      <c r="Y641" s="11">
        <v>26504.92</v>
      </c>
      <c r="Z641" s="12">
        <v>0.74</v>
      </c>
      <c r="AA641" s="12">
        <v>0</v>
      </c>
      <c r="AB641" s="12">
        <v>0</v>
      </c>
      <c r="AC641" s="13">
        <v>0.26</v>
      </c>
      <c r="AD641" s="14">
        <f t="shared" si="20"/>
        <v>1</v>
      </c>
      <c r="AE641" s="15">
        <f t="shared" si="21"/>
        <v>0.26</v>
      </c>
      <c r="AF641" s="16">
        <v>103</v>
      </c>
      <c r="AG641" s="16" t="s">
        <v>66</v>
      </c>
      <c r="AH641" s="17" t="s">
        <v>66</v>
      </c>
      <c r="AI641" s="18">
        <v>32</v>
      </c>
      <c r="AJ641" s="19" t="s">
        <v>1097</v>
      </c>
      <c r="AK641" s="20">
        <v>0.95</v>
      </c>
      <c r="AL641" s="17" t="s">
        <v>92</v>
      </c>
      <c r="AM641" s="5" t="s">
        <v>66</v>
      </c>
      <c r="AN641" s="5" t="s">
        <v>66</v>
      </c>
      <c r="AO641" s="5" t="s">
        <v>66</v>
      </c>
      <c r="AP641" s="5" t="s">
        <v>66</v>
      </c>
      <c r="AQ641" s="5" t="s">
        <v>66</v>
      </c>
      <c r="AR641" s="5" t="s">
        <v>66</v>
      </c>
      <c r="AS641" s="5" t="s">
        <v>66</v>
      </c>
      <c r="AT641" s="5" t="s">
        <v>66</v>
      </c>
      <c r="AU641" s="5" t="s">
        <v>66</v>
      </c>
      <c r="AV641" s="5" t="s">
        <v>66</v>
      </c>
      <c r="AW641" s="5" t="s">
        <v>66</v>
      </c>
      <c r="AX641" s="5" t="s">
        <v>1098</v>
      </c>
      <c r="AY641" s="5" t="s">
        <v>94</v>
      </c>
      <c r="AZ641" s="5" t="s">
        <v>145</v>
      </c>
      <c r="BA641" s="19" t="s">
        <v>1078</v>
      </c>
      <c r="BB641" s="17" t="s">
        <v>65</v>
      </c>
      <c r="BC641" s="5" t="s">
        <v>1094</v>
      </c>
      <c r="BD641" s="5" t="s">
        <v>1099</v>
      </c>
    </row>
    <row r="642" spans="1:56" ht="36" hidden="1" x14ac:dyDescent="0.25">
      <c r="A642" s="78" t="s">
        <v>1056</v>
      </c>
      <c r="B642" s="5" t="s">
        <v>1057</v>
      </c>
      <c r="C642" s="5" t="s">
        <v>3293</v>
      </c>
      <c r="D642" s="5" t="s">
        <v>252</v>
      </c>
      <c r="E642" s="99" t="str">
        <f>VLOOKUP(D642,'Dropdown List'!$F$26:$G$40,2,0)</f>
        <v>India</v>
      </c>
      <c r="F642" s="6" t="s">
        <v>1058</v>
      </c>
      <c r="G642" s="7">
        <v>16</v>
      </c>
      <c r="H642" s="5" t="s">
        <v>57</v>
      </c>
      <c r="I642" s="8" t="s">
        <v>58</v>
      </c>
      <c r="J642" s="6" t="s">
        <v>396</v>
      </c>
      <c r="K642" s="6" t="s">
        <v>397</v>
      </c>
      <c r="L642" s="6" t="s">
        <v>3406</v>
      </c>
      <c r="M642" s="6" t="s">
        <v>1100</v>
      </c>
      <c r="N642" s="5" t="s">
        <v>319</v>
      </c>
      <c r="O642" s="5" t="s">
        <v>89</v>
      </c>
      <c r="P642" s="5" t="s">
        <v>89</v>
      </c>
      <c r="Q642" s="9" t="s">
        <v>75</v>
      </c>
      <c r="R642" s="5" t="s">
        <v>76</v>
      </c>
      <c r="S642" s="5" t="s">
        <v>64</v>
      </c>
      <c r="T642" s="7">
        <v>2</v>
      </c>
      <c r="U642" s="7">
        <v>3</v>
      </c>
      <c r="V642" s="7">
        <v>8</v>
      </c>
      <c r="W642" s="5" t="s">
        <v>91</v>
      </c>
      <c r="X642" s="10" t="s">
        <v>79</v>
      </c>
      <c r="Y642" s="11">
        <v>20485.54</v>
      </c>
      <c r="Z642" s="12">
        <v>4.03</v>
      </c>
      <c r="AA642" s="12">
        <v>0.5</v>
      </c>
      <c r="AB642" s="12">
        <v>0</v>
      </c>
      <c r="AC642" s="13">
        <v>0.34</v>
      </c>
      <c r="AD642" s="14">
        <f t="shared" si="20"/>
        <v>4.87</v>
      </c>
      <c r="AE642" s="15">
        <f t="shared" si="21"/>
        <v>6.9815195071868591E-2</v>
      </c>
      <c r="AF642" s="16">
        <v>8043</v>
      </c>
      <c r="AG642" s="16" t="s">
        <v>3407</v>
      </c>
      <c r="AH642" s="17" t="s">
        <v>1101</v>
      </c>
      <c r="AI642" s="18">
        <v>4.4800000000000004</v>
      </c>
      <c r="AJ642" s="19" t="s">
        <v>1102</v>
      </c>
      <c r="AK642" s="20">
        <v>0.95</v>
      </c>
      <c r="AL642" s="17" t="s">
        <v>92</v>
      </c>
      <c r="AM642" s="5" t="s">
        <v>66</v>
      </c>
      <c r="AN642" s="5" t="s">
        <v>66</v>
      </c>
      <c r="AO642" s="5" t="s">
        <v>1103</v>
      </c>
      <c r="AP642" s="5" t="s">
        <v>1104</v>
      </c>
      <c r="AQ642" s="5" t="s">
        <v>200</v>
      </c>
      <c r="AR642" s="5" t="s">
        <v>66</v>
      </c>
      <c r="AS642" s="5" t="s">
        <v>66</v>
      </c>
      <c r="AT642" s="5" t="s">
        <v>66</v>
      </c>
      <c r="AU642" s="5" t="s">
        <v>66</v>
      </c>
      <c r="AV642" s="5" t="s">
        <v>66</v>
      </c>
      <c r="AW642" s="5" t="s">
        <v>1105</v>
      </c>
      <c r="AX642" s="5" t="s">
        <v>924</v>
      </c>
      <c r="AY642" s="5" t="s">
        <v>65</v>
      </c>
      <c r="AZ642" s="5" t="s">
        <v>80</v>
      </c>
      <c r="BA642" s="19" t="s">
        <v>769</v>
      </c>
      <c r="BB642" s="17" t="s">
        <v>69</v>
      </c>
      <c r="BC642" s="5" t="s">
        <v>1106</v>
      </c>
      <c r="BD642" s="5" t="s">
        <v>1107</v>
      </c>
    </row>
    <row r="643" spans="1:56" ht="36" hidden="1" x14ac:dyDescent="0.25">
      <c r="A643" s="78" t="s">
        <v>1056</v>
      </c>
      <c r="B643" s="5" t="s">
        <v>1057</v>
      </c>
      <c r="C643" s="5" t="s">
        <v>3293</v>
      </c>
      <c r="D643" s="5" t="s">
        <v>252</v>
      </c>
      <c r="E643" s="99" t="str">
        <f>VLOOKUP(D643,'Dropdown List'!$F$26:$G$40,2,0)</f>
        <v>India</v>
      </c>
      <c r="F643" s="6" t="s">
        <v>1058</v>
      </c>
      <c r="G643" s="7">
        <v>16</v>
      </c>
      <c r="H643" s="5" t="s">
        <v>57</v>
      </c>
      <c r="I643" s="8" t="s">
        <v>58</v>
      </c>
      <c r="J643" s="6" t="s">
        <v>396</v>
      </c>
      <c r="K643" s="6" t="s">
        <v>397</v>
      </c>
      <c r="L643" s="6" t="s">
        <v>3408</v>
      </c>
      <c r="M643" s="6" t="s">
        <v>1100</v>
      </c>
      <c r="N643" s="5" t="s">
        <v>319</v>
      </c>
      <c r="O643" s="5" t="s">
        <v>74</v>
      </c>
      <c r="P643" s="5" t="s">
        <v>74</v>
      </c>
      <c r="Q643" s="9" t="s">
        <v>75</v>
      </c>
      <c r="R643" s="5" t="s">
        <v>76</v>
      </c>
      <c r="S643" s="5" t="s">
        <v>64</v>
      </c>
      <c r="T643" s="7">
        <v>2</v>
      </c>
      <c r="U643" s="7">
        <v>3</v>
      </c>
      <c r="V643" s="7">
        <v>8</v>
      </c>
      <c r="W643" s="5" t="s">
        <v>91</v>
      </c>
      <c r="X643" s="10" t="s">
        <v>79</v>
      </c>
      <c r="Y643" s="11">
        <v>20485.54</v>
      </c>
      <c r="Z643" s="12">
        <v>2.4180000000000001</v>
      </c>
      <c r="AA643" s="12">
        <v>0.3</v>
      </c>
      <c r="AB643" s="12">
        <v>0</v>
      </c>
      <c r="AC643" s="13">
        <v>0.23</v>
      </c>
      <c r="AD643" s="14">
        <f t="shared" si="20"/>
        <v>2.948</v>
      </c>
      <c r="AE643" s="15">
        <f t="shared" si="21"/>
        <v>7.8018995929443696E-2</v>
      </c>
      <c r="AF643" s="16">
        <v>4825.8</v>
      </c>
      <c r="AG643" s="16" t="s">
        <v>3409</v>
      </c>
      <c r="AH643" s="17" t="s">
        <v>1101</v>
      </c>
      <c r="AI643" s="18">
        <v>4.4800000000000004</v>
      </c>
      <c r="AJ643" s="19" t="s">
        <v>1102</v>
      </c>
      <c r="AK643" s="20">
        <v>0.95</v>
      </c>
      <c r="AL643" s="17" t="s">
        <v>92</v>
      </c>
      <c r="AM643" s="5" t="s">
        <v>66</v>
      </c>
      <c r="AN643" s="5" t="s">
        <v>66</v>
      </c>
      <c r="AO643" s="5" t="s">
        <v>1103</v>
      </c>
      <c r="AP643" s="5" t="s">
        <v>1104</v>
      </c>
      <c r="AQ643" s="5" t="s">
        <v>200</v>
      </c>
      <c r="AR643" s="5" t="s">
        <v>66</v>
      </c>
      <c r="AS643" s="5" t="s">
        <v>66</v>
      </c>
      <c r="AT643" s="5" t="s">
        <v>66</v>
      </c>
      <c r="AU643" s="5" t="s">
        <v>66</v>
      </c>
      <c r="AV643" s="5" t="s">
        <v>66</v>
      </c>
      <c r="AW643" s="5" t="s">
        <v>1105</v>
      </c>
      <c r="AX643" s="5" t="s">
        <v>924</v>
      </c>
      <c r="AY643" s="5" t="s">
        <v>65</v>
      </c>
      <c r="AZ643" s="5" t="s">
        <v>80</v>
      </c>
      <c r="BA643" s="19" t="s">
        <v>769</v>
      </c>
      <c r="BB643" s="17" t="s">
        <v>69</v>
      </c>
      <c r="BC643" s="5" t="s">
        <v>1106</v>
      </c>
      <c r="BD643" s="5" t="s">
        <v>1107</v>
      </c>
    </row>
    <row r="644" spans="1:56" ht="36" hidden="1" x14ac:dyDescent="0.25">
      <c r="A644" s="78" t="s">
        <v>1056</v>
      </c>
      <c r="B644" s="5" t="s">
        <v>1057</v>
      </c>
      <c r="C644" s="5" t="s">
        <v>3293</v>
      </c>
      <c r="D644" s="5" t="s">
        <v>252</v>
      </c>
      <c r="E644" s="99" t="str">
        <f>VLOOKUP(D644,'Dropdown List'!$F$26:$G$40,2,0)</f>
        <v>India</v>
      </c>
      <c r="F644" s="6" t="s">
        <v>1058</v>
      </c>
      <c r="G644" s="7">
        <v>16</v>
      </c>
      <c r="H644" s="5" t="s">
        <v>57</v>
      </c>
      <c r="I644" s="8" t="s">
        <v>58</v>
      </c>
      <c r="J644" s="6" t="s">
        <v>396</v>
      </c>
      <c r="K644" s="6" t="s">
        <v>397</v>
      </c>
      <c r="L644" s="6" t="s">
        <v>3410</v>
      </c>
      <c r="M644" s="6" t="s">
        <v>1100</v>
      </c>
      <c r="N644" s="5" t="s">
        <v>1034</v>
      </c>
      <c r="O644" s="5" t="s">
        <v>89</v>
      </c>
      <c r="P644" s="5" t="s">
        <v>89</v>
      </c>
      <c r="Q644" s="9" t="s">
        <v>75</v>
      </c>
      <c r="R644" s="5" t="s">
        <v>76</v>
      </c>
      <c r="S644" s="5" t="s">
        <v>64</v>
      </c>
      <c r="T644" s="7">
        <v>2</v>
      </c>
      <c r="U644" s="7">
        <v>3</v>
      </c>
      <c r="V644" s="7">
        <v>8</v>
      </c>
      <c r="W644" s="5" t="s">
        <v>91</v>
      </c>
      <c r="X644" s="10" t="s">
        <v>79</v>
      </c>
      <c r="Y644" s="11">
        <v>20485.54</v>
      </c>
      <c r="Z644" s="12">
        <v>1.1284000000000001</v>
      </c>
      <c r="AA644" s="12">
        <v>0.14000000000000001</v>
      </c>
      <c r="AB644" s="12">
        <v>0</v>
      </c>
      <c r="AC644" s="13">
        <v>0.13</v>
      </c>
      <c r="AD644" s="14">
        <f t="shared" si="20"/>
        <v>1.3984000000000001</v>
      </c>
      <c r="AE644" s="15">
        <f t="shared" si="21"/>
        <v>9.2963386727688779E-2</v>
      </c>
      <c r="AF644" s="16">
        <v>2252.0400000000004</v>
      </c>
      <c r="AG644" s="16" t="s">
        <v>3411</v>
      </c>
      <c r="AH644" s="17" t="s">
        <v>1101</v>
      </c>
      <c r="AI644" s="18">
        <v>4.4800000000000004</v>
      </c>
      <c r="AJ644" s="19" t="s">
        <v>1102</v>
      </c>
      <c r="AK644" s="20">
        <v>0.95</v>
      </c>
      <c r="AL644" s="17" t="s">
        <v>92</v>
      </c>
      <c r="AM644" s="5" t="s">
        <v>66</v>
      </c>
      <c r="AN644" s="5" t="s">
        <v>66</v>
      </c>
      <c r="AO644" s="5" t="s">
        <v>1103</v>
      </c>
      <c r="AP644" s="5" t="s">
        <v>1104</v>
      </c>
      <c r="AQ644" s="5" t="s">
        <v>200</v>
      </c>
      <c r="AR644" s="5" t="s">
        <v>66</v>
      </c>
      <c r="AS644" s="5" t="s">
        <v>66</v>
      </c>
      <c r="AT644" s="5" t="s">
        <v>66</v>
      </c>
      <c r="AU644" s="5" t="s">
        <v>66</v>
      </c>
      <c r="AV644" s="5" t="s">
        <v>66</v>
      </c>
      <c r="AW644" s="5" t="s">
        <v>1105</v>
      </c>
      <c r="AX644" s="5" t="s">
        <v>924</v>
      </c>
      <c r="AY644" s="5" t="s">
        <v>65</v>
      </c>
      <c r="AZ644" s="5" t="s">
        <v>80</v>
      </c>
      <c r="BA644" s="19" t="s">
        <v>769</v>
      </c>
      <c r="BB644" s="17" t="s">
        <v>69</v>
      </c>
      <c r="BC644" s="5" t="s">
        <v>1106</v>
      </c>
      <c r="BD644" s="5" t="s">
        <v>1107</v>
      </c>
    </row>
    <row r="645" spans="1:56" ht="36" hidden="1" x14ac:dyDescent="0.25">
      <c r="A645" s="78" t="s">
        <v>1056</v>
      </c>
      <c r="B645" s="5" t="s">
        <v>1057</v>
      </c>
      <c r="C645" s="5" t="s">
        <v>3293</v>
      </c>
      <c r="D645" s="5" t="s">
        <v>252</v>
      </c>
      <c r="E645" s="99" t="str">
        <f>VLOOKUP(D645,'Dropdown List'!$F$26:$G$40,2,0)</f>
        <v>India</v>
      </c>
      <c r="F645" s="6" t="s">
        <v>1058</v>
      </c>
      <c r="G645" s="7">
        <v>16</v>
      </c>
      <c r="H645" s="5" t="s">
        <v>57</v>
      </c>
      <c r="I645" s="8" t="s">
        <v>58</v>
      </c>
      <c r="J645" s="6" t="s">
        <v>396</v>
      </c>
      <c r="K645" s="6" t="s">
        <v>397</v>
      </c>
      <c r="L645" s="6" t="s">
        <v>3412</v>
      </c>
      <c r="M645" s="6" t="s">
        <v>1100</v>
      </c>
      <c r="N645" s="5" t="s">
        <v>1034</v>
      </c>
      <c r="O645" s="5" t="s">
        <v>74</v>
      </c>
      <c r="P645" s="5" t="s">
        <v>74</v>
      </c>
      <c r="Q645" s="9" t="s">
        <v>75</v>
      </c>
      <c r="R645" s="5" t="s">
        <v>76</v>
      </c>
      <c r="S645" s="5" t="s">
        <v>64</v>
      </c>
      <c r="T645" s="7">
        <v>2</v>
      </c>
      <c r="U645" s="7">
        <v>3</v>
      </c>
      <c r="V645" s="7">
        <v>8</v>
      </c>
      <c r="W645" s="5" t="s">
        <v>91</v>
      </c>
      <c r="X645" s="10" t="s">
        <v>79</v>
      </c>
      <c r="Y645" s="11">
        <v>20485.54</v>
      </c>
      <c r="Z645" s="12">
        <v>0.32240000000000002</v>
      </c>
      <c r="AA645" s="12">
        <v>0.4</v>
      </c>
      <c r="AB645" s="12">
        <v>0</v>
      </c>
      <c r="AC645" s="13">
        <v>0.1</v>
      </c>
      <c r="AD645" s="14">
        <f t="shared" ref="AD645:AD708" si="22">SUM(Z645:AC645)</f>
        <v>0.82240000000000002</v>
      </c>
      <c r="AE645" s="15">
        <f t="shared" ref="AE645:AE708" si="23">AC645/AD645</f>
        <v>0.12159533073929961</v>
      </c>
      <c r="AF645" s="16">
        <v>643.44000000000005</v>
      </c>
      <c r="AG645" s="16" t="s">
        <v>3413</v>
      </c>
      <c r="AH645" s="17" t="s">
        <v>1101</v>
      </c>
      <c r="AI645" s="18">
        <v>4.4800000000000004</v>
      </c>
      <c r="AJ645" s="19" t="s">
        <v>1102</v>
      </c>
      <c r="AK645" s="20">
        <v>0.95</v>
      </c>
      <c r="AL645" s="17" t="s">
        <v>92</v>
      </c>
      <c r="AM645" s="5" t="s">
        <v>66</v>
      </c>
      <c r="AN645" s="5" t="s">
        <v>66</v>
      </c>
      <c r="AO645" s="5" t="s">
        <v>1103</v>
      </c>
      <c r="AP645" s="5" t="s">
        <v>1104</v>
      </c>
      <c r="AQ645" s="5" t="s">
        <v>200</v>
      </c>
      <c r="AR645" s="5" t="s">
        <v>66</v>
      </c>
      <c r="AS645" s="5" t="s">
        <v>66</v>
      </c>
      <c r="AT645" s="5" t="s">
        <v>66</v>
      </c>
      <c r="AU645" s="5" t="s">
        <v>66</v>
      </c>
      <c r="AV645" s="5" t="s">
        <v>66</v>
      </c>
      <c r="AW645" s="5" t="s">
        <v>1105</v>
      </c>
      <c r="AX645" s="5" t="s">
        <v>924</v>
      </c>
      <c r="AY645" s="5" t="s">
        <v>65</v>
      </c>
      <c r="AZ645" s="5" t="s">
        <v>80</v>
      </c>
      <c r="BA645" s="19" t="s">
        <v>769</v>
      </c>
      <c r="BB645" s="17" t="s">
        <v>69</v>
      </c>
      <c r="BC645" s="5" t="s">
        <v>1106</v>
      </c>
      <c r="BD645" s="5" t="s">
        <v>1107</v>
      </c>
    </row>
    <row r="646" spans="1:56" ht="36" hidden="1" x14ac:dyDescent="0.25">
      <c r="A646" s="78" t="s">
        <v>1056</v>
      </c>
      <c r="B646" s="5" t="s">
        <v>1057</v>
      </c>
      <c r="C646" s="5" t="s">
        <v>3293</v>
      </c>
      <c r="D646" s="5" t="s">
        <v>252</v>
      </c>
      <c r="E646" s="99" t="str">
        <f>VLOOKUP(D646,'Dropdown List'!$F$26:$G$40,2,0)</f>
        <v>India</v>
      </c>
      <c r="F646" s="6" t="s">
        <v>1058</v>
      </c>
      <c r="G646" s="7">
        <v>16</v>
      </c>
      <c r="H646" s="5" t="s">
        <v>57</v>
      </c>
      <c r="I646" s="8" t="s">
        <v>58</v>
      </c>
      <c r="J646" s="6" t="s">
        <v>396</v>
      </c>
      <c r="K646" s="6" t="s">
        <v>397</v>
      </c>
      <c r="L646" s="6" t="s">
        <v>3414</v>
      </c>
      <c r="M646" s="6" t="s">
        <v>1100</v>
      </c>
      <c r="N646" s="5" t="s">
        <v>1034</v>
      </c>
      <c r="O646" s="5" t="s">
        <v>2042</v>
      </c>
      <c r="P646" s="5" t="s">
        <v>1051</v>
      </c>
      <c r="Q646" s="9" t="s">
        <v>75</v>
      </c>
      <c r="R646" s="5" t="s">
        <v>76</v>
      </c>
      <c r="S646" s="5" t="s">
        <v>64</v>
      </c>
      <c r="T646" s="7">
        <v>2</v>
      </c>
      <c r="U646" s="7">
        <v>3</v>
      </c>
      <c r="V646" s="7">
        <v>8</v>
      </c>
      <c r="W646" s="5" t="s">
        <v>91</v>
      </c>
      <c r="X646" s="10" t="s">
        <v>79</v>
      </c>
      <c r="Y646" s="11">
        <v>20485.54</v>
      </c>
      <c r="Z646" s="12">
        <v>8.0600000000000005E-2</v>
      </c>
      <c r="AA646" s="12">
        <v>0.1</v>
      </c>
      <c r="AB646" s="12">
        <v>0</v>
      </c>
      <c r="AC646" s="13">
        <v>7.0000000000000007E-2</v>
      </c>
      <c r="AD646" s="14">
        <f t="shared" si="22"/>
        <v>0.25060000000000004</v>
      </c>
      <c r="AE646" s="15">
        <f t="shared" si="23"/>
        <v>0.27932960893854747</v>
      </c>
      <c r="AF646" s="16">
        <v>162</v>
      </c>
      <c r="AG646" s="16" t="s">
        <v>3415</v>
      </c>
      <c r="AH646" s="17" t="s">
        <v>1101</v>
      </c>
      <c r="AI646" s="18">
        <v>4.4800000000000004</v>
      </c>
      <c r="AJ646" s="19" t="s">
        <v>1102</v>
      </c>
      <c r="AK646" s="20">
        <v>0.95</v>
      </c>
      <c r="AL646" s="17" t="s">
        <v>92</v>
      </c>
      <c r="AM646" s="5" t="s">
        <v>66</v>
      </c>
      <c r="AN646" s="5" t="s">
        <v>66</v>
      </c>
      <c r="AO646" s="5" t="s">
        <v>1103</v>
      </c>
      <c r="AP646" s="5" t="s">
        <v>1104</v>
      </c>
      <c r="AQ646" s="5" t="s">
        <v>200</v>
      </c>
      <c r="AR646" s="5" t="s">
        <v>66</v>
      </c>
      <c r="AS646" s="5" t="s">
        <v>66</v>
      </c>
      <c r="AT646" s="5" t="s">
        <v>66</v>
      </c>
      <c r="AU646" s="5" t="s">
        <v>66</v>
      </c>
      <c r="AV646" s="5" t="s">
        <v>66</v>
      </c>
      <c r="AW646" s="5" t="s">
        <v>1105</v>
      </c>
      <c r="AX646" s="5" t="s">
        <v>924</v>
      </c>
      <c r="AY646" s="5" t="s">
        <v>65</v>
      </c>
      <c r="AZ646" s="5" t="s">
        <v>80</v>
      </c>
      <c r="BA646" s="19" t="s">
        <v>769</v>
      </c>
      <c r="BB646" s="17" t="s">
        <v>69</v>
      </c>
      <c r="BC646" s="5" t="s">
        <v>1106</v>
      </c>
      <c r="BD646" s="5" t="s">
        <v>1107</v>
      </c>
    </row>
    <row r="647" spans="1:56" ht="36" hidden="1" x14ac:dyDescent="0.25">
      <c r="A647" s="78" t="s">
        <v>1056</v>
      </c>
      <c r="B647" s="5" t="s">
        <v>1057</v>
      </c>
      <c r="C647" s="5" t="s">
        <v>3293</v>
      </c>
      <c r="D647" s="5" t="s">
        <v>252</v>
      </c>
      <c r="E647" s="99" t="str">
        <f>VLOOKUP(D647,'Dropdown List'!$F$26:$G$40,2,0)</f>
        <v>India</v>
      </c>
      <c r="F647" s="6" t="s">
        <v>1058</v>
      </c>
      <c r="G647" s="7">
        <v>16</v>
      </c>
      <c r="H647" s="5" t="s">
        <v>57</v>
      </c>
      <c r="I647" s="8" t="s">
        <v>58</v>
      </c>
      <c r="J647" s="6" t="s">
        <v>396</v>
      </c>
      <c r="K647" s="6" t="s">
        <v>397</v>
      </c>
      <c r="L647" s="6" t="s">
        <v>3416</v>
      </c>
      <c r="M647" s="6" t="s">
        <v>1100</v>
      </c>
      <c r="N647" s="5" t="s">
        <v>1034</v>
      </c>
      <c r="O647" s="5" t="s">
        <v>1069</v>
      </c>
      <c r="P647" s="5" t="s">
        <v>1069</v>
      </c>
      <c r="Q647" s="9" t="s">
        <v>75</v>
      </c>
      <c r="R647" s="5" t="s">
        <v>76</v>
      </c>
      <c r="S647" s="5" t="s">
        <v>64</v>
      </c>
      <c r="T647" s="7">
        <v>2</v>
      </c>
      <c r="U647" s="7">
        <v>3</v>
      </c>
      <c r="V647" s="7">
        <v>8</v>
      </c>
      <c r="W647" s="5" t="s">
        <v>91</v>
      </c>
      <c r="X647" s="10" t="s">
        <v>79</v>
      </c>
      <c r="Y647" s="11">
        <v>20485.54</v>
      </c>
      <c r="Z647" s="12">
        <v>8.0600000000000005E-2</v>
      </c>
      <c r="AA647" s="12">
        <v>0.1</v>
      </c>
      <c r="AB647" s="12">
        <v>0</v>
      </c>
      <c r="AC647" s="13">
        <v>7.0000000000000007E-2</v>
      </c>
      <c r="AD647" s="14">
        <f t="shared" si="22"/>
        <v>0.25060000000000004</v>
      </c>
      <c r="AE647" s="15">
        <f t="shared" si="23"/>
        <v>0.27932960893854747</v>
      </c>
      <c r="AF647" s="16">
        <v>160</v>
      </c>
      <c r="AG647" s="16" t="s">
        <v>3417</v>
      </c>
      <c r="AH647" s="17" t="s">
        <v>1101</v>
      </c>
      <c r="AI647" s="18">
        <v>4.4800000000000004</v>
      </c>
      <c r="AJ647" s="19" t="s">
        <v>1102</v>
      </c>
      <c r="AK647" s="20">
        <v>0.95</v>
      </c>
      <c r="AL647" s="17" t="s">
        <v>92</v>
      </c>
      <c r="AM647" s="5" t="s">
        <v>66</v>
      </c>
      <c r="AN647" s="5" t="s">
        <v>66</v>
      </c>
      <c r="AO647" s="5" t="s">
        <v>1103</v>
      </c>
      <c r="AP647" s="5" t="s">
        <v>1104</v>
      </c>
      <c r="AQ647" s="5" t="s">
        <v>200</v>
      </c>
      <c r="AR647" s="5" t="s">
        <v>66</v>
      </c>
      <c r="AS647" s="5" t="s">
        <v>66</v>
      </c>
      <c r="AT647" s="5" t="s">
        <v>66</v>
      </c>
      <c r="AU647" s="5" t="s">
        <v>66</v>
      </c>
      <c r="AV647" s="5" t="s">
        <v>66</v>
      </c>
      <c r="AW647" s="5" t="s">
        <v>1105</v>
      </c>
      <c r="AX647" s="5" t="s">
        <v>924</v>
      </c>
      <c r="AY647" s="5" t="s">
        <v>65</v>
      </c>
      <c r="AZ647" s="5" t="s">
        <v>80</v>
      </c>
      <c r="BA647" s="19" t="s">
        <v>769</v>
      </c>
      <c r="BB647" s="17" t="s">
        <v>69</v>
      </c>
      <c r="BC647" s="5" t="s">
        <v>1106</v>
      </c>
      <c r="BD647" s="5" t="s">
        <v>1107</v>
      </c>
    </row>
    <row r="648" spans="1:56" ht="48" hidden="1" x14ac:dyDescent="0.25">
      <c r="A648" s="78" t="s">
        <v>1056</v>
      </c>
      <c r="B648" s="5" t="s">
        <v>1057</v>
      </c>
      <c r="C648" s="5" t="s">
        <v>3293</v>
      </c>
      <c r="D648" s="5" t="s">
        <v>252</v>
      </c>
      <c r="E648" s="99" t="str">
        <f>VLOOKUP(D648,'Dropdown List'!$F$26:$G$40,2,0)</f>
        <v>India</v>
      </c>
      <c r="F648" s="6" t="s">
        <v>1058</v>
      </c>
      <c r="G648" s="7">
        <v>16</v>
      </c>
      <c r="H648" s="5" t="s">
        <v>57</v>
      </c>
      <c r="I648" s="8" t="s">
        <v>58</v>
      </c>
      <c r="J648" s="6" t="s">
        <v>59</v>
      </c>
      <c r="K648" s="6" t="s">
        <v>487</v>
      </c>
      <c r="L648" s="6" t="s">
        <v>3418</v>
      </c>
      <c r="M648" s="106" t="s">
        <v>2947</v>
      </c>
      <c r="N648" s="5" t="s">
        <v>319</v>
      </c>
      <c r="O648" s="5" t="s">
        <v>89</v>
      </c>
      <c r="P648" s="5" t="s">
        <v>89</v>
      </c>
      <c r="Q648" s="9" t="s">
        <v>75</v>
      </c>
      <c r="R648" s="5" t="s">
        <v>63</v>
      </c>
      <c r="S648" s="5" t="s">
        <v>64</v>
      </c>
      <c r="T648" s="7">
        <v>2</v>
      </c>
      <c r="U648" s="7">
        <v>3</v>
      </c>
      <c r="V648" s="7">
        <v>4</v>
      </c>
      <c r="W648" s="5" t="s">
        <v>91</v>
      </c>
      <c r="X648" s="10" t="s">
        <v>79</v>
      </c>
      <c r="Y648" s="11">
        <v>21004.07</v>
      </c>
      <c r="Z648" s="12">
        <v>8.6199999999999992</v>
      </c>
      <c r="AA648" s="12">
        <v>0.7</v>
      </c>
      <c r="AB648" s="12">
        <v>0.7</v>
      </c>
      <c r="AC648" s="13">
        <v>0.48</v>
      </c>
      <c r="AD648" s="14">
        <f t="shared" si="22"/>
        <v>10.499999999999998</v>
      </c>
      <c r="AE648" s="15">
        <f t="shared" si="23"/>
        <v>4.5714285714285721E-2</v>
      </c>
      <c r="AF648" s="16">
        <v>4970</v>
      </c>
      <c r="AG648" s="16" t="s">
        <v>3419</v>
      </c>
      <c r="AH648" s="17" t="s">
        <v>66</v>
      </c>
      <c r="AI648" s="18" t="s">
        <v>2948</v>
      </c>
      <c r="AJ648" s="19" t="s">
        <v>1108</v>
      </c>
      <c r="AK648" s="20">
        <v>0.97</v>
      </c>
      <c r="AL648" s="17" t="s">
        <v>92</v>
      </c>
      <c r="AM648" s="5" t="s">
        <v>66</v>
      </c>
      <c r="AN648" s="5" t="s">
        <v>66</v>
      </c>
      <c r="AO648" s="5" t="s">
        <v>66</v>
      </c>
      <c r="AP648" s="5" t="s">
        <v>66</v>
      </c>
      <c r="AQ648" s="5" t="s">
        <v>66</v>
      </c>
      <c r="AR648" s="5" t="s">
        <v>66</v>
      </c>
      <c r="AS648" s="5" t="s">
        <v>66</v>
      </c>
      <c r="AT648" s="5" t="s">
        <v>66</v>
      </c>
      <c r="AU648" s="5" t="s">
        <v>66</v>
      </c>
      <c r="AV648" s="5" t="s">
        <v>66</v>
      </c>
      <c r="AW648" s="5" t="s">
        <v>66</v>
      </c>
      <c r="AX648" s="5" t="s">
        <v>1109</v>
      </c>
      <c r="AY648" s="5" t="s">
        <v>353</v>
      </c>
      <c r="AZ648" s="5" t="s">
        <v>80</v>
      </c>
      <c r="BA648" s="19" t="s">
        <v>769</v>
      </c>
      <c r="BB648" s="17" t="s">
        <v>69</v>
      </c>
      <c r="BC648" s="5" t="s">
        <v>1110</v>
      </c>
      <c r="BD648" s="5" t="s">
        <v>2949</v>
      </c>
    </row>
    <row r="649" spans="1:56" ht="48" hidden="1" x14ac:dyDescent="0.25">
      <c r="A649" s="78" t="s">
        <v>1056</v>
      </c>
      <c r="B649" s="5" t="s">
        <v>1057</v>
      </c>
      <c r="C649" s="5" t="s">
        <v>3293</v>
      </c>
      <c r="D649" s="5" t="s">
        <v>252</v>
      </c>
      <c r="E649" s="99" t="str">
        <f>VLOOKUP(D649,'Dropdown List'!$F$26:$G$40,2,0)</f>
        <v>India</v>
      </c>
      <c r="F649" s="6" t="s">
        <v>1058</v>
      </c>
      <c r="G649" s="7">
        <v>16</v>
      </c>
      <c r="H649" s="5" t="s">
        <v>57</v>
      </c>
      <c r="I649" s="8" t="s">
        <v>58</v>
      </c>
      <c r="J649" s="6" t="s">
        <v>59</v>
      </c>
      <c r="K649" s="6" t="s">
        <v>487</v>
      </c>
      <c r="L649" s="6" t="s">
        <v>3420</v>
      </c>
      <c r="M649" s="106" t="s">
        <v>2947</v>
      </c>
      <c r="N649" s="5" t="s">
        <v>1034</v>
      </c>
      <c r="O649" s="5" t="s">
        <v>89</v>
      </c>
      <c r="P649" s="5" t="s">
        <v>89</v>
      </c>
      <c r="Q649" s="9" t="s">
        <v>75</v>
      </c>
      <c r="R649" s="5" t="s">
        <v>63</v>
      </c>
      <c r="S649" s="5" t="s">
        <v>64</v>
      </c>
      <c r="T649" s="7">
        <v>2</v>
      </c>
      <c r="U649" s="7">
        <v>3</v>
      </c>
      <c r="V649" s="7">
        <v>4</v>
      </c>
      <c r="W649" s="5" t="s">
        <v>91</v>
      </c>
      <c r="X649" s="10" t="s">
        <v>79</v>
      </c>
      <c r="Y649" s="11">
        <v>21004.07</v>
      </c>
      <c r="Z649" s="12">
        <v>3.7</v>
      </c>
      <c r="AA649" s="12">
        <v>0.3</v>
      </c>
      <c r="AB649" s="12">
        <v>0.3</v>
      </c>
      <c r="AC649" s="13">
        <v>0.2</v>
      </c>
      <c r="AD649" s="14">
        <f t="shared" si="22"/>
        <v>4.5</v>
      </c>
      <c r="AE649" s="15">
        <f t="shared" si="23"/>
        <v>4.4444444444444446E-2</v>
      </c>
      <c r="AF649" s="16">
        <v>2130</v>
      </c>
      <c r="AG649" s="16" t="s">
        <v>3421</v>
      </c>
      <c r="AH649" s="17" t="s">
        <v>66</v>
      </c>
      <c r="AI649" s="18" t="s">
        <v>2948</v>
      </c>
      <c r="AJ649" s="19" t="s">
        <v>1108</v>
      </c>
      <c r="AK649" s="20">
        <v>0.97</v>
      </c>
      <c r="AL649" s="17" t="s">
        <v>92</v>
      </c>
      <c r="AM649" s="5" t="s">
        <v>66</v>
      </c>
      <c r="AN649" s="5" t="s">
        <v>66</v>
      </c>
      <c r="AO649" s="5" t="s">
        <v>66</v>
      </c>
      <c r="AP649" s="5" t="s">
        <v>66</v>
      </c>
      <c r="AQ649" s="5" t="s">
        <v>66</v>
      </c>
      <c r="AR649" s="5" t="s">
        <v>66</v>
      </c>
      <c r="AS649" s="5" t="s">
        <v>66</v>
      </c>
      <c r="AT649" s="5" t="s">
        <v>66</v>
      </c>
      <c r="AU649" s="5" t="s">
        <v>66</v>
      </c>
      <c r="AV649" s="5" t="s">
        <v>66</v>
      </c>
      <c r="AW649" s="5" t="s">
        <v>66</v>
      </c>
      <c r="AX649" s="5" t="s">
        <v>1109</v>
      </c>
      <c r="AY649" s="5" t="s">
        <v>353</v>
      </c>
      <c r="AZ649" s="5" t="s">
        <v>80</v>
      </c>
      <c r="BA649" s="19" t="s">
        <v>769</v>
      </c>
      <c r="BB649" s="17" t="s">
        <v>69</v>
      </c>
      <c r="BC649" s="5" t="s">
        <v>1110</v>
      </c>
      <c r="BD649" s="5" t="s">
        <v>2949</v>
      </c>
    </row>
    <row r="650" spans="1:56" ht="60" hidden="1" x14ac:dyDescent="0.25">
      <c r="A650" s="78" t="s">
        <v>1056</v>
      </c>
      <c r="B650" s="5" t="s">
        <v>1057</v>
      </c>
      <c r="C650" s="5" t="s">
        <v>3293</v>
      </c>
      <c r="D650" s="5" t="s">
        <v>252</v>
      </c>
      <c r="E650" s="99" t="str">
        <f>VLOOKUP(D650,'Dropdown List'!$F$26:$G$40,2,0)</f>
        <v>India</v>
      </c>
      <c r="F650" s="6" t="s">
        <v>1058</v>
      </c>
      <c r="G650" s="7">
        <v>14</v>
      </c>
      <c r="H650" s="5" t="s">
        <v>57</v>
      </c>
      <c r="I650" s="8" t="s">
        <v>58</v>
      </c>
      <c r="J650" s="6" t="s">
        <v>59</v>
      </c>
      <c r="K650" s="6" t="s">
        <v>487</v>
      </c>
      <c r="L650" s="6" t="s">
        <v>3422</v>
      </c>
      <c r="M650" s="6" t="s">
        <v>2950</v>
      </c>
      <c r="N650" s="5" t="s">
        <v>319</v>
      </c>
      <c r="O650" s="5" t="s">
        <v>89</v>
      </c>
      <c r="P650" s="5" t="s">
        <v>89</v>
      </c>
      <c r="Q650" s="9" t="s">
        <v>75</v>
      </c>
      <c r="R650" s="5" t="s">
        <v>76</v>
      </c>
      <c r="S650" s="5" t="s">
        <v>64</v>
      </c>
      <c r="T650" s="7">
        <v>2</v>
      </c>
      <c r="U650" s="7">
        <v>3</v>
      </c>
      <c r="V650" s="7">
        <v>4</v>
      </c>
      <c r="W650" s="5" t="s">
        <v>91</v>
      </c>
      <c r="X650" s="10" t="s">
        <v>79</v>
      </c>
      <c r="Y650" s="11">
        <v>21004.07</v>
      </c>
      <c r="Z650" s="12">
        <v>4.53</v>
      </c>
      <c r="AA650" s="12">
        <v>0.7</v>
      </c>
      <c r="AB650" s="12">
        <v>0</v>
      </c>
      <c r="AC650" s="13">
        <v>1.07</v>
      </c>
      <c r="AD650" s="14">
        <f t="shared" si="22"/>
        <v>6.3000000000000007</v>
      </c>
      <c r="AE650" s="15">
        <f t="shared" si="23"/>
        <v>0.16984126984126982</v>
      </c>
      <c r="AF650" s="16">
        <v>2240</v>
      </c>
      <c r="AG650" s="16" t="s">
        <v>3419</v>
      </c>
      <c r="AH650" s="17" t="s">
        <v>66</v>
      </c>
      <c r="AI650" s="18" t="s">
        <v>2951</v>
      </c>
      <c r="AJ650" s="19" t="s">
        <v>1111</v>
      </c>
      <c r="AK650" s="20">
        <v>0.95</v>
      </c>
      <c r="AL650" s="17" t="s">
        <v>92</v>
      </c>
      <c r="AM650" s="5" t="s">
        <v>66</v>
      </c>
      <c r="AN650" s="5" t="s">
        <v>66</v>
      </c>
      <c r="AO650" s="5" t="s">
        <v>66</v>
      </c>
      <c r="AP650" s="5" t="s">
        <v>66</v>
      </c>
      <c r="AQ650" s="5" t="s">
        <v>66</v>
      </c>
      <c r="AR650" s="5" t="s">
        <v>66</v>
      </c>
      <c r="AS650" s="5" t="s">
        <v>66</v>
      </c>
      <c r="AT650" s="5" t="s">
        <v>66</v>
      </c>
      <c r="AU650" s="5" t="s">
        <v>66</v>
      </c>
      <c r="AV650" s="5" t="s">
        <v>66</v>
      </c>
      <c r="AW650" s="5" t="s">
        <v>66</v>
      </c>
      <c r="AX650" s="5" t="s">
        <v>1109</v>
      </c>
      <c r="AY650" s="5" t="s">
        <v>353</v>
      </c>
      <c r="AZ650" s="5" t="s">
        <v>80</v>
      </c>
      <c r="BA650" s="19" t="s">
        <v>769</v>
      </c>
      <c r="BB650" s="17" t="s">
        <v>65</v>
      </c>
      <c r="BC650" s="5" t="s">
        <v>1110</v>
      </c>
      <c r="BD650" s="5" t="s">
        <v>2952</v>
      </c>
    </row>
    <row r="651" spans="1:56" ht="60" hidden="1" x14ac:dyDescent="0.25">
      <c r="A651" s="78" t="s">
        <v>1056</v>
      </c>
      <c r="B651" s="5" t="s">
        <v>1057</v>
      </c>
      <c r="C651" s="5" t="s">
        <v>3293</v>
      </c>
      <c r="D651" s="5" t="s">
        <v>252</v>
      </c>
      <c r="E651" s="99" t="str">
        <f>VLOOKUP(D651,'Dropdown List'!$F$26:$G$40,2,0)</f>
        <v>India</v>
      </c>
      <c r="F651" s="6" t="s">
        <v>1058</v>
      </c>
      <c r="G651" s="7">
        <v>14</v>
      </c>
      <c r="H651" s="5" t="s">
        <v>57</v>
      </c>
      <c r="I651" s="8" t="s">
        <v>58</v>
      </c>
      <c r="J651" s="6" t="s">
        <v>59</v>
      </c>
      <c r="K651" s="6" t="s">
        <v>487</v>
      </c>
      <c r="L651" s="6" t="s">
        <v>3423</v>
      </c>
      <c r="M651" s="6" t="s">
        <v>2950</v>
      </c>
      <c r="N651" s="5" t="s">
        <v>1034</v>
      </c>
      <c r="O651" s="5" t="s">
        <v>89</v>
      </c>
      <c r="P651" s="5" t="s">
        <v>89</v>
      </c>
      <c r="Q651" s="9" t="s">
        <v>75</v>
      </c>
      <c r="R651" s="5" t="s">
        <v>76</v>
      </c>
      <c r="S651" s="5" t="s">
        <v>64</v>
      </c>
      <c r="T651" s="7">
        <v>2</v>
      </c>
      <c r="U651" s="7">
        <v>3</v>
      </c>
      <c r="V651" s="7">
        <v>4</v>
      </c>
      <c r="W651" s="5" t="s">
        <v>91</v>
      </c>
      <c r="X651" s="10" t="s">
        <v>79</v>
      </c>
      <c r="Y651" s="11">
        <v>21004.07</v>
      </c>
      <c r="Z651" s="12">
        <v>1.94</v>
      </c>
      <c r="AA651" s="12">
        <v>0.3</v>
      </c>
      <c r="AB651" s="12">
        <v>0</v>
      </c>
      <c r="AC651" s="13">
        <v>0.46</v>
      </c>
      <c r="AD651" s="14">
        <f t="shared" si="22"/>
        <v>2.6999999999999997</v>
      </c>
      <c r="AE651" s="15">
        <f t="shared" si="23"/>
        <v>0.17037037037037039</v>
      </c>
      <c r="AF651" s="16">
        <v>960</v>
      </c>
      <c r="AG651" s="16" t="s">
        <v>3421</v>
      </c>
      <c r="AH651" s="17" t="s">
        <v>66</v>
      </c>
      <c r="AI651" s="18" t="s">
        <v>2951</v>
      </c>
      <c r="AJ651" s="19" t="s">
        <v>1111</v>
      </c>
      <c r="AK651" s="20">
        <v>0.95</v>
      </c>
      <c r="AL651" s="17" t="s">
        <v>92</v>
      </c>
      <c r="AM651" s="5" t="s">
        <v>66</v>
      </c>
      <c r="AN651" s="5" t="s">
        <v>66</v>
      </c>
      <c r="AO651" s="5" t="s">
        <v>66</v>
      </c>
      <c r="AP651" s="5" t="s">
        <v>66</v>
      </c>
      <c r="AQ651" s="5" t="s">
        <v>66</v>
      </c>
      <c r="AR651" s="5" t="s">
        <v>66</v>
      </c>
      <c r="AS651" s="5" t="s">
        <v>66</v>
      </c>
      <c r="AT651" s="5" t="s">
        <v>66</v>
      </c>
      <c r="AU651" s="5" t="s">
        <v>66</v>
      </c>
      <c r="AV651" s="5" t="s">
        <v>66</v>
      </c>
      <c r="AW651" s="5" t="s">
        <v>66</v>
      </c>
      <c r="AX651" s="5" t="s">
        <v>1109</v>
      </c>
      <c r="AY651" s="5" t="s">
        <v>353</v>
      </c>
      <c r="AZ651" s="5" t="s">
        <v>80</v>
      </c>
      <c r="BA651" s="19" t="s">
        <v>769</v>
      </c>
      <c r="BB651" s="17" t="s">
        <v>65</v>
      </c>
      <c r="BC651" s="5" t="s">
        <v>1110</v>
      </c>
      <c r="BD651" s="5" t="s">
        <v>2952</v>
      </c>
    </row>
    <row r="652" spans="1:56" ht="48" hidden="1" x14ac:dyDescent="0.25">
      <c r="A652" s="78" t="s">
        <v>1056</v>
      </c>
      <c r="B652" s="5" t="s">
        <v>1057</v>
      </c>
      <c r="C652" s="5" t="s">
        <v>3293</v>
      </c>
      <c r="D652" s="5" t="s">
        <v>252</v>
      </c>
      <c r="E652" s="99" t="str">
        <f>VLOOKUP(D652,'Dropdown List'!$F$26:$G$40,2,0)</f>
        <v>India</v>
      </c>
      <c r="F652" s="6" t="s">
        <v>1058</v>
      </c>
      <c r="G652" s="7">
        <v>5</v>
      </c>
      <c r="H652" s="5" t="s">
        <v>57</v>
      </c>
      <c r="I652" s="8" t="s">
        <v>58</v>
      </c>
      <c r="J652" s="6" t="s">
        <v>163</v>
      </c>
      <c r="K652" s="6" t="s">
        <v>762</v>
      </c>
      <c r="L652" s="6" t="s">
        <v>3424</v>
      </c>
      <c r="M652" s="6" t="s">
        <v>1112</v>
      </c>
      <c r="N652" s="5" t="s">
        <v>319</v>
      </c>
      <c r="O652" s="5" t="s">
        <v>89</v>
      </c>
      <c r="P652" s="5" t="s">
        <v>89</v>
      </c>
      <c r="Q652" s="9" t="s">
        <v>75</v>
      </c>
      <c r="R652" s="5" t="s">
        <v>76</v>
      </c>
      <c r="S652" s="5" t="s">
        <v>64</v>
      </c>
      <c r="T652" s="7">
        <v>2</v>
      </c>
      <c r="U652" s="7">
        <v>1</v>
      </c>
      <c r="V652" s="7">
        <v>3</v>
      </c>
      <c r="W652" s="5" t="s">
        <v>91</v>
      </c>
      <c r="X652" s="10" t="s">
        <v>79</v>
      </c>
      <c r="Y652" s="11">
        <v>20485.54</v>
      </c>
      <c r="Z652" s="12">
        <v>3.54</v>
      </c>
      <c r="AA652" s="12">
        <v>0.7</v>
      </c>
      <c r="AB652" s="12">
        <v>0</v>
      </c>
      <c r="AC652" s="13">
        <v>0.45999999999999996</v>
      </c>
      <c r="AD652" s="14">
        <f t="shared" si="22"/>
        <v>4.7</v>
      </c>
      <c r="AE652" s="15">
        <f t="shared" si="23"/>
        <v>9.7872340425531903E-2</v>
      </c>
      <c r="AF652" s="16">
        <v>4270</v>
      </c>
      <c r="AG652" s="16" t="s">
        <v>3419</v>
      </c>
      <c r="AH652" s="17" t="s">
        <v>66</v>
      </c>
      <c r="AI652" s="18" t="s">
        <v>2953</v>
      </c>
      <c r="AJ652" s="19" t="s">
        <v>1113</v>
      </c>
      <c r="AK652" s="20">
        <v>0.95</v>
      </c>
      <c r="AL652" s="17" t="s">
        <v>92</v>
      </c>
      <c r="AM652" s="5" t="s">
        <v>66</v>
      </c>
      <c r="AN652" s="5" t="s">
        <v>66</v>
      </c>
      <c r="AO652" s="5" t="s">
        <v>66</v>
      </c>
      <c r="AP652" s="5" t="s">
        <v>66</v>
      </c>
      <c r="AQ652" s="5" t="s">
        <v>66</v>
      </c>
      <c r="AR652" s="5" t="s">
        <v>66</v>
      </c>
      <c r="AS652" s="5" t="s">
        <v>66</v>
      </c>
      <c r="AT652" s="5" t="s">
        <v>66</v>
      </c>
      <c r="AU652" s="5" t="s">
        <v>66</v>
      </c>
      <c r="AV652" s="5" t="s">
        <v>66</v>
      </c>
      <c r="AW652" s="5" t="s">
        <v>66</v>
      </c>
      <c r="AX652" s="5" t="s">
        <v>1114</v>
      </c>
      <c r="AY652" s="5" t="s">
        <v>110</v>
      </c>
      <c r="AZ652" s="5" t="s">
        <v>80</v>
      </c>
      <c r="BA652" s="19" t="s">
        <v>769</v>
      </c>
      <c r="BB652" s="17" t="s">
        <v>69</v>
      </c>
      <c r="BC652" s="5" t="s">
        <v>1115</v>
      </c>
      <c r="BD652" s="5" t="s">
        <v>2954</v>
      </c>
    </row>
    <row r="653" spans="1:56" ht="48" hidden="1" x14ac:dyDescent="0.25">
      <c r="A653" s="78" t="s">
        <v>1056</v>
      </c>
      <c r="B653" s="5" t="s">
        <v>1057</v>
      </c>
      <c r="C653" s="5" t="s">
        <v>3293</v>
      </c>
      <c r="D653" s="5" t="s">
        <v>252</v>
      </c>
      <c r="E653" s="99" t="str">
        <f>VLOOKUP(D653,'Dropdown List'!$F$26:$G$40,2,0)</f>
        <v>India</v>
      </c>
      <c r="F653" s="6" t="s">
        <v>1058</v>
      </c>
      <c r="G653" s="7">
        <v>5</v>
      </c>
      <c r="H653" s="5" t="s">
        <v>57</v>
      </c>
      <c r="I653" s="8" t="s">
        <v>58</v>
      </c>
      <c r="J653" s="6" t="s">
        <v>163</v>
      </c>
      <c r="K653" s="6" t="s">
        <v>762</v>
      </c>
      <c r="L653" s="6" t="s">
        <v>3425</v>
      </c>
      <c r="M653" s="6" t="s">
        <v>1112</v>
      </c>
      <c r="N653" s="5" t="s">
        <v>1034</v>
      </c>
      <c r="O653" s="5" t="s">
        <v>89</v>
      </c>
      <c r="P653" s="5" t="s">
        <v>89</v>
      </c>
      <c r="Q653" s="9" t="s">
        <v>75</v>
      </c>
      <c r="R653" s="5" t="s">
        <v>76</v>
      </c>
      <c r="S653" s="5" t="s">
        <v>64</v>
      </c>
      <c r="T653" s="7">
        <v>2</v>
      </c>
      <c r="U653" s="7">
        <v>1</v>
      </c>
      <c r="V653" s="7">
        <v>3</v>
      </c>
      <c r="W653" s="5" t="s">
        <v>91</v>
      </c>
      <c r="X653" s="10" t="s">
        <v>79</v>
      </c>
      <c r="Y653" s="11">
        <v>20485.54</v>
      </c>
      <c r="Z653" s="12">
        <v>1.53</v>
      </c>
      <c r="AA653" s="12">
        <v>0.3</v>
      </c>
      <c r="AB653" s="12">
        <v>0</v>
      </c>
      <c r="AC653" s="13">
        <v>0.47</v>
      </c>
      <c r="AD653" s="14">
        <f t="shared" si="22"/>
        <v>2.2999999999999998</v>
      </c>
      <c r="AE653" s="15">
        <f t="shared" si="23"/>
        <v>0.20434782608695654</v>
      </c>
      <c r="AF653" s="16">
        <v>1830</v>
      </c>
      <c r="AG653" s="16" t="s">
        <v>3421</v>
      </c>
      <c r="AH653" s="17" t="s">
        <v>66</v>
      </c>
      <c r="AI653" s="18" t="s">
        <v>2953</v>
      </c>
      <c r="AJ653" s="19" t="s">
        <v>1113</v>
      </c>
      <c r="AK653" s="20">
        <v>0.95</v>
      </c>
      <c r="AL653" s="17" t="s">
        <v>92</v>
      </c>
      <c r="AM653" s="5" t="s">
        <v>66</v>
      </c>
      <c r="AN653" s="5" t="s">
        <v>66</v>
      </c>
      <c r="AO653" s="5" t="s">
        <v>66</v>
      </c>
      <c r="AP653" s="5" t="s">
        <v>66</v>
      </c>
      <c r="AQ653" s="5" t="s">
        <v>66</v>
      </c>
      <c r="AR653" s="5" t="s">
        <v>66</v>
      </c>
      <c r="AS653" s="5" t="s">
        <v>66</v>
      </c>
      <c r="AT653" s="5" t="s">
        <v>66</v>
      </c>
      <c r="AU653" s="5" t="s">
        <v>66</v>
      </c>
      <c r="AV653" s="5" t="s">
        <v>66</v>
      </c>
      <c r="AW653" s="5" t="s">
        <v>66</v>
      </c>
      <c r="AX653" s="5" t="s">
        <v>1114</v>
      </c>
      <c r="AY653" s="5" t="s">
        <v>110</v>
      </c>
      <c r="AZ653" s="5" t="s">
        <v>80</v>
      </c>
      <c r="BA653" s="19" t="s">
        <v>769</v>
      </c>
      <c r="BB653" s="17" t="s">
        <v>69</v>
      </c>
      <c r="BC653" s="5" t="s">
        <v>1115</v>
      </c>
      <c r="BD653" s="5" t="s">
        <v>2954</v>
      </c>
    </row>
    <row r="654" spans="1:56" ht="36" hidden="1" x14ac:dyDescent="0.25">
      <c r="A654" s="78" t="s">
        <v>1056</v>
      </c>
      <c r="B654" s="5" t="s">
        <v>1057</v>
      </c>
      <c r="C654" s="5" t="s">
        <v>3293</v>
      </c>
      <c r="D654" s="5" t="s">
        <v>56</v>
      </c>
      <c r="E654" s="99" t="str">
        <f>VLOOKUP(D654,'Dropdown List'!$F$26:$G$40,2,0)</f>
        <v>India</v>
      </c>
      <c r="F654" s="6" t="s">
        <v>2955</v>
      </c>
      <c r="G654" s="7">
        <v>0.5</v>
      </c>
      <c r="H654" s="5" t="s">
        <v>85</v>
      </c>
      <c r="I654" s="8" t="s">
        <v>58</v>
      </c>
      <c r="J654" s="6" t="s">
        <v>396</v>
      </c>
      <c r="K654" s="6" t="s">
        <v>1468</v>
      </c>
      <c r="L654" s="6" t="s">
        <v>1116</v>
      </c>
      <c r="M654" s="6" t="s">
        <v>1117</v>
      </c>
      <c r="N654" s="5" t="s">
        <v>1034</v>
      </c>
      <c r="O654" s="5" t="s">
        <v>1069</v>
      </c>
      <c r="P654" s="5" t="s">
        <v>1069</v>
      </c>
      <c r="Q654" s="9" t="s">
        <v>62</v>
      </c>
      <c r="R654" s="5" t="s">
        <v>76</v>
      </c>
      <c r="S654" s="5" t="s">
        <v>120</v>
      </c>
      <c r="T654" s="7">
        <v>2</v>
      </c>
      <c r="U654" s="7">
        <v>4</v>
      </c>
      <c r="V654" s="7">
        <v>2</v>
      </c>
      <c r="W654" s="5" t="s">
        <v>91</v>
      </c>
      <c r="X654" s="10" t="s">
        <v>79</v>
      </c>
      <c r="Y654" s="11">
        <v>0</v>
      </c>
      <c r="Z654" s="12">
        <v>0</v>
      </c>
      <c r="AA654" s="12">
        <v>0</v>
      </c>
      <c r="AB654" s="12">
        <v>0</v>
      </c>
      <c r="AC654" s="13">
        <v>0</v>
      </c>
      <c r="AD654" s="14">
        <f t="shared" si="22"/>
        <v>0</v>
      </c>
      <c r="AE654" s="15" t="e">
        <f t="shared" si="23"/>
        <v>#DIV/0!</v>
      </c>
      <c r="AF654" s="16">
        <v>0</v>
      </c>
      <c r="AG654" s="16">
        <v>0</v>
      </c>
      <c r="AH654" s="17" t="s">
        <v>66</v>
      </c>
      <c r="AI654" s="18" t="s">
        <v>66</v>
      </c>
      <c r="AJ654" s="19" t="s">
        <v>66</v>
      </c>
      <c r="AK654" s="20" t="s">
        <v>66</v>
      </c>
      <c r="AL654" s="17" t="s">
        <v>65</v>
      </c>
      <c r="AM654" s="5" t="s">
        <v>66</v>
      </c>
      <c r="AN654" s="5" t="s">
        <v>66</v>
      </c>
      <c r="AO654" s="5" t="s">
        <v>66</v>
      </c>
      <c r="AP654" s="5" t="s">
        <v>66</v>
      </c>
      <c r="AQ654" s="5" t="s">
        <v>66</v>
      </c>
      <c r="AR654" s="5" t="s">
        <v>66</v>
      </c>
      <c r="AS654" s="5" t="s">
        <v>66</v>
      </c>
      <c r="AT654" s="5" t="s">
        <v>66</v>
      </c>
      <c r="AU654" s="5" t="s">
        <v>66</v>
      </c>
      <c r="AV654" s="5" t="s">
        <v>66</v>
      </c>
      <c r="AW654" s="5" t="s">
        <v>66</v>
      </c>
      <c r="AX654" s="5" t="s">
        <v>66</v>
      </c>
      <c r="AY654" s="5" t="s">
        <v>66</v>
      </c>
      <c r="AZ654" s="5" t="s">
        <v>66</v>
      </c>
      <c r="BA654" s="19" t="s">
        <v>66</v>
      </c>
      <c r="BB654" s="17" t="s">
        <v>66</v>
      </c>
      <c r="BC654" s="5" t="s">
        <v>66</v>
      </c>
      <c r="BD654" s="5" t="s">
        <v>66</v>
      </c>
    </row>
    <row r="655" spans="1:56" ht="36" hidden="1" x14ac:dyDescent="0.25">
      <c r="A655" s="78" t="s">
        <v>1056</v>
      </c>
      <c r="B655" s="5" t="s">
        <v>1057</v>
      </c>
      <c r="C655" s="5" t="s">
        <v>3293</v>
      </c>
      <c r="D655" s="5" t="s">
        <v>56</v>
      </c>
      <c r="E655" s="99" t="str">
        <f>VLOOKUP(D655,'Dropdown List'!$F$26:$G$40,2,0)</f>
        <v>India</v>
      </c>
      <c r="F655" s="6" t="s">
        <v>2955</v>
      </c>
      <c r="G655" s="7">
        <v>0.5</v>
      </c>
      <c r="H655" s="5" t="s">
        <v>85</v>
      </c>
      <c r="I655" s="8" t="s">
        <v>58</v>
      </c>
      <c r="J655" s="6" t="s">
        <v>396</v>
      </c>
      <c r="K655" s="6" t="s">
        <v>1468</v>
      </c>
      <c r="L655" s="6" t="s">
        <v>1118</v>
      </c>
      <c r="M655" s="6" t="s">
        <v>1119</v>
      </c>
      <c r="N655" s="5" t="s">
        <v>1034</v>
      </c>
      <c r="O655" s="5" t="s">
        <v>1069</v>
      </c>
      <c r="P655" s="5" t="s">
        <v>1069</v>
      </c>
      <c r="Q655" s="9" t="s">
        <v>62</v>
      </c>
      <c r="R655" s="5" t="s">
        <v>76</v>
      </c>
      <c r="S655" s="5" t="s">
        <v>120</v>
      </c>
      <c r="T655" s="7">
        <v>2</v>
      </c>
      <c r="U655" s="7">
        <v>4</v>
      </c>
      <c r="V655" s="7">
        <v>2</v>
      </c>
      <c r="W655" s="5" t="s">
        <v>91</v>
      </c>
      <c r="X655" s="10" t="s">
        <v>79</v>
      </c>
      <c r="Y655" s="11">
        <v>0</v>
      </c>
      <c r="Z655" s="12">
        <v>0</v>
      </c>
      <c r="AA655" s="12">
        <v>0</v>
      </c>
      <c r="AB655" s="12">
        <v>0</v>
      </c>
      <c r="AC655" s="13">
        <v>0</v>
      </c>
      <c r="AD655" s="14">
        <f t="shared" si="22"/>
        <v>0</v>
      </c>
      <c r="AE655" s="15" t="e">
        <f t="shared" si="23"/>
        <v>#DIV/0!</v>
      </c>
      <c r="AF655" s="16">
        <v>0</v>
      </c>
      <c r="AG655" s="16">
        <v>0</v>
      </c>
      <c r="AH655" s="17" t="s">
        <v>66</v>
      </c>
      <c r="AI655" s="18" t="s">
        <v>66</v>
      </c>
      <c r="AJ655" s="19" t="s">
        <v>66</v>
      </c>
      <c r="AK655" s="20" t="s">
        <v>66</v>
      </c>
      <c r="AL655" s="17" t="s">
        <v>65</v>
      </c>
      <c r="AM655" s="5" t="s">
        <v>66</v>
      </c>
      <c r="AN655" s="5" t="s">
        <v>66</v>
      </c>
      <c r="AO655" s="5" t="s">
        <v>66</v>
      </c>
      <c r="AP655" s="5" t="s">
        <v>66</v>
      </c>
      <c r="AQ655" s="5" t="s">
        <v>66</v>
      </c>
      <c r="AR655" s="5" t="s">
        <v>66</v>
      </c>
      <c r="AS655" s="5" t="s">
        <v>66</v>
      </c>
      <c r="AT655" s="5" t="s">
        <v>66</v>
      </c>
      <c r="AU655" s="5" t="s">
        <v>66</v>
      </c>
      <c r="AV655" s="5" t="s">
        <v>66</v>
      </c>
      <c r="AW655" s="5" t="s">
        <v>66</v>
      </c>
      <c r="AX655" s="5" t="s">
        <v>66</v>
      </c>
      <c r="AY655" s="5" t="s">
        <v>66</v>
      </c>
      <c r="AZ655" s="5" t="s">
        <v>66</v>
      </c>
      <c r="BA655" s="19" t="s">
        <v>66</v>
      </c>
      <c r="BB655" s="17" t="s">
        <v>66</v>
      </c>
      <c r="BC655" s="5" t="s">
        <v>66</v>
      </c>
      <c r="BD655" s="5" t="s">
        <v>66</v>
      </c>
    </row>
    <row r="656" spans="1:56" ht="24" hidden="1" x14ac:dyDescent="0.25">
      <c r="A656" s="78" t="s">
        <v>1056</v>
      </c>
      <c r="B656" s="5" t="s">
        <v>1057</v>
      </c>
      <c r="C656" s="5" t="s">
        <v>3293</v>
      </c>
      <c r="D656" s="5" t="s">
        <v>56</v>
      </c>
      <c r="E656" s="99" t="str">
        <f>VLOOKUP(D656,'Dropdown List'!$F$26:$G$40,2,0)</f>
        <v>India</v>
      </c>
      <c r="F656" s="6" t="s">
        <v>2955</v>
      </c>
      <c r="G656" s="7">
        <v>0.5</v>
      </c>
      <c r="H656" s="5" t="s">
        <v>85</v>
      </c>
      <c r="I656" s="8" t="s">
        <v>58</v>
      </c>
      <c r="J656" s="6" t="s">
        <v>396</v>
      </c>
      <c r="K656" s="6" t="s">
        <v>1468</v>
      </c>
      <c r="L656" s="6" t="s">
        <v>1118</v>
      </c>
      <c r="M656" s="6" t="s">
        <v>1120</v>
      </c>
      <c r="N656" s="5" t="s">
        <v>1034</v>
      </c>
      <c r="O656" s="5" t="s">
        <v>1069</v>
      </c>
      <c r="P656" s="5" t="s">
        <v>1069</v>
      </c>
      <c r="Q656" s="9" t="s">
        <v>62</v>
      </c>
      <c r="R656" s="5" t="s">
        <v>76</v>
      </c>
      <c r="S656" s="5" t="s">
        <v>120</v>
      </c>
      <c r="T656" s="7">
        <v>2</v>
      </c>
      <c r="U656" s="7">
        <v>4</v>
      </c>
      <c r="V656" s="7">
        <v>2</v>
      </c>
      <c r="W656" s="5" t="s">
        <v>91</v>
      </c>
      <c r="X656" s="10" t="s">
        <v>79</v>
      </c>
      <c r="Y656" s="11">
        <v>0</v>
      </c>
      <c r="Z656" s="12">
        <v>0</v>
      </c>
      <c r="AA656" s="12">
        <v>0</v>
      </c>
      <c r="AB656" s="12">
        <v>0</v>
      </c>
      <c r="AC656" s="13">
        <v>0</v>
      </c>
      <c r="AD656" s="14">
        <f t="shared" si="22"/>
        <v>0</v>
      </c>
      <c r="AE656" s="15" t="e">
        <f t="shared" si="23"/>
        <v>#DIV/0!</v>
      </c>
      <c r="AF656" s="16">
        <v>0</v>
      </c>
      <c r="AG656" s="16">
        <v>0</v>
      </c>
      <c r="AH656" s="17" t="s">
        <v>66</v>
      </c>
      <c r="AI656" s="18" t="s">
        <v>66</v>
      </c>
      <c r="AJ656" s="19" t="s">
        <v>66</v>
      </c>
      <c r="AK656" s="20" t="s">
        <v>66</v>
      </c>
      <c r="AL656" s="17" t="s">
        <v>65</v>
      </c>
      <c r="AM656" s="5" t="s">
        <v>66</v>
      </c>
      <c r="AN656" s="5" t="s">
        <v>66</v>
      </c>
      <c r="AO656" s="5" t="s">
        <v>66</v>
      </c>
      <c r="AP656" s="5" t="s">
        <v>66</v>
      </c>
      <c r="AQ656" s="5" t="s">
        <v>66</v>
      </c>
      <c r="AR656" s="5" t="s">
        <v>66</v>
      </c>
      <c r="AS656" s="5" t="s">
        <v>66</v>
      </c>
      <c r="AT656" s="5" t="s">
        <v>66</v>
      </c>
      <c r="AU656" s="5" t="s">
        <v>66</v>
      </c>
      <c r="AV656" s="5" t="s">
        <v>66</v>
      </c>
      <c r="AW656" s="5" t="s">
        <v>66</v>
      </c>
      <c r="AX656" s="5" t="s">
        <v>66</v>
      </c>
      <c r="AY656" s="5" t="s">
        <v>66</v>
      </c>
      <c r="AZ656" s="5" t="s">
        <v>66</v>
      </c>
      <c r="BA656" s="19" t="s">
        <v>66</v>
      </c>
      <c r="BB656" s="17" t="s">
        <v>66</v>
      </c>
      <c r="BC656" s="5" t="s">
        <v>66</v>
      </c>
      <c r="BD656" s="5" t="s">
        <v>66</v>
      </c>
    </row>
    <row r="657" spans="1:56" ht="60" hidden="1" x14ac:dyDescent="0.25">
      <c r="A657" s="78" t="s">
        <v>1056</v>
      </c>
      <c r="B657" s="5" t="s">
        <v>1057</v>
      </c>
      <c r="C657" s="5" t="s">
        <v>3293</v>
      </c>
      <c r="D657" s="5" t="s">
        <v>56</v>
      </c>
      <c r="E657" s="99" t="str">
        <f>VLOOKUP(D657,'Dropdown List'!$F$26:$G$40,2,0)</f>
        <v>India</v>
      </c>
      <c r="F657" s="6" t="s">
        <v>1058</v>
      </c>
      <c r="G657" s="7">
        <v>9</v>
      </c>
      <c r="H657" s="5" t="s">
        <v>57</v>
      </c>
      <c r="I657" s="8" t="s">
        <v>58</v>
      </c>
      <c r="J657" s="6" t="s">
        <v>881</v>
      </c>
      <c r="K657" s="6" t="s">
        <v>917</v>
      </c>
      <c r="L657" s="6" t="s">
        <v>3426</v>
      </c>
      <c r="M657" s="6" t="s">
        <v>1121</v>
      </c>
      <c r="N657" s="5" t="s">
        <v>319</v>
      </c>
      <c r="O657" s="5" t="s">
        <v>89</v>
      </c>
      <c r="P657" s="5" t="s">
        <v>89</v>
      </c>
      <c r="Q657" s="9" t="s">
        <v>75</v>
      </c>
      <c r="R657" s="5" t="s">
        <v>76</v>
      </c>
      <c r="S657" s="5" t="s">
        <v>120</v>
      </c>
      <c r="T657" s="7">
        <v>2</v>
      </c>
      <c r="U657" s="7">
        <v>8</v>
      </c>
      <c r="V657" s="7">
        <v>8</v>
      </c>
      <c r="W657" s="5" t="s">
        <v>91</v>
      </c>
      <c r="X657" s="10" t="s">
        <v>79</v>
      </c>
      <c r="Y657" s="11">
        <v>26504.92</v>
      </c>
      <c r="Z657" s="12">
        <v>0.3</v>
      </c>
      <c r="AA657" s="12">
        <v>0</v>
      </c>
      <c r="AB657" s="12">
        <v>0</v>
      </c>
      <c r="AC657" s="13">
        <v>0</v>
      </c>
      <c r="AD657" s="14">
        <f t="shared" si="22"/>
        <v>0.3</v>
      </c>
      <c r="AE657" s="15">
        <f t="shared" si="23"/>
        <v>0</v>
      </c>
      <c r="AF657" s="16">
        <v>100</v>
      </c>
      <c r="AG657" s="16">
        <v>0.3</v>
      </c>
      <c r="AH657" s="17" t="s">
        <v>1122</v>
      </c>
      <c r="AI657" s="18">
        <v>29.89</v>
      </c>
      <c r="AJ657" s="19" t="s">
        <v>1123</v>
      </c>
      <c r="AK657" s="20">
        <v>0.95</v>
      </c>
      <c r="AL657" s="17" t="s">
        <v>92</v>
      </c>
      <c r="AM657" s="5" t="s">
        <v>66</v>
      </c>
      <c r="AN657" s="5" t="s">
        <v>66</v>
      </c>
      <c r="AO657" s="5" t="s">
        <v>66</v>
      </c>
      <c r="AP657" s="5" t="s">
        <v>1124</v>
      </c>
      <c r="AQ657" s="5" t="s">
        <v>66</v>
      </c>
      <c r="AR657" s="5" t="s">
        <v>66</v>
      </c>
      <c r="AS657" s="5" t="s">
        <v>66</v>
      </c>
      <c r="AT657" s="5" t="s">
        <v>66</v>
      </c>
      <c r="AU657" s="5" t="s">
        <v>66</v>
      </c>
      <c r="AV657" s="5" t="s">
        <v>66</v>
      </c>
      <c r="AW657" s="5" t="s">
        <v>66</v>
      </c>
      <c r="AX657" s="5" t="s">
        <v>1125</v>
      </c>
      <c r="AY657" s="5" t="s">
        <v>673</v>
      </c>
      <c r="AZ657" s="5" t="s">
        <v>70</v>
      </c>
      <c r="BA657" s="19" t="s">
        <v>1126</v>
      </c>
      <c r="BB657" s="17" t="s">
        <v>353</v>
      </c>
      <c r="BC657" s="5" t="s">
        <v>1127</v>
      </c>
      <c r="BD657" s="5" t="s">
        <v>1128</v>
      </c>
    </row>
    <row r="658" spans="1:56" ht="60" hidden="1" x14ac:dyDescent="0.25">
      <c r="A658" s="78" t="s">
        <v>1056</v>
      </c>
      <c r="B658" s="5" t="s">
        <v>1057</v>
      </c>
      <c r="C658" s="5" t="s">
        <v>3293</v>
      </c>
      <c r="D658" s="5" t="s">
        <v>56</v>
      </c>
      <c r="E658" s="99" t="str">
        <f>VLOOKUP(D658,'Dropdown List'!$F$26:$G$40,2,0)</f>
        <v>India</v>
      </c>
      <c r="F658" s="6" t="s">
        <v>1058</v>
      </c>
      <c r="G658" s="7">
        <v>9</v>
      </c>
      <c r="H658" s="5" t="s">
        <v>57</v>
      </c>
      <c r="I658" s="8" t="s">
        <v>58</v>
      </c>
      <c r="J658" s="6" t="s">
        <v>881</v>
      </c>
      <c r="K658" s="6" t="s">
        <v>917</v>
      </c>
      <c r="L658" s="6" t="s">
        <v>3427</v>
      </c>
      <c r="M658" s="6" t="s">
        <v>1121</v>
      </c>
      <c r="N658" s="5" t="s">
        <v>1034</v>
      </c>
      <c r="O658" s="5" t="s">
        <v>89</v>
      </c>
      <c r="P658" s="5" t="s">
        <v>89</v>
      </c>
      <c r="Q658" s="9" t="s">
        <v>75</v>
      </c>
      <c r="R658" s="5" t="s">
        <v>76</v>
      </c>
      <c r="S658" s="5" t="s">
        <v>120</v>
      </c>
      <c r="T658" s="7">
        <v>2</v>
      </c>
      <c r="U658" s="7">
        <v>8</v>
      </c>
      <c r="V658" s="7">
        <v>8</v>
      </c>
      <c r="W658" s="5" t="s">
        <v>91</v>
      </c>
      <c r="X658" s="10" t="s">
        <v>79</v>
      </c>
      <c r="Y658" s="11">
        <v>26504.92</v>
      </c>
      <c r="Z658" s="12">
        <v>0.3</v>
      </c>
      <c r="AA658" s="12">
        <v>0</v>
      </c>
      <c r="AB658" s="12">
        <v>0</v>
      </c>
      <c r="AC658" s="13">
        <v>0</v>
      </c>
      <c r="AD658" s="14">
        <f t="shared" si="22"/>
        <v>0.3</v>
      </c>
      <c r="AE658" s="15">
        <f t="shared" si="23"/>
        <v>0</v>
      </c>
      <c r="AF658" s="16">
        <v>100</v>
      </c>
      <c r="AG658" s="16">
        <v>0.3</v>
      </c>
      <c r="AH658" s="17" t="s">
        <v>1122</v>
      </c>
      <c r="AI658" s="18">
        <v>29.89</v>
      </c>
      <c r="AJ658" s="19" t="s">
        <v>1123</v>
      </c>
      <c r="AK658" s="20">
        <v>0.95</v>
      </c>
      <c r="AL658" s="17" t="s">
        <v>92</v>
      </c>
      <c r="AM658" s="5" t="s">
        <v>66</v>
      </c>
      <c r="AN658" s="5" t="s">
        <v>66</v>
      </c>
      <c r="AO658" s="5" t="s">
        <v>66</v>
      </c>
      <c r="AP658" s="5" t="s">
        <v>1124</v>
      </c>
      <c r="AQ658" s="5" t="s">
        <v>66</v>
      </c>
      <c r="AR658" s="5" t="s">
        <v>66</v>
      </c>
      <c r="AS658" s="5" t="s">
        <v>66</v>
      </c>
      <c r="AT658" s="5" t="s">
        <v>66</v>
      </c>
      <c r="AU658" s="5" t="s">
        <v>66</v>
      </c>
      <c r="AV658" s="5" t="s">
        <v>66</v>
      </c>
      <c r="AW658" s="5" t="s">
        <v>66</v>
      </c>
      <c r="AX658" s="5" t="s">
        <v>1125</v>
      </c>
      <c r="AY658" s="5" t="s">
        <v>673</v>
      </c>
      <c r="AZ658" s="5" t="s">
        <v>70</v>
      </c>
      <c r="BA658" s="19" t="s">
        <v>1126</v>
      </c>
      <c r="BB658" s="17" t="s">
        <v>353</v>
      </c>
      <c r="BC658" s="5" t="s">
        <v>1127</v>
      </c>
      <c r="BD658" s="5" t="s">
        <v>1128</v>
      </c>
    </row>
    <row r="659" spans="1:56" ht="60" hidden="1" x14ac:dyDescent="0.25">
      <c r="A659" s="78" t="s">
        <v>1056</v>
      </c>
      <c r="B659" s="5" t="s">
        <v>1057</v>
      </c>
      <c r="C659" s="5" t="s">
        <v>3293</v>
      </c>
      <c r="D659" s="5" t="s">
        <v>56</v>
      </c>
      <c r="E659" s="99" t="str">
        <f>VLOOKUP(D659,'Dropdown List'!$F$26:$G$40,2,0)</f>
        <v>India</v>
      </c>
      <c r="F659" s="6" t="s">
        <v>1058</v>
      </c>
      <c r="G659" s="7">
        <v>9</v>
      </c>
      <c r="H659" s="5" t="s">
        <v>57</v>
      </c>
      <c r="I659" s="8" t="s">
        <v>58</v>
      </c>
      <c r="J659" s="6" t="s">
        <v>881</v>
      </c>
      <c r="K659" s="6" t="s">
        <v>917</v>
      </c>
      <c r="L659" s="6" t="s">
        <v>3428</v>
      </c>
      <c r="M659" s="6" t="s">
        <v>1121</v>
      </c>
      <c r="N659" s="5" t="s">
        <v>319</v>
      </c>
      <c r="O659" s="5" t="s">
        <v>74</v>
      </c>
      <c r="P659" s="5" t="s">
        <v>74</v>
      </c>
      <c r="Q659" s="9" t="s">
        <v>75</v>
      </c>
      <c r="R659" s="5" t="s">
        <v>76</v>
      </c>
      <c r="S659" s="5" t="s">
        <v>120</v>
      </c>
      <c r="T659" s="7">
        <v>2</v>
      </c>
      <c r="U659" s="7">
        <v>8</v>
      </c>
      <c r="V659" s="7">
        <v>8</v>
      </c>
      <c r="W659" s="5" t="s">
        <v>91</v>
      </c>
      <c r="X659" s="10" t="s">
        <v>79</v>
      </c>
      <c r="Y659" s="11">
        <v>26504.92</v>
      </c>
      <c r="Z659" s="12">
        <v>0.2</v>
      </c>
      <c r="AA659" s="12">
        <v>0</v>
      </c>
      <c r="AB659" s="12">
        <v>0</v>
      </c>
      <c r="AC659" s="13">
        <v>0</v>
      </c>
      <c r="AD659" s="14">
        <f t="shared" si="22"/>
        <v>0.2</v>
      </c>
      <c r="AE659" s="15">
        <f t="shared" si="23"/>
        <v>0</v>
      </c>
      <c r="AF659" s="16">
        <v>65</v>
      </c>
      <c r="AG659" s="16">
        <v>0.2</v>
      </c>
      <c r="AH659" s="17" t="s">
        <v>1122</v>
      </c>
      <c r="AI659" s="18">
        <v>29.89</v>
      </c>
      <c r="AJ659" s="19" t="s">
        <v>1123</v>
      </c>
      <c r="AK659" s="20">
        <v>0.95</v>
      </c>
      <c r="AL659" s="17" t="s">
        <v>92</v>
      </c>
      <c r="AM659" s="5" t="s">
        <v>66</v>
      </c>
      <c r="AN659" s="5" t="s">
        <v>66</v>
      </c>
      <c r="AO659" s="5" t="s">
        <v>66</v>
      </c>
      <c r="AP659" s="5" t="s">
        <v>1124</v>
      </c>
      <c r="AQ659" s="5" t="s">
        <v>66</v>
      </c>
      <c r="AR659" s="5" t="s">
        <v>66</v>
      </c>
      <c r="AS659" s="5" t="s">
        <v>66</v>
      </c>
      <c r="AT659" s="5" t="s">
        <v>66</v>
      </c>
      <c r="AU659" s="5" t="s">
        <v>66</v>
      </c>
      <c r="AV659" s="5" t="s">
        <v>66</v>
      </c>
      <c r="AW659" s="5" t="s">
        <v>66</v>
      </c>
      <c r="AX659" s="5" t="s">
        <v>1125</v>
      </c>
      <c r="AY659" s="5" t="s">
        <v>673</v>
      </c>
      <c r="AZ659" s="5" t="s">
        <v>70</v>
      </c>
      <c r="BA659" s="19" t="s">
        <v>1126</v>
      </c>
      <c r="BB659" s="17" t="s">
        <v>353</v>
      </c>
      <c r="BC659" s="5" t="s">
        <v>1127</v>
      </c>
      <c r="BD659" s="5" t="s">
        <v>1128</v>
      </c>
    </row>
    <row r="660" spans="1:56" ht="60" hidden="1" x14ac:dyDescent="0.25">
      <c r="A660" s="78" t="s">
        <v>1056</v>
      </c>
      <c r="B660" s="5" t="s">
        <v>1057</v>
      </c>
      <c r="C660" s="5" t="s">
        <v>3293</v>
      </c>
      <c r="D660" s="5" t="s">
        <v>56</v>
      </c>
      <c r="E660" s="99" t="str">
        <f>VLOOKUP(D660,'Dropdown List'!$F$26:$G$40,2,0)</f>
        <v>India</v>
      </c>
      <c r="F660" s="6" t="s">
        <v>1058</v>
      </c>
      <c r="G660" s="7">
        <v>9</v>
      </c>
      <c r="H660" s="5" t="s">
        <v>57</v>
      </c>
      <c r="I660" s="8" t="s">
        <v>58</v>
      </c>
      <c r="J660" s="6" t="s">
        <v>881</v>
      </c>
      <c r="K660" s="6" t="s">
        <v>917</v>
      </c>
      <c r="L660" s="6" t="s">
        <v>3429</v>
      </c>
      <c r="M660" s="6" t="s">
        <v>1121</v>
      </c>
      <c r="N660" s="5" t="s">
        <v>1034</v>
      </c>
      <c r="O660" s="5" t="s">
        <v>74</v>
      </c>
      <c r="P660" s="5" t="s">
        <v>74</v>
      </c>
      <c r="Q660" s="9" t="s">
        <v>75</v>
      </c>
      <c r="R660" s="5" t="s">
        <v>76</v>
      </c>
      <c r="S660" s="5" t="s">
        <v>120</v>
      </c>
      <c r="T660" s="7">
        <v>2</v>
      </c>
      <c r="U660" s="7">
        <v>8</v>
      </c>
      <c r="V660" s="7">
        <v>8</v>
      </c>
      <c r="W660" s="5" t="s">
        <v>91</v>
      </c>
      <c r="X660" s="10" t="s">
        <v>79</v>
      </c>
      <c r="Y660" s="11">
        <v>26504.92</v>
      </c>
      <c r="Z660" s="12">
        <v>0.2</v>
      </c>
      <c r="AA660" s="12">
        <v>0</v>
      </c>
      <c r="AB660" s="12">
        <v>0</v>
      </c>
      <c r="AC660" s="13">
        <v>0</v>
      </c>
      <c r="AD660" s="14">
        <f t="shared" si="22"/>
        <v>0.2</v>
      </c>
      <c r="AE660" s="15">
        <f t="shared" si="23"/>
        <v>0</v>
      </c>
      <c r="AF660" s="16">
        <v>65</v>
      </c>
      <c r="AG660" s="16">
        <v>0.2</v>
      </c>
      <c r="AH660" s="17" t="s">
        <v>1122</v>
      </c>
      <c r="AI660" s="18">
        <v>29.89</v>
      </c>
      <c r="AJ660" s="19" t="s">
        <v>1123</v>
      </c>
      <c r="AK660" s="20">
        <v>0.95</v>
      </c>
      <c r="AL660" s="17" t="s">
        <v>92</v>
      </c>
      <c r="AM660" s="5" t="s">
        <v>66</v>
      </c>
      <c r="AN660" s="5" t="s">
        <v>66</v>
      </c>
      <c r="AO660" s="5" t="s">
        <v>66</v>
      </c>
      <c r="AP660" s="5" t="s">
        <v>1124</v>
      </c>
      <c r="AQ660" s="5" t="s">
        <v>66</v>
      </c>
      <c r="AR660" s="5" t="s">
        <v>66</v>
      </c>
      <c r="AS660" s="5" t="s">
        <v>66</v>
      </c>
      <c r="AT660" s="5" t="s">
        <v>66</v>
      </c>
      <c r="AU660" s="5" t="s">
        <v>66</v>
      </c>
      <c r="AV660" s="5" t="s">
        <v>66</v>
      </c>
      <c r="AW660" s="5" t="s">
        <v>66</v>
      </c>
      <c r="AX660" s="5" t="s">
        <v>1125</v>
      </c>
      <c r="AY660" s="5" t="s">
        <v>673</v>
      </c>
      <c r="AZ660" s="5" t="s">
        <v>70</v>
      </c>
      <c r="BA660" s="19" t="s">
        <v>1126</v>
      </c>
      <c r="BB660" s="17" t="s">
        <v>353</v>
      </c>
      <c r="BC660" s="5" t="s">
        <v>1127</v>
      </c>
      <c r="BD660" s="5" t="s">
        <v>1128</v>
      </c>
    </row>
    <row r="661" spans="1:56" ht="84" hidden="1" x14ac:dyDescent="0.25">
      <c r="A661" s="78" t="s">
        <v>1056</v>
      </c>
      <c r="B661" s="5" t="s">
        <v>1057</v>
      </c>
      <c r="C661" s="5" t="s">
        <v>3293</v>
      </c>
      <c r="D661" s="5" t="s">
        <v>56</v>
      </c>
      <c r="E661" s="99" t="str">
        <f>VLOOKUP(D661,'Dropdown List'!$F$26:$G$40,2,0)</f>
        <v>India</v>
      </c>
      <c r="F661" s="6" t="s">
        <v>1058</v>
      </c>
      <c r="G661" s="7">
        <v>16</v>
      </c>
      <c r="H661" s="5" t="s">
        <v>57</v>
      </c>
      <c r="I661" s="8" t="s">
        <v>58</v>
      </c>
      <c r="J661" s="6" t="s">
        <v>146</v>
      </c>
      <c r="K661" s="6" t="s">
        <v>147</v>
      </c>
      <c r="L661" s="6" t="s">
        <v>3430</v>
      </c>
      <c r="M661" s="6" t="s">
        <v>1129</v>
      </c>
      <c r="N661" s="5" t="s">
        <v>319</v>
      </c>
      <c r="O661" s="5" t="s">
        <v>89</v>
      </c>
      <c r="P661" s="5" t="s">
        <v>89</v>
      </c>
      <c r="Q661" s="9" t="s">
        <v>75</v>
      </c>
      <c r="R661" s="5" t="s">
        <v>76</v>
      </c>
      <c r="S661" s="5" t="s">
        <v>90</v>
      </c>
      <c r="T661" s="7">
        <v>2</v>
      </c>
      <c r="U661" s="7">
        <v>6</v>
      </c>
      <c r="V661" s="7">
        <v>12</v>
      </c>
      <c r="W661" s="5" t="s">
        <v>91</v>
      </c>
      <c r="X661" s="10" t="s">
        <v>79</v>
      </c>
      <c r="Y661" s="11">
        <v>20485.54</v>
      </c>
      <c r="Z661" s="12">
        <v>0.75</v>
      </c>
      <c r="AA661" s="12">
        <v>2</v>
      </c>
      <c r="AB661" s="12">
        <v>1</v>
      </c>
      <c r="AC661" s="13">
        <v>1.5700000000000003</v>
      </c>
      <c r="AD661" s="14">
        <f t="shared" si="22"/>
        <v>5.32</v>
      </c>
      <c r="AE661" s="15">
        <f t="shared" si="23"/>
        <v>0.29511278195488727</v>
      </c>
      <c r="AF661" s="16">
        <v>366</v>
      </c>
      <c r="AG661" s="16" t="s">
        <v>3431</v>
      </c>
      <c r="AH661" s="17" t="s">
        <v>1122</v>
      </c>
      <c r="AI661" s="18">
        <v>16.39</v>
      </c>
      <c r="AJ661" s="19" t="s">
        <v>1130</v>
      </c>
      <c r="AK661" s="20">
        <v>0.96</v>
      </c>
      <c r="AL661" s="17" t="s">
        <v>92</v>
      </c>
      <c r="AM661" s="5" t="s">
        <v>66</v>
      </c>
      <c r="AN661" s="5" t="s">
        <v>66</v>
      </c>
      <c r="AO661" s="5" t="s">
        <v>1131</v>
      </c>
      <c r="AP661" s="5" t="s">
        <v>1132</v>
      </c>
      <c r="AQ661" s="5" t="s">
        <v>137</v>
      </c>
      <c r="AR661" s="5" t="s">
        <v>1133</v>
      </c>
      <c r="AS661" s="5" t="s">
        <v>1134</v>
      </c>
      <c r="AT661" s="5" t="s">
        <v>66</v>
      </c>
      <c r="AU661" s="5" t="s">
        <v>66</v>
      </c>
      <c r="AV661" s="5" t="s">
        <v>66</v>
      </c>
      <c r="AW661" s="5" t="s">
        <v>66</v>
      </c>
      <c r="AX661" s="5" t="s">
        <v>1135</v>
      </c>
      <c r="AY661" s="5" t="s">
        <v>69</v>
      </c>
      <c r="AZ661" s="5" t="s">
        <v>145</v>
      </c>
      <c r="BA661" s="19" t="s">
        <v>1136</v>
      </c>
      <c r="BB661" s="17" t="s">
        <v>69</v>
      </c>
      <c r="BC661" s="5" t="s">
        <v>220</v>
      </c>
      <c r="BD661" s="5" t="s">
        <v>1137</v>
      </c>
    </row>
    <row r="662" spans="1:56" ht="84" hidden="1" x14ac:dyDescent="0.25">
      <c r="A662" s="78" t="s">
        <v>1056</v>
      </c>
      <c r="B662" s="5" t="s">
        <v>1057</v>
      </c>
      <c r="C662" s="5" t="s">
        <v>3293</v>
      </c>
      <c r="D662" s="5" t="s">
        <v>56</v>
      </c>
      <c r="E662" s="99" t="str">
        <f>VLOOKUP(D662,'Dropdown List'!$F$26:$G$40,2,0)</f>
        <v>India</v>
      </c>
      <c r="F662" s="6" t="s">
        <v>1058</v>
      </c>
      <c r="G662" s="7">
        <v>16</v>
      </c>
      <c r="H662" s="5" t="s">
        <v>57</v>
      </c>
      <c r="I662" s="8" t="s">
        <v>58</v>
      </c>
      <c r="J662" s="6" t="s">
        <v>146</v>
      </c>
      <c r="K662" s="6" t="s">
        <v>147</v>
      </c>
      <c r="L662" s="6" t="s">
        <v>3432</v>
      </c>
      <c r="M662" s="6" t="s">
        <v>1129</v>
      </c>
      <c r="N662" s="5" t="s">
        <v>319</v>
      </c>
      <c r="O662" s="5" t="s">
        <v>74</v>
      </c>
      <c r="P662" s="5" t="s">
        <v>74</v>
      </c>
      <c r="Q662" s="9" t="s">
        <v>75</v>
      </c>
      <c r="R662" s="5" t="s">
        <v>76</v>
      </c>
      <c r="S662" s="5" t="s">
        <v>90</v>
      </c>
      <c r="T662" s="7">
        <v>2</v>
      </c>
      <c r="U662" s="7">
        <v>6</v>
      </c>
      <c r="V662" s="7">
        <v>12</v>
      </c>
      <c r="W662" s="5" t="s">
        <v>91</v>
      </c>
      <c r="X662" s="10" t="s">
        <v>79</v>
      </c>
      <c r="Y662" s="11">
        <v>20485.54</v>
      </c>
      <c r="Z662" s="12">
        <v>0.99</v>
      </c>
      <c r="AA662" s="12">
        <v>2</v>
      </c>
      <c r="AB662" s="12">
        <v>1</v>
      </c>
      <c r="AC662" s="13">
        <v>1.5700000000000003</v>
      </c>
      <c r="AD662" s="14">
        <f t="shared" si="22"/>
        <v>5.5600000000000005</v>
      </c>
      <c r="AE662" s="15">
        <f t="shared" si="23"/>
        <v>0.28237410071942448</v>
      </c>
      <c r="AF662" s="16">
        <v>488</v>
      </c>
      <c r="AG662" s="16" t="s">
        <v>3433</v>
      </c>
      <c r="AH662" s="17" t="s">
        <v>1122</v>
      </c>
      <c r="AI662" s="18">
        <v>16.39</v>
      </c>
      <c r="AJ662" s="19" t="s">
        <v>1130</v>
      </c>
      <c r="AK662" s="20">
        <v>0.96</v>
      </c>
      <c r="AL662" s="17" t="s">
        <v>92</v>
      </c>
      <c r="AM662" s="5" t="s">
        <v>66</v>
      </c>
      <c r="AN662" s="5" t="s">
        <v>66</v>
      </c>
      <c r="AO662" s="5" t="s">
        <v>1131</v>
      </c>
      <c r="AP662" s="5" t="s">
        <v>1132</v>
      </c>
      <c r="AQ662" s="5" t="s">
        <v>137</v>
      </c>
      <c r="AR662" s="5" t="s">
        <v>1133</v>
      </c>
      <c r="AS662" s="5" t="s">
        <v>1134</v>
      </c>
      <c r="AT662" s="5" t="s">
        <v>66</v>
      </c>
      <c r="AU662" s="5" t="s">
        <v>66</v>
      </c>
      <c r="AV662" s="5" t="s">
        <v>66</v>
      </c>
      <c r="AW662" s="5" t="s">
        <v>66</v>
      </c>
      <c r="AX662" s="5" t="s">
        <v>1135</v>
      </c>
      <c r="AY662" s="5" t="s">
        <v>69</v>
      </c>
      <c r="AZ662" s="5" t="s">
        <v>145</v>
      </c>
      <c r="BA662" s="19" t="s">
        <v>1136</v>
      </c>
      <c r="BB662" s="17" t="s">
        <v>69</v>
      </c>
      <c r="BC662" s="5" t="s">
        <v>220</v>
      </c>
      <c r="BD662" s="5" t="s">
        <v>1137</v>
      </c>
    </row>
    <row r="663" spans="1:56" ht="84" hidden="1" x14ac:dyDescent="0.25">
      <c r="A663" s="78" t="s">
        <v>1056</v>
      </c>
      <c r="B663" s="5" t="s">
        <v>1057</v>
      </c>
      <c r="C663" s="5" t="s">
        <v>3293</v>
      </c>
      <c r="D663" s="5" t="s">
        <v>56</v>
      </c>
      <c r="E663" s="99" t="str">
        <f>VLOOKUP(D663,'Dropdown List'!$F$26:$G$40,2,0)</f>
        <v>India</v>
      </c>
      <c r="F663" s="6" t="s">
        <v>1058</v>
      </c>
      <c r="G663" s="7">
        <v>16</v>
      </c>
      <c r="H663" s="5" t="s">
        <v>57</v>
      </c>
      <c r="I663" s="8" t="s">
        <v>58</v>
      </c>
      <c r="J663" s="6" t="s">
        <v>146</v>
      </c>
      <c r="K663" s="6" t="s">
        <v>147</v>
      </c>
      <c r="L663" s="6" t="s">
        <v>3434</v>
      </c>
      <c r="M663" s="6" t="s">
        <v>1129</v>
      </c>
      <c r="N663" s="5" t="s">
        <v>319</v>
      </c>
      <c r="O663" s="5" t="s">
        <v>2042</v>
      </c>
      <c r="P663" s="5" t="s">
        <v>2042</v>
      </c>
      <c r="Q663" s="9" t="s">
        <v>75</v>
      </c>
      <c r="R663" s="5" t="s">
        <v>76</v>
      </c>
      <c r="S663" s="5" t="s">
        <v>90</v>
      </c>
      <c r="T663" s="7">
        <v>2</v>
      </c>
      <c r="U663" s="7">
        <v>6</v>
      </c>
      <c r="V663" s="7">
        <v>12</v>
      </c>
      <c r="W663" s="5" t="s">
        <v>91</v>
      </c>
      <c r="X663" s="10" t="s">
        <v>79</v>
      </c>
      <c r="Y663" s="11">
        <v>20485.54</v>
      </c>
      <c r="Z663" s="12">
        <v>0.12</v>
      </c>
      <c r="AA663" s="12">
        <v>2</v>
      </c>
      <c r="AB663" s="12">
        <v>1</v>
      </c>
      <c r="AC663" s="13">
        <v>1.5700000000000003</v>
      </c>
      <c r="AD663" s="14">
        <f t="shared" si="22"/>
        <v>4.6900000000000004</v>
      </c>
      <c r="AE663" s="15">
        <f t="shared" si="23"/>
        <v>0.33475479744136466</v>
      </c>
      <c r="AF663" s="16">
        <v>61</v>
      </c>
      <c r="AG663" s="16" t="s">
        <v>3435</v>
      </c>
      <c r="AH663" s="17" t="s">
        <v>1122</v>
      </c>
      <c r="AI663" s="18">
        <v>16.39</v>
      </c>
      <c r="AJ663" s="19" t="s">
        <v>1130</v>
      </c>
      <c r="AK663" s="20">
        <v>0.96</v>
      </c>
      <c r="AL663" s="17" t="s">
        <v>92</v>
      </c>
      <c r="AM663" s="5" t="s">
        <v>66</v>
      </c>
      <c r="AN663" s="5" t="s">
        <v>66</v>
      </c>
      <c r="AO663" s="5" t="s">
        <v>1131</v>
      </c>
      <c r="AP663" s="5" t="s">
        <v>1132</v>
      </c>
      <c r="AQ663" s="5" t="s">
        <v>137</v>
      </c>
      <c r="AR663" s="5" t="s">
        <v>1133</v>
      </c>
      <c r="AS663" s="5" t="s">
        <v>1134</v>
      </c>
      <c r="AT663" s="5" t="s">
        <v>66</v>
      </c>
      <c r="AU663" s="5" t="s">
        <v>66</v>
      </c>
      <c r="AV663" s="5" t="s">
        <v>66</v>
      </c>
      <c r="AW663" s="5" t="s">
        <v>66</v>
      </c>
      <c r="AX663" s="5" t="s">
        <v>1135</v>
      </c>
      <c r="AY663" s="5" t="s">
        <v>69</v>
      </c>
      <c r="AZ663" s="5" t="s">
        <v>145</v>
      </c>
      <c r="BA663" s="19" t="s">
        <v>1136</v>
      </c>
      <c r="BB663" s="17" t="s">
        <v>69</v>
      </c>
      <c r="BC663" s="5" t="s">
        <v>220</v>
      </c>
      <c r="BD663" s="5" t="s">
        <v>1137</v>
      </c>
    </row>
    <row r="664" spans="1:56" ht="84" hidden="1" x14ac:dyDescent="0.25">
      <c r="A664" s="78" t="s">
        <v>1056</v>
      </c>
      <c r="B664" s="5" t="s">
        <v>1057</v>
      </c>
      <c r="C664" s="5" t="s">
        <v>3293</v>
      </c>
      <c r="D664" s="5" t="s">
        <v>56</v>
      </c>
      <c r="E664" s="99" t="str">
        <f>VLOOKUP(D664,'Dropdown List'!$F$26:$G$40,2,0)</f>
        <v>India</v>
      </c>
      <c r="F664" s="6" t="s">
        <v>1058</v>
      </c>
      <c r="G664" s="7">
        <v>16</v>
      </c>
      <c r="H664" s="5" t="s">
        <v>57</v>
      </c>
      <c r="I664" s="8" t="s">
        <v>58</v>
      </c>
      <c r="J664" s="6" t="s">
        <v>146</v>
      </c>
      <c r="K664" s="6" t="s">
        <v>147</v>
      </c>
      <c r="L664" s="6" t="s">
        <v>3436</v>
      </c>
      <c r="M664" s="6" t="s">
        <v>1129</v>
      </c>
      <c r="N664" s="5" t="s">
        <v>1034</v>
      </c>
      <c r="O664" s="5" t="s">
        <v>89</v>
      </c>
      <c r="P664" s="5" t="s">
        <v>89</v>
      </c>
      <c r="Q664" s="9" t="s">
        <v>75</v>
      </c>
      <c r="R664" s="5" t="s">
        <v>76</v>
      </c>
      <c r="S664" s="5" t="s">
        <v>90</v>
      </c>
      <c r="T664" s="7">
        <v>2</v>
      </c>
      <c r="U664" s="7">
        <v>6</v>
      </c>
      <c r="V664" s="7">
        <v>12</v>
      </c>
      <c r="W664" s="5" t="s">
        <v>91</v>
      </c>
      <c r="X664" s="10" t="s">
        <v>79</v>
      </c>
      <c r="Y664" s="11">
        <v>20485.54</v>
      </c>
      <c r="Z664" s="12">
        <v>3.6</v>
      </c>
      <c r="AA664" s="12">
        <v>2</v>
      </c>
      <c r="AB664" s="12">
        <v>1</v>
      </c>
      <c r="AC664" s="13">
        <v>1.5700000000000003</v>
      </c>
      <c r="AD664" s="14">
        <f t="shared" si="22"/>
        <v>8.17</v>
      </c>
      <c r="AE664" s="15">
        <f t="shared" si="23"/>
        <v>0.19216646266829868</v>
      </c>
      <c r="AF664" s="16">
        <v>1769</v>
      </c>
      <c r="AG664" s="16" t="s">
        <v>3437</v>
      </c>
      <c r="AH664" s="17" t="s">
        <v>1122</v>
      </c>
      <c r="AI664" s="18">
        <v>16.39</v>
      </c>
      <c r="AJ664" s="19" t="s">
        <v>1130</v>
      </c>
      <c r="AK664" s="20">
        <v>0.96</v>
      </c>
      <c r="AL664" s="17" t="s">
        <v>92</v>
      </c>
      <c r="AM664" s="5" t="s">
        <v>66</v>
      </c>
      <c r="AN664" s="5" t="s">
        <v>66</v>
      </c>
      <c r="AO664" s="5" t="s">
        <v>1131</v>
      </c>
      <c r="AP664" s="5" t="s">
        <v>1132</v>
      </c>
      <c r="AQ664" s="5" t="s">
        <v>137</v>
      </c>
      <c r="AR664" s="5" t="s">
        <v>1133</v>
      </c>
      <c r="AS664" s="5" t="s">
        <v>1134</v>
      </c>
      <c r="AT664" s="5" t="s">
        <v>66</v>
      </c>
      <c r="AU664" s="5" t="s">
        <v>66</v>
      </c>
      <c r="AV664" s="5" t="s">
        <v>66</v>
      </c>
      <c r="AW664" s="5" t="s">
        <v>66</v>
      </c>
      <c r="AX664" s="5" t="s">
        <v>1135</v>
      </c>
      <c r="AY664" s="5" t="s">
        <v>69</v>
      </c>
      <c r="AZ664" s="5" t="s">
        <v>145</v>
      </c>
      <c r="BA664" s="19" t="s">
        <v>1136</v>
      </c>
      <c r="BB664" s="17" t="s">
        <v>69</v>
      </c>
      <c r="BC664" s="5" t="s">
        <v>220</v>
      </c>
      <c r="BD664" s="5" t="s">
        <v>1137</v>
      </c>
    </row>
    <row r="665" spans="1:56" ht="84" hidden="1" x14ac:dyDescent="0.25">
      <c r="A665" s="78" t="s">
        <v>1056</v>
      </c>
      <c r="B665" s="5" t="s">
        <v>1057</v>
      </c>
      <c r="C665" s="5" t="s">
        <v>3293</v>
      </c>
      <c r="D665" s="5" t="s">
        <v>56</v>
      </c>
      <c r="E665" s="99" t="str">
        <f>VLOOKUP(D665,'Dropdown List'!$F$26:$G$40,2,0)</f>
        <v>India</v>
      </c>
      <c r="F665" s="6" t="s">
        <v>1058</v>
      </c>
      <c r="G665" s="7">
        <v>16</v>
      </c>
      <c r="H665" s="5" t="s">
        <v>57</v>
      </c>
      <c r="I665" s="8" t="s">
        <v>58</v>
      </c>
      <c r="J665" s="6" t="s">
        <v>146</v>
      </c>
      <c r="K665" s="6" t="s">
        <v>147</v>
      </c>
      <c r="L665" s="6" t="s">
        <v>3438</v>
      </c>
      <c r="M665" s="6" t="s">
        <v>1129</v>
      </c>
      <c r="N665" s="5" t="s">
        <v>1034</v>
      </c>
      <c r="O665" s="5" t="s">
        <v>74</v>
      </c>
      <c r="P665" s="5" t="s">
        <v>74</v>
      </c>
      <c r="Q665" s="9" t="s">
        <v>75</v>
      </c>
      <c r="R665" s="5" t="s">
        <v>76</v>
      </c>
      <c r="S665" s="5" t="s">
        <v>90</v>
      </c>
      <c r="T665" s="7">
        <v>2</v>
      </c>
      <c r="U665" s="7">
        <v>6</v>
      </c>
      <c r="V665" s="7">
        <v>12</v>
      </c>
      <c r="W665" s="5" t="s">
        <v>91</v>
      </c>
      <c r="X665" s="10" t="s">
        <v>79</v>
      </c>
      <c r="Y665" s="11">
        <v>20485.54</v>
      </c>
      <c r="Z665" s="12">
        <v>2.36</v>
      </c>
      <c r="AA665" s="12">
        <v>2</v>
      </c>
      <c r="AB665" s="12">
        <v>1</v>
      </c>
      <c r="AC665" s="13">
        <v>1.5700000000000003</v>
      </c>
      <c r="AD665" s="14">
        <f t="shared" si="22"/>
        <v>6.93</v>
      </c>
      <c r="AE665" s="15">
        <f t="shared" si="23"/>
        <v>0.22655122655122661</v>
      </c>
      <c r="AF665" s="16">
        <v>1159</v>
      </c>
      <c r="AG665" s="16" t="s">
        <v>3439</v>
      </c>
      <c r="AH665" s="17" t="s">
        <v>1122</v>
      </c>
      <c r="AI665" s="18">
        <v>16.39</v>
      </c>
      <c r="AJ665" s="19" t="s">
        <v>1130</v>
      </c>
      <c r="AK665" s="20">
        <v>0.96</v>
      </c>
      <c r="AL665" s="17" t="s">
        <v>92</v>
      </c>
      <c r="AM665" s="5" t="s">
        <v>66</v>
      </c>
      <c r="AN665" s="5" t="s">
        <v>66</v>
      </c>
      <c r="AO665" s="5" t="s">
        <v>1131</v>
      </c>
      <c r="AP665" s="5" t="s">
        <v>1132</v>
      </c>
      <c r="AQ665" s="5" t="s">
        <v>137</v>
      </c>
      <c r="AR665" s="5" t="s">
        <v>1133</v>
      </c>
      <c r="AS665" s="5" t="s">
        <v>1134</v>
      </c>
      <c r="AT665" s="5" t="s">
        <v>66</v>
      </c>
      <c r="AU665" s="5" t="s">
        <v>66</v>
      </c>
      <c r="AV665" s="5" t="s">
        <v>66</v>
      </c>
      <c r="AW665" s="5" t="s">
        <v>66</v>
      </c>
      <c r="AX665" s="5" t="s">
        <v>1135</v>
      </c>
      <c r="AY665" s="5" t="s">
        <v>69</v>
      </c>
      <c r="AZ665" s="5" t="s">
        <v>145</v>
      </c>
      <c r="BA665" s="19" t="s">
        <v>1136</v>
      </c>
      <c r="BB665" s="17" t="s">
        <v>69</v>
      </c>
      <c r="BC665" s="5" t="s">
        <v>220</v>
      </c>
      <c r="BD665" s="5" t="s">
        <v>1137</v>
      </c>
    </row>
    <row r="666" spans="1:56" ht="84" hidden="1" x14ac:dyDescent="0.25">
      <c r="A666" s="78" t="s">
        <v>1056</v>
      </c>
      <c r="B666" s="5" t="s">
        <v>1057</v>
      </c>
      <c r="C666" s="5" t="s">
        <v>3293</v>
      </c>
      <c r="D666" s="5" t="s">
        <v>56</v>
      </c>
      <c r="E666" s="99" t="str">
        <f>VLOOKUP(D666,'Dropdown List'!$F$26:$G$40,2,0)</f>
        <v>India</v>
      </c>
      <c r="F666" s="6" t="s">
        <v>1058</v>
      </c>
      <c r="G666" s="7">
        <v>16</v>
      </c>
      <c r="H666" s="5" t="s">
        <v>57</v>
      </c>
      <c r="I666" s="8" t="s">
        <v>58</v>
      </c>
      <c r="J666" s="6" t="s">
        <v>146</v>
      </c>
      <c r="K666" s="6" t="s">
        <v>147</v>
      </c>
      <c r="L666" s="6" t="s">
        <v>3440</v>
      </c>
      <c r="M666" s="6" t="s">
        <v>1129</v>
      </c>
      <c r="N666" s="5" t="s">
        <v>1034</v>
      </c>
      <c r="O666" s="5" t="s">
        <v>2042</v>
      </c>
      <c r="P666" s="5" t="s">
        <v>2042</v>
      </c>
      <c r="Q666" s="9" t="s">
        <v>75</v>
      </c>
      <c r="R666" s="5" t="s">
        <v>76</v>
      </c>
      <c r="S666" s="5" t="s">
        <v>90</v>
      </c>
      <c r="T666" s="7">
        <v>2</v>
      </c>
      <c r="U666" s="7">
        <v>6</v>
      </c>
      <c r="V666" s="7">
        <v>12</v>
      </c>
      <c r="W666" s="5" t="s">
        <v>91</v>
      </c>
      <c r="X666" s="10" t="s">
        <v>79</v>
      </c>
      <c r="Y666" s="11">
        <v>20485.54</v>
      </c>
      <c r="Z666" s="12">
        <v>4.5999999999999996</v>
      </c>
      <c r="AA666" s="12">
        <v>2</v>
      </c>
      <c r="AB666" s="12">
        <v>1</v>
      </c>
      <c r="AC666" s="13">
        <v>1.5700000000000003</v>
      </c>
      <c r="AD666" s="14">
        <f t="shared" si="22"/>
        <v>9.17</v>
      </c>
      <c r="AE666" s="15">
        <f t="shared" si="23"/>
        <v>0.17121046892039263</v>
      </c>
      <c r="AF666" s="16">
        <v>2257</v>
      </c>
      <c r="AG666" s="16" t="s">
        <v>3441</v>
      </c>
      <c r="AH666" s="17" t="s">
        <v>1122</v>
      </c>
      <c r="AI666" s="18">
        <v>16.39</v>
      </c>
      <c r="AJ666" s="19" t="s">
        <v>1130</v>
      </c>
      <c r="AK666" s="20">
        <v>0.96</v>
      </c>
      <c r="AL666" s="17" t="s">
        <v>92</v>
      </c>
      <c r="AM666" s="5" t="s">
        <v>66</v>
      </c>
      <c r="AN666" s="5" t="s">
        <v>66</v>
      </c>
      <c r="AO666" s="5" t="s">
        <v>1131</v>
      </c>
      <c r="AP666" s="5" t="s">
        <v>1132</v>
      </c>
      <c r="AQ666" s="5" t="s">
        <v>137</v>
      </c>
      <c r="AR666" s="5" t="s">
        <v>1133</v>
      </c>
      <c r="AS666" s="5" t="s">
        <v>1134</v>
      </c>
      <c r="AT666" s="5" t="s">
        <v>66</v>
      </c>
      <c r="AU666" s="5" t="s">
        <v>66</v>
      </c>
      <c r="AV666" s="5" t="s">
        <v>66</v>
      </c>
      <c r="AW666" s="5" t="s">
        <v>66</v>
      </c>
      <c r="AX666" s="5" t="s">
        <v>1135</v>
      </c>
      <c r="AY666" s="5" t="s">
        <v>69</v>
      </c>
      <c r="AZ666" s="5" t="s">
        <v>145</v>
      </c>
      <c r="BA666" s="19" t="s">
        <v>1136</v>
      </c>
      <c r="BB666" s="17" t="s">
        <v>69</v>
      </c>
      <c r="BC666" s="5" t="s">
        <v>220</v>
      </c>
      <c r="BD666" s="5" t="s">
        <v>1137</v>
      </c>
    </row>
    <row r="667" spans="1:56" ht="60" hidden="1" x14ac:dyDescent="0.25">
      <c r="A667" s="78" t="s">
        <v>1056</v>
      </c>
      <c r="B667" s="5" t="s">
        <v>1057</v>
      </c>
      <c r="C667" s="5" t="s">
        <v>3293</v>
      </c>
      <c r="D667" s="5" t="s">
        <v>56</v>
      </c>
      <c r="E667" s="99" t="str">
        <f>VLOOKUP(D667,'Dropdown List'!$F$26:$G$40,2,0)</f>
        <v>India</v>
      </c>
      <c r="F667" s="6" t="s">
        <v>1058</v>
      </c>
      <c r="G667" s="7">
        <v>12</v>
      </c>
      <c r="H667" s="5" t="s">
        <v>57</v>
      </c>
      <c r="I667" s="8" t="s">
        <v>58</v>
      </c>
      <c r="J667" s="6" t="s">
        <v>146</v>
      </c>
      <c r="K667" s="6" t="s">
        <v>147</v>
      </c>
      <c r="L667" s="6" t="s">
        <v>1138</v>
      </c>
      <c r="M667" s="6" t="s">
        <v>1139</v>
      </c>
      <c r="N667" s="5" t="s">
        <v>1034</v>
      </c>
      <c r="O667" s="5" t="s">
        <v>1069</v>
      </c>
      <c r="P667" s="5" t="s">
        <v>1069</v>
      </c>
      <c r="Q667" s="9" t="s">
        <v>75</v>
      </c>
      <c r="R667" s="5" t="s">
        <v>76</v>
      </c>
      <c r="S667" s="5" t="s">
        <v>64</v>
      </c>
      <c r="T667" s="7">
        <v>2</v>
      </c>
      <c r="U667" s="7">
        <v>6</v>
      </c>
      <c r="V667" s="7">
        <v>12</v>
      </c>
      <c r="W667" s="5" t="s">
        <v>91</v>
      </c>
      <c r="X667" s="10" t="s">
        <v>79</v>
      </c>
      <c r="Y667" s="11">
        <v>20485.54</v>
      </c>
      <c r="Z667" s="12">
        <v>7.59</v>
      </c>
      <c r="AA667" s="12">
        <v>2</v>
      </c>
      <c r="AB667" s="12">
        <v>1</v>
      </c>
      <c r="AC667" s="13">
        <v>2.41</v>
      </c>
      <c r="AD667" s="14">
        <f t="shared" si="22"/>
        <v>13</v>
      </c>
      <c r="AE667" s="15">
        <f t="shared" si="23"/>
        <v>0.1853846153846154</v>
      </c>
      <c r="AF667" s="16">
        <v>3400</v>
      </c>
      <c r="AG667" s="16" t="s">
        <v>1140</v>
      </c>
      <c r="AH667" s="17" t="s">
        <v>1090</v>
      </c>
      <c r="AI667" s="18">
        <v>15.24</v>
      </c>
      <c r="AJ667" s="19" t="s">
        <v>1130</v>
      </c>
      <c r="AK667" s="20">
        <v>0.96</v>
      </c>
      <c r="AL667" s="17" t="s">
        <v>92</v>
      </c>
      <c r="AM667" s="5" t="s">
        <v>66</v>
      </c>
      <c r="AN667" s="5" t="s">
        <v>66</v>
      </c>
      <c r="AO667" s="5" t="s">
        <v>1131</v>
      </c>
      <c r="AP667" s="5" t="s">
        <v>1132</v>
      </c>
      <c r="AQ667" s="5" t="s">
        <v>66</v>
      </c>
      <c r="AR667" s="5" t="s">
        <v>66</v>
      </c>
      <c r="AS667" s="5" t="s">
        <v>66</v>
      </c>
      <c r="AT667" s="5" t="s">
        <v>66</v>
      </c>
      <c r="AU667" s="5" t="s">
        <v>66</v>
      </c>
      <c r="AV667" s="5" t="s">
        <v>66</v>
      </c>
      <c r="AW667" s="5" t="s">
        <v>1141</v>
      </c>
      <c r="AX667" s="5" t="s">
        <v>1135</v>
      </c>
      <c r="AY667" s="5" t="s">
        <v>69</v>
      </c>
      <c r="AZ667" s="5" t="s">
        <v>145</v>
      </c>
      <c r="BA667" s="19" t="s">
        <v>1136</v>
      </c>
      <c r="BB667" s="17" t="s">
        <v>69</v>
      </c>
      <c r="BC667" s="5" t="s">
        <v>220</v>
      </c>
      <c r="BD667" s="5" t="s">
        <v>1137</v>
      </c>
    </row>
    <row r="668" spans="1:56" ht="48" hidden="1" x14ac:dyDescent="0.25">
      <c r="A668" s="78" t="s">
        <v>1056</v>
      </c>
      <c r="B668" s="5" t="s">
        <v>1057</v>
      </c>
      <c r="C668" s="5" t="s">
        <v>3293</v>
      </c>
      <c r="D668" s="5" t="s">
        <v>56</v>
      </c>
      <c r="E668" s="99" t="str">
        <f>VLOOKUP(D668,'Dropdown List'!$F$26:$G$40,2,0)</f>
        <v>India</v>
      </c>
      <c r="F668" s="6" t="s">
        <v>1058</v>
      </c>
      <c r="G668" s="7">
        <v>16</v>
      </c>
      <c r="H668" s="5" t="s">
        <v>57</v>
      </c>
      <c r="I668" s="8" t="s">
        <v>58</v>
      </c>
      <c r="J668" s="6" t="s">
        <v>396</v>
      </c>
      <c r="K668" s="6" t="s">
        <v>2160</v>
      </c>
      <c r="L668" s="6" t="s">
        <v>3442</v>
      </c>
      <c r="M668" s="6" t="s">
        <v>1142</v>
      </c>
      <c r="N668" s="5" t="s">
        <v>319</v>
      </c>
      <c r="O668" s="5" t="s">
        <v>89</v>
      </c>
      <c r="P668" s="5" t="s">
        <v>89</v>
      </c>
      <c r="Q668" s="9" t="s">
        <v>75</v>
      </c>
      <c r="R668" s="5" t="s">
        <v>76</v>
      </c>
      <c r="S668" s="5" t="s">
        <v>64</v>
      </c>
      <c r="T668" s="7">
        <v>2</v>
      </c>
      <c r="U668" s="7">
        <v>4</v>
      </c>
      <c r="V668" s="7">
        <v>12</v>
      </c>
      <c r="W668" s="5" t="s">
        <v>91</v>
      </c>
      <c r="X668" s="10" t="s">
        <v>79</v>
      </c>
      <c r="Y668" s="11">
        <v>20485.54</v>
      </c>
      <c r="Z668" s="12">
        <v>13.5</v>
      </c>
      <c r="AA668" s="12">
        <v>1</v>
      </c>
      <c r="AB668" s="12">
        <v>0.5</v>
      </c>
      <c r="AC668" s="13">
        <v>0</v>
      </c>
      <c r="AD668" s="14">
        <f t="shared" si="22"/>
        <v>15</v>
      </c>
      <c r="AE668" s="15">
        <f t="shared" si="23"/>
        <v>0</v>
      </c>
      <c r="AF668" s="16">
        <v>12600</v>
      </c>
      <c r="AG668" s="16">
        <v>0.9</v>
      </c>
      <c r="AH668" s="17" t="s">
        <v>1090</v>
      </c>
      <c r="AI668" s="18" t="s">
        <v>2956</v>
      </c>
      <c r="AJ668" s="19" t="s">
        <v>1143</v>
      </c>
      <c r="AK668" s="20">
        <v>0.97</v>
      </c>
      <c r="AL668" s="17" t="s">
        <v>2810</v>
      </c>
      <c r="AM668" s="5" t="s">
        <v>1144</v>
      </c>
      <c r="AN668" s="5" t="s">
        <v>66</v>
      </c>
      <c r="AO668" s="5" t="s">
        <v>66</v>
      </c>
      <c r="AP668" s="5" t="s">
        <v>1145</v>
      </c>
      <c r="AQ668" s="5" t="s">
        <v>200</v>
      </c>
      <c r="AR668" s="5" t="s">
        <v>66</v>
      </c>
      <c r="AS668" s="5" t="s">
        <v>66</v>
      </c>
      <c r="AT668" s="5" t="s">
        <v>66</v>
      </c>
      <c r="AU668" s="5" t="s">
        <v>66</v>
      </c>
      <c r="AV668" s="5" t="s">
        <v>66</v>
      </c>
      <c r="AW668" s="5" t="s">
        <v>66</v>
      </c>
      <c r="AX668" s="5" t="s">
        <v>1146</v>
      </c>
      <c r="AY668" s="5" t="s">
        <v>353</v>
      </c>
      <c r="AZ668" s="5" t="s">
        <v>145</v>
      </c>
      <c r="BA668" s="19" t="s">
        <v>1147</v>
      </c>
      <c r="BB668" s="17" t="s">
        <v>353</v>
      </c>
      <c r="BC668" s="5" t="s">
        <v>1064</v>
      </c>
      <c r="BD668" s="5" t="s">
        <v>1148</v>
      </c>
    </row>
    <row r="669" spans="1:56" ht="48" hidden="1" x14ac:dyDescent="0.25">
      <c r="A669" s="78" t="s">
        <v>1056</v>
      </c>
      <c r="B669" s="5" t="s">
        <v>1057</v>
      </c>
      <c r="C669" s="5" t="s">
        <v>3293</v>
      </c>
      <c r="D669" s="5" t="s">
        <v>56</v>
      </c>
      <c r="E669" s="99" t="str">
        <f>VLOOKUP(D669,'Dropdown List'!$F$26:$G$40,2,0)</f>
        <v>India</v>
      </c>
      <c r="F669" s="6" t="s">
        <v>1058</v>
      </c>
      <c r="G669" s="7">
        <v>16</v>
      </c>
      <c r="H669" s="5" t="s">
        <v>57</v>
      </c>
      <c r="I669" s="8" t="s">
        <v>58</v>
      </c>
      <c r="J669" s="6" t="s">
        <v>396</v>
      </c>
      <c r="K669" s="6" t="s">
        <v>2160</v>
      </c>
      <c r="L669" s="6" t="s">
        <v>3443</v>
      </c>
      <c r="M669" s="6" t="s">
        <v>1142</v>
      </c>
      <c r="N669" s="5" t="s">
        <v>1034</v>
      </c>
      <c r="O669" s="5" t="s">
        <v>89</v>
      </c>
      <c r="P669" s="5" t="s">
        <v>89</v>
      </c>
      <c r="Q669" s="9" t="s">
        <v>75</v>
      </c>
      <c r="R669" s="5" t="s">
        <v>76</v>
      </c>
      <c r="S669" s="5" t="s">
        <v>64</v>
      </c>
      <c r="T669" s="7">
        <v>2</v>
      </c>
      <c r="U669" s="7">
        <v>4</v>
      </c>
      <c r="V669" s="7">
        <v>12</v>
      </c>
      <c r="W669" s="5" t="s">
        <v>91</v>
      </c>
      <c r="X669" s="10" t="s">
        <v>79</v>
      </c>
      <c r="Y669" s="11">
        <v>20485.54</v>
      </c>
      <c r="Z669" s="12">
        <v>1.5</v>
      </c>
      <c r="AA669" s="12">
        <v>1</v>
      </c>
      <c r="AB669" s="12">
        <v>0.5</v>
      </c>
      <c r="AC669" s="13">
        <v>0</v>
      </c>
      <c r="AD669" s="14">
        <f t="shared" si="22"/>
        <v>3</v>
      </c>
      <c r="AE669" s="15">
        <f t="shared" si="23"/>
        <v>0</v>
      </c>
      <c r="AF669" s="16">
        <v>1400</v>
      </c>
      <c r="AG669" s="16">
        <v>0.1</v>
      </c>
      <c r="AH669" s="17" t="s">
        <v>1090</v>
      </c>
      <c r="AI669" s="18" t="s">
        <v>2956</v>
      </c>
      <c r="AJ669" s="19" t="s">
        <v>1143</v>
      </c>
      <c r="AK669" s="20">
        <v>0.97</v>
      </c>
      <c r="AL669" s="17" t="s">
        <v>2810</v>
      </c>
      <c r="AM669" s="5" t="s">
        <v>1144</v>
      </c>
      <c r="AN669" s="5" t="s">
        <v>66</v>
      </c>
      <c r="AO669" s="5" t="s">
        <v>66</v>
      </c>
      <c r="AP669" s="5" t="s">
        <v>1145</v>
      </c>
      <c r="AQ669" s="5" t="s">
        <v>200</v>
      </c>
      <c r="AR669" s="5" t="s">
        <v>66</v>
      </c>
      <c r="AS669" s="5" t="s">
        <v>66</v>
      </c>
      <c r="AT669" s="5" t="s">
        <v>66</v>
      </c>
      <c r="AU669" s="5" t="s">
        <v>66</v>
      </c>
      <c r="AV669" s="5" t="s">
        <v>66</v>
      </c>
      <c r="AW669" s="5" t="s">
        <v>66</v>
      </c>
      <c r="AX669" s="5" t="s">
        <v>1146</v>
      </c>
      <c r="AY669" s="5" t="s">
        <v>353</v>
      </c>
      <c r="AZ669" s="5" t="s">
        <v>145</v>
      </c>
      <c r="BA669" s="19" t="s">
        <v>1147</v>
      </c>
      <c r="BB669" s="17" t="s">
        <v>353</v>
      </c>
      <c r="BC669" s="5" t="s">
        <v>1064</v>
      </c>
      <c r="BD669" s="5" t="s">
        <v>1148</v>
      </c>
    </row>
    <row r="670" spans="1:56" ht="48" hidden="1" x14ac:dyDescent="0.25">
      <c r="A670" s="78" t="s">
        <v>1056</v>
      </c>
      <c r="B670" s="5" t="s">
        <v>1057</v>
      </c>
      <c r="C670" s="5" t="s">
        <v>3293</v>
      </c>
      <c r="D670" s="5" t="s">
        <v>56</v>
      </c>
      <c r="E670" s="99" t="str">
        <f>VLOOKUP(D670,'Dropdown List'!$F$26:$G$40,2,0)</f>
        <v>India</v>
      </c>
      <c r="F670" s="6" t="s">
        <v>1058</v>
      </c>
      <c r="G670" s="7">
        <v>16</v>
      </c>
      <c r="H670" s="5" t="s">
        <v>57</v>
      </c>
      <c r="I670" s="8" t="s">
        <v>58</v>
      </c>
      <c r="J670" s="6" t="s">
        <v>396</v>
      </c>
      <c r="K670" s="6" t="s">
        <v>1715</v>
      </c>
      <c r="L670" s="6" t="s">
        <v>3444</v>
      </c>
      <c r="M670" s="6" t="s">
        <v>1149</v>
      </c>
      <c r="N670" s="5" t="s">
        <v>319</v>
      </c>
      <c r="O670" s="5" t="s">
        <v>89</v>
      </c>
      <c r="P670" s="5" t="s">
        <v>89</v>
      </c>
      <c r="Q670" s="9" t="s">
        <v>75</v>
      </c>
      <c r="R670" s="5" t="s">
        <v>76</v>
      </c>
      <c r="S670" s="5" t="s">
        <v>90</v>
      </c>
      <c r="T670" s="7">
        <v>2</v>
      </c>
      <c r="U670" s="7">
        <v>4</v>
      </c>
      <c r="V670" s="7">
        <v>12</v>
      </c>
      <c r="W670" s="5" t="s">
        <v>91</v>
      </c>
      <c r="X670" s="10" t="s">
        <v>79</v>
      </c>
      <c r="Y670" s="11">
        <v>20485.54</v>
      </c>
      <c r="Z670" s="12">
        <v>2.1800000000000002</v>
      </c>
      <c r="AA670" s="12">
        <v>0.9</v>
      </c>
      <c r="AB670" s="12">
        <v>0</v>
      </c>
      <c r="AC670" s="13">
        <v>0.52</v>
      </c>
      <c r="AD670" s="14">
        <f t="shared" si="22"/>
        <v>3.6</v>
      </c>
      <c r="AE670" s="15">
        <f t="shared" si="23"/>
        <v>0.14444444444444446</v>
      </c>
      <c r="AF670" s="16">
        <v>3600</v>
      </c>
      <c r="AG670" s="16">
        <v>0.9</v>
      </c>
      <c r="AH670" s="17" t="s">
        <v>1090</v>
      </c>
      <c r="AI670" s="18" t="s">
        <v>2957</v>
      </c>
      <c r="AJ670" s="19" t="s">
        <v>1150</v>
      </c>
      <c r="AK670" s="20">
        <v>0.97</v>
      </c>
      <c r="AL670" s="17" t="s">
        <v>2810</v>
      </c>
      <c r="AM670" s="5" t="s">
        <v>1144</v>
      </c>
      <c r="AN670" s="5" t="s">
        <v>66</v>
      </c>
      <c r="AO670" s="5" t="s">
        <v>66</v>
      </c>
      <c r="AP670" s="5" t="s">
        <v>1151</v>
      </c>
      <c r="AQ670" s="5" t="s">
        <v>200</v>
      </c>
      <c r="AR670" s="5" t="s">
        <v>66</v>
      </c>
      <c r="AS670" s="5" t="s">
        <v>66</v>
      </c>
      <c r="AT670" s="5" t="s">
        <v>66</v>
      </c>
      <c r="AU670" s="5" t="s">
        <v>66</v>
      </c>
      <c r="AV670" s="5" t="s">
        <v>66</v>
      </c>
      <c r="AW670" s="5" t="s">
        <v>66</v>
      </c>
      <c r="AX670" s="5" t="s">
        <v>1146</v>
      </c>
      <c r="AY670" s="5" t="s">
        <v>353</v>
      </c>
      <c r="AZ670" s="5" t="s">
        <v>145</v>
      </c>
      <c r="BA670" s="19" t="s">
        <v>1136</v>
      </c>
      <c r="BB670" s="17" t="s">
        <v>353</v>
      </c>
      <c r="BC670" s="5" t="s">
        <v>1152</v>
      </c>
      <c r="BD670" s="5" t="s">
        <v>1153</v>
      </c>
    </row>
    <row r="671" spans="1:56" ht="48" hidden="1" x14ac:dyDescent="0.25">
      <c r="A671" s="78" t="s">
        <v>1056</v>
      </c>
      <c r="B671" s="5" t="s">
        <v>1057</v>
      </c>
      <c r="C671" s="5" t="s">
        <v>3293</v>
      </c>
      <c r="D671" s="5" t="s">
        <v>56</v>
      </c>
      <c r="E671" s="99" t="str">
        <f>VLOOKUP(D671,'Dropdown List'!$F$26:$G$40,2,0)</f>
        <v>India</v>
      </c>
      <c r="F671" s="6" t="s">
        <v>1058</v>
      </c>
      <c r="G671" s="7">
        <v>16</v>
      </c>
      <c r="H671" s="5" t="s">
        <v>57</v>
      </c>
      <c r="I671" s="8" t="s">
        <v>58</v>
      </c>
      <c r="J671" s="6" t="s">
        <v>396</v>
      </c>
      <c r="K671" s="6" t="s">
        <v>1715</v>
      </c>
      <c r="L671" s="6" t="s">
        <v>3445</v>
      </c>
      <c r="M671" s="6" t="s">
        <v>1149</v>
      </c>
      <c r="N671" s="5" t="s">
        <v>1034</v>
      </c>
      <c r="O671" s="5" t="s">
        <v>89</v>
      </c>
      <c r="P671" s="5" t="s">
        <v>89</v>
      </c>
      <c r="Q671" s="9" t="s">
        <v>75</v>
      </c>
      <c r="R671" s="5" t="s">
        <v>76</v>
      </c>
      <c r="S671" s="5" t="s">
        <v>90</v>
      </c>
      <c r="T671" s="7">
        <v>2</v>
      </c>
      <c r="U671" s="7">
        <v>4</v>
      </c>
      <c r="V671" s="7">
        <v>12</v>
      </c>
      <c r="W671" s="5" t="s">
        <v>91</v>
      </c>
      <c r="X671" s="10" t="s">
        <v>79</v>
      </c>
      <c r="Y671" s="11">
        <v>20485.54</v>
      </c>
      <c r="Z671" s="12">
        <v>0.24</v>
      </c>
      <c r="AA671" s="12">
        <v>0.1</v>
      </c>
      <c r="AB671" s="12">
        <v>0</v>
      </c>
      <c r="AC671" s="13">
        <v>0.06</v>
      </c>
      <c r="AD671" s="14">
        <f t="shared" si="22"/>
        <v>0.39999999999999997</v>
      </c>
      <c r="AE671" s="15">
        <f t="shared" si="23"/>
        <v>0.15</v>
      </c>
      <c r="AF671" s="16">
        <v>400</v>
      </c>
      <c r="AG671" s="16">
        <v>0.1</v>
      </c>
      <c r="AH671" s="17" t="s">
        <v>1090</v>
      </c>
      <c r="AI671" s="18" t="s">
        <v>2957</v>
      </c>
      <c r="AJ671" s="19" t="s">
        <v>1150</v>
      </c>
      <c r="AK671" s="20">
        <v>0.97</v>
      </c>
      <c r="AL671" s="17" t="s">
        <v>2810</v>
      </c>
      <c r="AM671" s="5" t="s">
        <v>1144</v>
      </c>
      <c r="AN671" s="5" t="s">
        <v>66</v>
      </c>
      <c r="AO671" s="5" t="s">
        <v>66</v>
      </c>
      <c r="AP671" s="5" t="s">
        <v>1151</v>
      </c>
      <c r="AQ671" s="5" t="s">
        <v>200</v>
      </c>
      <c r="AR671" s="5" t="s">
        <v>66</v>
      </c>
      <c r="AS671" s="5" t="s">
        <v>66</v>
      </c>
      <c r="AT671" s="5" t="s">
        <v>66</v>
      </c>
      <c r="AU671" s="5" t="s">
        <v>66</v>
      </c>
      <c r="AV671" s="5" t="s">
        <v>66</v>
      </c>
      <c r="AW671" s="5" t="s">
        <v>66</v>
      </c>
      <c r="AX671" s="5" t="s">
        <v>1146</v>
      </c>
      <c r="AY671" s="5" t="s">
        <v>353</v>
      </c>
      <c r="AZ671" s="5" t="s">
        <v>145</v>
      </c>
      <c r="BA671" s="19" t="s">
        <v>1136</v>
      </c>
      <c r="BB671" s="17" t="s">
        <v>353</v>
      </c>
      <c r="BC671" s="5" t="s">
        <v>1152</v>
      </c>
      <c r="BD671" s="5" t="s">
        <v>1153</v>
      </c>
    </row>
    <row r="672" spans="1:56" ht="36" hidden="1" x14ac:dyDescent="0.25">
      <c r="A672" s="78" t="s">
        <v>1056</v>
      </c>
      <c r="B672" s="5" t="s">
        <v>1057</v>
      </c>
      <c r="C672" s="5" t="s">
        <v>3293</v>
      </c>
      <c r="D672" s="5" t="s">
        <v>56</v>
      </c>
      <c r="E672" s="99" t="str">
        <f>VLOOKUP(D672,'Dropdown List'!$F$26:$G$40,2,0)</f>
        <v>India</v>
      </c>
      <c r="F672" s="6" t="s">
        <v>1058</v>
      </c>
      <c r="G672" s="7">
        <v>13</v>
      </c>
      <c r="H672" s="5" t="s">
        <v>57</v>
      </c>
      <c r="I672" s="8" t="s">
        <v>58</v>
      </c>
      <c r="J672" s="6" t="s">
        <v>396</v>
      </c>
      <c r="K672" s="6" t="s">
        <v>1715</v>
      </c>
      <c r="L672" s="6" t="s">
        <v>1154</v>
      </c>
      <c r="M672" s="6" t="s">
        <v>2958</v>
      </c>
      <c r="N672" s="5" t="s">
        <v>1034</v>
      </c>
      <c r="O672" s="5" t="s">
        <v>1069</v>
      </c>
      <c r="P672" s="5" t="s">
        <v>1069</v>
      </c>
      <c r="Q672" s="9" t="s">
        <v>75</v>
      </c>
      <c r="R672" s="5" t="s">
        <v>76</v>
      </c>
      <c r="S672" s="5" t="s">
        <v>90</v>
      </c>
      <c r="T672" s="7">
        <v>2</v>
      </c>
      <c r="U672" s="7">
        <v>3</v>
      </c>
      <c r="V672" s="7">
        <v>4</v>
      </c>
      <c r="W672" s="5" t="s">
        <v>91</v>
      </c>
      <c r="X672" s="10" t="s">
        <v>79</v>
      </c>
      <c r="Y672" s="11">
        <v>23913.25</v>
      </c>
      <c r="Z672" s="12">
        <v>0.34</v>
      </c>
      <c r="AA672" s="12">
        <v>0</v>
      </c>
      <c r="AB672" s="12">
        <v>0</v>
      </c>
      <c r="AC672" s="13">
        <v>0.65999999999999992</v>
      </c>
      <c r="AD672" s="14">
        <f t="shared" si="22"/>
        <v>1</v>
      </c>
      <c r="AE672" s="15">
        <f t="shared" si="23"/>
        <v>0.65999999999999992</v>
      </c>
      <c r="AF672" s="16">
        <v>200</v>
      </c>
      <c r="AG672" s="16" t="s">
        <v>1140</v>
      </c>
      <c r="AH672" s="17" t="s">
        <v>1155</v>
      </c>
      <c r="AI672" s="18">
        <v>5.53</v>
      </c>
      <c r="AJ672" s="19" t="s">
        <v>1156</v>
      </c>
      <c r="AK672" s="20">
        <v>0.95</v>
      </c>
      <c r="AL672" s="17" t="s">
        <v>338</v>
      </c>
      <c r="AM672" s="5" t="s">
        <v>66</v>
      </c>
      <c r="AN672" s="5" t="s">
        <v>66</v>
      </c>
      <c r="AO672" s="5" t="s">
        <v>66</v>
      </c>
      <c r="AP672" s="5" t="s">
        <v>66</v>
      </c>
      <c r="AQ672" s="5" t="s">
        <v>66</v>
      </c>
      <c r="AR672" s="5" t="s">
        <v>66</v>
      </c>
      <c r="AS672" s="5" t="s">
        <v>66</v>
      </c>
      <c r="AT672" s="5" t="s">
        <v>66</v>
      </c>
      <c r="AU672" s="5" t="s">
        <v>66</v>
      </c>
      <c r="AV672" s="5" t="s">
        <v>66</v>
      </c>
      <c r="AW672" s="5" t="s">
        <v>66</v>
      </c>
      <c r="AX672" s="5" t="s">
        <v>1062</v>
      </c>
      <c r="AY672" s="5" t="s">
        <v>94</v>
      </c>
      <c r="AZ672" s="5" t="s">
        <v>80</v>
      </c>
      <c r="BA672" s="19" t="s">
        <v>769</v>
      </c>
      <c r="BB672" s="17" t="s">
        <v>353</v>
      </c>
      <c r="BC672" s="5" t="s">
        <v>1077</v>
      </c>
      <c r="BD672" s="5" t="s">
        <v>1157</v>
      </c>
    </row>
    <row r="673" spans="1:56" ht="36" hidden="1" x14ac:dyDescent="0.25">
      <c r="A673" s="78" t="s">
        <v>1056</v>
      </c>
      <c r="B673" s="5" t="s">
        <v>1057</v>
      </c>
      <c r="C673" s="5" t="s">
        <v>3293</v>
      </c>
      <c r="D673" s="5" t="s">
        <v>56</v>
      </c>
      <c r="E673" s="99" t="str">
        <f>VLOOKUP(D673,'Dropdown List'!$F$26:$G$40,2,0)</f>
        <v>India</v>
      </c>
      <c r="F673" s="6" t="s">
        <v>1058</v>
      </c>
      <c r="G673" s="7">
        <v>16</v>
      </c>
      <c r="H673" s="5" t="s">
        <v>57</v>
      </c>
      <c r="I673" s="8" t="s">
        <v>58</v>
      </c>
      <c r="J673" s="6" t="s">
        <v>396</v>
      </c>
      <c r="K673" s="6" t="s">
        <v>1715</v>
      </c>
      <c r="L673" s="6" t="s">
        <v>1158</v>
      </c>
      <c r="M673" s="6" t="s">
        <v>2959</v>
      </c>
      <c r="N673" s="5" t="s">
        <v>1034</v>
      </c>
      <c r="O673" s="5" t="s">
        <v>1069</v>
      </c>
      <c r="P673" s="5" t="s">
        <v>1069</v>
      </c>
      <c r="Q673" s="9" t="s">
        <v>75</v>
      </c>
      <c r="R673" s="5" t="s">
        <v>76</v>
      </c>
      <c r="S673" s="5" t="s">
        <v>90</v>
      </c>
      <c r="T673" s="7">
        <v>2</v>
      </c>
      <c r="U673" s="7">
        <v>3</v>
      </c>
      <c r="V673" s="7">
        <v>8</v>
      </c>
      <c r="W673" s="5" t="s">
        <v>91</v>
      </c>
      <c r="X673" s="10" t="s">
        <v>79</v>
      </c>
      <c r="Y673" s="11">
        <v>20485.54</v>
      </c>
      <c r="Z673" s="12">
        <v>13.84</v>
      </c>
      <c r="AA673" s="12">
        <v>1</v>
      </c>
      <c r="AB673" s="12">
        <v>1</v>
      </c>
      <c r="AC673" s="13">
        <v>1.1600000000000001</v>
      </c>
      <c r="AD673" s="14">
        <f t="shared" si="22"/>
        <v>17</v>
      </c>
      <c r="AE673" s="15">
        <f t="shared" si="23"/>
        <v>6.8235294117647061E-2</v>
      </c>
      <c r="AF673" s="16">
        <v>34000</v>
      </c>
      <c r="AG673" s="16" t="s">
        <v>1140</v>
      </c>
      <c r="AH673" s="17" t="s">
        <v>1090</v>
      </c>
      <c r="AI673" s="18">
        <v>2.67</v>
      </c>
      <c r="AJ673" s="19" t="s">
        <v>1159</v>
      </c>
      <c r="AK673" s="20">
        <v>0.95</v>
      </c>
      <c r="AL673" s="17" t="s">
        <v>338</v>
      </c>
      <c r="AM673" s="5" t="s">
        <v>66</v>
      </c>
      <c r="AN673" s="5" t="s">
        <v>66</v>
      </c>
      <c r="AO673" s="5" t="s">
        <v>66</v>
      </c>
      <c r="AP673" s="5" t="s">
        <v>66</v>
      </c>
      <c r="AQ673" s="5" t="s">
        <v>66</v>
      </c>
      <c r="AR673" s="5" t="s">
        <v>66</v>
      </c>
      <c r="AS673" s="5" t="s">
        <v>66</v>
      </c>
      <c r="AT673" s="5" t="s">
        <v>66</v>
      </c>
      <c r="AU673" s="5" t="s">
        <v>66</v>
      </c>
      <c r="AV673" s="5" t="s">
        <v>66</v>
      </c>
      <c r="AW673" s="5" t="s">
        <v>66</v>
      </c>
      <c r="AX673" s="5" t="s">
        <v>1077</v>
      </c>
      <c r="AY673" s="5" t="s">
        <v>69</v>
      </c>
      <c r="AZ673" s="5" t="s">
        <v>145</v>
      </c>
      <c r="BA673" s="19" t="s">
        <v>2960</v>
      </c>
      <c r="BB673" s="17" t="s">
        <v>69</v>
      </c>
      <c r="BC673" s="5" t="s">
        <v>1077</v>
      </c>
      <c r="BD673" s="5" t="s">
        <v>1157</v>
      </c>
    </row>
    <row r="674" spans="1:56" ht="36" hidden="1" x14ac:dyDescent="0.25">
      <c r="A674" s="78" t="s">
        <v>1056</v>
      </c>
      <c r="B674" s="5" t="s">
        <v>1057</v>
      </c>
      <c r="C674" s="5" t="s">
        <v>3293</v>
      </c>
      <c r="D674" s="5" t="s">
        <v>56</v>
      </c>
      <c r="E674" s="99" t="str">
        <f>VLOOKUP(D674,'Dropdown List'!$F$26:$G$40,2,0)</f>
        <v>India</v>
      </c>
      <c r="F674" s="6" t="s">
        <v>1058</v>
      </c>
      <c r="G674" s="7">
        <v>16</v>
      </c>
      <c r="H674" s="5" t="s">
        <v>57</v>
      </c>
      <c r="I674" s="8" t="s">
        <v>58</v>
      </c>
      <c r="J674" s="6" t="s">
        <v>396</v>
      </c>
      <c r="K674" s="6" t="s">
        <v>1715</v>
      </c>
      <c r="L674" s="6" t="s">
        <v>1160</v>
      </c>
      <c r="M674" s="6" t="s">
        <v>1161</v>
      </c>
      <c r="N674" s="5" t="s">
        <v>1034</v>
      </c>
      <c r="O674" s="5" t="s">
        <v>1069</v>
      </c>
      <c r="P674" s="5" t="s">
        <v>1069</v>
      </c>
      <c r="Q674" s="9" t="s">
        <v>75</v>
      </c>
      <c r="R674" s="5" t="s">
        <v>76</v>
      </c>
      <c r="S674" s="5" t="s">
        <v>90</v>
      </c>
      <c r="T674" s="7">
        <v>2</v>
      </c>
      <c r="U674" s="7">
        <v>2</v>
      </c>
      <c r="V674" s="7">
        <v>6</v>
      </c>
      <c r="W674" s="5" t="s">
        <v>91</v>
      </c>
      <c r="X674" s="10" t="s">
        <v>79</v>
      </c>
      <c r="Y674" s="11">
        <v>20485.54</v>
      </c>
      <c r="Z674" s="12">
        <v>5.0999999999999996</v>
      </c>
      <c r="AA674" s="12">
        <v>1</v>
      </c>
      <c r="AB674" s="12">
        <v>0</v>
      </c>
      <c r="AC674" s="13">
        <v>1.9000000000000004</v>
      </c>
      <c r="AD674" s="14">
        <f t="shared" si="22"/>
        <v>8</v>
      </c>
      <c r="AE674" s="15">
        <f t="shared" si="23"/>
        <v>0.23750000000000004</v>
      </c>
      <c r="AF674" s="16">
        <v>21000</v>
      </c>
      <c r="AG674" s="16" t="s">
        <v>1140</v>
      </c>
      <c r="AH674" s="17" t="s">
        <v>1090</v>
      </c>
      <c r="AI674" s="18">
        <v>2.2000000000000002</v>
      </c>
      <c r="AJ674" s="19" t="s">
        <v>1162</v>
      </c>
      <c r="AK674" s="20">
        <v>0.96</v>
      </c>
      <c r="AL674" s="17" t="s">
        <v>338</v>
      </c>
      <c r="AM674" s="5" t="s">
        <v>66</v>
      </c>
      <c r="AN674" s="5" t="s">
        <v>66</v>
      </c>
      <c r="AO674" s="5" t="s">
        <v>66</v>
      </c>
      <c r="AP674" s="5" t="s">
        <v>66</v>
      </c>
      <c r="AQ674" s="5" t="s">
        <v>66</v>
      </c>
      <c r="AR674" s="5" t="s">
        <v>66</v>
      </c>
      <c r="AS674" s="5" t="s">
        <v>66</v>
      </c>
      <c r="AT674" s="5" t="s">
        <v>66</v>
      </c>
      <c r="AU674" s="5" t="s">
        <v>66</v>
      </c>
      <c r="AV674" s="5" t="s">
        <v>66</v>
      </c>
      <c r="AW674" s="5" t="s">
        <v>66</v>
      </c>
      <c r="AX674" s="5" t="s">
        <v>1077</v>
      </c>
      <c r="AY674" s="5" t="s">
        <v>936</v>
      </c>
      <c r="AZ674" s="5" t="s">
        <v>145</v>
      </c>
      <c r="BA674" s="19" t="s">
        <v>1163</v>
      </c>
      <c r="BB674" s="17" t="s">
        <v>69</v>
      </c>
      <c r="BC674" s="5" t="s">
        <v>1077</v>
      </c>
      <c r="BD674" s="5" t="s">
        <v>1164</v>
      </c>
    </row>
    <row r="675" spans="1:56" ht="60" hidden="1" x14ac:dyDescent="0.25">
      <c r="A675" s="78" t="s">
        <v>1056</v>
      </c>
      <c r="B675" s="5" t="s">
        <v>1057</v>
      </c>
      <c r="C675" s="5" t="s">
        <v>3293</v>
      </c>
      <c r="D675" s="5" t="s">
        <v>56</v>
      </c>
      <c r="E675" s="99" t="str">
        <f>VLOOKUP(D675,'Dropdown List'!$F$26:$G$40,2,0)</f>
        <v>India</v>
      </c>
      <c r="F675" s="6" t="s">
        <v>1058</v>
      </c>
      <c r="G675" s="7">
        <v>13</v>
      </c>
      <c r="H675" s="5" t="s">
        <v>57</v>
      </c>
      <c r="I675" s="8" t="s">
        <v>58</v>
      </c>
      <c r="J675" s="6" t="s">
        <v>881</v>
      </c>
      <c r="K675" s="6" t="s">
        <v>1187</v>
      </c>
      <c r="L675" s="6" t="s">
        <v>1165</v>
      </c>
      <c r="M675" s="6" t="s">
        <v>1166</v>
      </c>
      <c r="N675" s="5" t="s">
        <v>319</v>
      </c>
      <c r="O675" s="5" t="s">
        <v>1069</v>
      </c>
      <c r="P675" s="5" t="s">
        <v>1069</v>
      </c>
      <c r="Q675" s="9" t="s">
        <v>75</v>
      </c>
      <c r="R675" s="5" t="s">
        <v>76</v>
      </c>
      <c r="S675" s="5" t="s">
        <v>120</v>
      </c>
      <c r="T675" s="7">
        <v>2</v>
      </c>
      <c r="U675" s="7">
        <v>3</v>
      </c>
      <c r="V675" s="7">
        <v>6</v>
      </c>
      <c r="W675" s="5" t="s">
        <v>91</v>
      </c>
      <c r="X675" s="10" t="s">
        <v>79</v>
      </c>
      <c r="Y675" s="11">
        <v>23913.25</v>
      </c>
      <c r="Z675" s="12">
        <v>2.97</v>
      </c>
      <c r="AA675" s="12">
        <v>1</v>
      </c>
      <c r="AB675" s="12">
        <v>0</v>
      </c>
      <c r="AC675" s="13">
        <v>1.0299999999999998</v>
      </c>
      <c r="AD675" s="14">
        <f t="shared" si="22"/>
        <v>5</v>
      </c>
      <c r="AE675" s="15">
        <f t="shared" si="23"/>
        <v>0.20599999999999996</v>
      </c>
      <c r="AF675" s="16">
        <v>125</v>
      </c>
      <c r="AG675" s="16">
        <v>110</v>
      </c>
      <c r="AH675" s="17" t="s">
        <v>1101</v>
      </c>
      <c r="AI675" s="18">
        <v>172</v>
      </c>
      <c r="AJ675" s="19" t="s">
        <v>1167</v>
      </c>
      <c r="AK675" s="20">
        <v>0.95</v>
      </c>
      <c r="AL675" s="17" t="s">
        <v>92</v>
      </c>
      <c r="AM675" s="5" t="s">
        <v>66</v>
      </c>
      <c r="AN675" s="5" t="s">
        <v>66</v>
      </c>
      <c r="AO675" s="5" t="s">
        <v>66</v>
      </c>
      <c r="AP675" s="5" t="s">
        <v>66</v>
      </c>
      <c r="AQ675" s="5" t="s">
        <v>66</v>
      </c>
      <c r="AR675" s="5" t="s">
        <v>66</v>
      </c>
      <c r="AS675" s="5" t="s">
        <v>66</v>
      </c>
      <c r="AT675" s="5" t="s">
        <v>66</v>
      </c>
      <c r="AU675" s="5" t="s">
        <v>66</v>
      </c>
      <c r="AV675" s="5" t="s">
        <v>66</v>
      </c>
      <c r="AW675" s="5" t="s">
        <v>66</v>
      </c>
      <c r="AX675" s="5" t="s">
        <v>1168</v>
      </c>
      <c r="AY675" s="5" t="s">
        <v>353</v>
      </c>
      <c r="AZ675" s="5" t="s">
        <v>145</v>
      </c>
      <c r="BA675" s="19" t="s">
        <v>1089</v>
      </c>
      <c r="BB675" s="17" t="s">
        <v>353</v>
      </c>
      <c r="BC675" s="5" t="s">
        <v>1168</v>
      </c>
      <c r="BD675" s="5" t="s">
        <v>1169</v>
      </c>
    </row>
    <row r="676" spans="1:56" ht="60" hidden="1" x14ac:dyDescent="0.25">
      <c r="A676" s="78" t="s">
        <v>1056</v>
      </c>
      <c r="B676" s="5" t="s">
        <v>1057</v>
      </c>
      <c r="C676" s="5" t="s">
        <v>3293</v>
      </c>
      <c r="D676" s="5" t="s">
        <v>56</v>
      </c>
      <c r="E676" s="99" t="str">
        <f>VLOOKUP(D676,'Dropdown List'!$F$26:$G$40,2,0)</f>
        <v>India</v>
      </c>
      <c r="F676" s="6" t="s">
        <v>1058</v>
      </c>
      <c r="G676" s="7">
        <v>13</v>
      </c>
      <c r="H676" s="5" t="s">
        <v>57</v>
      </c>
      <c r="I676" s="8" t="s">
        <v>58</v>
      </c>
      <c r="J676" s="6" t="s">
        <v>881</v>
      </c>
      <c r="K676" s="6" t="s">
        <v>1187</v>
      </c>
      <c r="L676" s="6" t="s">
        <v>1170</v>
      </c>
      <c r="M676" s="6" t="s">
        <v>1166</v>
      </c>
      <c r="N676" s="5" t="s">
        <v>319</v>
      </c>
      <c r="O676" s="5" t="s">
        <v>1069</v>
      </c>
      <c r="P676" s="5" t="s">
        <v>1069</v>
      </c>
      <c r="Q676" s="9" t="s">
        <v>75</v>
      </c>
      <c r="R676" s="5" t="s">
        <v>76</v>
      </c>
      <c r="S676" s="5" t="s">
        <v>120</v>
      </c>
      <c r="T676" s="7">
        <v>2</v>
      </c>
      <c r="U676" s="7">
        <v>3</v>
      </c>
      <c r="V676" s="7">
        <v>6</v>
      </c>
      <c r="W676" s="5" t="s">
        <v>91</v>
      </c>
      <c r="X676" s="10" t="s">
        <v>79</v>
      </c>
      <c r="Y676" s="11">
        <v>23913.25</v>
      </c>
      <c r="Z676" s="12">
        <v>0.76</v>
      </c>
      <c r="AA676" s="12">
        <v>0</v>
      </c>
      <c r="AB676" s="12">
        <v>0</v>
      </c>
      <c r="AC676" s="13">
        <v>0.24</v>
      </c>
      <c r="AD676" s="14">
        <f t="shared" si="22"/>
        <v>1</v>
      </c>
      <c r="AE676" s="15">
        <f t="shared" si="23"/>
        <v>0.24</v>
      </c>
      <c r="AF676" s="16">
        <v>22</v>
      </c>
      <c r="AG676" s="16">
        <v>28</v>
      </c>
      <c r="AH676" s="17" t="s">
        <v>1101</v>
      </c>
      <c r="AI676" s="18">
        <v>238.16</v>
      </c>
      <c r="AJ676" s="19" t="s">
        <v>1171</v>
      </c>
      <c r="AK676" s="20">
        <v>0.95</v>
      </c>
      <c r="AL676" s="17" t="s">
        <v>92</v>
      </c>
      <c r="AM676" s="5" t="s">
        <v>66</v>
      </c>
      <c r="AN676" s="5" t="s">
        <v>66</v>
      </c>
      <c r="AO676" s="5" t="s">
        <v>66</v>
      </c>
      <c r="AP676" s="5" t="s">
        <v>66</v>
      </c>
      <c r="AQ676" s="5" t="s">
        <v>66</v>
      </c>
      <c r="AR676" s="5" t="s">
        <v>66</v>
      </c>
      <c r="AS676" s="5" t="s">
        <v>66</v>
      </c>
      <c r="AT676" s="5" t="s">
        <v>66</v>
      </c>
      <c r="AU676" s="5" t="s">
        <v>66</v>
      </c>
      <c r="AV676" s="5" t="s">
        <v>66</v>
      </c>
      <c r="AW676" s="5" t="s">
        <v>66</v>
      </c>
      <c r="AX676" s="5" t="s">
        <v>1168</v>
      </c>
      <c r="AY676" s="5" t="s">
        <v>353</v>
      </c>
      <c r="AZ676" s="5" t="s">
        <v>145</v>
      </c>
      <c r="BA676" s="19" t="s">
        <v>1089</v>
      </c>
      <c r="BB676" s="17" t="s">
        <v>353</v>
      </c>
      <c r="BC676" s="5" t="s">
        <v>1168</v>
      </c>
      <c r="BD676" s="5" t="s">
        <v>1169</v>
      </c>
    </row>
    <row r="677" spans="1:56" ht="48" hidden="1" x14ac:dyDescent="0.25">
      <c r="A677" s="78" t="s">
        <v>1056</v>
      </c>
      <c r="B677" s="5" t="s">
        <v>1057</v>
      </c>
      <c r="C677" s="5" t="s">
        <v>3293</v>
      </c>
      <c r="D677" s="5" t="s">
        <v>56</v>
      </c>
      <c r="E677" s="99" t="str">
        <f>VLOOKUP(D677,'Dropdown List'!$F$26:$G$40,2,0)</f>
        <v>India</v>
      </c>
      <c r="F677" s="6" t="s">
        <v>1058</v>
      </c>
      <c r="G677" s="7">
        <v>11</v>
      </c>
      <c r="H677" s="5" t="s">
        <v>57</v>
      </c>
      <c r="I677" s="8" t="s">
        <v>58</v>
      </c>
      <c r="J677" s="6" t="s">
        <v>396</v>
      </c>
      <c r="K677" s="6" t="s">
        <v>2771</v>
      </c>
      <c r="L677" s="6" t="s">
        <v>1172</v>
      </c>
      <c r="M677" s="6" t="s">
        <v>1173</v>
      </c>
      <c r="N677" s="5" t="s">
        <v>1034</v>
      </c>
      <c r="O677" s="5" t="s">
        <v>1069</v>
      </c>
      <c r="P677" s="5" t="s">
        <v>1069</v>
      </c>
      <c r="Q677" s="9" t="s">
        <v>75</v>
      </c>
      <c r="R677" s="5" t="s">
        <v>76</v>
      </c>
      <c r="S677" s="5" t="s">
        <v>120</v>
      </c>
      <c r="T677" s="7">
        <v>2</v>
      </c>
      <c r="U677" s="7">
        <v>6</v>
      </c>
      <c r="V677" s="7">
        <v>6</v>
      </c>
      <c r="W677" s="5" t="s">
        <v>78</v>
      </c>
      <c r="X677" s="10" t="s">
        <v>79</v>
      </c>
      <c r="Y677" s="11" t="s">
        <v>2961</v>
      </c>
      <c r="Z677" s="12">
        <v>0</v>
      </c>
      <c r="AA677" s="12">
        <v>0</v>
      </c>
      <c r="AB677" s="12">
        <v>0</v>
      </c>
      <c r="AC677" s="13">
        <v>0</v>
      </c>
      <c r="AD677" s="14">
        <f t="shared" si="22"/>
        <v>0</v>
      </c>
      <c r="AE677" s="15" t="e">
        <f t="shared" si="23"/>
        <v>#DIV/0!</v>
      </c>
      <c r="AF677" s="16">
        <v>18554</v>
      </c>
      <c r="AG677" s="16">
        <v>18554</v>
      </c>
      <c r="AH677" s="17" t="s">
        <v>1090</v>
      </c>
      <c r="AI677" s="18">
        <v>7</v>
      </c>
      <c r="AJ677" s="19" t="s">
        <v>1174</v>
      </c>
      <c r="AK677" s="20">
        <v>0.95</v>
      </c>
      <c r="AL677" s="17" t="s">
        <v>338</v>
      </c>
      <c r="AM677" s="5" t="s">
        <v>66</v>
      </c>
      <c r="AN677" s="5" t="s">
        <v>66</v>
      </c>
      <c r="AO677" s="5" t="s">
        <v>66</v>
      </c>
      <c r="AP677" s="5" t="s">
        <v>66</v>
      </c>
      <c r="AQ677" s="5" t="s">
        <v>66</v>
      </c>
      <c r="AR677" s="5" t="s">
        <v>66</v>
      </c>
      <c r="AS677" s="5" t="s">
        <v>66</v>
      </c>
      <c r="AT677" s="5" t="s">
        <v>66</v>
      </c>
      <c r="AU677" s="5" t="s">
        <v>66</v>
      </c>
      <c r="AV677" s="5" t="s">
        <v>66</v>
      </c>
      <c r="AW677" s="5" t="s">
        <v>66</v>
      </c>
      <c r="AX677" s="5" t="s">
        <v>1175</v>
      </c>
      <c r="AY677" s="5" t="s">
        <v>69</v>
      </c>
      <c r="AZ677" s="5" t="s">
        <v>145</v>
      </c>
      <c r="BA677" s="19" t="s">
        <v>1176</v>
      </c>
      <c r="BB677" s="17" t="s">
        <v>353</v>
      </c>
      <c r="BC677" s="5" t="s">
        <v>1175</v>
      </c>
      <c r="BD677" s="5" t="s">
        <v>1177</v>
      </c>
    </row>
    <row r="678" spans="1:56" ht="144" hidden="1" x14ac:dyDescent="0.25">
      <c r="A678" s="78" t="s">
        <v>1056</v>
      </c>
      <c r="B678" s="5" t="s">
        <v>1057</v>
      </c>
      <c r="C678" s="5" t="s">
        <v>3293</v>
      </c>
      <c r="D678" s="5" t="s">
        <v>56</v>
      </c>
      <c r="E678" s="99" t="str">
        <f>VLOOKUP(D678,'Dropdown List'!$F$26:$G$40,2,0)</f>
        <v>India</v>
      </c>
      <c r="F678" s="6" t="s">
        <v>1058</v>
      </c>
      <c r="G678" s="7">
        <v>16</v>
      </c>
      <c r="H678" s="5" t="s">
        <v>57</v>
      </c>
      <c r="I678" s="8" t="s">
        <v>58</v>
      </c>
      <c r="J678" s="6" t="s">
        <v>163</v>
      </c>
      <c r="K678" s="6" t="s">
        <v>762</v>
      </c>
      <c r="L678" s="6" t="s">
        <v>3446</v>
      </c>
      <c r="M678" s="6" t="s">
        <v>1178</v>
      </c>
      <c r="N678" s="5" t="s">
        <v>319</v>
      </c>
      <c r="O678" s="5" t="s">
        <v>74</v>
      </c>
      <c r="P678" s="5" t="s">
        <v>74</v>
      </c>
      <c r="Q678" s="9" t="s">
        <v>75</v>
      </c>
      <c r="R678" s="5" t="s">
        <v>63</v>
      </c>
      <c r="S678" s="5" t="s">
        <v>334</v>
      </c>
      <c r="T678" s="7">
        <v>2</v>
      </c>
      <c r="U678" s="7">
        <v>3</v>
      </c>
      <c r="V678" s="7">
        <v>16</v>
      </c>
      <c r="W678" s="5" t="s">
        <v>91</v>
      </c>
      <c r="X678" s="10" t="s">
        <v>79</v>
      </c>
      <c r="Y678" s="11">
        <v>20485.54</v>
      </c>
      <c r="Z678" s="12">
        <v>7.49</v>
      </c>
      <c r="AA678" s="12">
        <v>0.85</v>
      </c>
      <c r="AB678" s="12">
        <v>0.5</v>
      </c>
      <c r="AC678" s="13">
        <v>1.01</v>
      </c>
      <c r="AD678" s="14">
        <f t="shared" si="22"/>
        <v>9.85</v>
      </c>
      <c r="AE678" s="15">
        <f t="shared" si="23"/>
        <v>0.10253807106598985</v>
      </c>
      <c r="AF678" s="16">
        <v>23210</v>
      </c>
      <c r="AG678" s="16" t="s">
        <v>3447</v>
      </c>
      <c r="AH678" s="17" t="s">
        <v>1179</v>
      </c>
      <c r="AI678" s="18">
        <v>2.04</v>
      </c>
      <c r="AJ678" s="19" t="s">
        <v>1180</v>
      </c>
      <c r="AK678" s="20">
        <v>0.95</v>
      </c>
      <c r="AL678" s="17" t="s">
        <v>338</v>
      </c>
      <c r="AM678" s="5" t="s">
        <v>66</v>
      </c>
      <c r="AN678" s="5" t="s">
        <v>66</v>
      </c>
      <c r="AO678" s="5" t="s">
        <v>1103</v>
      </c>
      <c r="AP678" s="5" t="s">
        <v>66</v>
      </c>
      <c r="AQ678" s="5" t="s">
        <v>200</v>
      </c>
      <c r="AR678" s="5" t="s">
        <v>66</v>
      </c>
      <c r="AS678" s="5" t="s">
        <v>66</v>
      </c>
      <c r="AT678" s="5" t="s">
        <v>66</v>
      </c>
      <c r="AU678" s="5" t="s">
        <v>66</v>
      </c>
      <c r="AV678" s="5" t="s">
        <v>66</v>
      </c>
      <c r="AW678" s="5" t="s">
        <v>200</v>
      </c>
      <c r="AX678" s="5" t="s">
        <v>2962</v>
      </c>
      <c r="AY678" s="5" t="s">
        <v>69</v>
      </c>
      <c r="AZ678" s="5" t="s">
        <v>145</v>
      </c>
      <c r="BA678" s="19" t="s">
        <v>1181</v>
      </c>
      <c r="BB678" s="17" t="s">
        <v>65</v>
      </c>
      <c r="BC678" s="5" t="s">
        <v>220</v>
      </c>
      <c r="BD678" s="5" t="s">
        <v>1182</v>
      </c>
    </row>
    <row r="679" spans="1:56" ht="144" hidden="1" x14ac:dyDescent="0.25">
      <c r="A679" s="78" t="s">
        <v>1056</v>
      </c>
      <c r="B679" s="5" t="s">
        <v>1057</v>
      </c>
      <c r="C679" s="5" t="s">
        <v>3293</v>
      </c>
      <c r="D679" s="5" t="s">
        <v>56</v>
      </c>
      <c r="E679" s="99" t="str">
        <f>VLOOKUP(D679,'Dropdown List'!$F$26:$G$40,2,0)</f>
        <v>India</v>
      </c>
      <c r="F679" s="6" t="s">
        <v>1058</v>
      </c>
      <c r="G679" s="7">
        <v>16</v>
      </c>
      <c r="H679" s="5" t="s">
        <v>57</v>
      </c>
      <c r="I679" s="8" t="s">
        <v>58</v>
      </c>
      <c r="J679" s="6" t="s">
        <v>163</v>
      </c>
      <c r="K679" s="6" t="s">
        <v>762</v>
      </c>
      <c r="L679" s="6" t="s">
        <v>3448</v>
      </c>
      <c r="M679" s="6" t="s">
        <v>1178</v>
      </c>
      <c r="N679" s="5" t="s">
        <v>1034</v>
      </c>
      <c r="O679" s="5" t="s">
        <v>74</v>
      </c>
      <c r="P679" s="5" t="s">
        <v>74</v>
      </c>
      <c r="Q679" s="9" t="s">
        <v>75</v>
      </c>
      <c r="R679" s="5" t="s">
        <v>63</v>
      </c>
      <c r="S679" s="5" t="s">
        <v>334</v>
      </c>
      <c r="T679" s="7">
        <v>2</v>
      </c>
      <c r="U679" s="7">
        <v>3</v>
      </c>
      <c r="V679" s="7">
        <v>16</v>
      </c>
      <c r="W679" s="5" t="s">
        <v>91</v>
      </c>
      <c r="X679" s="10" t="s">
        <v>79</v>
      </c>
      <c r="Y679" s="11">
        <v>20485.54</v>
      </c>
      <c r="Z679" s="12">
        <v>1.32</v>
      </c>
      <c r="AA679" s="12">
        <v>0.15</v>
      </c>
      <c r="AB679" s="12">
        <v>0.5</v>
      </c>
      <c r="AC679" s="13">
        <v>0.18</v>
      </c>
      <c r="AD679" s="14">
        <f t="shared" si="22"/>
        <v>2.15</v>
      </c>
      <c r="AE679" s="15">
        <f t="shared" si="23"/>
        <v>8.3720930232558138E-2</v>
      </c>
      <c r="AF679" s="16">
        <v>4097</v>
      </c>
      <c r="AG679" s="16" t="s">
        <v>3449</v>
      </c>
      <c r="AH679" s="17" t="s">
        <v>1179</v>
      </c>
      <c r="AI679" s="18">
        <v>2.04</v>
      </c>
      <c r="AJ679" s="19" t="s">
        <v>1180</v>
      </c>
      <c r="AK679" s="20">
        <v>0.95</v>
      </c>
      <c r="AL679" s="17" t="s">
        <v>338</v>
      </c>
      <c r="AM679" s="5" t="s">
        <v>66</v>
      </c>
      <c r="AN679" s="5" t="s">
        <v>66</v>
      </c>
      <c r="AO679" s="5" t="s">
        <v>1103</v>
      </c>
      <c r="AP679" s="5" t="s">
        <v>66</v>
      </c>
      <c r="AQ679" s="5" t="s">
        <v>200</v>
      </c>
      <c r="AR679" s="5" t="s">
        <v>66</v>
      </c>
      <c r="AS679" s="5" t="s">
        <v>66</v>
      </c>
      <c r="AT679" s="5" t="s">
        <v>66</v>
      </c>
      <c r="AU679" s="5" t="s">
        <v>66</v>
      </c>
      <c r="AV679" s="5" t="s">
        <v>66</v>
      </c>
      <c r="AW679" s="5" t="s">
        <v>200</v>
      </c>
      <c r="AX679" s="5" t="s">
        <v>2962</v>
      </c>
      <c r="AY679" s="5" t="s">
        <v>69</v>
      </c>
      <c r="AZ679" s="5" t="s">
        <v>145</v>
      </c>
      <c r="BA679" s="19" t="s">
        <v>1181</v>
      </c>
      <c r="BB679" s="17" t="s">
        <v>65</v>
      </c>
      <c r="BC679" s="5" t="s">
        <v>220</v>
      </c>
      <c r="BD679" s="5" t="s">
        <v>1182</v>
      </c>
    </row>
    <row r="680" spans="1:56" ht="36" hidden="1" x14ac:dyDescent="0.25">
      <c r="A680" s="78" t="s">
        <v>1056</v>
      </c>
      <c r="B680" s="5" t="s">
        <v>1057</v>
      </c>
      <c r="C680" s="5" t="s">
        <v>3293</v>
      </c>
      <c r="D680" s="5" t="s">
        <v>56</v>
      </c>
      <c r="E680" s="99" t="str">
        <f>VLOOKUP(D680,'Dropdown List'!$F$26:$G$40,2,0)</f>
        <v>India</v>
      </c>
      <c r="F680" s="6" t="s">
        <v>1058</v>
      </c>
      <c r="G680" s="7">
        <v>3</v>
      </c>
      <c r="H680" s="5" t="s">
        <v>57</v>
      </c>
      <c r="I680" s="8" t="s">
        <v>58</v>
      </c>
      <c r="J680" s="6" t="s">
        <v>146</v>
      </c>
      <c r="K680" s="6" t="s">
        <v>190</v>
      </c>
      <c r="L680" s="6" t="s">
        <v>3450</v>
      </c>
      <c r="M680" s="6" t="s">
        <v>1183</v>
      </c>
      <c r="N680" s="5" t="s">
        <v>319</v>
      </c>
      <c r="O680" s="5" t="s">
        <v>74</v>
      </c>
      <c r="P680" s="5" t="s">
        <v>74</v>
      </c>
      <c r="Q680" s="9" t="s">
        <v>75</v>
      </c>
      <c r="R680" s="5" t="s">
        <v>76</v>
      </c>
      <c r="S680" s="5" t="s">
        <v>334</v>
      </c>
      <c r="T680" s="7">
        <v>2</v>
      </c>
      <c r="U680" s="7">
        <v>1</v>
      </c>
      <c r="V680" s="7">
        <v>2</v>
      </c>
      <c r="W680" s="5" t="s">
        <v>91</v>
      </c>
      <c r="X680" s="10" t="s">
        <v>79</v>
      </c>
      <c r="Y680" s="11">
        <v>20485.54</v>
      </c>
      <c r="Z680" s="12">
        <v>1.7</v>
      </c>
      <c r="AA680" s="12">
        <v>0</v>
      </c>
      <c r="AB680" s="12">
        <v>0</v>
      </c>
      <c r="AC680" s="13">
        <v>0</v>
      </c>
      <c r="AD680" s="14">
        <f t="shared" si="22"/>
        <v>1.7</v>
      </c>
      <c r="AE680" s="15">
        <f t="shared" si="23"/>
        <v>0</v>
      </c>
      <c r="AF680" s="16">
        <v>6444</v>
      </c>
      <c r="AG680" s="16">
        <v>0.85</v>
      </c>
      <c r="AH680" s="17" t="s">
        <v>1090</v>
      </c>
      <c r="AI680" s="18">
        <v>5.16</v>
      </c>
      <c r="AJ680" s="19" t="s">
        <v>1184</v>
      </c>
      <c r="AK680" s="20">
        <v>0.97</v>
      </c>
      <c r="AL680" s="17" t="s">
        <v>92</v>
      </c>
      <c r="AM680" s="5" t="s">
        <v>66</v>
      </c>
      <c r="AN680" s="5" t="s">
        <v>66</v>
      </c>
      <c r="AO680" s="5" t="s">
        <v>1131</v>
      </c>
      <c r="AP680" s="5" t="s">
        <v>1185</v>
      </c>
      <c r="AQ680" s="5" t="s">
        <v>66</v>
      </c>
      <c r="AR680" s="5" t="s">
        <v>66</v>
      </c>
      <c r="AS680" s="5" t="s">
        <v>66</v>
      </c>
      <c r="AT680" s="5" t="s">
        <v>66</v>
      </c>
      <c r="AU680" s="5" t="s">
        <v>66</v>
      </c>
      <c r="AV680" s="5" t="s">
        <v>66</v>
      </c>
      <c r="AW680" s="5" t="s">
        <v>66</v>
      </c>
      <c r="AX680" s="5" t="s">
        <v>66</v>
      </c>
      <c r="AY680" s="5" t="s">
        <v>69</v>
      </c>
      <c r="AZ680" s="5" t="s">
        <v>145</v>
      </c>
      <c r="BA680" s="19" t="s">
        <v>1186</v>
      </c>
      <c r="BB680" s="17" t="s">
        <v>69</v>
      </c>
      <c r="BC680" s="5" t="s">
        <v>1127</v>
      </c>
      <c r="BD680" s="5" t="s">
        <v>1137</v>
      </c>
    </row>
    <row r="681" spans="1:56" ht="36" hidden="1" x14ac:dyDescent="0.25">
      <c r="A681" s="78" t="s">
        <v>1056</v>
      </c>
      <c r="B681" s="5" t="s">
        <v>1057</v>
      </c>
      <c r="C681" s="5" t="s">
        <v>3293</v>
      </c>
      <c r="D681" s="5" t="s">
        <v>56</v>
      </c>
      <c r="E681" s="99" t="str">
        <f>VLOOKUP(D681,'Dropdown List'!$F$26:$G$40,2,0)</f>
        <v>India</v>
      </c>
      <c r="F681" s="6" t="s">
        <v>1058</v>
      </c>
      <c r="G681" s="7">
        <v>3</v>
      </c>
      <c r="H681" s="5" t="s">
        <v>57</v>
      </c>
      <c r="I681" s="8" t="s">
        <v>58</v>
      </c>
      <c r="J681" s="6" t="s">
        <v>146</v>
      </c>
      <c r="K681" s="6" t="s">
        <v>190</v>
      </c>
      <c r="L681" s="6" t="s">
        <v>3451</v>
      </c>
      <c r="M681" s="6" t="s">
        <v>1183</v>
      </c>
      <c r="N681" s="5" t="s">
        <v>1034</v>
      </c>
      <c r="O681" s="5" t="s">
        <v>74</v>
      </c>
      <c r="P681" s="5" t="s">
        <v>74</v>
      </c>
      <c r="Q681" s="9" t="s">
        <v>75</v>
      </c>
      <c r="R681" s="5" t="s">
        <v>76</v>
      </c>
      <c r="S681" s="5" t="s">
        <v>334</v>
      </c>
      <c r="T681" s="7">
        <v>2</v>
      </c>
      <c r="U681" s="7">
        <v>1</v>
      </c>
      <c r="V681" s="7">
        <v>2</v>
      </c>
      <c r="W681" s="5" t="s">
        <v>91</v>
      </c>
      <c r="X681" s="10" t="s">
        <v>79</v>
      </c>
      <c r="Y681" s="11">
        <v>20485.54</v>
      </c>
      <c r="Z681" s="12">
        <v>0.3</v>
      </c>
      <c r="AA681" s="12">
        <v>0</v>
      </c>
      <c r="AB681" s="12">
        <v>0</v>
      </c>
      <c r="AC681" s="13">
        <v>0</v>
      </c>
      <c r="AD681" s="14">
        <f t="shared" si="22"/>
        <v>0.3</v>
      </c>
      <c r="AE681" s="15">
        <f t="shared" si="23"/>
        <v>0</v>
      </c>
      <c r="AF681" s="16">
        <v>6444</v>
      </c>
      <c r="AG681" s="16">
        <v>0.15</v>
      </c>
      <c r="AH681" s="17" t="s">
        <v>1090</v>
      </c>
      <c r="AI681" s="18">
        <v>5.16</v>
      </c>
      <c r="AJ681" s="19" t="s">
        <v>1184</v>
      </c>
      <c r="AK681" s="20">
        <v>0.97</v>
      </c>
      <c r="AL681" s="17" t="s">
        <v>92</v>
      </c>
      <c r="AM681" s="5" t="s">
        <v>66</v>
      </c>
      <c r="AN681" s="5" t="s">
        <v>66</v>
      </c>
      <c r="AO681" s="5" t="s">
        <v>1131</v>
      </c>
      <c r="AP681" s="5" t="s">
        <v>1185</v>
      </c>
      <c r="AQ681" s="5" t="s">
        <v>66</v>
      </c>
      <c r="AR681" s="5" t="s">
        <v>66</v>
      </c>
      <c r="AS681" s="5" t="s">
        <v>66</v>
      </c>
      <c r="AT681" s="5" t="s">
        <v>66</v>
      </c>
      <c r="AU681" s="5" t="s">
        <v>66</v>
      </c>
      <c r="AV681" s="5" t="s">
        <v>66</v>
      </c>
      <c r="AW681" s="5" t="s">
        <v>66</v>
      </c>
      <c r="AX681" s="5" t="s">
        <v>66</v>
      </c>
      <c r="AY681" s="5" t="s">
        <v>69</v>
      </c>
      <c r="AZ681" s="5" t="s">
        <v>145</v>
      </c>
      <c r="BA681" s="19" t="s">
        <v>1186</v>
      </c>
      <c r="BB681" s="17" t="s">
        <v>69</v>
      </c>
      <c r="BC681" s="5" t="s">
        <v>1127</v>
      </c>
      <c r="BD681" s="5" t="s">
        <v>1137</v>
      </c>
    </row>
    <row r="682" spans="1:56" ht="60" hidden="1" x14ac:dyDescent="0.25">
      <c r="A682" s="78" t="s">
        <v>1056</v>
      </c>
      <c r="B682" s="5" t="s">
        <v>1057</v>
      </c>
      <c r="C682" s="5" t="s">
        <v>3293</v>
      </c>
      <c r="D682" s="5" t="s">
        <v>56</v>
      </c>
      <c r="E682" s="99" t="str">
        <f>VLOOKUP(D682,'Dropdown List'!$F$26:$G$40,2,0)</f>
        <v>India</v>
      </c>
      <c r="F682" s="6" t="s">
        <v>1058</v>
      </c>
      <c r="G682" s="7">
        <v>3</v>
      </c>
      <c r="H682" s="5" t="s">
        <v>57</v>
      </c>
      <c r="I682" s="8" t="s">
        <v>58</v>
      </c>
      <c r="J682" s="6" t="s">
        <v>881</v>
      </c>
      <c r="K682" s="6" t="s">
        <v>1187</v>
      </c>
      <c r="L682" s="6" t="s">
        <v>1188</v>
      </c>
      <c r="M682" s="6" t="s">
        <v>1189</v>
      </c>
      <c r="N682" s="5" t="s">
        <v>319</v>
      </c>
      <c r="O682" s="5" t="s">
        <v>1069</v>
      </c>
      <c r="P682" s="5" t="s">
        <v>1069</v>
      </c>
      <c r="Q682" s="9" t="s">
        <v>75</v>
      </c>
      <c r="R682" s="5" t="s">
        <v>76</v>
      </c>
      <c r="S682" s="5" t="s">
        <v>120</v>
      </c>
      <c r="T682" s="7">
        <v>2</v>
      </c>
      <c r="U682" s="7">
        <v>3</v>
      </c>
      <c r="V682" s="7">
        <v>6</v>
      </c>
      <c r="W682" s="5" t="s">
        <v>91</v>
      </c>
      <c r="X682" s="10" t="s">
        <v>79</v>
      </c>
      <c r="Y682" s="11">
        <v>23913.25</v>
      </c>
      <c r="Z682" s="12">
        <v>2.35</v>
      </c>
      <c r="AA682" s="12">
        <v>0</v>
      </c>
      <c r="AB682" s="12">
        <v>0</v>
      </c>
      <c r="AC682" s="13">
        <v>0.64999999999999991</v>
      </c>
      <c r="AD682" s="14">
        <f t="shared" si="22"/>
        <v>3</v>
      </c>
      <c r="AE682" s="15">
        <f t="shared" si="23"/>
        <v>0.21666666666666665</v>
      </c>
      <c r="AF682" s="16">
        <v>310</v>
      </c>
      <c r="AG682" s="16">
        <v>250</v>
      </c>
      <c r="AH682" s="17" t="s">
        <v>1101</v>
      </c>
      <c r="AI682" s="18">
        <v>86.53</v>
      </c>
      <c r="AJ682" s="19" t="s">
        <v>1190</v>
      </c>
      <c r="AK682" s="20">
        <v>0.95</v>
      </c>
      <c r="AL682" s="17" t="s">
        <v>92</v>
      </c>
      <c r="AM682" s="5" t="s">
        <v>66</v>
      </c>
      <c r="AN682" s="5" t="s">
        <v>66</v>
      </c>
      <c r="AO682" s="5" t="s">
        <v>66</v>
      </c>
      <c r="AP682" s="5" t="s">
        <v>66</v>
      </c>
      <c r="AQ682" s="5" t="s">
        <v>66</v>
      </c>
      <c r="AR682" s="5" t="s">
        <v>66</v>
      </c>
      <c r="AS682" s="5" t="s">
        <v>66</v>
      </c>
      <c r="AT682" s="5" t="s">
        <v>66</v>
      </c>
      <c r="AU682" s="5" t="s">
        <v>66</v>
      </c>
      <c r="AV682" s="5" t="s">
        <v>66</v>
      </c>
      <c r="AW682" s="5" t="s">
        <v>66</v>
      </c>
      <c r="AX682" s="5" t="s">
        <v>1168</v>
      </c>
      <c r="AY682" s="5" t="s">
        <v>353</v>
      </c>
      <c r="AZ682" s="5" t="s">
        <v>145</v>
      </c>
      <c r="BA682" s="19" t="s">
        <v>1089</v>
      </c>
      <c r="BB682" s="17" t="s">
        <v>353</v>
      </c>
      <c r="BC682" s="5" t="s">
        <v>1168</v>
      </c>
      <c r="BD682" s="5" t="s">
        <v>1191</v>
      </c>
    </row>
    <row r="683" spans="1:56" ht="48" hidden="1" x14ac:dyDescent="0.25">
      <c r="A683" s="78" t="s">
        <v>1056</v>
      </c>
      <c r="B683" s="5" t="s">
        <v>1057</v>
      </c>
      <c r="C683" s="5" t="s">
        <v>3293</v>
      </c>
      <c r="D683" s="5" t="s">
        <v>56</v>
      </c>
      <c r="E683" s="99" t="str">
        <f>VLOOKUP(D683,'Dropdown List'!$F$26:$G$40,2,0)</f>
        <v>India</v>
      </c>
      <c r="F683" s="6" t="s">
        <v>1058</v>
      </c>
      <c r="G683" s="7">
        <v>16</v>
      </c>
      <c r="H683" s="5" t="s">
        <v>57</v>
      </c>
      <c r="I683" s="8" t="s">
        <v>58</v>
      </c>
      <c r="J683" s="6" t="s">
        <v>396</v>
      </c>
      <c r="K683" s="6" t="s">
        <v>397</v>
      </c>
      <c r="L683" s="6" t="s">
        <v>1192</v>
      </c>
      <c r="M683" s="6" t="s">
        <v>1193</v>
      </c>
      <c r="N683" s="5" t="s">
        <v>1034</v>
      </c>
      <c r="O683" s="5" t="s">
        <v>1069</v>
      </c>
      <c r="P683" s="5" t="s">
        <v>1069</v>
      </c>
      <c r="Q683" s="9" t="s">
        <v>75</v>
      </c>
      <c r="R683" s="5" t="s">
        <v>76</v>
      </c>
      <c r="S683" s="5" t="s">
        <v>120</v>
      </c>
      <c r="T683" s="7">
        <v>2</v>
      </c>
      <c r="U683" s="7">
        <v>8</v>
      </c>
      <c r="V683" s="7">
        <v>8</v>
      </c>
      <c r="W683" s="5" t="s">
        <v>91</v>
      </c>
      <c r="X683" s="10" t="s">
        <v>79</v>
      </c>
      <c r="Y683" s="11">
        <v>23913.25</v>
      </c>
      <c r="Z683" s="12">
        <v>14.45</v>
      </c>
      <c r="AA683" s="12">
        <v>2</v>
      </c>
      <c r="AB683" s="12">
        <v>1</v>
      </c>
      <c r="AC683" s="13">
        <v>2.5499999999999998</v>
      </c>
      <c r="AD683" s="14">
        <f t="shared" si="22"/>
        <v>20</v>
      </c>
      <c r="AE683" s="15">
        <f t="shared" si="23"/>
        <v>0.1275</v>
      </c>
      <c r="AF683" s="16">
        <v>38636.363636363632</v>
      </c>
      <c r="AG683" s="16" t="s">
        <v>66</v>
      </c>
      <c r="AH683" s="17" t="s">
        <v>66</v>
      </c>
      <c r="AI683" s="18">
        <v>2.93</v>
      </c>
      <c r="AJ683" s="19" t="s">
        <v>2963</v>
      </c>
      <c r="AK683" s="20" t="s">
        <v>2964</v>
      </c>
      <c r="AL683" s="17" t="s">
        <v>65</v>
      </c>
      <c r="AM683" s="5" t="s">
        <v>1144</v>
      </c>
      <c r="AN683" s="5" t="s">
        <v>66</v>
      </c>
      <c r="AO683" s="5" t="s">
        <v>66</v>
      </c>
      <c r="AP683" s="5" t="s">
        <v>66</v>
      </c>
      <c r="AQ683" s="5" t="s">
        <v>66</v>
      </c>
      <c r="AR683" s="5" t="s">
        <v>66</v>
      </c>
      <c r="AS683" s="5" t="s">
        <v>66</v>
      </c>
      <c r="AT683" s="5" t="s">
        <v>66</v>
      </c>
      <c r="AU683" s="5" t="s">
        <v>66</v>
      </c>
      <c r="AV683" s="5" t="s">
        <v>66</v>
      </c>
      <c r="AW683" s="5" t="s">
        <v>66</v>
      </c>
      <c r="AX683" s="5" t="s">
        <v>1077</v>
      </c>
      <c r="AY683" s="5" t="s">
        <v>69</v>
      </c>
      <c r="AZ683" s="5" t="s">
        <v>145</v>
      </c>
      <c r="BA683" s="19" t="s">
        <v>1194</v>
      </c>
      <c r="BB683" s="17" t="s">
        <v>936</v>
      </c>
      <c r="BC683" s="5" t="s">
        <v>1077</v>
      </c>
      <c r="BD683" s="5" t="s">
        <v>1157</v>
      </c>
    </row>
    <row r="684" spans="1:56" ht="48" hidden="1" x14ac:dyDescent="0.25">
      <c r="A684" s="78" t="s">
        <v>1056</v>
      </c>
      <c r="B684" s="5" t="s">
        <v>1057</v>
      </c>
      <c r="C684" s="5" t="s">
        <v>3293</v>
      </c>
      <c r="D684" s="5" t="s">
        <v>252</v>
      </c>
      <c r="E684" s="99" t="str">
        <f>VLOOKUP(D684,'Dropdown List'!$F$26:$G$40,2,0)</f>
        <v>India</v>
      </c>
      <c r="F684" s="6" t="s">
        <v>1058</v>
      </c>
      <c r="G684" s="7">
        <v>16</v>
      </c>
      <c r="H684" s="5" t="s">
        <v>57</v>
      </c>
      <c r="I684" s="8" t="s">
        <v>58</v>
      </c>
      <c r="J684" s="6" t="s">
        <v>396</v>
      </c>
      <c r="K684" s="6" t="s">
        <v>397</v>
      </c>
      <c r="L684" s="6" t="s">
        <v>1192</v>
      </c>
      <c r="M684" s="6" t="s">
        <v>1193</v>
      </c>
      <c r="N684" s="5" t="s">
        <v>1034</v>
      </c>
      <c r="O684" s="5" t="s">
        <v>1069</v>
      </c>
      <c r="P684" s="5" t="s">
        <v>1069</v>
      </c>
      <c r="Q684" s="9" t="s">
        <v>75</v>
      </c>
      <c r="R684" s="5" t="s">
        <v>76</v>
      </c>
      <c r="S684" s="5" t="s">
        <v>120</v>
      </c>
      <c r="T684" s="7">
        <v>2</v>
      </c>
      <c r="U684" s="7">
        <v>8</v>
      </c>
      <c r="V684" s="7">
        <v>8</v>
      </c>
      <c r="W684" s="5" t="s">
        <v>91</v>
      </c>
      <c r="X684" s="10" t="s">
        <v>79</v>
      </c>
      <c r="Y684" s="11">
        <v>23913.25</v>
      </c>
      <c r="Z684" s="12">
        <v>17.440000000000001</v>
      </c>
      <c r="AA684" s="12">
        <v>2</v>
      </c>
      <c r="AB684" s="12">
        <v>1</v>
      </c>
      <c r="AC684" s="13">
        <v>3.56</v>
      </c>
      <c r="AD684" s="14">
        <f t="shared" si="22"/>
        <v>24</v>
      </c>
      <c r="AE684" s="15">
        <f t="shared" si="23"/>
        <v>0.14833333333333334</v>
      </c>
      <c r="AF684" s="16">
        <v>46363.636363636368</v>
      </c>
      <c r="AG684" s="16" t="s">
        <v>66</v>
      </c>
      <c r="AH684" s="17" t="s">
        <v>66</v>
      </c>
      <c r="AI684" s="18">
        <v>2.93</v>
      </c>
      <c r="AJ684" s="19" t="s">
        <v>2963</v>
      </c>
      <c r="AK684" s="20" t="s">
        <v>2964</v>
      </c>
      <c r="AL684" s="17" t="s">
        <v>65</v>
      </c>
      <c r="AM684" s="5" t="s">
        <v>1144</v>
      </c>
      <c r="AN684" s="5" t="s">
        <v>66</v>
      </c>
      <c r="AO684" s="5" t="s">
        <v>66</v>
      </c>
      <c r="AP684" s="5" t="s">
        <v>66</v>
      </c>
      <c r="AQ684" s="5" t="s">
        <v>66</v>
      </c>
      <c r="AR684" s="5" t="s">
        <v>66</v>
      </c>
      <c r="AS684" s="5" t="s">
        <v>66</v>
      </c>
      <c r="AT684" s="5" t="s">
        <v>66</v>
      </c>
      <c r="AU684" s="5" t="s">
        <v>66</v>
      </c>
      <c r="AV684" s="5" t="s">
        <v>66</v>
      </c>
      <c r="AW684" s="5" t="s">
        <v>66</v>
      </c>
      <c r="AX684" s="5" t="s">
        <v>1077</v>
      </c>
      <c r="AY684" s="5" t="s">
        <v>69</v>
      </c>
      <c r="AZ684" s="5" t="s">
        <v>145</v>
      </c>
      <c r="BA684" s="19" t="s">
        <v>1194</v>
      </c>
      <c r="BB684" s="17" t="s">
        <v>936</v>
      </c>
      <c r="BC684" s="5" t="s">
        <v>1077</v>
      </c>
      <c r="BD684" s="5" t="s">
        <v>1157</v>
      </c>
    </row>
    <row r="685" spans="1:56" ht="132" hidden="1" x14ac:dyDescent="0.25">
      <c r="A685" s="78" t="s">
        <v>1056</v>
      </c>
      <c r="B685" s="5" t="s">
        <v>1057</v>
      </c>
      <c r="C685" s="5" t="s">
        <v>3293</v>
      </c>
      <c r="D685" s="5" t="s">
        <v>1195</v>
      </c>
      <c r="E685" s="99" t="str">
        <f>VLOOKUP(D685,'Dropdown List'!$F$26:$G$40,2,0)</f>
        <v>India</v>
      </c>
      <c r="F685" s="6" t="s">
        <v>1058</v>
      </c>
      <c r="G685" s="7">
        <v>9</v>
      </c>
      <c r="H685" s="5" t="s">
        <v>57</v>
      </c>
      <c r="I685" s="8" t="s">
        <v>71</v>
      </c>
      <c r="J685" s="6" t="s">
        <v>112</v>
      </c>
      <c r="K685" s="6" t="s">
        <v>113</v>
      </c>
      <c r="L685" s="6" t="s">
        <v>2965</v>
      </c>
      <c r="M685" s="6" t="s">
        <v>1196</v>
      </c>
      <c r="N685" s="5" t="s">
        <v>319</v>
      </c>
      <c r="O685" s="5" t="s">
        <v>89</v>
      </c>
      <c r="P685" s="5" t="s">
        <v>89</v>
      </c>
      <c r="Q685" s="9" t="s">
        <v>75</v>
      </c>
      <c r="R685" s="5" t="s">
        <v>76</v>
      </c>
      <c r="S685" s="5" t="s">
        <v>64</v>
      </c>
      <c r="T685" s="7">
        <v>1</v>
      </c>
      <c r="U685" s="7">
        <v>12</v>
      </c>
      <c r="V685" s="7">
        <v>8</v>
      </c>
      <c r="W685" s="5" t="s">
        <v>91</v>
      </c>
      <c r="X685" s="10" t="s">
        <v>79</v>
      </c>
      <c r="Y685" s="11">
        <v>23986</v>
      </c>
      <c r="Z685" s="12">
        <v>4.1348271291966201</v>
      </c>
      <c r="AA685" s="12">
        <v>1</v>
      </c>
      <c r="AB685" s="12">
        <v>0</v>
      </c>
      <c r="AC685" s="13">
        <v>2</v>
      </c>
      <c r="AD685" s="14">
        <f t="shared" si="22"/>
        <v>7.1348271291966201</v>
      </c>
      <c r="AE685" s="15">
        <f t="shared" si="23"/>
        <v>0.28031513080614745</v>
      </c>
      <c r="AF685" s="16">
        <v>1236</v>
      </c>
      <c r="AG685" s="16">
        <v>1236</v>
      </c>
      <c r="AH685" s="17" t="s">
        <v>2966</v>
      </c>
      <c r="AI685" s="18">
        <v>26.31</v>
      </c>
      <c r="AJ685" s="19" t="s">
        <v>1197</v>
      </c>
      <c r="AK685" s="20">
        <v>0.95</v>
      </c>
      <c r="AL685" s="17" t="s">
        <v>92</v>
      </c>
      <c r="AM685" s="5" t="s">
        <v>66</v>
      </c>
      <c r="AN685" s="5" t="s">
        <v>66</v>
      </c>
      <c r="AO685" s="5" t="s">
        <v>1103</v>
      </c>
      <c r="AP685" s="5" t="s">
        <v>66</v>
      </c>
      <c r="AQ685" s="5" t="s">
        <v>66</v>
      </c>
      <c r="AR685" s="5" t="s">
        <v>66</v>
      </c>
      <c r="AS685" s="5" t="s">
        <v>66</v>
      </c>
      <c r="AT685" s="5" t="s">
        <v>66</v>
      </c>
      <c r="AU685" s="5" t="s">
        <v>66</v>
      </c>
      <c r="AV685" s="5" t="s">
        <v>66</v>
      </c>
      <c r="AW685" s="5" t="s">
        <v>66</v>
      </c>
      <c r="AX685" s="5" t="s">
        <v>1198</v>
      </c>
      <c r="AY685" s="5" t="s">
        <v>69</v>
      </c>
      <c r="AZ685" s="5" t="s">
        <v>80</v>
      </c>
      <c r="BA685" s="19" t="s">
        <v>769</v>
      </c>
      <c r="BB685" s="17" t="s">
        <v>353</v>
      </c>
      <c r="BC685" s="5" t="s">
        <v>1199</v>
      </c>
      <c r="BD685" s="5" t="s">
        <v>1200</v>
      </c>
    </row>
    <row r="686" spans="1:56" ht="60" hidden="1" x14ac:dyDescent="0.25">
      <c r="A686" s="78" t="s">
        <v>1056</v>
      </c>
      <c r="B686" s="5" t="s">
        <v>1057</v>
      </c>
      <c r="C686" s="5" t="s">
        <v>3293</v>
      </c>
      <c r="D686" s="5" t="s">
        <v>1195</v>
      </c>
      <c r="E686" s="99" t="str">
        <f>VLOOKUP(D686,'Dropdown List'!$F$26:$G$40,2,0)</f>
        <v>India</v>
      </c>
      <c r="F686" s="6" t="s">
        <v>1058</v>
      </c>
      <c r="G686" s="7">
        <v>9</v>
      </c>
      <c r="H686" s="5" t="s">
        <v>57</v>
      </c>
      <c r="I686" s="8" t="s">
        <v>71</v>
      </c>
      <c r="J686" s="6" t="s">
        <v>112</v>
      </c>
      <c r="K686" s="6" t="s">
        <v>113</v>
      </c>
      <c r="L686" s="6" t="s">
        <v>2967</v>
      </c>
      <c r="M686" s="6" t="s">
        <v>1201</v>
      </c>
      <c r="N686" s="5" t="s">
        <v>319</v>
      </c>
      <c r="O686" s="5" t="s">
        <v>89</v>
      </c>
      <c r="P686" s="5" t="s">
        <v>89</v>
      </c>
      <c r="Q686" s="9" t="s">
        <v>75</v>
      </c>
      <c r="R686" s="5" t="s">
        <v>76</v>
      </c>
      <c r="S686" s="5" t="s">
        <v>64</v>
      </c>
      <c r="T686" s="7">
        <v>1</v>
      </c>
      <c r="U686" s="7">
        <v>4</v>
      </c>
      <c r="V686" s="7">
        <v>2</v>
      </c>
      <c r="W686" s="5" t="s">
        <v>91</v>
      </c>
      <c r="X686" s="10" t="s">
        <v>79</v>
      </c>
      <c r="Y686" s="11">
        <v>23986</v>
      </c>
      <c r="Z686" s="12">
        <v>1.9774516693259199E-2</v>
      </c>
      <c r="AA686" s="12">
        <v>0</v>
      </c>
      <c r="AB686" s="12">
        <v>0</v>
      </c>
      <c r="AC686" s="13">
        <v>0</v>
      </c>
      <c r="AD686" s="14">
        <f t="shared" si="22"/>
        <v>1.9774516693259199E-2</v>
      </c>
      <c r="AE686" s="15">
        <f t="shared" si="23"/>
        <v>0</v>
      </c>
      <c r="AF686" s="16">
        <v>12</v>
      </c>
      <c r="AG686" s="16">
        <v>12</v>
      </c>
      <c r="AH686" s="17" t="s">
        <v>2966</v>
      </c>
      <c r="AI686" s="18">
        <v>13.2</v>
      </c>
      <c r="AJ686" s="19" t="s">
        <v>1197</v>
      </c>
      <c r="AK686" s="20">
        <v>0.96</v>
      </c>
      <c r="AL686" s="17" t="s">
        <v>92</v>
      </c>
      <c r="AM686" s="5" t="s">
        <v>66</v>
      </c>
      <c r="AN686" s="5" t="s">
        <v>66</v>
      </c>
      <c r="AO686" s="5" t="s">
        <v>1103</v>
      </c>
      <c r="AP686" s="5" t="s">
        <v>66</v>
      </c>
      <c r="AQ686" s="5" t="s">
        <v>66</v>
      </c>
      <c r="AR686" s="5" t="s">
        <v>66</v>
      </c>
      <c r="AS686" s="5" t="s">
        <v>66</v>
      </c>
      <c r="AT686" s="5" t="s">
        <v>66</v>
      </c>
      <c r="AU686" s="5" t="s">
        <v>66</v>
      </c>
      <c r="AV686" s="5" t="s">
        <v>66</v>
      </c>
      <c r="AW686" s="5" t="s">
        <v>66</v>
      </c>
      <c r="AX686" s="5" t="s">
        <v>1198</v>
      </c>
      <c r="AY686" s="5" t="s">
        <v>69</v>
      </c>
      <c r="AZ686" s="5" t="s">
        <v>80</v>
      </c>
      <c r="BA686" s="19" t="s">
        <v>769</v>
      </c>
      <c r="BB686" s="17" t="s">
        <v>353</v>
      </c>
      <c r="BC686" s="5" t="s">
        <v>1199</v>
      </c>
      <c r="BD686" s="5" t="s">
        <v>1200</v>
      </c>
    </row>
    <row r="687" spans="1:56" ht="72" hidden="1" x14ac:dyDescent="0.25">
      <c r="A687" s="78" t="s">
        <v>1056</v>
      </c>
      <c r="B687" s="5" t="s">
        <v>1057</v>
      </c>
      <c r="C687" s="5" t="s">
        <v>3293</v>
      </c>
      <c r="D687" s="5" t="s">
        <v>1195</v>
      </c>
      <c r="E687" s="99" t="str">
        <f>VLOOKUP(D687,'Dropdown List'!$F$26:$G$40,2,0)</f>
        <v>India</v>
      </c>
      <c r="F687" s="6" t="s">
        <v>1058</v>
      </c>
      <c r="G687" s="7">
        <v>9</v>
      </c>
      <c r="H687" s="5" t="s">
        <v>57</v>
      </c>
      <c r="I687" s="8" t="s">
        <v>71</v>
      </c>
      <c r="J687" s="6" t="s">
        <v>112</v>
      </c>
      <c r="K687" s="6" t="s">
        <v>1202</v>
      </c>
      <c r="L687" s="6" t="s">
        <v>2968</v>
      </c>
      <c r="M687" s="6" t="s">
        <v>1203</v>
      </c>
      <c r="N687" s="5" t="s">
        <v>319</v>
      </c>
      <c r="O687" s="5" t="s">
        <v>61</v>
      </c>
      <c r="P687" s="5" t="s">
        <v>1204</v>
      </c>
      <c r="Q687" s="9" t="s">
        <v>75</v>
      </c>
      <c r="R687" s="5" t="s">
        <v>76</v>
      </c>
      <c r="S687" s="5" t="s">
        <v>64</v>
      </c>
      <c r="T687" s="7">
        <v>1</v>
      </c>
      <c r="U687" s="7">
        <v>4</v>
      </c>
      <c r="V687" s="7">
        <v>4</v>
      </c>
      <c r="W687" s="5" t="s">
        <v>91</v>
      </c>
      <c r="X687" s="10" t="s">
        <v>79</v>
      </c>
      <c r="Y687" s="11">
        <v>23986</v>
      </c>
      <c r="Z687" s="12">
        <v>0.57919026321773526</v>
      </c>
      <c r="AA687" s="12">
        <v>0</v>
      </c>
      <c r="AB687" s="12">
        <v>0</v>
      </c>
      <c r="AC687" s="13">
        <v>0</v>
      </c>
      <c r="AD687" s="14">
        <f t="shared" si="22"/>
        <v>0.57919026321773526</v>
      </c>
      <c r="AE687" s="15">
        <f t="shared" si="23"/>
        <v>0</v>
      </c>
      <c r="AF687" s="16">
        <v>494</v>
      </c>
      <c r="AG687" s="16">
        <v>494</v>
      </c>
      <c r="AH687" s="17" t="s">
        <v>2969</v>
      </c>
      <c r="AI687" s="18">
        <v>9.65</v>
      </c>
      <c r="AJ687" s="19" t="s">
        <v>1197</v>
      </c>
      <c r="AK687" s="20">
        <v>0.97</v>
      </c>
      <c r="AL687" s="17" t="s">
        <v>92</v>
      </c>
      <c r="AM687" s="5" t="s">
        <v>66</v>
      </c>
      <c r="AN687" s="5" t="s">
        <v>66</v>
      </c>
      <c r="AO687" s="5" t="s">
        <v>1103</v>
      </c>
      <c r="AP687" s="5" t="s">
        <v>66</v>
      </c>
      <c r="AQ687" s="5" t="s">
        <v>66</v>
      </c>
      <c r="AR687" s="5" t="s">
        <v>66</v>
      </c>
      <c r="AS687" s="5" t="s">
        <v>66</v>
      </c>
      <c r="AT687" s="5" t="s">
        <v>66</v>
      </c>
      <c r="AU687" s="5" t="s">
        <v>66</v>
      </c>
      <c r="AV687" s="5" t="s">
        <v>66</v>
      </c>
      <c r="AW687" s="5" t="s">
        <v>66</v>
      </c>
      <c r="AX687" s="5" t="s">
        <v>1198</v>
      </c>
      <c r="AY687" s="5" t="s">
        <v>69</v>
      </c>
      <c r="AZ687" s="5" t="s">
        <v>80</v>
      </c>
      <c r="BA687" s="19" t="s">
        <v>769</v>
      </c>
      <c r="BB687" s="17" t="s">
        <v>353</v>
      </c>
      <c r="BC687" s="5" t="s">
        <v>1199</v>
      </c>
      <c r="BD687" s="5" t="s">
        <v>1200</v>
      </c>
    </row>
    <row r="688" spans="1:56" ht="72" hidden="1" x14ac:dyDescent="0.25">
      <c r="A688" s="78" t="s">
        <v>1056</v>
      </c>
      <c r="B688" s="5" t="s">
        <v>1057</v>
      </c>
      <c r="C688" s="5" t="s">
        <v>3293</v>
      </c>
      <c r="D688" s="5" t="s">
        <v>1195</v>
      </c>
      <c r="E688" s="99" t="str">
        <f>VLOOKUP(D688,'Dropdown List'!$F$26:$G$40,2,0)</f>
        <v>India</v>
      </c>
      <c r="F688" s="6" t="s">
        <v>1058</v>
      </c>
      <c r="G688" s="7">
        <v>9</v>
      </c>
      <c r="H688" s="5" t="s">
        <v>57</v>
      </c>
      <c r="I688" s="8" t="s">
        <v>71</v>
      </c>
      <c r="J688" s="6" t="s">
        <v>102</v>
      </c>
      <c r="K688" s="6" t="s">
        <v>516</v>
      </c>
      <c r="L688" s="6" t="s">
        <v>1205</v>
      </c>
      <c r="M688" s="6" t="s">
        <v>1206</v>
      </c>
      <c r="N688" s="5" t="s">
        <v>319</v>
      </c>
      <c r="O688" s="5" t="s">
        <v>89</v>
      </c>
      <c r="P688" s="5" t="s">
        <v>89</v>
      </c>
      <c r="Q688" s="9" t="s">
        <v>75</v>
      </c>
      <c r="R688" s="5" t="s">
        <v>76</v>
      </c>
      <c r="S688" s="5" t="s">
        <v>64</v>
      </c>
      <c r="T688" s="7">
        <v>1</v>
      </c>
      <c r="U688" s="7">
        <v>4</v>
      </c>
      <c r="V688" s="7">
        <v>2</v>
      </c>
      <c r="W688" s="5" t="s">
        <v>91</v>
      </c>
      <c r="X688" s="10" t="s">
        <v>79</v>
      </c>
      <c r="Y688" s="11">
        <v>23986</v>
      </c>
      <c r="Z688" s="12">
        <v>6.6730349955064938E-2</v>
      </c>
      <c r="AA688" s="12">
        <v>0</v>
      </c>
      <c r="AB688" s="12">
        <v>0</v>
      </c>
      <c r="AC688" s="13">
        <v>0</v>
      </c>
      <c r="AD688" s="14">
        <f t="shared" si="22"/>
        <v>6.6730349955064938E-2</v>
      </c>
      <c r="AE688" s="15">
        <f t="shared" si="23"/>
        <v>0</v>
      </c>
      <c r="AF688" s="16">
        <v>10</v>
      </c>
      <c r="AG688" s="16">
        <v>10</v>
      </c>
      <c r="AH688" s="17" t="s">
        <v>2970</v>
      </c>
      <c r="AI688" s="18">
        <v>42.42</v>
      </c>
      <c r="AJ688" s="19" t="s">
        <v>1197</v>
      </c>
      <c r="AK688" s="20">
        <v>0.96</v>
      </c>
      <c r="AL688" s="17" t="s">
        <v>92</v>
      </c>
      <c r="AM688" s="5" t="s">
        <v>66</v>
      </c>
      <c r="AN688" s="5" t="s">
        <v>66</v>
      </c>
      <c r="AO688" s="5" t="s">
        <v>1103</v>
      </c>
      <c r="AP688" s="5" t="s">
        <v>66</v>
      </c>
      <c r="AQ688" s="5" t="s">
        <v>66</v>
      </c>
      <c r="AR688" s="5" t="s">
        <v>66</v>
      </c>
      <c r="AS688" s="5" t="s">
        <v>66</v>
      </c>
      <c r="AT688" s="5" t="s">
        <v>66</v>
      </c>
      <c r="AU688" s="5" t="s">
        <v>66</v>
      </c>
      <c r="AV688" s="5" t="s">
        <v>66</v>
      </c>
      <c r="AW688" s="5" t="s">
        <v>66</v>
      </c>
      <c r="AX688" s="5" t="s">
        <v>1198</v>
      </c>
      <c r="AY688" s="5" t="s">
        <v>69</v>
      </c>
      <c r="AZ688" s="5" t="s">
        <v>80</v>
      </c>
      <c r="BA688" s="19" t="s">
        <v>769</v>
      </c>
      <c r="BB688" s="17" t="s">
        <v>65</v>
      </c>
      <c r="BC688" s="5" t="s">
        <v>1199</v>
      </c>
      <c r="BD688" s="5" t="s">
        <v>1200</v>
      </c>
    </row>
    <row r="689" spans="1:56" ht="84" hidden="1" x14ac:dyDescent="0.25">
      <c r="A689" s="78" t="s">
        <v>1056</v>
      </c>
      <c r="B689" s="5" t="s">
        <v>1057</v>
      </c>
      <c r="C689" s="5" t="s">
        <v>3293</v>
      </c>
      <c r="D689" s="5" t="s">
        <v>1195</v>
      </c>
      <c r="E689" s="99" t="str">
        <f>VLOOKUP(D689,'Dropdown List'!$F$26:$G$40,2,0)</f>
        <v>India</v>
      </c>
      <c r="F689" s="6" t="s">
        <v>1058</v>
      </c>
      <c r="G689" s="7">
        <v>9</v>
      </c>
      <c r="H689" s="5" t="s">
        <v>57</v>
      </c>
      <c r="I689" s="8" t="s">
        <v>71</v>
      </c>
      <c r="J689" s="6" t="s">
        <v>112</v>
      </c>
      <c r="K689" s="6" t="s">
        <v>1202</v>
      </c>
      <c r="L689" s="6" t="s">
        <v>1207</v>
      </c>
      <c r="M689" s="6" t="s">
        <v>1208</v>
      </c>
      <c r="N689" s="5" t="s">
        <v>319</v>
      </c>
      <c r="O689" s="5" t="s">
        <v>89</v>
      </c>
      <c r="P689" s="5" t="s">
        <v>89</v>
      </c>
      <c r="Q689" s="9" t="s">
        <v>75</v>
      </c>
      <c r="R689" s="5" t="s">
        <v>76</v>
      </c>
      <c r="S689" s="5" t="s">
        <v>64</v>
      </c>
      <c r="T689" s="7">
        <v>1</v>
      </c>
      <c r="U689" s="7">
        <v>8</v>
      </c>
      <c r="V689" s="7">
        <v>4</v>
      </c>
      <c r="W689" s="5" t="s">
        <v>91</v>
      </c>
      <c r="X689" s="10" t="s">
        <v>79</v>
      </c>
      <c r="Y689" s="11">
        <v>23986</v>
      </c>
      <c r="Z689" s="12">
        <v>1.7821179731270276E-2</v>
      </c>
      <c r="AA689" s="12">
        <v>0</v>
      </c>
      <c r="AB689" s="12">
        <v>0</v>
      </c>
      <c r="AC689" s="13">
        <v>0</v>
      </c>
      <c r="AD689" s="14">
        <f t="shared" si="22"/>
        <v>1.7821179731270276E-2</v>
      </c>
      <c r="AE689" s="15">
        <f t="shared" si="23"/>
        <v>0</v>
      </c>
      <c r="AF689" s="16">
        <v>5</v>
      </c>
      <c r="AG689" s="16">
        <v>5</v>
      </c>
      <c r="AH689" s="17" t="s">
        <v>2969</v>
      </c>
      <c r="AI689" s="18">
        <v>42.42</v>
      </c>
      <c r="AJ689" s="19" t="s">
        <v>1197</v>
      </c>
      <c r="AK689" s="20">
        <v>0.96</v>
      </c>
      <c r="AL689" s="17" t="s">
        <v>92</v>
      </c>
      <c r="AM689" s="5" t="s">
        <v>66</v>
      </c>
      <c r="AN689" s="5" t="s">
        <v>66</v>
      </c>
      <c r="AO689" s="5" t="s">
        <v>1103</v>
      </c>
      <c r="AP689" s="5" t="s">
        <v>66</v>
      </c>
      <c r="AQ689" s="5" t="s">
        <v>66</v>
      </c>
      <c r="AR689" s="5" t="s">
        <v>66</v>
      </c>
      <c r="AS689" s="5" t="s">
        <v>66</v>
      </c>
      <c r="AT689" s="5" t="s">
        <v>66</v>
      </c>
      <c r="AU689" s="5" t="s">
        <v>66</v>
      </c>
      <c r="AV689" s="5" t="s">
        <v>66</v>
      </c>
      <c r="AW689" s="5" t="s">
        <v>66</v>
      </c>
      <c r="AX689" s="5" t="s">
        <v>1198</v>
      </c>
      <c r="AY689" s="5" t="s">
        <v>69</v>
      </c>
      <c r="AZ689" s="5" t="s">
        <v>80</v>
      </c>
      <c r="BA689" s="19" t="s">
        <v>769</v>
      </c>
      <c r="BB689" s="17" t="s">
        <v>353</v>
      </c>
      <c r="BC689" s="5" t="s">
        <v>1199</v>
      </c>
      <c r="BD689" s="5" t="s">
        <v>1200</v>
      </c>
    </row>
    <row r="690" spans="1:56" ht="48" hidden="1" x14ac:dyDescent="0.25">
      <c r="A690" s="78" t="s">
        <v>1056</v>
      </c>
      <c r="B690" s="5" t="s">
        <v>1057</v>
      </c>
      <c r="C690" s="5" t="s">
        <v>3293</v>
      </c>
      <c r="D690" s="5" t="s">
        <v>1195</v>
      </c>
      <c r="E690" s="99" t="str">
        <f>VLOOKUP(D690,'Dropdown List'!$F$26:$G$40,2,0)</f>
        <v>India</v>
      </c>
      <c r="F690" s="6" t="s">
        <v>1058</v>
      </c>
      <c r="G690" s="7">
        <v>9</v>
      </c>
      <c r="H690" s="5" t="s">
        <v>57</v>
      </c>
      <c r="I690" s="8" t="s">
        <v>71</v>
      </c>
      <c r="J690" s="6" t="s">
        <v>2702</v>
      </c>
      <c r="K690" s="6" t="s">
        <v>855</v>
      </c>
      <c r="L690" s="6" t="s">
        <v>1209</v>
      </c>
      <c r="M690" s="6" t="s">
        <v>1210</v>
      </c>
      <c r="N690" s="5" t="s">
        <v>319</v>
      </c>
      <c r="O690" s="5" t="s">
        <v>89</v>
      </c>
      <c r="P690" s="5" t="s">
        <v>89</v>
      </c>
      <c r="Q690" s="9" t="s">
        <v>75</v>
      </c>
      <c r="R690" s="5" t="s">
        <v>76</v>
      </c>
      <c r="S690" s="5" t="s">
        <v>64</v>
      </c>
      <c r="T690" s="7">
        <v>1</v>
      </c>
      <c r="U690" s="7">
        <v>4</v>
      </c>
      <c r="V690" s="7">
        <v>2</v>
      </c>
      <c r="W690" s="5" t="s">
        <v>91</v>
      </c>
      <c r="X690" s="10" t="s">
        <v>79</v>
      </c>
      <c r="Y690" s="11">
        <v>23986</v>
      </c>
      <c r="Z690" s="12">
        <v>0.08</v>
      </c>
      <c r="AA690" s="12">
        <v>0</v>
      </c>
      <c r="AB690" s="12">
        <v>0</v>
      </c>
      <c r="AC690" s="13">
        <v>0</v>
      </c>
      <c r="AD690" s="14">
        <f t="shared" si="22"/>
        <v>0.08</v>
      </c>
      <c r="AE690" s="15">
        <f t="shared" si="23"/>
        <v>0</v>
      </c>
      <c r="AF690" s="16">
        <v>32</v>
      </c>
      <c r="AG690" s="16">
        <v>32</v>
      </c>
      <c r="AH690" s="17" t="s">
        <v>2971</v>
      </c>
      <c r="AI690" s="18">
        <v>20</v>
      </c>
      <c r="AJ690" s="19" t="s">
        <v>1197</v>
      </c>
      <c r="AK690" s="20">
        <v>0.96</v>
      </c>
      <c r="AL690" s="17" t="s">
        <v>92</v>
      </c>
      <c r="AM690" s="5" t="s">
        <v>66</v>
      </c>
      <c r="AN690" s="5" t="s">
        <v>66</v>
      </c>
      <c r="AO690" s="5" t="s">
        <v>1103</v>
      </c>
      <c r="AP690" s="5" t="s">
        <v>66</v>
      </c>
      <c r="AQ690" s="5" t="s">
        <v>66</v>
      </c>
      <c r="AR690" s="5" t="s">
        <v>66</v>
      </c>
      <c r="AS690" s="5" t="s">
        <v>66</v>
      </c>
      <c r="AT690" s="5" t="s">
        <v>66</v>
      </c>
      <c r="AU690" s="5" t="s">
        <v>66</v>
      </c>
      <c r="AV690" s="5" t="s">
        <v>66</v>
      </c>
      <c r="AW690" s="5" t="s">
        <v>66</v>
      </c>
      <c r="AX690" s="5" t="s">
        <v>1198</v>
      </c>
      <c r="AY690" s="5" t="s">
        <v>69</v>
      </c>
      <c r="AZ690" s="5" t="s">
        <v>80</v>
      </c>
      <c r="BA690" s="19" t="s">
        <v>769</v>
      </c>
      <c r="BB690" s="17" t="s">
        <v>65</v>
      </c>
      <c r="BC690" s="5" t="s">
        <v>1199</v>
      </c>
      <c r="BD690" s="5" t="s">
        <v>1200</v>
      </c>
    </row>
    <row r="691" spans="1:56" ht="72" hidden="1" x14ac:dyDescent="0.25">
      <c r="A691" s="78" t="s">
        <v>1056</v>
      </c>
      <c r="B691" s="5" t="s">
        <v>1057</v>
      </c>
      <c r="C691" s="5" t="s">
        <v>3293</v>
      </c>
      <c r="D691" s="5" t="s">
        <v>1195</v>
      </c>
      <c r="E691" s="99" t="str">
        <f>VLOOKUP(D691,'Dropdown List'!$F$26:$G$40,2,0)</f>
        <v>India</v>
      </c>
      <c r="F691" s="6" t="s">
        <v>1058</v>
      </c>
      <c r="G691" s="7">
        <v>9</v>
      </c>
      <c r="H691" s="5" t="s">
        <v>57</v>
      </c>
      <c r="I691" s="8" t="s">
        <v>71</v>
      </c>
      <c r="J691" s="6" t="s">
        <v>112</v>
      </c>
      <c r="K691" s="6" t="s">
        <v>1211</v>
      </c>
      <c r="L691" s="6" t="s">
        <v>1212</v>
      </c>
      <c r="M691" s="6" t="s">
        <v>1213</v>
      </c>
      <c r="N691" s="5" t="s">
        <v>319</v>
      </c>
      <c r="O691" s="5" t="s">
        <v>89</v>
      </c>
      <c r="P691" s="5" t="s">
        <v>89</v>
      </c>
      <c r="Q691" s="9" t="s">
        <v>75</v>
      </c>
      <c r="R691" s="5" t="s">
        <v>76</v>
      </c>
      <c r="S691" s="5" t="s">
        <v>64</v>
      </c>
      <c r="T691" s="7">
        <v>1</v>
      </c>
      <c r="U691" s="7">
        <v>4</v>
      </c>
      <c r="V691" s="7">
        <v>4</v>
      </c>
      <c r="W691" s="5" t="s">
        <v>91</v>
      </c>
      <c r="X691" s="10" t="s">
        <v>79</v>
      </c>
      <c r="Y691" s="11">
        <v>23986</v>
      </c>
      <c r="Z691" s="12">
        <v>2.0082667538361243E-2</v>
      </c>
      <c r="AA691" s="12">
        <v>0</v>
      </c>
      <c r="AB691" s="12">
        <v>0</v>
      </c>
      <c r="AC691" s="13">
        <v>0</v>
      </c>
      <c r="AD691" s="14">
        <f t="shared" si="22"/>
        <v>2.0082667538361243E-2</v>
      </c>
      <c r="AE691" s="15">
        <f t="shared" si="23"/>
        <v>0</v>
      </c>
      <c r="AF691" s="16">
        <v>23</v>
      </c>
      <c r="AG691" s="16">
        <v>23</v>
      </c>
      <c r="AH691" s="17" t="s">
        <v>2966</v>
      </c>
      <c r="AI691" s="18">
        <v>8.5</v>
      </c>
      <c r="AJ691" s="19" t="s">
        <v>1214</v>
      </c>
      <c r="AK691" s="20">
        <v>0.96</v>
      </c>
      <c r="AL691" s="17" t="s">
        <v>92</v>
      </c>
      <c r="AM691" s="5" t="s">
        <v>66</v>
      </c>
      <c r="AN691" s="5" t="s">
        <v>66</v>
      </c>
      <c r="AO691" s="5" t="s">
        <v>1103</v>
      </c>
      <c r="AP691" s="5" t="s">
        <v>66</v>
      </c>
      <c r="AQ691" s="5" t="s">
        <v>66</v>
      </c>
      <c r="AR691" s="5" t="s">
        <v>66</v>
      </c>
      <c r="AS691" s="5" t="s">
        <v>66</v>
      </c>
      <c r="AT691" s="5" t="s">
        <v>66</v>
      </c>
      <c r="AU691" s="5" t="s">
        <v>66</v>
      </c>
      <c r="AV691" s="5" t="s">
        <v>66</v>
      </c>
      <c r="AW691" s="5" t="s">
        <v>66</v>
      </c>
      <c r="AX691" s="5" t="s">
        <v>1198</v>
      </c>
      <c r="AY691" s="5" t="s">
        <v>69</v>
      </c>
      <c r="AZ691" s="5" t="s">
        <v>80</v>
      </c>
      <c r="BA691" s="19" t="s">
        <v>769</v>
      </c>
      <c r="BB691" s="17" t="s">
        <v>353</v>
      </c>
      <c r="BC691" s="5" t="s">
        <v>1199</v>
      </c>
      <c r="BD691" s="5" t="s">
        <v>1200</v>
      </c>
    </row>
    <row r="692" spans="1:56" ht="132" hidden="1" x14ac:dyDescent="0.25">
      <c r="A692" s="78" t="s">
        <v>1056</v>
      </c>
      <c r="B692" s="5" t="s">
        <v>1057</v>
      </c>
      <c r="C692" s="5" t="s">
        <v>3293</v>
      </c>
      <c r="D692" s="5" t="s">
        <v>1195</v>
      </c>
      <c r="E692" s="99" t="str">
        <f>VLOOKUP(D692,'Dropdown List'!$F$26:$G$40,2,0)</f>
        <v>India</v>
      </c>
      <c r="F692" s="6" t="s">
        <v>1058</v>
      </c>
      <c r="G692" s="7">
        <v>9</v>
      </c>
      <c r="H692" s="5" t="s">
        <v>57</v>
      </c>
      <c r="I692" s="8" t="s">
        <v>71</v>
      </c>
      <c r="J692" s="6" t="s">
        <v>112</v>
      </c>
      <c r="K692" s="6" t="s">
        <v>356</v>
      </c>
      <c r="L692" s="6" t="s">
        <v>2972</v>
      </c>
      <c r="M692" s="6" t="s">
        <v>1215</v>
      </c>
      <c r="N692" s="5" t="s">
        <v>319</v>
      </c>
      <c r="O692" s="5" t="s">
        <v>89</v>
      </c>
      <c r="P692" s="5" t="s">
        <v>89</v>
      </c>
      <c r="Q692" s="9" t="s">
        <v>75</v>
      </c>
      <c r="R692" s="5" t="s">
        <v>76</v>
      </c>
      <c r="S692" s="5" t="s">
        <v>64</v>
      </c>
      <c r="T692" s="7">
        <v>1</v>
      </c>
      <c r="U692" s="7">
        <v>8</v>
      </c>
      <c r="V692" s="7">
        <v>8</v>
      </c>
      <c r="W692" s="5" t="s">
        <v>91</v>
      </c>
      <c r="X692" s="10" t="s">
        <v>79</v>
      </c>
      <c r="Y692" s="11">
        <v>23986</v>
      </c>
      <c r="Z692" s="12">
        <v>4.9792502792689968</v>
      </c>
      <c r="AA692" s="12">
        <v>1</v>
      </c>
      <c r="AB692" s="12">
        <v>1</v>
      </c>
      <c r="AC692" s="13">
        <v>2.0000000000000036</v>
      </c>
      <c r="AD692" s="14">
        <f t="shared" si="22"/>
        <v>8.9792502792689994</v>
      </c>
      <c r="AE692" s="15">
        <f t="shared" si="23"/>
        <v>0.22273574494493581</v>
      </c>
      <c r="AF692" s="16">
        <v>680</v>
      </c>
      <c r="AG692" s="16">
        <v>680</v>
      </c>
      <c r="AH692" s="17" t="s">
        <v>2966</v>
      </c>
      <c r="AI692" s="18">
        <v>56.42</v>
      </c>
      <c r="AJ692" s="19" t="s">
        <v>1216</v>
      </c>
      <c r="AK692" s="20">
        <v>0.94</v>
      </c>
      <c r="AL692" s="17" t="s">
        <v>92</v>
      </c>
      <c r="AM692" s="5" t="s">
        <v>66</v>
      </c>
      <c r="AN692" s="5" t="s">
        <v>66</v>
      </c>
      <c r="AO692" s="5" t="s">
        <v>1103</v>
      </c>
      <c r="AP692" s="5" t="s">
        <v>66</v>
      </c>
      <c r="AQ692" s="5" t="s">
        <v>66</v>
      </c>
      <c r="AR692" s="5" t="s">
        <v>66</v>
      </c>
      <c r="AS692" s="5" t="s">
        <v>66</v>
      </c>
      <c r="AT692" s="5" t="s">
        <v>66</v>
      </c>
      <c r="AU692" s="5" t="s">
        <v>66</v>
      </c>
      <c r="AV692" s="5" t="s">
        <v>66</v>
      </c>
      <c r="AW692" s="5" t="s">
        <v>66</v>
      </c>
      <c r="AX692" s="5" t="s">
        <v>1198</v>
      </c>
      <c r="AY692" s="5" t="s">
        <v>69</v>
      </c>
      <c r="AZ692" s="5" t="s">
        <v>80</v>
      </c>
      <c r="BA692" s="19" t="s">
        <v>769</v>
      </c>
      <c r="BB692" s="17" t="s">
        <v>353</v>
      </c>
      <c r="BC692" s="5" t="s">
        <v>1199</v>
      </c>
      <c r="BD692" s="5" t="s">
        <v>1200</v>
      </c>
    </row>
    <row r="693" spans="1:56" ht="60" hidden="1" x14ac:dyDescent="0.25">
      <c r="A693" s="78" t="s">
        <v>1056</v>
      </c>
      <c r="B693" s="5" t="s">
        <v>1057</v>
      </c>
      <c r="C693" s="5" t="s">
        <v>3293</v>
      </c>
      <c r="D693" s="5" t="s">
        <v>1195</v>
      </c>
      <c r="E693" s="99" t="str">
        <f>VLOOKUP(D693,'Dropdown List'!$F$26:$G$40,2,0)</f>
        <v>India</v>
      </c>
      <c r="F693" s="6" t="s">
        <v>1058</v>
      </c>
      <c r="G693" s="7">
        <v>9</v>
      </c>
      <c r="H693" s="5" t="s">
        <v>57</v>
      </c>
      <c r="I693" s="8" t="s">
        <v>71</v>
      </c>
      <c r="J693" s="6" t="s">
        <v>112</v>
      </c>
      <c r="K693" s="6" t="s">
        <v>356</v>
      </c>
      <c r="L693" s="6" t="s">
        <v>1217</v>
      </c>
      <c r="M693" s="6" t="s">
        <v>1218</v>
      </c>
      <c r="N693" s="5" t="s">
        <v>319</v>
      </c>
      <c r="O693" s="5" t="s">
        <v>89</v>
      </c>
      <c r="P693" s="5" t="s">
        <v>89</v>
      </c>
      <c r="Q693" s="9" t="s">
        <v>75</v>
      </c>
      <c r="R693" s="5" t="s">
        <v>76</v>
      </c>
      <c r="S693" s="5" t="s">
        <v>64</v>
      </c>
      <c r="T693" s="7">
        <v>1</v>
      </c>
      <c r="U693" s="7">
        <v>9</v>
      </c>
      <c r="V693" s="7">
        <v>8</v>
      </c>
      <c r="W693" s="5" t="s">
        <v>91</v>
      </c>
      <c r="X693" s="10" t="s">
        <v>79</v>
      </c>
      <c r="Y693" s="11">
        <v>23986</v>
      </c>
      <c r="Z693" s="12">
        <v>2.15</v>
      </c>
      <c r="AA693" s="12">
        <v>0.5</v>
      </c>
      <c r="AB693" s="12">
        <v>0</v>
      </c>
      <c r="AC693" s="13">
        <v>1</v>
      </c>
      <c r="AD693" s="14">
        <f t="shared" si="22"/>
        <v>3.65</v>
      </c>
      <c r="AE693" s="15">
        <f t="shared" si="23"/>
        <v>0.27397260273972601</v>
      </c>
      <c r="AF693" s="16">
        <v>202.42434000806978</v>
      </c>
      <c r="AG693" s="16">
        <v>202.42434000806978</v>
      </c>
      <c r="AH693" s="17" t="s">
        <v>2973</v>
      </c>
      <c r="AI693" s="18">
        <v>0</v>
      </c>
      <c r="AJ693" s="19" t="s">
        <v>1214</v>
      </c>
      <c r="AK693" s="20">
        <v>0.94</v>
      </c>
      <c r="AL693" s="17" t="s">
        <v>92</v>
      </c>
      <c r="AM693" s="5" t="s">
        <v>66</v>
      </c>
      <c r="AN693" s="5" t="s">
        <v>66</v>
      </c>
      <c r="AO693" s="5" t="s">
        <v>1103</v>
      </c>
      <c r="AP693" s="5" t="s">
        <v>66</v>
      </c>
      <c r="AQ693" s="5" t="s">
        <v>66</v>
      </c>
      <c r="AR693" s="5" t="s">
        <v>66</v>
      </c>
      <c r="AS693" s="5" t="s">
        <v>66</v>
      </c>
      <c r="AT693" s="5" t="s">
        <v>66</v>
      </c>
      <c r="AU693" s="5" t="s">
        <v>66</v>
      </c>
      <c r="AV693" s="5" t="s">
        <v>66</v>
      </c>
      <c r="AW693" s="5" t="s">
        <v>66</v>
      </c>
      <c r="AX693" s="5" t="s">
        <v>1198</v>
      </c>
      <c r="AY693" s="5" t="s">
        <v>69</v>
      </c>
      <c r="AZ693" s="5" t="s">
        <v>80</v>
      </c>
      <c r="BA693" s="19" t="s">
        <v>769</v>
      </c>
      <c r="BB693" s="17" t="s">
        <v>353</v>
      </c>
      <c r="BC693" s="5" t="s">
        <v>1199</v>
      </c>
      <c r="BD693" s="5" t="s">
        <v>1200</v>
      </c>
    </row>
    <row r="694" spans="1:56" ht="96" hidden="1" x14ac:dyDescent="0.25">
      <c r="A694" s="78" t="s">
        <v>1056</v>
      </c>
      <c r="B694" s="5" t="s">
        <v>1057</v>
      </c>
      <c r="C694" s="5" t="s">
        <v>3293</v>
      </c>
      <c r="D694" s="5" t="s">
        <v>1195</v>
      </c>
      <c r="E694" s="99" t="str">
        <f>VLOOKUP(D694,'Dropdown List'!$F$26:$G$40,2,0)</f>
        <v>India</v>
      </c>
      <c r="F694" s="6" t="s">
        <v>1058</v>
      </c>
      <c r="G694" s="7">
        <v>9</v>
      </c>
      <c r="H694" s="5" t="s">
        <v>57</v>
      </c>
      <c r="I694" s="8" t="s">
        <v>71</v>
      </c>
      <c r="J694" s="6" t="s">
        <v>112</v>
      </c>
      <c r="K694" s="6" t="s">
        <v>113</v>
      </c>
      <c r="L694" s="6" t="s">
        <v>2974</v>
      </c>
      <c r="M694" s="6" t="s">
        <v>1219</v>
      </c>
      <c r="N694" s="5" t="s">
        <v>319</v>
      </c>
      <c r="O694" s="5" t="s">
        <v>74</v>
      </c>
      <c r="P694" s="5" t="s">
        <v>1220</v>
      </c>
      <c r="Q694" s="9" t="s">
        <v>75</v>
      </c>
      <c r="R694" s="5" t="s">
        <v>76</v>
      </c>
      <c r="S694" s="5" t="s">
        <v>64</v>
      </c>
      <c r="T694" s="7">
        <v>1</v>
      </c>
      <c r="U694" s="7">
        <v>8</v>
      </c>
      <c r="V694" s="7">
        <v>8</v>
      </c>
      <c r="W694" s="5" t="s">
        <v>91</v>
      </c>
      <c r="X694" s="10" t="s">
        <v>79</v>
      </c>
      <c r="Y694" s="11">
        <v>23986</v>
      </c>
      <c r="Z694" s="12">
        <v>0.71062248965866204</v>
      </c>
      <c r="AA694" s="12">
        <v>0</v>
      </c>
      <c r="AB694" s="12">
        <v>0</v>
      </c>
      <c r="AC694" s="13">
        <v>0</v>
      </c>
      <c r="AD694" s="14">
        <f t="shared" si="22"/>
        <v>0.71062248965866204</v>
      </c>
      <c r="AE694" s="15">
        <f t="shared" si="23"/>
        <v>0</v>
      </c>
      <c r="AF694" s="16">
        <v>125</v>
      </c>
      <c r="AG694" s="16">
        <v>125</v>
      </c>
      <c r="AH694" s="17" t="s">
        <v>2970</v>
      </c>
      <c r="AI694" s="18">
        <v>44.5</v>
      </c>
      <c r="AJ694" s="19" t="s">
        <v>1221</v>
      </c>
      <c r="AK694" s="20">
        <v>0.94</v>
      </c>
      <c r="AL694" s="17" t="s">
        <v>92</v>
      </c>
      <c r="AM694" s="5" t="s">
        <v>66</v>
      </c>
      <c r="AN694" s="5" t="s">
        <v>66</v>
      </c>
      <c r="AO694" s="5" t="s">
        <v>1103</v>
      </c>
      <c r="AP694" s="5" t="s">
        <v>66</v>
      </c>
      <c r="AQ694" s="5" t="s">
        <v>66</v>
      </c>
      <c r="AR694" s="5" t="s">
        <v>66</v>
      </c>
      <c r="AS694" s="5" t="s">
        <v>66</v>
      </c>
      <c r="AT694" s="5" t="s">
        <v>66</v>
      </c>
      <c r="AU694" s="5" t="s">
        <v>66</v>
      </c>
      <c r="AV694" s="5" t="s">
        <v>66</v>
      </c>
      <c r="AW694" s="5" t="s">
        <v>66</v>
      </c>
      <c r="AX694" s="5" t="s">
        <v>1198</v>
      </c>
      <c r="AY694" s="5" t="s">
        <v>69</v>
      </c>
      <c r="AZ694" s="5" t="s">
        <v>80</v>
      </c>
      <c r="BA694" s="19" t="s">
        <v>769</v>
      </c>
      <c r="BB694" s="17" t="s">
        <v>353</v>
      </c>
      <c r="BC694" s="5" t="s">
        <v>1199</v>
      </c>
      <c r="BD694" s="5" t="s">
        <v>1200</v>
      </c>
    </row>
    <row r="695" spans="1:56" ht="60" hidden="1" x14ac:dyDescent="0.25">
      <c r="A695" s="78" t="s">
        <v>1056</v>
      </c>
      <c r="B695" s="5" t="s">
        <v>1057</v>
      </c>
      <c r="C695" s="5" t="s">
        <v>3293</v>
      </c>
      <c r="D695" s="5" t="s">
        <v>1195</v>
      </c>
      <c r="E695" s="99" t="str">
        <f>VLOOKUP(D695,'Dropdown List'!$F$26:$G$40,2,0)</f>
        <v>India</v>
      </c>
      <c r="F695" s="6" t="s">
        <v>1058</v>
      </c>
      <c r="G695" s="7">
        <v>9</v>
      </c>
      <c r="H695" s="5" t="s">
        <v>57</v>
      </c>
      <c r="I695" s="8" t="s">
        <v>71</v>
      </c>
      <c r="J695" s="6" t="s">
        <v>102</v>
      </c>
      <c r="K695" s="6" t="s">
        <v>516</v>
      </c>
      <c r="L695" s="6" t="s">
        <v>1222</v>
      </c>
      <c r="M695" s="6" t="s">
        <v>1223</v>
      </c>
      <c r="N695" s="5" t="s">
        <v>319</v>
      </c>
      <c r="O695" s="5" t="s">
        <v>74</v>
      </c>
      <c r="P695" s="5" t="s">
        <v>1220</v>
      </c>
      <c r="Q695" s="9" t="s">
        <v>75</v>
      </c>
      <c r="R695" s="5" t="s">
        <v>76</v>
      </c>
      <c r="S695" s="5" t="s">
        <v>64</v>
      </c>
      <c r="T695" s="7">
        <v>1</v>
      </c>
      <c r="U695" s="7">
        <v>12</v>
      </c>
      <c r="V695" s="7">
        <v>8</v>
      </c>
      <c r="W695" s="5" t="s">
        <v>91</v>
      </c>
      <c r="X695" s="10" t="s">
        <v>79</v>
      </c>
      <c r="Y695" s="11">
        <v>23986</v>
      </c>
      <c r="Z695" s="12">
        <v>0</v>
      </c>
      <c r="AA695" s="12">
        <v>0</v>
      </c>
      <c r="AB695" s="12">
        <v>0</v>
      </c>
      <c r="AC695" s="13">
        <v>0</v>
      </c>
      <c r="AD695" s="14">
        <f t="shared" si="22"/>
        <v>0</v>
      </c>
      <c r="AE695" s="15" t="e">
        <f t="shared" si="23"/>
        <v>#DIV/0!</v>
      </c>
      <c r="AF695" s="16">
        <v>5</v>
      </c>
      <c r="AG695" s="16">
        <v>5</v>
      </c>
      <c r="AH695" s="17" t="s">
        <v>2970</v>
      </c>
      <c r="AI695" s="18">
        <v>125.05</v>
      </c>
      <c r="AJ695" s="19" t="s">
        <v>1224</v>
      </c>
      <c r="AK695" s="20">
        <v>0.94</v>
      </c>
      <c r="AL695" s="17" t="s">
        <v>92</v>
      </c>
      <c r="AM695" s="5" t="s">
        <v>66</v>
      </c>
      <c r="AN695" s="5" t="s">
        <v>66</v>
      </c>
      <c r="AO695" s="5" t="s">
        <v>1103</v>
      </c>
      <c r="AP695" s="5" t="s">
        <v>66</v>
      </c>
      <c r="AQ695" s="5" t="s">
        <v>66</v>
      </c>
      <c r="AR695" s="5" t="s">
        <v>66</v>
      </c>
      <c r="AS695" s="5" t="s">
        <v>66</v>
      </c>
      <c r="AT695" s="5" t="s">
        <v>66</v>
      </c>
      <c r="AU695" s="5" t="s">
        <v>66</v>
      </c>
      <c r="AV695" s="5" t="s">
        <v>66</v>
      </c>
      <c r="AW695" s="5" t="s">
        <v>66</v>
      </c>
      <c r="AX695" s="5" t="s">
        <v>1198</v>
      </c>
      <c r="AY695" s="5" t="s">
        <v>69</v>
      </c>
      <c r="AZ695" s="5" t="s">
        <v>80</v>
      </c>
      <c r="BA695" s="19" t="s">
        <v>769</v>
      </c>
      <c r="BB695" s="17" t="s">
        <v>65</v>
      </c>
      <c r="BC695" s="5" t="s">
        <v>1199</v>
      </c>
      <c r="BD695" s="5" t="s">
        <v>1200</v>
      </c>
    </row>
    <row r="696" spans="1:56" ht="36" hidden="1" x14ac:dyDescent="0.25">
      <c r="A696" s="78" t="s">
        <v>1056</v>
      </c>
      <c r="B696" s="5" t="s">
        <v>1057</v>
      </c>
      <c r="C696" s="5" t="s">
        <v>3293</v>
      </c>
      <c r="D696" s="5" t="s">
        <v>1195</v>
      </c>
      <c r="E696" s="99" t="str">
        <f>VLOOKUP(D696,'Dropdown List'!$F$26:$G$40,2,0)</f>
        <v>India</v>
      </c>
      <c r="F696" s="6" t="s">
        <v>1058</v>
      </c>
      <c r="G696" s="7">
        <v>9</v>
      </c>
      <c r="H696" s="5" t="s">
        <v>57</v>
      </c>
      <c r="I696" s="8" t="s">
        <v>71</v>
      </c>
      <c r="J696" s="6" t="s">
        <v>2702</v>
      </c>
      <c r="K696" s="6" t="s">
        <v>855</v>
      </c>
      <c r="L696" s="6" t="s">
        <v>1225</v>
      </c>
      <c r="M696" s="6" t="s">
        <v>1226</v>
      </c>
      <c r="N696" s="5" t="s">
        <v>319</v>
      </c>
      <c r="O696" s="5" t="s">
        <v>74</v>
      </c>
      <c r="P696" s="5" t="s">
        <v>1220</v>
      </c>
      <c r="Q696" s="9" t="s">
        <v>75</v>
      </c>
      <c r="R696" s="5" t="s">
        <v>76</v>
      </c>
      <c r="S696" s="5" t="s">
        <v>64</v>
      </c>
      <c r="T696" s="7">
        <v>1</v>
      </c>
      <c r="U696" s="7">
        <v>4</v>
      </c>
      <c r="V696" s="7">
        <v>4</v>
      </c>
      <c r="W696" s="5" t="s">
        <v>91</v>
      </c>
      <c r="X696" s="10" t="s">
        <v>79</v>
      </c>
      <c r="Y696" s="11">
        <v>23986</v>
      </c>
      <c r="Z696" s="12">
        <v>0</v>
      </c>
      <c r="AA696" s="12">
        <v>0</v>
      </c>
      <c r="AB696" s="12">
        <v>0</v>
      </c>
      <c r="AC696" s="13">
        <v>0</v>
      </c>
      <c r="AD696" s="14">
        <f t="shared" si="22"/>
        <v>0</v>
      </c>
      <c r="AE696" s="15" t="e">
        <f t="shared" si="23"/>
        <v>#DIV/0!</v>
      </c>
      <c r="AF696" s="16">
        <v>11</v>
      </c>
      <c r="AG696" s="16">
        <v>11</v>
      </c>
      <c r="AH696" s="17" t="s">
        <v>2970</v>
      </c>
      <c r="AI696" s="18">
        <v>86.42</v>
      </c>
      <c r="AJ696" s="19" t="s">
        <v>1224</v>
      </c>
      <c r="AK696" s="20">
        <v>0.94</v>
      </c>
      <c r="AL696" s="17" t="s">
        <v>92</v>
      </c>
      <c r="AM696" s="5" t="s">
        <v>66</v>
      </c>
      <c r="AN696" s="5" t="s">
        <v>66</v>
      </c>
      <c r="AO696" s="5" t="s">
        <v>1103</v>
      </c>
      <c r="AP696" s="5" t="s">
        <v>66</v>
      </c>
      <c r="AQ696" s="5" t="s">
        <v>66</v>
      </c>
      <c r="AR696" s="5" t="s">
        <v>66</v>
      </c>
      <c r="AS696" s="5" t="s">
        <v>66</v>
      </c>
      <c r="AT696" s="5" t="s">
        <v>66</v>
      </c>
      <c r="AU696" s="5" t="s">
        <v>66</v>
      </c>
      <c r="AV696" s="5" t="s">
        <v>66</v>
      </c>
      <c r="AW696" s="5" t="s">
        <v>66</v>
      </c>
      <c r="AX696" s="5" t="s">
        <v>1198</v>
      </c>
      <c r="AY696" s="5" t="s">
        <v>69</v>
      </c>
      <c r="AZ696" s="5" t="s">
        <v>80</v>
      </c>
      <c r="BA696" s="19" t="s">
        <v>769</v>
      </c>
      <c r="BB696" s="17" t="s">
        <v>65</v>
      </c>
      <c r="BC696" s="5" t="s">
        <v>1199</v>
      </c>
      <c r="BD696" s="5" t="s">
        <v>1200</v>
      </c>
    </row>
    <row r="697" spans="1:56" ht="24" hidden="1" x14ac:dyDescent="0.25">
      <c r="A697" s="78" t="s">
        <v>1056</v>
      </c>
      <c r="B697" s="5" t="s">
        <v>1057</v>
      </c>
      <c r="C697" s="5" t="s">
        <v>3293</v>
      </c>
      <c r="D697" s="5" t="s">
        <v>1195</v>
      </c>
      <c r="E697" s="99" t="str">
        <f>VLOOKUP(D697,'Dropdown List'!$F$26:$G$40,2,0)</f>
        <v>India</v>
      </c>
      <c r="F697" s="6" t="s">
        <v>1058</v>
      </c>
      <c r="G697" s="7">
        <v>9</v>
      </c>
      <c r="H697" s="5" t="s">
        <v>57</v>
      </c>
      <c r="I697" s="8" t="s">
        <v>71</v>
      </c>
      <c r="J697" s="6" t="s">
        <v>112</v>
      </c>
      <c r="K697" s="6" t="s">
        <v>113</v>
      </c>
      <c r="L697" s="6" t="s">
        <v>1227</v>
      </c>
      <c r="M697" s="6" t="s">
        <v>1228</v>
      </c>
      <c r="N697" s="5" t="s">
        <v>319</v>
      </c>
      <c r="O697" s="5" t="s">
        <v>61</v>
      </c>
      <c r="P697" s="5" t="s">
        <v>1204</v>
      </c>
      <c r="Q697" s="9" t="s">
        <v>75</v>
      </c>
      <c r="R697" s="5" t="s">
        <v>76</v>
      </c>
      <c r="S697" s="5" t="s">
        <v>64</v>
      </c>
      <c r="T697" s="7">
        <v>1</v>
      </c>
      <c r="U697" s="7">
        <v>4</v>
      </c>
      <c r="V697" s="7">
        <v>4</v>
      </c>
      <c r="W697" s="5" t="s">
        <v>91</v>
      </c>
      <c r="X697" s="10" t="s">
        <v>79</v>
      </c>
      <c r="Y697" s="11">
        <v>23986</v>
      </c>
      <c r="Z697" s="12">
        <v>1.1906725816118562E-2</v>
      </c>
      <c r="AA697" s="12">
        <v>0</v>
      </c>
      <c r="AB697" s="12">
        <v>0</v>
      </c>
      <c r="AC697" s="13">
        <v>0</v>
      </c>
      <c r="AD697" s="14">
        <f t="shared" si="22"/>
        <v>1.1906725816118562E-2</v>
      </c>
      <c r="AE697" s="15">
        <f t="shared" si="23"/>
        <v>0</v>
      </c>
      <c r="AF697" s="16">
        <v>6.1083104431360056</v>
      </c>
      <c r="AG697" s="16">
        <v>6.1083104431360056</v>
      </c>
      <c r="AH697" s="17" t="s">
        <v>2973</v>
      </c>
      <c r="AI697" s="18">
        <v>17.89</v>
      </c>
      <c r="AJ697" s="19" t="s">
        <v>1224</v>
      </c>
      <c r="AK697" s="20">
        <v>0.95</v>
      </c>
      <c r="AL697" s="17" t="s">
        <v>92</v>
      </c>
      <c r="AM697" s="5" t="s">
        <v>66</v>
      </c>
      <c r="AN697" s="5" t="s">
        <v>66</v>
      </c>
      <c r="AO697" s="5" t="s">
        <v>1103</v>
      </c>
      <c r="AP697" s="5" t="s">
        <v>66</v>
      </c>
      <c r="AQ697" s="5" t="s">
        <v>66</v>
      </c>
      <c r="AR697" s="5" t="s">
        <v>66</v>
      </c>
      <c r="AS697" s="5" t="s">
        <v>66</v>
      </c>
      <c r="AT697" s="5" t="s">
        <v>66</v>
      </c>
      <c r="AU697" s="5" t="s">
        <v>66</v>
      </c>
      <c r="AV697" s="5" t="s">
        <v>66</v>
      </c>
      <c r="AW697" s="5" t="s">
        <v>66</v>
      </c>
      <c r="AX697" s="5" t="s">
        <v>1198</v>
      </c>
      <c r="AY697" s="5" t="s">
        <v>69</v>
      </c>
      <c r="AZ697" s="5" t="s">
        <v>80</v>
      </c>
      <c r="BA697" s="19" t="s">
        <v>769</v>
      </c>
      <c r="BB697" s="17" t="s">
        <v>69</v>
      </c>
      <c r="BC697" s="5" t="s">
        <v>1199</v>
      </c>
      <c r="BD697" s="5" t="s">
        <v>1200</v>
      </c>
    </row>
    <row r="698" spans="1:56" ht="72" hidden="1" x14ac:dyDescent="0.25">
      <c r="A698" s="78" t="s">
        <v>1056</v>
      </c>
      <c r="B698" s="5" t="s">
        <v>1057</v>
      </c>
      <c r="C698" s="5" t="s">
        <v>3293</v>
      </c>
      <c r="D698" s="5" t="s">
        <v>1195</v>
      </c>
      <c r="E698" s="99" t="str">
        <f>VLOOKUP(D698,'Dropdown List'!$F$26:$G$40,2,0)</f>
        <v>India</v>
      </c>
      <c r="F698" s="6" t="s">
        <v>1058</v>
      </c>
      <c r="G698" s="7">
        <v>9</v>
      </c>
      <c r="H698" s="5" t="s">
        <v>57</v>
      </c>
      <c r="I698" s="8" t="s">
        <v>71</v>
      </c>
      <c r="J698" s="6" t="s">
        <v>112</v>
      </c>
      <c r="K698" s="6" t="s">
        <v>356</v>
      </c>
      <c r="L698" s="6" t="s">
        <v>2975</v>
      </c>
      <c r="M698" s="6" t="s">
        <v>1229</v>
      </c>
      <c r="N698" s="5" t="s">
        <v>319</v>
      </c>
      <c r="O698" s="5" t="s">
        <v>61</v>
      </c>
      <c r="P698" s="5" t="s">
        <v>1204</v>
      </c>
      <c r="Q698" s="9" t="s">
        <v>75</v>
      </c>
      <c r="R698" s="5" t="s">
        <v>76</v>
      </c>
      <c r="S698" s="5" t="s">
        <v>90</v>
      </c>
      <c r="T698" s="7">
        <v>1</v>
      </c>
      <c r="U698" s="7">
        <v>8</v>
      </c>
      <c r="V698" s="7">
        <v>4</v>
      </c>
      <c r="W698" s="5" t="s">
        <v>91</v>
      </c>
      <c r="X698" s="10" t="s">
        <v>79</v>
      </c>
      <c r="Y698" s="11">
        <v>23986</v>
      </c>
      <c r="Z698" s="12">
        <v>0.57517928724651313</v>
      </c>
      <c r="AA698" s="12">
        <v>0</v>
      </c>
      <c r="AB698" s="12">
        <v>0</v>
      </c>
      <c r="AC698" s="13">
        <v>0</v>
      </c>
      <c r="AD698" s="14">
        <f t="shared" si="22"/>
        <v>0.57517928724651313</v>
      </c>
      <c r="AE698" s="15">
        <f t="shared" si="23"/>
        <v>0</v>
      </c>
      <c r="AF698" s="16">
        <v>153.63721546676356</v>
      </c>
      <c r="AG698" s="16">
        <v>153.63721546676356</v>
      </c>
      <c r="AH698" s="17" t="s">
        <v>2973</v>
      </c>
      <c r="AI698" s="18">
        <v>35.65</v>
      </c>
      <c r="AJ698" s="19" t="s">
        <v>1224</v>
      </c>
      <c r="AK698" s="20">
        <v>0.95</v>
      </c>
      <c r="AL698" s="17" t="s">
        <v>92</v>
      </c>
      <c r="AM698" s="5" t="s">
        <v>66</v>
      </c>
      <c r="AN698" s="5" t="s">
        <v>66</v>
      </c>
      <c r="AO698" s="5" t="s">
        <v>66</v>
      </c>
      <c r="AP698" s="5" t="s">
        <v>66</v>
      </c>
      <c r="AQ698" s="5" t="s">
        <v>66</v>
      </c>
      <c r="AR698" s="5" t="s">
        <v>66</v>
      </c>
      <c r="AS698" s="5" t="s">
        <v>66</v>
      </c>
      <c r="AT698" s="5" t="s">
        <v>66</v>
      </c>
      <c r="AU698" s="5" t="s">
        <v>66</v>
      </c>
      <c r="AV698" s="5" t="s">
        <v>66</v>
      </c>
      <c r="AW698" s="5" t="s">
        <v>66</v>
      </c>
      <c r="AX698" s="5" t="s">
        <v>1198</v>
      </c>
      <c r="AY698" s="5" t="s">
        <v>69</v>
      </c>
      <c r="AZ698" s="5" t="s">
        <v>80</v>
      </c>
      <c r="BA698" s="19" t="s">
        <v>769</v>
      </c>
      <c r="BB698" s="17" t="s">
        <v>69</v>
      </c>
      <c r="BC698" s="5" t="s">
        <v>1199</v>
      </c>
      <c r="BD698" s="5" t="s">
        <v>1230</v>
      </c>
    </row>
    <row r="699" spans="1:56" ht="24" hidden="1" x14ac:dyDescent="0.25">
      <c r="A699" s="78" t="s">
        <v>1056</v>
      </c>
      <c r="B699" s="5" t="s">
        <v>1057</v>
      </c>
      <c r="C699" s="5" t="s">
        <v>3293</v>
      </c>
      <c r="D699" s="5" t="s">
        <v>1195</v>
      </c>
      <c r="E699" s="99" t="str">
        <f>VLOOKUP(D699,'Dropdown List'!$F$26:$G$40,2,0)</f>
        <v>India</v>
      </c>
      <c r="F699" s="6" t="s">
        <v>1058</v>
      </c>
      <c r="G699" s="7">
        <v>9</v>
      </c>
      <c r="H699" s="5" t="s">
        <v>57</v>
      </c>
      <c r="I699" s="8" t="s">
        <v>71</v>
      </c>
      <c r="J699" s="6" t="s">
        <v>112</v>
      </c>
      <c r="K699" s="6" t="s">
        <v>113</v>
      </c>
      <c r="L699" s="6" t="s">
        <v>2976</v>
      </c>
      <c r="M699" s="6" t="s">
        <v>1231</v>
      </c>
      <c r="N699" s="5" t="s">
        <v>319</v>
      </c>
      <c r="O699" s="5" t="s">
        <v>61</v>
      </c>
      <c r="P699" s="5" t="s">
        <v>1204</v>
      </c>
      <c r="Q699" s="9" t="s">
        <v>75</v>
      </c>
      <c r="R699" s="5" t="s">
        <v>76</v>
      </c>
      <c r="S699" s="5" t="s">
        <v>90</v>
      </c>
      <c r="T699" s="7">
        <v>1</v>
      </c>
      <c r="U699" s="7">
        <v>1</v>
      </c>
      <c r="V699" s="7">
        <v>2</v>
      </c>
      <c r="W699" s="5" t="s">
        <v>91</v>
      </c>
      <c r="X699" s="10" t="s">
        <v>79</v>
      </c>
      <c r="Y699" s="11">
        <v>23986</v>
      </c>
      <c r="Z699" s="12">
        <v>1</v>
      </c>
      <c r="AA699" s="12">
        <v>0.5</v>
      </c>
      <c r="AB699" s="12">
        <v>0</v>
      </c>
      <c r="AC699" s="13">
        <v>0</v>
      </c>
      <c r="AD699" s="14">
        <f t="shared" si="22"/>
        <v>1.5</v>
      </c>
      <c r="AE699" s="15">
        <f t="shared" si="23"/>
        <v>0</v>
      </c>
      <c r="AF699" s="16">
        <v>35</v>
      </c>
      <c r="AG699" s="16">
        <v>35</v>
      </c>
      <c r="AH699" s="17" t="s">
        <v>2966</v>
      </c>
      <c r="AI699" s="18">
        <v>15</v>
      </c>
      <c r="AJ699" s="19" t="s">
        <v>1232</v>
      </c>
      <c r="AK699" s="20">
        <v>0.9</v>
      </c>
      <c r="AL699" s="17" t="s">
        <v>92</v>
      </c>
      <c r="AM699" s="5" t="s">
        <v>66</v>
      </c>
      <c r="AN699" s="5" t="s">
        <v>66</v>
      </c>
      <c r="AO699" s="5" t="s">
        <v>66</v>
      </c>
      <c r="AP699" s="5" t="s">
        <v>66</v>
      </c>
      <c r="AQ699" s="5" t="s">
        <v>66</v>
      </c>
      <c r="AR699" s="5" t="s">
        <v>66</v>
      </c>
      <c r="AS699" s="5" t="s">
        <v>66</v>
      </c>
      <c r="AT699" s="5" t="s">
        <v>66</v>
      </c>
      <c r="AU699" s="5" t="s">
        <v>66</v>
      </c>
      <c r="AV699" s="5" t="s">
        <v>66</v>
      </c>
      <c r="AW699" s="5" t="s">
        <v>66</v>
      </c>
      <c r="AX699" s="5" t="s">
        <v>1198</v>
      </c>
      <c r="AY699" s="5" t="s">
        <v>69</v>
      </c>
      <c r="AZ699" s="5" t="s">
        <v>80</v>
      </c>
      <c r="BA699" s="19" t="s">
        <v>769</v>
      </c>
      <c r="BB699" s="17" t="s">
        <v>65</v>
      </c>
      <c r="BC699" s="5" t="s">
        <v>1199</v>
      </c>
      <c r="BD699" s="5" t="s">
        <v>1233</v>
      </c>
    </row>
    <row r="700" spans="1:56" ht="24" hidden="1" x14ac:dyDescent="0.25">
      <c r="A700" s="78" t="s">
        <v>1056</v>
      </c>
      <c r="B700" s="5" t="s">
        <v>1057</v>
      </c>
      <c r="C700" s="5" t="s">
        <v>3293</v>
      </c>
      <c r="D700" s="5" t="s">
        <v>1195</v>
      </c>
      <c r="E700" s="99" t="str">
        <f>VLOOKUP(D700,'Dropdown List'!$F$26:$G$40,2,0)</f>
        <v>India</v>
      </c>
      <c r="F700" s="6" t="s">
        <v>1058</v>
      </c>
      <c r="G700" s="7">
        <v>9</v>
      </c>
      <c r="H700" s="5" t="s">
        <v>57</v>
      </c>
      <c r="I700" s="8" t="s">
        <v>71</v>
      </c>
      <c r="J700" s="6" t="s">
        <v>112</v>
      </c>
      <c r="K700" s="6" t="s">
        <v>113</v>
      </c>
      <c r="L700" s="6" t="s">
        <v>1234</v>
      </c>
      <c r="M700" s="6" t="s">
        <v>1235</v>
      </c>
      <c r="N700" s="5" t="s">
        <v>319</v>
      </c>
      <c r="O700" s="5" t="s">
        <v>61</v>
      </c>
      <c r="P700" s="5" t="s">
        <v>1204</v>
      </c>
      <c r="Q700" s="9" t="s">
        <v>75</v>
      </c>
      <c r="R700" s="5" t="s">
        <v>76</v>
      </c>
      <c r="S700" s="5" t="s">
        <v>90</v>
      </c>
      <c r="T700" s="7">
        <v>1</v>
      </c>
      <c r="U700" s="7">
        <v>6</v>
      </c>
      <c r="V700" s="7">
        <v>4</v>
      </c>
      <c r="W700" s="5" t="s">
        <v>91</v>
      </c>
      <c r="X700" s="10" t="s">
        <v>79</v>
      </c>
      <c r="Y700" s="11">
        <v>23986</v>
      </c>
      <c r="Z700" s="12">
        <v>2.59</v>
      </c>
      <c r="AA700" s="12">
        <v>4</v>
      </c>
      <c r="AB700" s="12">
        <v>0</v>
      </c>
      <c r="AC700" s="13">
        <v>1</v>
      </c>
      <c r="AD700" s="14">
        <f t="shared" si="22"/>
        <v>7.59</v>
      </c>
      <c r="AE700" s="15">
        <f t="shared" si="23"/>
        <v>0.13175230566534915</v>
      </c>
      <c r="AF700" s="16">
        <v>0</v>
      </c>
      <c r="AG700" s="16">
        <v>0</v>
      </c>
      <c r="AH700" s="17" t="s">
        <v>66</v>
      </c>
      <c r="AI700" s="18">
        <v>0</v>
      </c>
      <c r="AJ700" s="19" t="s">
        <v>66</v>
      </c>
      <c r="AK700" s="20" t="s">
        <v>66</v>
      </c>
      <c r="AL700" s="17" t="s">
        <v>65</v>
      </c>
      <c r="AM700" s="5" t="s">
        <v>66</v>
      </c>
      <c r="AN700" s="5" t="s">
        <v>66</v>
      </c>
      <c r="AO700" s="5" t="s">
        <v>66</v>
      </c>
      <c r="AP700" s="5" t="s">
        <v>66</v>
      </c>
      <c r="AQ700" s="5" t="s">
        <v>66</v>
      </c>
      <c r="AR700" s="5" t="s">
        <v>66</v>
      </c>
      <c r="AS700" s="5" t="s">
        <v>66</v>
      </c>
      <c r="AT700" s="5" t="s">
        <v>66</v>
      </c>
      <c r="AU700" s="5" t="s">
        <v>66</v>
      </c>
      <c r="AV700" s="5" t="s">
        <v>66</v>
      </c>
      <c r="AW700" s="5" t="s">
        <v>66</v>
      </c>
      <c r="AX700" s="5" t="s">
        <v>1198</v>
      </c>
      <c r="AY700" s="5" t="s">
        <v>69</v>
      </c>
      <c r="AZ700" s="5" t="s">
        <v>145</v>
      </c>
      <c r="BA700" s="19" t="s">
        <v>66</v>
      </c>
      <c r="BB700" s="17" t="s">
        <v>65</v>
      </c>
      <c r="BC700" s="5" t="s">
        <v>1199</v>
      </c>
      <c r="BD700" s="5" t="s">
        <v>1233</v>
      </c>
    </row>
    <row r="701" spans="1:56" ht="72" hidden="1" x14ac:dyDescent="0.25">
      <c r="A701" s="78" t="s">
        <v>1056</v>
      </c>
      <c r="B701" s="5" t="s">
        <v>1057</v>
      </c>
      <c r="C701" s="5" t="s">
        <v>3293</v>
      </c>
      <c r="D701" s="5" t="s">
        <v>1236</v>
      </c>
      <c r="E701" s="99" t="str">
        <f>VLOOKUP(D701,'Dropdown List'!$F$26:$G$40,2,0)</f>
        <v>India</v>
      </c>
      <c r="F701" s="6" t="s">
        <v>1058</v>
      </c>
      <c r="G701" s="7">
        <v>9</v>
      </c>
      <c r="H701" s="5" t="s">
        <v>57</v>
      </c>
      <c r="I701" s="8" t="s">
        <v>71</v>
      </c>
      <c r="J701" s="6" t="s">
        <v>112</v>
      </c>
      <c r="K701" s="6" t="s">
        <v>190</v>
      </c>
      <c r="L701" s="6" t="s">
        <v>1237</v>
      </c>
      <c r="M701" s="6" t="s">
        <v>1238</v>
      </c>
      <c r="N701" s="5" t="s">
        <v>319</v>
      </c>
      <c r="O701" s="5" t="s">
        <v>61</v>
      </c>
      <c r="P701" s="5" t="s">
        <v>1204</v>
      </c>
      <c r="Q701" s="9" t="s">
        <v>75</v>
      </c>
      <c r="R701" s="5" t="s">
        <v>76</v>
      </c>
      <c r="S701" s="5" t="s">
        <v>90</v>
      </c>
      <c r="T701" s="7">
        <v>1</v>
      </c>
      <c r="U701" s="7">
        <v>4</v>
      </c>
      <c r="V701" s="7">
        <v>4</v>
      </c>
      <c r="W701" s="5" t="s">
        <v>91</v>
      </c>
      <c r="X701" s="10" t="s">
        <v>79</v>
      </c>
      <c r="Y701" s="11">
        <v>23986</v>
      </c>
      <c r="Z701" s="12">
        <v>1.1130485116308726</v>
      </c>
      <c r="AA701" s="12">
        <v>0</v>
      </c>
      <c r="AB701" s="12">
        <v>0</v>
      </c>
      <c r="AC701" s="13">
        <v>0</v>
      </c>
      <c r="AD701" s="14">
        <f t="shared" si="22"/>
        <v>1.1130485116308726</v>
      </c>
      <c r="AE701" s="15">
        <f t="shared" si="23"/>
        <v>0</v>
      </c>
      <c r="AF701" s="16">
        <v>1320.5157883165868</v>
      </c>
      <c r="AG701" s="16">
        <v>1320.5157883165868</v>
      </c>
      <c r="AH701" s="17" t="s">
        <v>2969</v>
      </c>
      <c r="AI701" s="18">
        <v>7.48</v>
      </c>
      <c r="AJ701" s="19" t="s">
        <v>1224</v>
      </c>
      <c r="AK701" s="20">
        <v>0.96</v>
      </c>
      <c r="AL701" s="17" t="s">
        <v>92</v>
      </c>
      <c r="AM701" s="5" t="s">
        <v>66</v>
      </c>
      <c r="AN701" s="5" t="s">
        <v>66</v>
      </c>
      <c r="AO701" s="5" t="s">
        <v>66</v>
      </c>
      <c r="AP701" s="5" t="s">
        <v>66</v>
      </c>
      <c r="AQ701" s="5" t="s">
        <v>66</v>
      </c>
      <c r="AR701" s="5" t="s">
        <v>66</v>
      </c>
      <c r="AS701" s="5" t="s">
        <v>66</v>
      </c>
      <c r="AT701" s="5" t="s">
        <v>66</v>
      </c>
      <c r="AU701" s="5" t="s">
        <v>66</v>
      </c>
      <c r="AV701" s="5" t="s">
        <v>66</v>
      </c>
      <c r="AW701" s="5" t="s">
        <v>66</v>
      </c>
      <c r="AX701" s="5" t="s">
        <v>1198</v>
      </c>
      <c r="AY701" s="5" t="s">
        <v>69</v>
      </c>
      <c r="AZ701" s="5" t="s">
        <v>80</v>
      </c>
      <c r="BA701" s="19" t="s">
        <v>769</v>
      </c>
      <c r="BB701" s="17" t="s">
        <v>353</v>
      </c>
      <c r="BC701" s="5" t="s">
        <v>1199</v>
      </c>
      <c r="BD701" s="5" t="s">
        <v>1230</v>
      </c>
    </row>
    <row r="702" spans="1:56" ht="72" hidden="1" x14ac:dyDescent="0.25">
      <c r="A702" s="78" t="s">
        <v>1056</v>
      </c>
      <c r="B702" s="5" t="s">
        <v>1057</v>
      </c>
      <c r="C702" s="5" t="s">
        <v>3293</v>
      </c>
      <c r="D702" s="5" t="s">
        <v>1236</v>
      </c>
      <c r="E702" s="99" t="str">
        <f>VLOOKUP(D702,'Dropdown List'!$F$26:$G$40,2,0)</f>
        <v>India</v>
      </c>
      <c r="F702" s="6" t="s">
        <v>1058</v>
      </c>
      <c r="G702" s="7">
        <v>9</v>
      </c>
      <c r="H702" s="5" t="s">
        <v>57</v>
      </c>
      <c r="I702" s="8" t="s">
        <v>71</v>
      </c>
      <c r="J702" s="6" t="s">
        <v>112</v>
      </c>
      <c r="K702" s="6" t="s">
        <v>113</v>
      </c>
      <c r="L702" s="6" t="s">
        <v>1239</v>
      </c>
      <c r="M702" s="6" t="s">
        <v>1240</v>
      </c>
      <c r="N702" s="5" t="s">
        <v>319</v>
      </c>
      <c r="O702" s="5" t="s">
        <v>61</v>
      </c>
      <c r="P702" s="5" t="s">
        <v>1204</v>
      </c>
      <c r="Q702" s="9" t="s">
        <v>75</v>
      </c>
      <c r="R702" s="5" t="s">
        <v>76</v>
      </c>
      <c r="S702" s="5" t="s">
        <v>90</v>
      </c>
      <c r="T702" s="7">
        <v>1</v>
      </c>
      <c r="U702" s="7">
        <v>6</v>
      </c>
      <c r="V702" s="7">
        <v>4</v>
      </c>
      <c r="W702" s="5" t="s">
        <v>91</v>
      </c>
      <c r="X702" s="10" t="s">
        <v>79</v>
      </c>
      <c r="Y702" s="11">
        <v>23986</v>
      </c>
      <c r="Z702" s="12">
        <v>3.8278159714811801</v>
      </c>
      <c r="AA702" s="12">
        <v>1</v>
      </c>
      <c r="AB702" s="12">
        <v>0</v>
      </c>
      <c r="AC702" s="13">
        <v>2</v>
      </c>
      <c r="AD702" s="14">
        <f t="shared" si="22"/>
        <v>6.8278159714811801</v>
      </c>
      <c r="AE702" s="15">
        <f t="shared" si="23"/>
        <v>0.2929194354906044</v>
      </c>
      <c r="AF702" s="16">
        <v>8386.29694873476</v>
      </c>
      <c r="AG702" s="16">
        <v>8386.29694873476</v>
      </c>
      <c r="AH702" s="17" t="s">
        <v>2971</v>
      </c>
      <c r="AI702" s="18">
        <v>3.08</v>
      </c>
      <c r="AJ702" s="19" t="s">
        <v>1197</v>
      </c>
      <c r="AK702" s="20">
        <v>0.96</v>
      </c>
      <c r="AL702" s="17" t="s">
        <v>261</v>
      </c>
      <c r="AM702" s="5" t="s">
        <v>66</v>
      </c>
      <c r="AN702" s="5" t="s">
        <v>66</v>
      </c>
      <c r="AO702" s="5" t="s">
        <v>66</v>
      </c>
      <c r="AP702" s="5" t="s">
        <v>66</v>
      </c>
      <c r="AQ702" s="5" t="s">
        <v>66</v>
      </c>
      <c r="AR702" s="5" t="s">
        <v>66</v>
      </c>
      <c r="AS702" s="5" t="s">
        <v>66</v>
      </c>
      <c r="AT702" s="5" t="s">
        <v>66</v>
      </c>
      <c r="AU702" s="5" t="s">
        <v>66</v>
      </c>
      <c r="AV702" s="5" t="s">
        <v>66</v>
      </c>
      <c r="AW702" s="5" t="s">
        <v>66</v>
      </c>
      <c r="AX702" s="5" t="s">
        <v>1198</v>
      </c>
      <c r="AY702" s="5" t="s">
        <v>69</v>
      </c>
      <c r="AZ702" s="5" t="s">
        <v>80</v>
      </c>
      <c r="BA702" s="19" t="s">
        <v>769</v>
      </c>
      <c r="BB702" s="17" t="s">
        <v>69</v>
      </c>
      <c r="BC702" s="5" t="s">
        <v>1199</v>
      </c>
      <c r="BD702" s="5" t="s">
        <v>1230</v>
      </c>
    </row>
    <row r="703" spans="1:56" ht="72" hidden="1" x14ac:dyDescent="0.25">
      <c r="A703" s="78" t="s">
        <v>1056</v>
      </c>
      <c r="B703" s="5" t="s">
        <v>1057</v>
      </c>
      <c r="C703" s="5" t="s">
        <v>3293</v>
      </c>
      <c r="D703" s="5" t="s">
        <v>1236</v>
      </c>
      <c r="E703" s="99" t="str">
        <f>VLOOKUP(D703,'Dropdown List'!$F$26:$G$40,2,0)</f>
        <v>India</v>
      </c>
      <c r="F703" s="6" t="s">
        <v>1058</v>
      </c>
      <c r="G703" s="7">
        <v>9</v>
      </c>
      <c r="H703" s="5" t="s">
        <v>57</v>
      </c>
      <c r="I703" s="8" t="s">
        <v>71</v>
      </c>
      <c r="J703" s="6" t="s">
        <v>112</v>
      </c>
      <c r="K703" s="6" t="s">
        <v>113</v>
      </c>
      <c r="L703" s="6" t="s">
        <v>2977</v>
      </c>
      <c r="M703" s="6" t="s">
        <v>1241</v>
      </c>
      <c r="N703" s="5" t="s">
        <v>319</v>
      </c>
      <c r="O703" s="5" t="s">
        <v>61</v>
      </c>
      <c r="P703" s="5" t="s">
        <v>1204</v>
      </c>
      <c r="Q703" s="9" t="s">
        <v>75</v>
      </c>
      <c r="R703" s="5" t="s">
        <v>76</v>
      </c>
      <c r="S703" s="5" t="s">
        <v>90</v>
      </c>
      <c r="T703" s="7">
        <v>1</v>
      </c>
      <c r="U703" s="7">
        <v>6</v>
      </c>
      <c r="V703" s="7">
        <v>4</v>
      </c>
      <c r="W703" s="5" t="s">
        <v>91</v>
      </c>
      <c r="X703" s="10" t="s">
        <v>79</v>
      </c>
      <c r="Y703" s="11">
        <v>23986</v>
      </c>
      <c r="Z703" s="12">
        <v>4.5907440774690746</v>
      </c>
      <c r="AA703" s="12">
        <v>0</v>
      </c>
      <c r="AB703" s="12">
        <v>1</v>
      </c>
      <c r="AC703" s="13">
        <v>1.4999999999999956</v>
      </c>
      <c r="AD703" s="14">
        <f t="shared" si="22"/>
        <v>7.0907440774690702</v>
      </c>
      <c r="AE703" s="15">
        <f t="shared" si="23"/>
        <v>0.2115433843912467</v>
      </c>
      <c r="AF703" s="16">
        <v>7710.1016367733582</v>
      </c>
      <c r="AG703" s="16">
        <v>7710.1016367733582</v>
      </c>
      <c r="AH703" s="17" t="s">
        <v>2966</v>
      </c>
      <c r="AI703" s="18">
        <v>4</v>
      </c>
      <c r="AJ703" s="19" t="s">
        <v>1197</v>
      </c>
      <c r="AK703" s="20">
        <v>0.96</v>
      </c>
      <c r="AL703" s="17" t="s">
        <v>261</v>
      </c>
      <c r="AM703" s="5" t="s">
        <v>66</v>
      </c>
      <c r="AN703" s="5" t="s">
        <v>66</v>
      </c>
      <c r="AO703" s="5" t="s">
        <v>66</v>
      </c>
      <c r="AP703" s="5" t="s">
        <v>66</v>
      </c>
      <c r="AQ703" s="5" t="s">
        <v>66</v>
      </c>
      <c r="AR703" s="5" t="s">
        <v>66</v>
      </c>
      <c r="AS703" s="5" t="s">
        <v>66</v>
      </c>
      <c r="AT703" s="5" t="s">
        <v>66</v>
      </c>
      <c r="AU703" s="5" t="s">
        <v>66</v>
      </c>
      <c r="AV703" s="5" t="s">
        <v>66</v>
      </c>
      <c r="AW703" s="5" t="s">
        <v>66</v>
      </c>
      <c r="AX703" s="5" t="s">
        <v>1198</v>
      </c>
      <c r="AY703" s="5" t="s">
        <v>69</v>
      </c>
      <c r="AZ703" s="5" t="s">
        <v>80</v>
      </c>
      <c r="BA703" s="19" t="s">
        <v>769</v>
      </c>
      <c r="BB703" s="17" t="s">
        <v>69</v>
      </c>
      <c r="BC703" s="5" t="s">
        <v>1199</v>
      </c>
      <c r="BD703" s="5" t="s">
        <v>1230</v>
      </c>
    </row>
    <row r="704" spans="1:56" ht="84" hidden="1" x14ac:dyDescent="0.25">
      <c r="A704" s="78" t="s">
        <v>1056</v>
      </c>
      <c r="B704" s="5" t="s">
        <v>1057</v>
      </c>
      <c r="C704" s="5" t="s">
        <v>3293</v>
      </c>
      <c r="D704" s="5" t="s">
        <v>1236</v>
      </c>
      <c r="E704" s="99" t="str">
        <f>VLOOKUP(D704,'Dropdown List'!$F$26:$G$40,2,0)</f>
        <v>India</v>
      </c>
      <c r="F704" s="6" t="s">
        <v>1058</v>
      </c>
      <c r="G704" s="7">
        <v>9</v>
      </c>
      <c r="H704" s="5" t="s">
        <v>57</v>
      </c>
      <c r="I704" s="8" t="s">
        <v>71</v>
      </c>
      <c r="J704" s="6" t="s">
        <v>112</v>
      </c>
      <c r="K704" s="6" t="s">
        <v>1211</v>
      </c>
      <c r="L704" s="6" t="s">
        <v>1242</v>
      </c>
      <c r="M704" s="6" t="s">
        <v>1243</v>
      </c>
      <c r="N704" s="5" t="s">
        <v>319</v>
      </c>
      <c r="O704" s="5" t="s">
        <v>61</v>
      </c>
      <c r="P704" s="5" t="s">
        <v>1204</v>
      </c>
      <c r="Q704" s="9" t="s">
        <v>75</v>
      </c>
      <c r="R704" s="5" t="s">
        <v>76</v>
      </c>
      <c r="S704" s="5" t="s">
        <v>90</v>
      </c>
      <c r="T704" s="7">
        <v>1</v>
      </c>
      <c r="U704" s="7">
        <v>4</v>
      </c>
      <c r="V704" s="7">
        <v>4</v>
      </c>
      <c r="W704" s="5" t="s">
        <v>91</v>
      </c>
      <c r="X704" s="10" t="s">
        <v>79</v>
      </c>
      <c r="Y704" s="11">
        <v>23986</v>
      </c>
      <c r="Z704" s="12">
        <v>1.2347975603487498</v>
      </c>
      <c r="AA704" s="12">
        <v>0</v>
      </c>
      <c r="AB704" s="12">
        <v>0</v>
      </c>
      <c r="AC704" s="13">
        <v>0</v>
      </c>
      <c r="AD704" s="14">
        <f t="shared" si="22"/>
        <v>1.2347975603487498</v>
      </c>
      <c r="AE704" s="15">
        <f t="shared" si="23"/>
        <v>0</v>
      </c>
      <c r="AF704" s="16">
        <v>3746.0377248216514</v>
      </c>
      <c r="AG704" s="16">
        <v>3746.0377248216514</v>
      </c>
      <c r="AH704" s="17" t="s">
        <v>2978</v>
      </c>
      <c r="AI704" s="18">
        <v>2.77</v>
      </c>
      <c r="AJ704" s="19" t="s">
        <v>1197</v>
      </c>
      <c r="AK704" s="20">
        <v>0.98</v>
      </c>
      <c r="AL704" s="17" t="s">
        <v>261</v>
      </c>
      <c r="AM704" s="5" t="s">
        <v>66</v>
      </c>
      <c r="AN704" s="5" t="s">
        <v>66</v>
      </c>
      <c r="AO704" s="5" t="s">
        <v>66</v>
      </c>
      <c r="AP704" s="5" t="s">
        <v>66</v>
      </c>
      <c r="AQ704" s="5" t="s">
        <v>66</v>
      </c>
      <c r="AR704" s="5" t="s">
        <v>66</v>
      </c>
      <c r="AS704" s="5" t="s">
        <v>66</v>
      </c>
      <c r="AT704" s="5" t="s">
        <v>66</v>
      </c>
      <c r="AU704" s="5" t="s">
        <v>66</v>
      </c>
      <c r="AV704" s="5" t="s">
        <v>66</v>
      </c>
      <c r="AW704" s="5" t="s">
        <v>66</v>
      </c>
      <c r="AX704" s="5" t="s">
        <v>1198</v>
      </c>
      <c r="AY704" s="5" t="s">
        <v>69</v>
      </c>
      <c r="AZ704" s="5" t="s">
        <v>80</v>
      </c>
      <c r="BA704" s="19" t="s">
        <v>769</v>
      </c>
      <c r="BB704" s="17" t="s">
        <v>353</v>
      </c>
      <c r="BC704" s="5" t="s">
        <v>1199</v>
      </c>
      <c r="BD704" s="5" t="s">
        <v>1230</v>
      </c>
    </row>
    <row r="705" spans="1:56" ht="108" hidden="1" x14ac:dyDescent="0.25">
      <c r="A705" s="78" t="s">
        <v>1056</v>
      </c>
      <c r="B705" s="5" t="s">
        <v>1057</v>
      </c>
      <c r="C705" s="5" t="s">
        <v>3293</v>
      </c>
      <c r="D705" s="5" t="s">
        <v>1236</v>
      </c>
      <c r="E705" s="99" t="str">
        <f>VLOOKUP(D705,'Dropdown List'!$F$26:$G$40,2,0)</f>
        <v>India</v>
      </c>
      <c r="F705" s="6" t="s">
        <v>1058</v>
      </c>
      <c r="G705" s="7">
        <v>9</v>
      </c>
      <c r="H705" s="5" t="s">
        <v>57</v>
      </c>
      <c r="I705" s="8" t="s">
        <v>71</v>
      </c>
      <c r="J705" s="6" t="s">
        <v>112</v>
      </c>
      <c r="K705" s="6" t="s">
        <v>1244</v>
      </c>
      <c r="L705" s="6" t="s">
        <v>1245</v>
      </c>
      <c r="M705" s="6" t="s">
        <v>1246</v>
      </c>
      <c r="N705" s="5" t="s">
        <v>319</v>
      </c>
      <c r="O705" s="5" t="s">
        <v>61</v>
      </c>
      <c r="P705" s="5" t="s">
        <v>1204</v>
      </c>
      <c r="Q705" s="9" t="s">
        <v>75</v>
      </c>
      <c r="R705" s="5" t="s">
        <v>76</v>
      </c>
      <c r="S705" s="5" t="s">
        <v>90</v>
      </c>
      <c r="T705" s="7">
        <v>1</v>
      </c>
      <c r="U705" s="7">
        <v>6</v>
      </c>
      <c r="V705" s="7">
        <v>4</v>
      </c>
      <c r="W705" s="5" t="s">
        <v>91</v>
      </c>
      <c r="X705" s="10" t="s">
        <v>79</v>
      </c>
      <c r="Y705" s="11">
        <v>23986</v>
      </c>
      <c r="Z705" s="12">
        <v>0.23</v>
      </c>
      <c r="AA705" s="12">
        <v>0</v>
      </c>
      <c r="AB705" s="12">
        <v>0</v>
      </c>
      <c r="AC705" s="13">
        <v>0</v>
      </c>
      <c r="AD705" s="14">
        <f t="shared" si="22"/>
        <v>0.23</v>
      </c>
      <c r="AE705" s="15">
        <f t="shared" si="23"/>
        <v>0</v>
      </c>
      <c r="AF705" s="16">
        <v>649.31489824927246</v>
      </c>
      <c r="AG705" s="16">
        <v>649.31489824927246</v>
      </c>
      <c r="AH705" s="17" t="s">
        <v>2966</v>
      </c>
      <c r="AI705" s="18">
        <v>2.65</v>
      </c>
      <c r="AJ705" s="19" t="s">
        <v>1224</v>
      </c>
      <c r="AK705" s="20">
        <v>0.97</v>
      </c>
      <c r="AL705" s="17" t="s">
        <v>261</v>
      </c>
      <c r="AM705" s="5" t="s">
        <v>66</v>
      </c>
      <c r="AN705" s="5" t="s">
        <v>66</v>
      </c>
      <c r="AO705" s="5" t="s">
        <v>66</v>
      </c>
      <c r="AP705" s="5" t="s">
        <v>66</v>
      </c>
      <c r="AQ705" s="5" t="s">
        <v>66</v>
      </c>
      <c r="AR705" s="5" t="s">
        <v>66</v>
      </c>
      <c r="AS705" s="5" t="s">
        <v>66</v>
      </c>
      <c r="AT705" s="5" t="s">
        <v>66</v>
      </c>
      <c r="AU705" s="5" t="s">
        <v>66</v>
      </c>
      <c r="AV705" s="5" t="s">
        <v>66</v>
      </c>
      <c r="AW705" s="5" t="s">
        <v>66</v>
      </c>
      <c r="AX705" s="5" t="s">
        <v>1198</v>
      </c>
      <c r="AY705" s="5" t="s">
        <v>69</v>
      </c>
      <c r="AZ705" s="5" t="s">
        <v>80</v>
      </c>
      <c r="BA705" s="19" t="s">
        <v>769</v>
      </c>
      <c r="BB705" s="17" t="s">
        <v>65</v>
      </c>
      <c r="BC705" s="5" t="s">
        <v>1199</v>
      </c>
      <c r="BD705" s="5" t="s">
        <v>1230</v>
      </c>
    </row>
    <row r="706" spans="1:56" ht="84" hidden="1" x14ac:dyDescent="0.25">
      <c r="A706" s="78" t="s">
        <v>1056</v>
      </c>
      <c r="B706" s="5" t="s">
        <v>1057</v>
      </c>
      <c r="C706" s="5" t="s">
        <v>3293</v>
      </c>
      <c r="D706" s="5" t="s">
        <v>1236</v>
      </c>
      <c r="E706" s="99" t="str">
        <f>VLOOKUP(D706,'Dropdown List'!$F$26:$G$40,2,0)</f>
        <v>India</v>
      </c>
      <c r="F706" s="6" t="s">
        <v>1058</v>
      </c>
      <c r="G706" s="7">
        <v>9</v>
      </c>
      <c r="H706" s="5" t="s">
        <v>57</v>
      </c>
      <c r="I706" s="8" t="s">
        <v>71</v>
      </c>
      <c r="J706" s="6" t="s">
        <v>112</v>
      </c>
      <c r="K706" s="6" t="s">
        <v>113</v>
      </c>
      <c r="L706" s="6" t="s">
        <v>1247</v>
      </c>
      <c r="M706" s="6" t="s">
        <v>1248</v>
      </c>
      <c r="N706" s="5" t="s">
        <v>319</v>
      </c>
      <c r="O706" s="5" t="s">
        <v>61</v>
      </c>
      <c r="P706" s="5" t="s">
        <v>1204</v>
      </c>
      <c r="Q706" s="9" t="s">
        <v>75</v>
      </c>
      <c r="R706" s="5" t="s">
        <v>76</v>
      </c>
      <c r="S706" s="5" t="s">
        <v>90</v>
      </c>
      <c r="T706" s="7">
        <v>1</v>
      </c>
      <c r="U706" s="7">
        <v>6</v>
      </c>
      <c r="V706" s="7">
        <v>4</v>
      </c>
      <c r="W706" s="5" t="s">
        <v>91</v>
      </c>
      <c r="X706" s="10" t="s">
        <v>79</v>
      </c>
      <c r="Y706" s="11">
        <v>23986</v>
      </c>
      <c r="Z706" s="12">
        <v>2.2400000000000002</v>
      </c>
      <c r="AA706" s="12">
        <v>0</v>
      </c>
      <c r="AB706" s="12">
        <v>0</v>
      </c>
      <c r="AC706" s="13">
        <v>0.81</v>
      </c>
      <c r="AD706" s="14">
        <f t="shared" si="22"/>
        <v>3.0500000000000003</v>
      </c>
      <c r="AE706" s="15">
        <f t="shared" si="23"/>
        <v>0.26557377049180325</v>
      </c>
      <c r="AF706" s="16">
        <v>4963.3939190013743</v>
      </c>
      <c r="AG706" s="16">
        <v>4963.3939190013743</v>
      </c>
      <c r="AH706" s="17" t="s">
        <v>2966</v>
      </c>
      <c r="AI706" s="18">
        <v>3.5</v>
      </c>
      <c r="AJ706" s="19" t="s">
        <v>1249</v>
      </c>
      <c r="AK706" s="20">
        <v>0.96</v>
      </c>
      <c r="AL706" s="17" t="s">
        <v>261</v>
      </c>
      <c r="AM706" s="5" t="s">
        <v>66</v>
      </c>
      <c r="AN706" s="5" t="s">
        <v>66</v>
      </c>
      <c r="AO706" s="5" t="s">
        <v>66</v>
      </c>
      <c r="AP706" s="5" t="s">
        <v>66</v>
      </c>
      <c r="AQ706" s="5" t="s">
        <v>66</v>
      </c>
      <c r="AR706" s="5" t="s">
        <v>66</v>
      </c>
      <c r="AS706" s="5" t="s">
        <v>66</v>
      </c>
      <c r="AT706" s="5" t="s">
        <v>66</v>
      </c>
      <c r="AU706" s="5" t="s">
        <v>66</v>
      </c>
      <c r="AV706" s="5" t="s">
        <v>66</v>
      </c>
      <c r="AW706" s="5" t="s">
        <v>66</v>
      </c>
      <c r="AX706" s="5" t="s">
        <v>1198</v>
      </c>
      <c r="AY706" s="5" t="s">
        <v>69</v>
      </c>
      <c r="AZ706" s="5" t="s">
        <v>80</v>
      </c>
      <c r="BA706" s="19" t="s">
        <v>769</v>
      </c>
      <c r="BB706" s="17" t="s">
        <v>353</v>
      </c>
      <c r="BC706" s="5" t="s">
        <v>1199</v>
      </c>
      <c r="BD706" s="5" t="s">
        <v>1230</v>
      </c>
    </row>
    <row r="707" spans="1:56" ht="36" hidden="1" x14ac:dyDescent="0.25">
      <c r="A707" s="78" t="s">
        <v>1056</v>
      </c>
      <c r="B707" s="5" t="s">
        <v>1057</v>
      </c>
      <c r="C707" s="5" t="s">
        <v>3293</v>
      </c>
      <c r="D707" s="5" t="s">
        <v>1236</v>
      </c>
      <c r="E707" s="99" t="str">
        <f>VLOOKUP(D707,'Dropdown List'!$F$26:$G$40,2,0)</f>
        <v>India</v>
      </c>
      <c r="F707" s="6" t="s">
        <v>1058</v>
      </c>
      <c r="G707" s="7">
        <v>9</v>
      </c>
      <c r="H707" s="5" t="s">
        <v>57</v>
      </c>
      <c r="I707" s="8" t="s">
        <v>71</v>
      </c>
      <c r="J707" s="6" t="s">
        <v>112</v>
      </c>
      <c r="K707" s="6" t="s">
        <v>113</v>
      </c>
      <c r="L707" s="6" t="s">
        <v>1250</v>
      </c>
      <c r="M707" s="6" t="s">
        <v>1251</v>
      </c>
      <c r="N707" s="5" t="s">
        <v>319</v>
      </c>
      <c r="O707" s="5" t="s">
        <v>61</v>
      </c>
      <c r="P707" s="5" t="s">
        <v>1204</v>
      </c>
      <c r="Q707" s="9" t="s">
        <v>75</v>
      </c>
      <c r="R707" s="5" t="s">
        <v>76</v>
      </c>
      <c r="S707" s="5" t="s">
        <v>90</v>
      </c>
      <c r="T707" s="7">
        <v>1</v>
      </c>
      <c r="U707" s="7">
        <v>4</v>
      </c>
      <c r="V707" s="7">
        <v>3</v>
      </c>
      <c r="W707" s="5" t="s">
        <v>91</v>
      </c>
      <c r="X707" s="10" t="s">
        <v>79</v>
      </c>
      <c r="Y707" s="11">
        <v>23986</v>
      </c>
      <c r="Z707" s="12">
        <v>0.11230819183115545</v>
      </c>
      <c r="AA707" s="12">
        <v>0</v>
      </c>
      <c r="AB707" s="12">
        <v>0</v>
      </c>
      <c r="AC707" s="13">
        <v>0</v>
      </c>
      <c r="AD707" s="14">
        <f t="shared" si="22"/>
        <v>0.11230819183115545</v>
      </c>
      <c r="AE707" s="15">
        <f t="shared" si="23"/>
        <v>0</v>
      </c>
      <c r="AF707" s="16">
        <v>672.32038074893933</v>
      </c>
      <c r="AG707" s="16">
        <v>672.32038074893933</v>
      </c>
      <c r="AH707" s="17" t="s">
        <v>2966</v>
      </c>
      <c r="AI707" s="18">
        <v>1.82</v>
      </c>
      <c r="AJ707" s="19" t="s">
        <v>1197</v>
      </c>
      <c r="AK707" s="20">
        <v>0.97</v>
      </c>
      <c r="AL707" s="17" t="s">
        <v>261</v>
      </c>
      <c r="AM707" s="5" t="s">
        <v>66</v>
      </c>
      <c r="AN707" s="5" t="s">
        <v>66</v>
      </c>
      <c r="AO707" s="5" t="s">
        <v>66</v>
      </c>
      <c r="AP707" s="5" t="s">
        <v>66</v>
      </c>
      <c r="AQ707" s="5" t="s">
        <v>66</v>
      </c>
      <c r="AR707" s="5" t="s">
        <v>66</v>
      </c>
      <c r="AS707" s="5" t="s">
        <v>66</v>
      </c>
      <c r="AT707" s="5" t="s">
        <v>66</v>
      </c>
      <c r="AU707" s="5" t="s">
        <v>66</v>
      </c>
      <c r="AV707" s="5" t="s">
        <v>66</v>
      </c>
      <c r="AW707" s="5" t="s">
        <v>66</v>
      </c>
      <c r="AX707" s="5" t="s">
        <v>1198</v>
      </c>
      <c r="AY707" s="5" t="s">
        <v>69</v>
      </c>
      <c r="AZ707" s="5" t="s">
        <v>80</v>
      </c>
      <c r="BA707" s="19" t="s">
        <v>769</v>
      </c>
      <c r="BB707" s="17" t="s">
        <v>65</v>
      </c>
      <c r="BC707" s="5" t="s">
        <v>1199</v>
      </c>
      <c r="BD707" s="5" t="s">
        <v>1230</v>
      </c>
    </row>
    <row r="708" spans="1:56" ht="72" hidden="1" x14ac:dyDescent="0.25">
      <c r="A708" s="78" t="s">
        <v>1056</v>
      </c>
      <c r="B708" s="5" t="s">
        <v>1057</v>
      </c>
      <c r="C708" s="5" t="s">
        <v>3293</v>
      </c>
      <c r="D708" s="5" t="s">
        <v>1236</v>
      </c>
      <c r="E708" s="99" t="str">
        <f>VLOOKUP(D708,'Dropdown List'!$F$26:$G$40,2,0)</f>
        <v>India</v>
      </c>
      <c r="F708" s="6" t="s">
        <v>1058</v>
      </c>
      <c r="G708" s="7">
        <v>9</v>
      </c>
      <c r="H708" s="5" t="s">
        <v>57</v>
      </c>
      <c r="I708" s="8" t="s">
        <v>71</v>
      </c>
      <c r="J708" s="6" t="s">
        <v>112</v>
      </c>
      <c r="K708" s="6" t="s">
        <v>524</v>
      </c>
      <c r="L708" s="6" t="s">
        <v>1252</v>
      </c>
      <c r="M708" s="6" t="s">
        <v>1253</v>
      </c>
      <c r="N708" s="5" t="s">
        <v>319</v>
      </c>
      <c r="O708" s="5" t="s">
        <v>89</v>
      </c>
      <c r="P708" s="5" t="s">
        <v>89</v>
      </c>
      <c r="Q708" s="9" t="s">
        <v>75</v>
      </c>
      <c r="R708" s="5" t="s">
        <v>76</v>
      </c>
      <c r="S708" s="5" t="s">
        <v>90</v>
      </c>
      <c r="T708" s="7">
        <v>1</v>
      </c>
      <c r="U708" s="7">
        <v>4</v>
      </c>
      <c r="V708" s="7">
        <v>4</v>
      </c>
      <c r="W708" s="5" t="s">
        <v>91</v>
      </c>
      <c r="X708" s="10" t="s">
        <v>79</v>
      </c>
      <c r="Y708" s="11">
        <v>23986</v>
      </c>
      <c r="Z708" s="12">
        <v>1.4107050682132754E-2</v>
      </c>
      <c r="AA708" s="12">
        <v>0</v>
      </c>
      <c r="AB708" s="12">
        <v>0</v>
      </c>
      <c r="AC708" s="13">
        <v>0</v>
      </c>
      <c r="AD708" s="14">
        <f t="shared" si="22"/>
        <v>1.4107050682132754E-2</v>
      </c>
      <c r="AE708" s="15">
        <f t="shared" si="23"/>
        <v>0</v>
      </c>
      <c r="AF708" s="16">
        <v>82.34054036870954</v>
      </c>
      <c r="AG708" s="16">
        <v>82.34054036870954</v>
      </c>
      <c r="AH708" s="17" t="s">
        <v>2971</v>
      </c>
      <c r="AI708" s="18">
        <v>3.02</v>
      </c>
      <c r="AJ708" s="19" t="s">
        <v>1197</v>
      </c>
      <c r="AK708" s="20">
        <v>0.95</v>
      </c>
      <c r="AL708" s="17" t="s">
        <v>261</v>
      </c>
      <c r="AM708" s="5" t="s">
        <v>66</v>
      </c>
      <c r="AN708" s="5" t="s">
        <v>66</v>
      </c>
      <c r="AO708" s="5" t="s">
        <v>66</v>
      </c>
      <c r="AP708" s="5" t="s">
        <v>66</v>
      </c>
      <c r="AQ708" s="5" t="s">
        <v>66</v>
      </c>
      <c r="AR708" s="5" t="s">
        <v>66</v>
      </c>
      <c r="AS708" s="5" t="s">
        <v>66</v>
      </c>
      <c r="AT708" s="5" t="s">
        <v>66</v>
      </c>
      <c r="AU708" s="5" t="s">
        <v>66</v>
      </c>
      <c r="AV708" s="5" t="s">
        <v>66</v>
      </c>
      <c r="AW708" s="5" t="s">
        <v>66</v>
      </c>
      <c r="AX708" s="5" t="s">
        <v>1198</v>
      </c>
      <c r="AY708" s="5" t="s">
        <v>69</v>
      </c>
      <c r="AZ708" s="5" t="s">
        <v>80</v>
      </c>
      <c r="BA708" s="19" t="s">
        <v>769</v>
      </c>
      <c r="BB708" s="17" t="s">
        <v>69</v>
      </c>
      <c r="BC708" s="5" t="s">
        <v>1199</v>
      </c>
      <c r="BD708" s="5" t="s">
        <v>1230</v>
      </c>
    </row>
    <row r="709" spans="1:56" ht="84" hidden="1" x14ac:dyDescent="0.25">
      <c r="A709" s="78" t="s">
        <v>1056</v>
      </c>
      <c r="B709" s="5" t="s">
        <v>1057</v>
      </c>
      <c r="C709" s="5" t="s">
        <v>3293</v>
      </c>
      <c r="D709" s="5" t="s">
        <v>1236</v>
      </c>
      <c r="E709" s="99" t="str">
        <f>VLOOKUP(D709,'Dropdown List'!$F$26:$G$40,2,0)</f>
        <v>India</v>
      </c>
      <c r="F709" s="6" t="s">
        <v>1058</v>
      </c>
      <c r="G709" s="7">
        <v>9</v>
      </c>
      <c r="H709" s="5" t="s">
        <v>57</v>
      </c>
      <c r="I709" s="8" t="s">
        <v>71</v>
      </c>
      <c r="J709" s="6" t="s">
        <v>112</v>
      </c>
      <c r="K709" s="6" t="s">
        <v>113</v>
      </c>
      <c r="L709" s="6" t="s">
        <v>1254</v>
      </c>
      <c r="M709" s="6" t="s">
        <v>1255</v>
      </c>
      <c r="N709" s="5" t="s">
        <v>319</v>
      </c>
      <c r="O709" s="5" t="s">
        <v>89</v>
      </c>
      <c r="P709" s="5" t="s">
        <v>89</v>
      </c>
      <c r="Q709" s="9" t="s">
        <v>75</v>
      </c>
      <c r="R709" s="5" t="s">
        <v>63</v>
      </c>
      <c r="S709" s="5" t="s">
        <v>90</v>
      </c>
      <c r="T709" s="7">
        <v>1</v>
      </c>
      <c r="U709" s="7">
        <v>4</v>
      </c>
      <c r="V709" s="7">
        <v>4</v>
      </c>
      <c r="W709" s="5" t="s">
        <v>91</v>
      </c>
      <c r="X709" s="10" t="s">
        <v>79</v>
      </c>
      <c r="Y709" s="11">
        <v>23986</v>
      </c>
      <c r="Z709" s="12">
        <v>2.8938790335945146E-2</v>
      </c>
      <c r="AA709" s="12">
        <v>0</v>
      </c>
      <c r="AB709" s="12">
        <v>0</v>
      </c>
      <c r="AC709" s="13">
        <v>0</v>
      </c>
      <c r="AD709" s="14">
        <f t="shared" ref="AD709:AD749" si="24">SUM(Z709:AC709)</f>
        <v>2.8938790335945146E-2</v>
      </c>
      <c r="AE709" s="15">
        <f t="shared" ref="AE709:AE749" si="25">AC709/AD709</f>
        <v>0</v>
      </c>
      <c r="AF709" s="16">
        <v>80.347200608108054</v>
      </c>
      <c r="AG709" s="16">
        <v>80.347200608108054</v>
      </c>
      <c r="AH709" s="17" t="s">
        <v>2979</v>
      </c>
      <c r="AI709" s="18">
        <v>3.19</v>
      </c>
      <c r="AJ709" s="19" t="s">
        <v>1224</v>
      </c>
      <c r="AK709" s="20">
        <v>0.96</v>
      </c>
      <c r="AL709" s="17" t="s">
        <v>261</v>
      </c>
      <c r="AM709" s="5" t="s">
        <v>66</v>
      </c>
      <c r="AN709" s="5" t="s">
        <v>66</v>
      </c>
      <c r="AO709" s="5" t="s">
        <v>66</v>
      </c>
      <c r="AP709" s="5" t="s">
        <v>66</v>
      </c>
      <c r="AQ709" s="5" t="s">
        <v>66</v>
      </c>
      <c r="AR709" s="5" t="s">
        <v>66</v>
      </c>
      <c r="AS709" s="5" t="s">
        <v>66</v>
      </c>
      <c r="AT709" s="5" t="s">
        <v>66</v>
      </c>
      <c r="AU709" s="5" t="s">
        <v>66</v>
      </c>
      <c r="AV709" s="5" t="s">
        <v>66</v>
      </c>
      <c r="AW709" s="5" t="s">
        <v>66</v>
      </c>
      <c r="AX709" s="5" t="s">
        <v>1198</v>
      </c>
      <c r="AY709" s="5" t="s">
        <v>69</v>
      </c>
      <c r="AZ709" s="5" t="s">
        <v>80</v>
      </c>
      <c r="BA709" s="19" t="s">
        <v>769</v>
      </c>
      <c r="BB709" s="17" t="s">
        <v>353</v>
      </c>
      <c r="BC709" s="5" t="s">
        <v>1199</v>
      </c>
      <c r="BD709" s="5" t="s">
        <v>1230</v>
      </c>
    </row>
    <row r="710" spans="1:56" ht="72" hidden="1" x14ac:dyDescent="0.25">
      <c r="A710" s="78" t="s">
        <v>1056</v>
      </c>
      <c r="B710" s="5" t="s">
        <v>1057</v>
      </c>
      <c r="C710" s="5" t="s">
        <v>3293</v>
      </c>
      <c r="D710" s="5" t="s">
        <v>1236</v>
      </c>
      <c r="E710" s="99" t="str">
        <f>VLOOKUP(D710,'Dropdown List'!$F$26:$G$40,2,0)</f>
        <v>India</v>
      </c>
      <c r="F710" s="6" t="s">
        <v>1058</v>
      </c>
      <c r="G710" s="7">
        <v>9</v>
      </c>
      <c r="H710" s="5" t="s">
        <v>57</v>
      </c>
      <c r="I710" s="8" t="s">
        <v>71</v>
      </c>
      <c r="J710" s="6" t="s">
        <v>112</v>
      </c>
      <c r="K710" s="6" t="s">
        <v>1244</v>
      </c>
      <c r="L710" s="6" t="s">
        <v>1256</v>
      </c>
      <c r="M710" s="6" t="s">
        <v>1257</v>
      </c>
      <c r="N710" s="5" t="s">
        <v>319</v>
      </c>
      <c r="O710" s="5" t="s">
        <v>89</v>
      </c>
      <c r="P710" s="5" t="s">
        <v>89</v>
      </c>
      <c r="Q710" s="9" t="s">
        <v>75</v>
      </c>
      <c r="R710" s="5" t="s">
        <v>76</v>
      </c>
      <c r="S710" s="5" t="s">
        <v>90</v>
      </c>
      <c r="T710" s="7">
        <v>1</v>
      </c>
      <c r="U710" s="7">
        <v>4</v>
      </c>
      <c r="V710" s="7">
        <v>4</v>
      </c>
      <c r="W710" s="5" t="s">
        <v>91</v>
      </c>
      <c r="X710" s="10" t="s">
        <v>79</v>
      </c>
      <c r="Y710" s="11">
        <v>23986</v>
      </c>
      <c r="Z710" s="12">
        <v>0.21</v>
      </c>
      <c r="AA710" s="12">
        <v>0</v>
      </c>
      <c r="AB710" s="12">
        <v>0</v>
      </c>
      <c r="AC710" s="13">
        <v>0</v>
      </c>
      <c r="AD710" s="14">
        <f t="shared" si="24"/>
        <v>0.21</v>
      </c>
      <c r="AE710" s="15">
        <f t="shared" si="25"/>
        <v>0</v>
      </c>
      <c r="AF710" s="16">
        <v>1448.4795391928674</v>
      </c>
      <c r="AG710" s="16">
        <v>1448.4795391928674</v>
      </c>
      <c r="AH710" s="17" t="s">
        <v>2966</v>
      </c>
      <c r="AI710" s="18">
        <v>1.37</v>
      </c>
      <c r="AJ710" s="19" t="s">
        <v>1258</v>
      </c>
      <c r="AK710" s="20">
        <v>0.97</v>
      </c>
      <c r="AL710" s="17" t="s">
        <v>261</v>
      </c>
      <c r="AM710" s="5" t="s">
        <v>66</v>
      </c>
      <c r="AN710" s="5" t="s">
        <v>66</v>
      </c>
      <c r="AO710" s="5" t="s">
        <v>66</v>
      </c>
      <c r="AP710" s="5" t="s">
        <v>66</v>
      </c>
      <c r="AQ710" s="5" t="s">
        <v>66</v>
      </c>
      <c r="AR710" s="5" t="s">
        <v>66</v>
      </c>
      <c r="AS710" s="5" t="s">
        <v>66</v>
      </c>
      <c r="AT710" s="5" t="s">
        <v>66</v>
      </c>
      <c r="AU710" s="5" t="s">
        <v>66</v>
      </c>
      <c r="AV710" s="5" t="s">
        <v>66</v>
      </c>
      <c r="AW710" s="5" t="s">
        <v>66</v>
      </c>
      <c r="AX710" s="5" t="s">
        <v>1198</v>
      </c>
      <c r="AY710" s="5" t="s">
        <v>69</v>
      </c>
      <c r="AZ710" s="5" t="s">
        <v>80</v>
      </c>
      <c r="BA710" s="19" t="s">
        <v>769</v>
      </c>
      <c r="BB710" s="17" t="s">
        <v>65</v>
      </c>
      <c r="BC710" s="5" t="s">
        <v>1199</v>
      </c>
      <c r="BD710" s="5" t="s">
        <v>1230</v>
      </c>
    </row>
    <row r="711" spans="1:56" ht="96" hidden="1" x14ac:dyDescent="0.25">
      <c r="A711" s="78" t="s">
        <v>1056</v>
      </c>
      <c r="B711" s="5" t="s">
        <v>1057</v>
      </c>
      <c r="C711" s="5" t="s">
        <v>3293</v>
      </c>
      <c r="D711" s="5" t="s">
        <v>1236</v>
      </c>
      <c r="E711" s="99" t="str">
        <f>VLOOKUP(D711,'Dropdown List'!$F$26:$G$40,2,0)</f>
        <v>India</v>
      </c>
      <c r="F711" s="6" t="s">
        <v>1058</v>
      </c>
      <c r="G711" s="7">
        <v>9</v>
      </c>
      <c r="H711" s="5" t="s">
        <v>57</v>
      </c>
      <c r="I711" s="8" t="s">
        <v>71</v>
      </c>
      <c r="J711" s="6" t="s">
        <v>112</v>
      </c>
      <c r="K711" s="6" t="s">
        <v>524</v>
      </c>
      <c r="L711" s="6" t="s">
        <v>1259</v>
      </c>
      <c r="M711" s="6" t="s">
        <v>1260</v>
      </c>
      <c r="N711" s="5" t="s">
        <v>319</v>
      </c>
      <c r="O711" s="5" t="s">
        <v>89</v>
      </c>
      <c r="P711" s="5" t="s">
        <v>89</v>
      </c>
      <c r="Q711" s="9" t="s">
        <v>75</v>
      </c>
      <c r="R711" s="5" t="s">
        <v>76</v>
      </c>
      <c r="S711" s="5" t="s">
        <v>90</v>
      </c>
      <c r="T711" s="7">
        <v>1</v>
      </c>
      <c r="U711" s="7">
        <v>4</v>
      </c>
      <c r="V711" s="7">
        <v>4</v>
      </c>
      <c r="W711" s="5" t="s">
        <v>91</v>
      </c>
      <c r="X711" s="10" t="s">
        <v>79</v>
      </c>
      <c r="Y711" s="11">
        <v>23986</v>
      </c>
      <c r="Z711" s="12">
        <v>6.0754255736070392E-2</v>
      </c>
      <c r="AA711" s="12">
        <v>0</v>
      </c>
      <c r="AB711" s="12">
        <v>0</v>
      </c>
      <c r="AC711" s="13">
        <v>0</v>
      </c>
      <c r="AD711" s="14">
        <f t="shared" si="24"/>
        <v>6.0754255736070392E-2</v>
      </c>
      <c r="AE711" s="15">
        <f t="shared" si="25"/>
        <v>0</v>
      </c>
      <c r="AF711" s="16">
        <v>150.83526405520175</v>
      </c>
      <c r="AG711" s="16">
        <v>150.83526405520175</v>
      </c>
      <c r="AH711" s="17" t="s">
        <v>2980</v>
      </c>
      <c r="AI711" s="18">
        <v>4.1900000000000004</v>
      </c>
      <c r="AJ711" s="19" t="s">
        <v>1197</v>
      </c>
      <c r="AK711" s="20">
        <v>0.97</v>
      </c>
      <c r="AL711" s="17" t="s">
        <v>261</v>
      </c>
      <c r="AM711" s="5" t="s">
        <v>66</v>
      </c>
      <c r="AN711" s="5" t="s">
        <v>66</v>
      </c>
      <c r="AO711" s="5" t="s">
        <v>66</v>
      </c>
      <c r="AP711" s="5" t="s">
        <v>66</v>
      </c>
      <c r="AQ711" s="5" t="s">
        <v>66</v>
      </c>
      <c r="AR711" s="5" t="s">
        <v>66</v>
      </c>
      <c r="AS711" s="5" t="s">
        <v>66</v>
      </c>
      <c r="AT711" s="5" t="s">
        <v>66</v>
      </c>
      <c r="AU711" s="5" t="s">
        <v>66</v>
      </c>
      <c r="AV711" s="5" t="s">
        <v>66</v>
      </c>
      <c r="AW711" s="5" t="s">
        <v>66</v>
      </c>
      <c r="AX711" s="5" t="s">
        <v>1198</v>
      </c>
      <c r="AY711" s="5" t="s">
        <v>69</v>
      </c>
      <c r="AZ711" s="5" t="s">
        <v>80</v>
      </c>
      <c r="BA711" s="19" t="s">
        <v>769</v>
      </c>
      <c r="BB711" s="17" t="s">
        <v>65</v>
      </c>
      <c r="BC711" s="5" t="s">
        <v>1199</v>
      </c>
      <c r="BD711" s="5" t="s">
        <v>1230</v>
      </c>
    </row>
    <row r="712" spans="1:56" ht="96" hidden="1" x14ac:dyDescent="0.25">
      <c r="A712" s="78" t="s">
        <v>1056</v>
      </c>
      <c r="B712" s="5" t="s">
        <v>1057</v>
      </c>
      <c r="C712" s="5" t="s">
        <v>3293</v>
      </c>
      <c r="D712" s="5" t="s">
        <v>1236</v>
      </c>
      <c r="E712" s="99" t="str">
        <f>VLOOKUP(D712,'Dropdown List'!$F$26:$G$40,2,0)</f>
        <v>India</v>
      </c>
      <c r="F712" s="6" t="s">
        <v>1058</v>
      </c>
      <c r="G712" s="7">
        <v>9</v>
      </c>
      <c r="H712" s="5" t="s">
        <v>57</v>
      </c>
      <c r="I712" s="8" t="s">
        <v>71</v>
      </c>
      <c r="J712" s="6" t="s">
        <v>112</v>
      </c>
      <c r="K712" s="6" t="s">
        <v>361</v>
      </c>
      <c r="L712" s="6" t="s">
        <v>1261</v>
      </c>
      <c r="M712" s="6" t="s">
        <v>1262</v>
      </c>
      <c r="N712" s="5" t="s">
        <v>319</v>
      </c>
      <c r="O712" s="5" t="s">
        <v>61</v>
      </c>
      <c r="P712" s="5" t="s">
        <v>1204</v>
      </c>
      <c r="Q712" s="9" t="s">
        <v>75</v>
      </c>
      <c r="R712" s="5" t="s">
        <v>76</v>
      </c>
      <c r="S712" s="5" t="s">
        <v>90</v>
      </c>
      <c r="T712" s="7">
        <v>1</v>
      </c>
      <c r="U712" s="7">
        <v>4</v>
      </c>
      <c r="V712" s="7">
        <v>2</v>
      </c>
      <c r="W712" s="5" t="s">
        <v>91</v>
      </c>
      <c r="X712" s="10" t="s">
        <v>79</v>
      </c>
      <c r="Y712" s="11">
        <v>23986</v>
      </c>
      <c r="Z712" s="12">
        <v>0.39593338103815673</v>
      </c>
      <c r="AA712" s="12">
        <v>0</v>
      </c>
      <c r="AB712" s="12">
        <v>0</v>
      </c>
      <c r="AC712" s="13">
        <v>0</v>
      </c>
      <c r="AD712" s="14">
        <f t="shared" si="24"/>
        <v>0.39593338103815673</v>
      </c>
      <c r="AE712" s="15">
        <f t="shared" si="25"/>
        <v>0</v>
      </c>
      <c r="AF712" s="16">
        <v>2289.6354521305234</v>
      </c>
      <c r="AG712" s="16">
        <v>2289.6354521305234</v>
      </c>
      <c r="AH712" s="17" t="s">
        <v>2969</v>
      </c>
      <c r="AI712" s="18">
        <v>1.55</v>
      </c>
      <c r="AJ712" s="19" t="s">
        <v>1197</v>
      </c>
      <c r="AK712" s="20">
        <v>0.97</v>
      </c>
      <c r="AL712" s="17" t="s">
        <v>261</v>
      </c>
      <c r="AM712" s="5" t="s">
        <v>66</v>
      </c>
      <c r="AN712" s="5" t="s">
        <v>66</v>
      </c>
      <c r="AO712" s="5" t="s">
        <v>66</v>
      </c>
      <c r="AP712" s="5" t="s">
        <v>66</v>
      </c>
      <c r="AQ712" s="5" t="s">
        <v>66</v>
      </c>
      <c r="AR712" s="5" t="s">
        <v>66</v>
      </c>
      <c r="AS712" s="5" t="s">
        <v>66</v>
      </c>
      <c r="AT712" s="5" t="s">
        <v>66</v>
      </c>
      <c r="AU712" s="5" t="s">
        <v>66</v>
      </c>
      <c r="AV712" s="5" t="s">
        <v>66</v>
      </c>
      <c r="AW712" s="5" t="s">
        <v>66</v>
      </c>
      <c r="AX712" s="5" t="s">
        <v>1198</v>
      </c>
      <c r="AY712" s="5" t="s">
        <v>69</v>
      </c>
      <c r="AZ712" s="5" t="s">
        <v>80</v>
      </c>
      <c r="BA712" s="19" t="s">
        <v>769</v>
      </c>
      <c r="BB712" s="17" t="s">
        <v>353</v>
      </c>
      <c r="BC712" s="5" t="s">
        <v>1199</v>
      </c>
      <c r="BD712" s="5" t="s">
        <v>1230</v>
      </c>
    </row>
    <row r="713" spans="1:56" ht="108" hidden="1" x14ac:dyDescent="0.25">
      <c r="A713" s="78" t="s">
        <v>1056</v>
      </c>
      <c r="B713" s="5" t="s">
        <v>1057</v>
      </c>
      <c r="C713" s="5" t="s">
        <v>3293</v>
      </c>
      <c r="D713" s="5" t="s">
        <v>1236</v>
      </c>
      <c r="E713" s="99" t="str">
        <f>VLOOKUP(D713,'Dropdown List'!$F$26:$G$40,2,0)</f>
        <v>India</v>
      </c>
      <c r="F713" s="6" t="s">
        <v>1058</v>
      </c>
      <c r="G713" s="7">
        <v>9</v>
      </c>
      <c r="H713" s="5" t="s">
        <v>57</v>
      </c>
      <c r="I713" s="8" t="s">
        <v>71</v>
      </c>
      <c r="J713" s="6" t="s">
        <v>112</v>
      </c>
      <c r="K713" s="6" t="s">
        <v>1263</v>
      </c>
      <c r="L713" s="6" t="s">
        <v>2981</v>
      </c>
      <c r="M713" s="6" t="s">
        <v>1264</v>
      </c>
      <c r="N713" s="5" t="s">
        <v>319</v>
      </c>
      <c r="O713" s="5" t="s">
        <v>89</v>
      </c>
      <c r="P713" s="5" t="s">
        <v>89</v>
      </c>
      <c r="Q713" s="9" t="s">
        <v>75</v>
      </c>
      <c r="R713" s="5" t="s">
        <v>76</v>
      </c>
      <c r="S713" s="5" t="s">
        <v>90</v>
      </c>
      <c r="T713" s="7">
        <v>1</v>
      </c>
      <c r="U713" s="7">
        <v>6</v>
      </c>
      <c r="V713" s="7">
        <v>4</v>
      </c>
      <c r="W713" s="5" t="s">
        <v>91</v>
      </c>
      <c r="X713" s="10" t="s">
        <v>79</v>
      </c>
      <c r="Y713" s="11">
        <v>23986</v>
      </c>
      <c r="Z713" s="12">
        <v>0.34510214652633314</v>
      </c>
      <c r="AA713" s="12">
        <v>0</v>
      </c>
      <c r="AB713" s="12">
        <v>0</v>
      </c>
      <c r="AC713" s="13">
        <v>0</v>
      </c>
      <c r="AD713" s="14">
        <f t="shared" si="24"/>
        <v>0.34510214652633314</v>
      </c>
      <c r="AE713" s="15">
        <f t="shared" si="25"/>
        <v>0</v>
      </c>
      <c r="AF713" s="16">
        <v>629.25808460213318</v>
      </c>
      <c r="AG713" s="16">
        <v>629.25808460213318</v>
      </c>
      <c r="AH713" s="17" t="s">
        <v>2966</v>
      </c>
      <c r="AI713" s="18">
        <v>5.25</v>
      </c>
      <c r="AJ713" s="19" t="s">
        <v>1265</v>
      </c>
      <c r="AK713" s="20">
        <v>0.95</v>
      </c>
      <c r="AL713" s="17" t="s">
        <v>261</v>
      </c>
      <c r="AM713" s="5" t="s">
        <v>66</v>
      </c>
      <c r="AN713" s="5" t="s">
        <v>66</v>
      </c>
      <c r="AO713" s="5" t="s">
        <v>66</v>
      </c>
      <c r="AP713" s="5" t="s">
        <v>66</v>
      </c>
      <c r="AQ713" s="5" t="s">
        <v>66</v>
      </c>
      <c r="AR713" s="5" t="s">
        <v>66</v>
      </c>
      <c r="AS713" s="5" t="s">
        <v>66</v>
      </c>
      <c r="AT713" s="5" t="s">
        <v>66</v>
      </c>
      <c r="AU713" s="5" t="s">
        <v>66</v>
      </c>
      <c r="AV713" s="5" t="s">
        <v>66</v>
      </c>
      <c r="AW713" s="5" t="s">
        <v>66</v>
      </c>
      <c r="AX713" s="5" t="s">
        <v>1198</v>
      </c>
      <c r="AY713" s="5" t="s">
        <v>69</v>
      </c>
      <c r="AZ713" s="5" t="s">
        <v>80</v>
      </c>
      <c r="BA713" s="19" t="s">
        <v>769</v>
      </c>
      <c r="BB713" s="17" t="s">
        <v>69</v>
      </c>
      <c r="BC713" s="5" t="s">
        <v>1199</v>
      </c>
      <c r="BD713" s="5" t="s">
        <v>1200</v>
      </c>
    </row>
    <row r="714" spans="1:56" ht="84" hidden="1" x14ac:dyDescent="0.25">
      <c r="A714" s="78" t="s">
        <v>1056</v>
      </c>
      <c r="B714" s="5" t="s">
        <v>1057</v>
      </c>
      <c r="C714" s="5" t="s">
        <v>3293</v>
      </c>
      <c r="D714" s="5" t="s">
        <v>1236</v>
      </c>
      <c r="E714" s="99" t="str">
        <f>VLOOKUP(D714,'Dropdown List'!$F$26:$G$40,2,0)</f>
        <v>India</v>
      </c>
      <c r="F714" s="6" t="s">
        <v>1058</v>
      </c>
      <c r="G714" s="7">
        <v>9</v>
      </c>
      <c r="H714" s="5" t="s">
        <v>57</v>
      </c>
      <c r="I714" s="8" t="s">
        <v>71</v>
      </c>
      <c r="J714" s="6" t="s">
        <v>112</v>
      </c>
      <c r="K714" s="6" t="s">
        <v>113</v>
      </c>
      <c r="L714" s="6" t="s">
        <v>1266</v>
      </c>
      <c r="M714" s="6" t="s">
        <v>1267</v>
      </c>
      <c r="N714" s="5" t="s">
        <v>319</v>
      </c>
      <c r="O714" s="5" t="s">
        <v>61</v>
      </c>
      <c r="P714" s="5" t="s">
        <v>1204</v>
      </c>
      <c r="Q714" s="9" t="s">
        <v>75</v>
      </c>
      <c r="R714" s="5" t="s">
        <v>76</v>
      </c>
      <c r="S714" s="5" t="s">
        <v>90</v>
      </c>
      <c r="T714" s="7">
        <v>1</v>
      </c>
      <c r="U714" s="7">
        <v>6</v>
      </c>
      <c r="V714" s="7">
        <v>4</v>
      </c>
      <c r="W714" s="5" t="s">
        <v>91</v>
      </c>
      <c r="X714" s="10" t="s">
        <v>79</v>
      </c>
      <c r="Y714" s="11">
        <v>23986</v>
      </c>
      <c r="Z714" s="12">
        <v>1.110764284033573</v>
      </c>
      <c r="AA714" s="12">
        <v>0</v>
      </c>
      <c r="AB714" s="12">
        <v>0</v>
      </c>
      <c r="AC714" s="13">
        <v>0</v>
      </c>
      <c r="AD714" s="14">
        <f t="shared" si="24"/>
        <v>1.110764284033573</v>
      </c>
      <c r="AE714" s="15">
        <f t="shared" si="25"/>
        <v>0</v>
      </c>
      <c r="AF714" s="16">
        <v>1958.1449947730371</v>
      </c>
      <c r="AG714" s="16">
        <v>1958.1449947730371</v>
      </c>
      <c r="AH714" s="17" t="s">
        <v>2966</v>
      </c>
      <c r="AI714" s="18">
        <v>5.25</v>
      </c>
      <c r="AJ714" s="19" t="s">
        <v>1224</v>
      </c>
      <c r="AK714" s="20">
        <v>0.95</v>
      </c>
      <c r="AL714" s="17" t="s">
        <v>261</v>
      </c>
      <c r="AM714" s="5" t="s">
        <v>66</v>
      </c>
      <c r="AN714" s="5" t="s">
        <v>66</v>
      </c>
      <c r="AO714" s="5" t="s">
        <v>66</v>
      </c>
      <c r="AP714" s="5" t="s">
        <v>66</v>
      </c>
      <c r="AQ714" s="5" t="s">
        <v>66</v>
      </c>
      <c r="AR714" s="5" t="s">
        <v>66</v>
      </c>
      <c r="AS714" s="5" t="s">
        <v>66</v>
      </c>
      <c r="AT714" s="5" t="s">
        <v>66</v>
      </c>
      <c r="AU714" s="5" t="s">
        <v>66</v>
      </c>
      <c r="AV714" s="5" t="s">
        <v>66</v>
      </c>
      <c r="AW714" s="5" t="s">
        <v>66</v>
      </c>
      <c r="AX714" s="5" t="s">
        <v>1198</v>
      </c>
      <c r="AY714" s="5" t="s">
        <v>69</v>
      </c>
      <c r="AZ714" s="5" t="s">
        <v>80</v>
      </c>
      <c r="BA714" s="19" t="s">
        <v>769</v>
      </c>
      <c r="BB714" s="17" t="s">
        <v>65</v>
      </c>
      <c r="BC714" s="5" t="s">
        <v>1199</v>
      </c>
      <c r="BD714" s="5" t="s">
        <v>1200</v>
      </c>
    </row>
    <row r="715" spans="1:56" ht="48" hidden="1" x14ac:dyDescent="0.25">
      <c r="A715" s="78" t="s">
        <v>1056</v>
      </c>
      <c r="B715" s="5" t="s">
        <v>1057</v>
      </c>
      <c r="C715" s="5" t="s">
        <v>3293</v>
      </c>
      <c r="D715" s="5" t="s">
        <v>1236</v>
      </c>
      <c r="E715" s="99" t="str">
        <f>VLOOKUP(D715,'Dropdown List'!$F$26:$G$40,2,0)</f>
        <v>India</v>
      </c>
      <c r="F715" s="6" t="s">
        <v>1058</v>
      </c>
      <c r="G715" s="7">
        <v>9</v>
      </c>
      <c r="H715" s="5" t="s">
        <v>57</v>
      </c>
      <c r="I715" s="8" t="s">
        <v>71</v>
      </c>
      <c r="J715" s="6" t="s">
        <v>112</v>
      </c>
      <c r="K715" s="6" t="s">
        <v>113</v>
      </c>
      <c r="L715" s="6" t="s">
        <v>1268</v>
      </c>
      <c r="M715" s="6" t="s">
        <v>1269</v>
      </c>
      <c r="N715" s="5" t="s">
        <v>319</v>
      </c>
      <c r="O715" s="5" t="s">
        <v>74</v>
      </c>
      <c r="P715" s="5" t="s">
        <v>1220</v>
      </c>
      <c r="Q715" s="9" t="s">
        <v>75</v>
      </c>
      <c r="R715" s="5" t="s">
        <v>76</v>
      </c>
      <c r="S715" s="5" t="s">
        <v>64</v>
      </c>
      <c r="T715" s="7">
        <v>1</v>
      </c>
      <c r="U715" s="7">
        <v>8</v>
      </c>
      <c r="V715" s="7">
        <v>4</v>
      </c>
      <c r="W715" s="5" t="s">
        <v>91</v>
      </c>
      <c r="X715" s="10" t="s">
        <v>79</v>
      </c>
      <c r="Y715" s="11">
        <v>23986</v>
      </c>
      <c r="Z715" s="12">
        <v>0.24843919647873494</v>
      </c>
      <c r="AA715" s="12">
        <v>0</v>
      </c>
      <c r="AB715" s="12">
        <v>0</v>
      </c>
      <c r="AC715" s="13">
        <v>0</v>
      </c>
      <c r="AD715" s="14">
        <f t="shared" si="24"/>
        <v>0.24843919647873494</v>
      </c>
      <c r="AE715" s="15">
        <f t="shared" si="25"/>
        <v>0</v>
      </c>
      <c r="AF715" s="16">
        <v>119.70454945172558</v>
      </c>
      <c r="AG715" s="16">
        <v>119.70454945172558</v>
      </c>
      <c r="AH715" s="17" t="s">
        <v>2973</v>
      </c>
      <c r="AI715" s="18">
        <v>16.54</v>
      </c>
      <c r="AJ715" s="19" t="s">
        <v>1224</v>
      </c>
      <c r="AK715" s="20">
        <v>0.95</v>
      </c>
      <c r="AL715" s="17" t="s">
        <v>92</v>
      </c>
      <c r="AM715" s="5" t="s">
        <v>66</v>
      </c>
      <c r="AN715" s="5" t="s">
        <v>66</v>
      </c>
      <c r="AO715" s="5" t="s">
        <v>66</v>
      </c>
      <c r="AP715" s="5" t="s">
        <v>66</v>
      </c>
      <c r="AQ715" s="5" t="s">
        <v>66</v>
      </c>
      <c r="AR715" s="5" t="s">
        <v>66</v>
      </c>
      <c r="AS715" s="5" t="s">
        <v>66</v>
      </c>
      <c r="AT715" s="5" t="s">
        <v>66</v>
      </c>
      <c r="AU715" s="5" t="s">
        <v>66</v>
      </c>
      <c r="AV715" s="5" t="s">
        <v>66</v>
      </c>
      <c r="AW715" s="5" t="s">
        <v>66</v>
      </c>
      <c r="AX715" s="5" t="s">
        <v>1198</v>
      </c>
      <c r="AY715" s="5" t="s">
        <v>69</v>
      </c>
      <c r="AZ715" s="5" t="s">
        <v>80</v>
      </c>
      <c r="BA715" s="19" t="s">
        <v>769</v>
      </c>
      <c r="BB715" s="17" t="s">
        <v>65</v>
      </c>
      <c r="BC715" s="5" t="s">
        <v>1199</v>
      </c>
      <c r="BD715" s="5" t="s">
        <v>1200</v>
      </c>
    </row>
    <row r="716" spans="1:56" ht="84" hidden="1" x14ac:dyDescent="0.25">
      <c r="A716" s="78" t="s">
        <v>1056</v>
      </c>
      <c r="B716" s="5" t="s">
        <v>1057</v>
      </c>
      <c r="C716" s="5" t="s">
        <v>3293</v>
      </c>
      <c r="D716" s="5" t="s">
        <v>1236</v>
      </c>
      <c r="E716" s="99" t="str">
        <f>VLOOKUP(D716,'Dropdown List'!$F$26:$G$40,2,0)</f>
        <v>India</v>
      </c>
      <c r="F716" s="6" t="s">
        <v>1058</v>
      </c>
      <c r="G716" s="7">
        <v>9</v>
      </c>
      <c r="H716" s="5" t="s">
        <v>57</v>
      </c>
      <c r="I716" s="8" t="s">
        <v>71</v>
      </c>
      <c r="J716" s="6" t="s">
        <v>112</v>
      </c>
      <c r="K716" s="6" t="s">
        <v>113</v>
      </c>
      <c r="L716" s="6" t="s">
        <v>1270</v>
      </c>
      <c r="M716" s="6" t="s">
        <v>1271</v>
      </c>
      <c r="N716" s="5" t="s">
        <v>319</v>
      </c>
      <c r="O716" s="5" t="s">
        <v>61</v>
      </c>
      <c r="P716" s="5" t="s">
        <v>1204</v>
      </c>
      <c r="Q716" s="9" t="s">
        <v>75</v>
      </c>
      <c r="R716" s="5" t="s">
        <v>76</v>
      </c>
      <c r="S716" s="5" t="s">
        <v>90</v>
      </c>
      <c r="T716" s="7">
        <v>1</v>
      </c>
      <c r="U716" s="7">
        <v>6</v>
      </c>
      <c r="V716" s="7">
        <v>4</v>
      </c>
      <c r="W716" s="5" t="s">
        <v>91</v>
      </c>
      <c r="X716" s="10" t="s">
        <v>79</v>
      </c>
      <c r="Y716" s="11">
        <v>23986</v>
      </c>
      <c r="Z716" s="12">
        <v>0.20916349167827228</v>
      </c>
      <c r="AA716" s="12">
        <v>0</v>
      </c>
      <c r="AB716" s="12">
        <v>0</v>
      </c>
      <c r="AC716" s="13">
        <v>0</v>
      </c>
      <c r="AD716" s="14">
        <f t="shared" si="24"/>
        <v>0.20916349167827228</v>
      </c>
      <c r="AE716" s="15">
        <f t="shared" si="25"/>
        <v>0</v>
      </c>
      <c r="AF716" s="16">
        <v>270.73919019913819</v>
      </c>
      <c r="AG716" s="16">
        <v>270.73919019913819</v>
      </c>
      <c r="AH716" s="17" t="s">
        <v>2971</v>
      </c>
      <c r="AI716" s="18">
        <v>5.88</v>
      </c>
      <c r="AJ716" s="19" t="s">
        <v>1265</v>
      </c>
      <c r="AK716" s="20">
        <v>0.96</v>
      </c>
      <c r="AL716" s="17" t="s">
        <v>92</v>
      </c>
      <c r="AM716" s="5" t="s">
        <v>66</v>
      </c>
      <c r="AN716" s="5" t="s">
        <v>66</v>
      </c>
      <c r="AO716" s="5" t="s">
        <v>66</v>
      </c>
      <c r="AP716" s="5" t="s">
        <v>66</v>
      </c>
      <c r="AQ716" s="5" t="s">
        <v>66</v>
      </c>
      <c r="AR716" s="5" t="s">
        <v>66</v>
      </c>
      <c r="AS716" s="5" t="s">
        <v>66</v>
      </c>
      <c r="AT716" s="5" t="s">
        <v>66</v>
      </c>
      <c r="AU716" s="5" t="s">
        <v>66</v>
      </c>
      <c r="AV716" s="5" t="s">
        <v>66</v>
      </c>
      <c r="AW716" s="5" t="s">
        <v>66</v>
      </c>
      <c r="AX716" s="5" t="s">
        <v>1198</v>
      </c>
      <c r="AY716" s="5" t="s">
        <v>69</v>
      </c>
      <c r="AZ716" s="5" t="s">
        <v>80</v>
      </c>
      <c r="BA716" s="19" t="s">
        <v>769</v>
      </c>
      <c r="BB716" s="17" t="s">
        <v>65</v>
      </c>
      <c r="BC716" s="5" t="s">
        <v>1199</v>
      </c>
      <c r="BD716" s="5" t="s">
        <v>1230</v>
      </c>
    </row>
    <row r="717" spans="1:56" ht="72" hidden="1" x14ac:dyDescent="0.25">
      <c r="A717" s="78" t="s">
        <v>1056</v>
      </c>
      <c r="B717" s="5" t="s">
        <v>1057</v>
      </c>
      <c r="C717" s="5" t="s">
        <v>3293</v>
      </c>
      <c r="D717" s="5" t="s">
        <v>1236</v>
      </c>
      <c r="E717" s="99" t="str">
        <f>VLOOKUP(D717,'Dropdown List'!$F$26:$G$40,2,0)</f>
        <v>India</v>
      </c>
      <c r="F717" s="6" t="s">
        <v>1058</v>
      </c>
      <c r="G717" s="7">
        <v>9</v>
      </c>
      <c r="H717" s="5" t="s">
        <v>57</v>
      </c>
      <c r="I717" s="8" t="s">
        <v>71</v>
      </c>
      <c r="J717" s="6" t="s">
        <v>112</v>
      </c>
      <c r="K717" s="6" t="s">
        <v>113</v>
      </c>
      <c r="L717" s="6" t="s">
        <v>1272</v>
      </c>
      <c r="M717" s="6" t="s">
        <v>1273</v>
      </c>
      <c r="N717" s="5" t="s">
        <v>319</v>
      </c>
      <c r="O717" s="5" t="s">
        <v>89</v>
      </c>
      <c r="P717" s="5" t="s">
        <v>89</v>
      </c>
      <c r="Q717" s="9" t="s">
        <v>75</v>
      </c>
      <c r="R717" s="5" t="s">
        <v>76</v>
      </c>
      <c r="S717" s="5" t="s">
        <v>90</v>
      </c>
      <c r="T717" s="7">
        <v>1</v>
      </c>
      <c r="U717" s="7">
        <v>4</v>
      </c>
      <c r="V717" s="7">
        <v>4</v>
      </c>
      <c r="W717" s="5" t="s">
        <v>91</v>
      </c>
      <c r="X717" s="10" t="s">
        <v>79</v>
      </c>
      <c r="Y717" s="11">
        <v>23986</v>
      </c>
      <c r="Z717" s="12">
        <v>0.8233810222066853</v>
      </c>
      <c r="AA717" s="12">
        <v>0</v>
      </c>
      <c r="AB717" s="12">
        <v>0</v>
      </c>
      <c r="AC717" s="13">
        <v>0</v>
      </c>
      <c r="AD717" s="14">
        <f t="shared" si="24"/>
        <v>0.8233810222066853</v>
      </c>
      <c r="AE717" s="15">
        <f t="shared" si="25"/>
        <v>0</v>
      </c>
      <c r="AF717" s="16">
        <v>493.29473807338809</v>
      </c>
      <c r="AG717" s="16">
        <v>493.29473807338809</v>
      </c>
      <c r="AH717" s="17" t="s">
        <v>2966</v>
      </c>
      <c r="AI717" s="18">
        <v>16</v>
      </c>
      <c r="AJ717" s="19" t="s">
        <v>1224</v>
      </c>
      <c r="AK717" s="20">
        <v>0.96</v>
      </c>
      <c r="AL717" s="17" t="s">
        <v>92</v>
      </c>
      <c r="AM717" s="5" t="s">
        <v>66</v>
      </c>
      <c r="AN717" s="5" t="s">
        <v>66</v>
      </c>
      <c r="AO717" s="5" t="s">
        <v>66</v>
      </c>
      <c r="AP717" s="5" t="s">
        <v>66</v>
      </c>
      <c r="AQ717" s="5" t="s">
        <v>66</v>
      </c>
      <c r="AR717" s="5" t="s">
        <v>66</v>
      </c>
      <c r="AS717" s="5" t="s">
        <v>66</v>
      </c>
      <c r="AT717" s="5" t="s">
        <v>66</v>
      </c>
      <c r="AU717" s="5" t="s">
        <v>66</v>
      </c>
      <c r="AV717" s="5" t="s">
        <v>66</v>
      </c>
      <c r="AW717" s="5" t="s">
        <v>66</v>
      </c>
      <c r="AX717" s="5" t="s">
        <v>1198</v>
      </c>
      <c r="AY717" s="5" t="s">
        <v>69</v>
      </c>
      <c r="AZ717" s="5" t="s">
        <v>80</v>
      </c>
      <c r="BA717" s="19" t="s">
        <v>769</v>
      </c>
      <c r="BB717" s="17" t="s">
        <v>353</v>
      </c>
      <c r="BC717" s="5" t="s">
        <v>1199</v>
      </c>
      <c r="BD717" s="5" t="s">
        <v>1230</v>
      </c>
    </row>
    <row r="718" spans="1:56" ht="60" hidden="1" x14ac:dyDescent="0.25">
      <c r="A718" s="78" t="s">
        <v>1056</v>
      </c>
      <c r="B718" s="5" t="s">
        <v>1057</v>
      </c>
      <c r="C718" s="5" t="s">
        <v>3293</v>
      </c>
      <c r="D718" s="5" t="s">
        <v>1236</v>
      </c>
      <c r="E718" s="99" t="str">
        <f>VLOOKUP(D718,'Dropdown List'!$F$26:$G$40,2,0)</f>
        <v>India</v>
      </c>
      <c r="F718" s="6" t="s">
        <v>1058</v>
      </c>
      <c r="G718" s="7">
        <v>9</v>
      </c>
      <c r="H718" s="5" t="s">
        <v>57</v>
      </c>
      <c r="I718" s="8" t="s">
        <v>71</v>
      </c>
      <c r="J718" s="6" t="s">
        <v>112</v>
      </c>
      <c r="K718" s="6" t="s">
        <v>113</v>
      </c>
      <c r="L718" s="6" t="s">
        <v>1274</v>
      </c>
      <c r="M718" s="6" t="s">
        <v>1275</v>
      </c>
      <c r="N718" s="5" t="s">
        <v>319</v>
      </c>
      <c r="O718" s="5" t="s">
        <v>89</v>
      </c>
      <c r="P718" s="5" t="s">
        <v>89</v>
      </c>
      <c r="Q718" s="9" t="s">
        <v>75</v>
      </c>
      <c r="R718" s="5" t="s">
        <v>76</v>
      </c>
      <c r="S718" s="5" t="s">
        <v>90</v>
      </c>
      <c r="T718" s="7">
        <v>1</v>
      </c>
      <c r="U718" s="7">
        <v>4</v>
      </c>
      <c r="V718" s="7">
        <v>4</v>
      </c>
      <c r="W718" s="5" t="s">
        <v>91</v>
      </c>
      <c r="X718" s="10" t="s">
        <v>79</v>
      </c>
      <c r="Y718" s="11">
        <v>23986</v>
      </c>
      <c r="Z718" s="12">
        <v>0.65617328283784515</v>
      </c>
      <c r="AA718" s="12">
        <v>0</v>
      </c>
      <c r="AB718" s="12">
        <v>0</v>
      </c>
      <c r="AC718" s="13">
        <v>0</v>
      </c>
      <c r="AD718" s="14">
        <f t="shared" si="24"/>
        <v>0.65617328283784515</v>
      </c>
      <c r="AE718" s="15">
        <f t="shared" si="25"/>
        <v>0</v>
      </c>
      <c r="AF718" s="16">
        <v>457.16304941026789</v>
      </c>
      <c r="AG718" s="16">
        <v>457.16304941026789</v>
      </c>
      <c r="AH718" s="17" t="s">
        <v>2973</v>
      </c>
      <c r="AI718" s="18">
        <v>10</v>
      </c>
      <c r="AJ718" s="19" t="s">
        <v>1224</v>
      </c>
      <c r="AK718" s="20">
        <v>0.96</v>
      </c>
      <c r="AL718" s="17" t="s">
        <v>1276</v>
      </c>
      <c r="AM718" s="5" t="s">
        <v>66</v>
      </c>
      <c r="AN718" s="5" t="s">
        <v>66</v>
      </c>
      <c r="AO718" s="5" t="s">
        <v>66</v>
      </c>
      <c r="AP718" s="5" t="s">
        <v>66</v>
      </c>
      <c r="AQ718" s="5" t="s">
        <v>66</v>
      </c>
      <c r="AR718" s="5" t="s">
        <v>66</v>
      </c>
      <c r="AS718" s="5" t="s">
        <v>66</v>
      </c>
      <c r="AT718" s="5" t="s">
        <v>66</v>
      </c>
      <c r="AU718" s="5" t="s">
        <v>66</v>
      </c>
      <c r="AV718" s="5" t="s">
        <v>66</v>
      </c>
      <c r="AW718" s="5" t="s">
        <v>66</v>
      </c>
      <c r="AX718" s="5" t="s">
        <v>1198</v>
      </c>
      <c r="AY718" s="5" t="s">
        <v>69</v>
      </c>
      <c r="AZ718" s="5" t="s">
        <v>80</v>
      </c>
      <c r="BA718" s="19" t="s">
        <v>769</v>
      </c>
      <c r="BB718" s="17" t="s">
        <v>353</v>
      </c>
      <c r="BC718" s="5" t="s">
        <v>1199</v>
      </c>
      <c r="BD718" s="5" t="s">
        <v>1230</v>
      </c>
    </row>
    <row r="719" spans="1:56" ht="96" hidden="1" x14ac:dyDescent="0.25">
      <c r="A719" s="78" t="s">
        <v>1056</v>
      </c>
      <c r="B719" s="5" t="s">
        <v>1057</v>
      </c>
      <c r="C719" s="5" t="s">
        <v>3293</v>
      </c>
      <c r="D719" s="5" t="s">
        <v>1236</v>
      </c>
      <c r="E719" s="99" t="str">
        <f>VLOOKUP(D719,'Dropdown List'!$F$26:$G$40,2,0)</f>
        <v>India</v>
      </c>
      <c r="F719" s="6" t="s">
        <v>1058</v>
      </c>
      <c r="G719" s="7">
        <v>9</v>
      </c>
      <c r="H719" s="5" t="s">
        <v>57</v>
      </c>
      <c r="I719" s="8" t="s">
        <v>71</v>
      </c>
      <c r="J719" s="6" t="s">
        <v>112</v>
      </c>
      <c r="K719" s="6" t="s">
        <v>113</v>
      </c>
      <c r="L719" s="6" t="s">
        <v>1277</v>
      </c>
      <c r="M719" s="6" t="s">
        <v>1278</v>
      </c>
      <c r="N719" s="5" t="s">
        <v>319</v>
      </c>
      <c r="O719" s="5" t="s">
        <v>89</v>
      </c>
      <c r="P719" s="5" t="s">
        <v>89</v>
      </c>
      <c r="Q719" s="9" t="s">
        <v>75</v>
      </c>
      <c r="R719" s="5" t="s">
        <v>76</v>
      </c>
      <c r="S719" s="5" t="s">
        <v>90</v>
      </c>
      <c r="T719" s="7">
        <v>1</v>
      </c>
      <c r="U719" s="7">
        <v>3</v>
      </c>
      <c r="V719" s="7">
        <v>2</v>
      </c>
      <c r="W719" s="5" t="s">
        <v>91</v>
      </c>
      <c r="X719" s="10" t="s">
        <v>79</v>
      </c>
      <c r="Y719" s="11">
        <v>23986</v>
      </c>
      <c r="Z719" s="12">
        <v>0.13899929830655089</v>
      </c>
      <c r="AA719" s="12">
        <v>0</v>
      </c>
      <c r="AB719" s="12">
        <v>0</v>
      </c>
      <c r="AC719" s="13">
        <v>0</v>
      </c>
      <c r="AD719" s="14">
        <f t="shared" si="24"/>
        <v>0.13899929830655089</v>
      </c>
      <c r="AE719" s="15">
        <f t="shared" si="25"/>
        <v>0</v>
      </c>
      <c r="AF719" s="16">
        <v>88.237995537103416</v>
      </c>
      <c r="AG719" s="16">
        <v>88.237995537103416</v>
      </c>
      <c r="AH719" s="17" t="s">
        <v>2973</v>
      </c>
      <c r="AI719" s="18">
        <v>10.63</v>
      </c>
      <c r="AJ719" s="19" t="s">
        <v>1224</v>
      </c>
      <c r="AK719" s="20">
        <v>0.96</v>
      </c>
      <c r="AL719" s="17" t="s">
        <v>92</v>
      </c>
      <c r="AM719" s="5" t="s">
        <v>66</v>
      </c>
      <c r="AN719" s="5" t="s">
        <v>66</v>
      </c>
      <c r="AO719" s="5" t="s">
        <v>66</v>
      </c>
      <c r="AP719" s="5" t="s">
        <v>66</v>
      </c>
      <c r="AQ719" s="5" t="s">
        <v>66</v>
      </c>
      <c r="AR719" s="5" t="s">
        <v>66</v>
      </c>
      <c r="AS719" s="5" t="s">
        <v>66</v>
      </c>
      <c r="AT719" s="5" t="s">
        <v>66</v>
      </c>
      <c r="AU719" s="5" t="s">
        <v>66</v>
      </c>
      <c r="AV719" s="5" t="s">
        <v>66</v>
      </c>
      <c r="AW719" s="5" t="s">
        <v>66</v>
      </c>
      <c r="AX719" s="5" t="s">
        <v>1198</v>
      </c>
      <c r="AY719" s="5" t="s">
        <v>69</v>
      </c>
      <c r="AZ719" s="5" t="s">
        <v>80</v>
      </c>
      <c r="BA719" s="19" t="s">
        <v>769</v>
      </c>
      <c r="BB719" s="17" t="s">
        <v>65</v>
      </c>
      <c r="BC719" s="5" t="s">
        <v>1199</v>
      </c>
      <c r="BD719" s="5" t="s">
        <v>1230</v>
      </c>
    </row>
    <row r="720" spans="1:56" ht="48" hidden="1" x14ac:dyDescent="0.25">
      <c r="A720" s="78" t="s">
        <v>1056</v>
      </c>
      <c r="B720" s="5" t="s">
        <v>1057</v>
      </c>
      <c r="C720" s="5" t="s">
        <v>3293</v>
      </c>
      <c r="D720" s="5" t="s">
        <v>1236</v>
      </c>
      <c r="E720" s="99" t="str">
        <f>VLOOKUP(D720,'Dropdown List'!$F$26:$G$40,2,0)</f>
        <v>India</v>
      </c>
      <c r="F720" s="6" t="s">
        <v>1058</v>
      </c>
      <c r="G720" s="7">
        <v>9</v>
      </c>
      <c r="H720" s="5" t="s">
        <v>57</v>
      </c>
      <c r="I720" s="8" t="s">
        <v>71</v>
      </c>
      <c r="J720" s="6" t="s">
        <v>112</v>
      </c>
      <c r="K720" s="6" t="s">
        <v>113</v>
      </c>
      <c r="L720" s="6" t="s">
        <v>1279</v>
      </c>
      <c r="M720" s="6" t="s">
        <v>1280</v>
      </c>
      <c r="N720" s="5" t="s">
        <v>319</v>
      </c>
      <c r="O720" s="5" t="s">
        <v>61</v>
      </c>
      <c r="P720" s="5" t="s">
        <v>1204</v>
      </c>
      <c r="Q720" s="9" t="s">
        <v>75</v>
      </c>
      <c r="R720" s="5" t="s">
        <v>76</v>
      </c>
      <c r="S720" s="5" t="s">
        <v>90</v>
      </c>
      <c r="T720" s="7">
        <v>1</v>
      </c>
      <c r="U720" s="7">
        <v>4</v>
      </c>
      <c r="V720" s="7">
        <v>4</v>
      </c>
      <c r="W720" s="5" t="s">
        <v>91</v>
      </c>
      <c r="X720" s="10" t="s">
        <v>79</v>
      </c>
      <c r="Y720" s="11">
        <v>23986</v>
      </c>
      <c r="Z720" s="12">
        <v>0.43989846447565661</v>
      </c>
      <c r="AA720" s="12">
        <v>0</v>
      </c>
      <c r="AB720" s="12">
        <v>0</v>
      </c>
      <c r="AC720" s="13">
        <v>0</v>
      </c>
      <c r="AD720" s="14">
        <f t="shared" si="24"/>
        <v>0.43989846447565661</v>
      </c>
      <c r="AE720" s="15">
        <f t="shared" si="25"/>
        <v>0</v>
      </c>
      <c r="AF720" s="16">
        <v>1353.5539648916731</v>
      </c>
      <c r="AG720" s="16">
        <v>1353.5539648916731</v>
      </c>
      <c r="AH720" s="17" t="s">
        <v>2982</v>
      </c>
      <c r="AI720" s="18">
        <v>3.39</v>
      </c>
      <c r="AJ720" s="19" t="s">
        <v>1224</v>
      </c>
      <c r="AK720" s="20">
        <v>0.96</v>
      </c>
      <c r="AL720" s="17" t="s">
        <v>1276</v>
      </c>
      <c r="AM720" s="5" t="s">
        <v>66</v>
      </c>
      <c r="AN720" s="5" t="s">
        <v>66</v>
      </c>
      <c r="AO720" s="5" t="s">
        <v>66</v>
      </c>
      <c r="AP720" s="5" t="s">
        <v>66</v>
      </c>
      <c r="AQ720" s="5" t="s">
        <v>66</v>
      </c>
      <c r="AR720" s="5" t="s">
        <v>66</v>
      </c>
      <c r="AS720" s="5" t="s">
        <v>66</v>
      </c>
      <c r="AT720" s="5" t="s">
        <v>66</v>
      </c>
      <c r="AU720" s="5" t="s">
        <v>66</v>
      </c>
      <c r="AV720" s="5" t="s">
        <v>66</v>
      </c>
      <c r="AW720" s="5" t="s">
        <v>66</v>
      </c>
      <c r="AX720" s="5" t="s">
        <v>1198</v>
      </c>
      <c r="AY720" s="5" t="s">
        <v>69</v>
      </c>
      <c r="AZ720" s="5" t="s">
        <v>80</v>
      </c>
      <c r="BA720" s="19" t="s">
        <v>769</v>
      </c>
      <c r="BB720" s="17" t="s">
        <v>353</v>
      </c>
      <c r="BC720" s="5" t="s">
        <v>1199</v>
      </c>
      <c r="BD720" s="5" t="s">
        <v>1230</v>
      </c>
    </row>
    <row r="721" spans="1:56" ht="60" hidden="1" x14ac:dyDescent="0.25">
      <c r="A721" s="78" t="s">
        <v>1056</v>
      </c>
      <c r="B721" s="5" t="s">
        <v>1057</v>
      </c>
      <c r="C721" s="5" t="s">
        <v>3293</v>
      </c>
      <c r="D721" s="5" t="s">
        <v>1236</v>
      </c>
      <c r="E721" s="99" t="str">
        <f>VLOOKUP(D721,'Dropdown List'!$F$26:$G$40,2,0)</f>
        <v>India</v>
      </c>
      <c r="F721" s="6" t="s">
        <v>1058</v>
      </c>
      <c r="G721" s="7">
        <v>9</v>
      </c>
      <c r="H721" s="5" t="s">
        <v>57</v>
      </c>
      <c r="I721" s="8" t="s">
        <v>71</v>
      </c>
      <c r="J721" s="6" t="s">
        <v>112</v>
      </c>
      <c r="K721" s="6" t="s">
        <v>113</v>
      </c>
      <c r="L721" s="6" t="s">
        <v>1281</v>
      </c>
      <c r="M721" s="6" t="s">
        <v>1282</v>
      </c>
      <c r="N721" s="5" t="s">
        <v>319</v>
      </c>
      <c r="O721" s="5" t="s">
        <v>61</v>
      </c>
      <c r="P721" s="5" t="s">
        <v>1204</v>
      </c>
      <c r="Q721" s="9" t="s">
        <v>75</v>
      </c>
      <c r="R721" s="5" t="s">
        <v>76</v>
      </c>
      <c r="S721" s="5" t="s">
        <v>90</v>
      </c>
      <c r="T721" s="7">
        <v>1</v>
      </c>
      <c r="U721" s="7">
        <v>4</v>
      </c>
      <c r="V721" s="7">
        <v>4</v>
      </c>
      <c r="W721" s="5" t="s">
        <v>91</v>
      </c>
      <c r="X721" s="10" t="s">
        <v>79</v>
      </c>
      <c r="Y721" s="11">
        <v>23986</v>
      </c>
      <c r="Z721" s="12">
        <v>3.1552170181736834</v>
      </c>
      <c r="AA721" s="12">
        <v>0</v>
      </c>
      <c r="AB721" s="12">
        <v>1</v>
      </c>
      <c r="AC721" s="13">
        <v>0.99999999999999645</v>
      </c>
      <c r="AD721" s="14">
        <f t="shared" si="24"/>
        <v>5.1552170181736798</v>
      </c>
      <c r="AE721" s="15">
        <f t="shared" si="25"/>
        <v>0.19397825474169134</v>
      </c>
      <c r="AF721" s="16">
        <v>5501</v>
      </c>
      <c r="AG721" s="16">
        <v>5501</v>
      </c>
      <c r="AH721" s="17" t="s">
        <v>2980</v>
      </c>
      <c r="AI721" s="18">
        <v>3.78</v>
      </c>
      <c r="AJ721" s="19" t="s">
        <v>1283</v>
      </c>
      <c r="AK721" s="20">
        <v>0.96</v>
      </c>
      <c r="AL721" s="17" t="s">
        <v>1276</v>
      </c>
      <c r="AM721" s="5" t="s">
        <v>66</v>
      </c>
      <c r="AN721" s="5" t="s">
        <v>66</v>
      </c>
      <c r="AO721" s="5" t="s">
        <v>66</v>
      </c>
      <c r="AP721" s="5" t="s">
        <v>66</v>
      </c>
      <c r="AQ721" s="5" t="s">
        <v>66</v>
      </c>
      <c r="AR721" s="5" t="s">
        <v>66</v>
      </c>
      <c r="AS721" s="5" t="s">
        <v>66</v>
      </c>
      <c r="AT721" s="5" t="s">
        <v>66</v>
      </c>
      <c r="AU721" s="5" t="s">
        <v>66</v>
      </c>
      <c r="AV721" s="5" t="s">
        <v>66</v>
      </c>
      <c r="AW721" s="5" t="s">
        <v>66</v>
      </c>
      <c r="AX721" s="5" t="s">
        <v>1198</v>
      </c>
      <c r="AY721" s="5" t="s">
        <v>69</v>
      </c>
      <c r="AZ721" s="5" t="s">
        <v>80</v>
      </c>
      <c r="BA721" s="19" t="s">
        <v>769</v>
      </c>
      <c r="BB721" s="17" t="s">
        <v>65</v>
      </c>
      <c r="BC721" s="5" t="s">
        <v>1199</v>
      </c>
      <c r="BD721" s="5" t="s">
        <v>1230</v>
      </c>
    </row>
    <row r="722" spans="1:56" ht="48" hidden="1" x14ac:dyDescent="0.25">
      <c r="A722" s="78" t="s">
        <v>1056</v>
      </c>
      <c r="B722" s="5" t="s">
        <v>1057</v>
      </c>
      <c r="C722" s="5" t="s">
        <v>3293</v>
      </c>
      <c r="D722" s="5" t="s">
        <v>1236</v>
      </c>
      <c r="E722" s="99" t="str">
        <f>VLOOKUP(D722,'Dropdown List'!$F$26:$G$40,2,0)</f>
        <v>India</v>
      </c>
      <c r="F722" s="6" t="s">
        <v>1058</v>
      </c>
      <c r="G722" s="7">
        <v>8</v>
      </c>
      <c r="H722" s="5" t="s">
        <v>57</v>
      </c>
      <c r="I722" s="8" t="s">
        <v>71</v>
      </c>
      <c r="J722" s="6" t="s">
        <v>112</v>
      </c>
      <c r="K722" s="6" t="s">
        <v>113</v>
      </c>
      <c r="L722" s="6" t="s">
        <v>1284</v>
      </c>
      <c r="M722" s="6" t="s">
        <v>1285</v>
      </c>
      <c r="N722" s="5" t="s">
        <v>319</v>
      </c>
      <c r="O722" s="5" t="s">
        <v>61</v>
      </c>
      <c r="P722" s="5" t="s">
        <v>1204</v>
      </c>
      <c r="Q722" s="9" t="s">
        <v>75</v>
      </c>
      <c r="R722" s="5" t="s">
        <v>76</v>
      </c>
      <c r="S722" s="5" t="s">
        <v>90</v>
      </c>
      <c r="T722" s="7">
        <v>1</v>
      </c>
      <c r="U722" s="7">
        <v>6</v>
      </c>
      <c r="V722" s="7">
        <v>4</v>
      </c>
      <c r="W722" s="5" t="s">
        <v>91</v>
      </c>
      <c r="X722" s="10" t="s">
        <v>79</v>
      </c>
      <c r="Y722" s="11">
        <v>23986</v>
      </c>
      <c r="Z722" s="12">
        <v>0.56999999999999995</v>
      </c>
      <c r="AA722" s="12">
        <v>0</v>
      </c>
      <c r="AB722" s="12">
        <v>0</v>
      </c>
      <c r="AC722" s="13">
        <v>0</v>
      </c>
      <c r="AD722" s="14">
        <f t="shared" si="24"/>
        <v>0.56999999999999995</v>
      </c>
      <c r="AE722" s="15">
        <f t="shared" si="25"/>
        <v>0</v>
      </c>
      <c r="AF722" s="16">
        <v>1072</v>
      </c>
      <c r="AG722" s="16">
        <v>1072</v>
      </c>
      <c r="AH722" s="17" t="s">
        <v>2966</v>
      </c>
      <c r="AI722" s="18">
        <v>4.83</v>
      </c>
      <c r="AJ722" s="19" t="s">
        <v>1224</v>
      </c>
      <c r="AK722" s="20">
        <v>0.96</v>
      </c>
      <c r="AL722" s="17" t="s">
        <v>261</v>
      </c>
      <c r="AM722" s="5" t="s">
        <v>66</v>
      </c>
      <c r="AN722" s="5" t="s">
        <v>66</v>
      </c>
      <c r="AO722" s="5" t="s">
        <v>66</v>
      </c>
      <c r="AP722" s="5" t="s">
        <v>66</v>
      </c>
      <c r="AQ722" s="5" t="s">
        <v>66</v>
      </c>
      <c r="AR722" s="5" t="s">
        <v>66</v>
      </c>
      <c r="AS722" s="5" t="s">
        <v>66</v>
      </c>
      <c r="AT722" s="5" t="s">
        <v>66</v>
      </c>
      <c r="AU722" s="5" t="s">
        <v>66</v>
      </c>
      <c r="AV722" s="5" t="s">
        <v>66</v>
      </c>
      <c r="AW722" s="5" t="s">
        <v>66</v>
      </c>
      <c r="AX722" s="5" t="s">
        <v>1198</v>
      </c>
      <c r="AY722" s="5" t="s">
        <v>69</v>
      </c>
      <c r="AZ722" s="5" t="s">
        <v>80</v>
      </c>
      <c r="BA722" s="19" t="s">
        <v>769</v>
      </c>
      <c r="BB722" s="17" t="s">
        <v>65</v>
      </c>
      <c r="BC722" s="5" t="s">
        <v>1199</v>
      </c>
      <c r="BD722" s="5" t="s">
        <v>1286</v>
      </c>
    </row>
    <row r="723" spans="1:56" ht="72" hidden="1" x14ac:dyDescent="0.25">
      <c r="A723" s="78" t="s">
        <v>3581</v>
      </c>
      <c r="B723" s="5" t="s">
        <v>3582</v>
      </c>
      <c r="C723" s="5" t="s">
        <v>3293</v>
      </c>
      <c r="D723" s="5" t="s">
        <v>56</v>
      </c>
      <c r="E723" s="99" t="str">
        <f>VLOOKUP(D723,'Dropdown List'!$F$26:$G$40,2,0)</f>
        <v>India</v>
      </c>
      <c r="F723" s="6" t="s">
        <v>3583</v>
      </c>
      <c r="G723" s="7">
        <v>8</v>
      </c>
      <c r="H723" s="5" t="s">
        <v>57</v>
      </c>
      <c r="I723" s="8" t="s">
        <v>58</v>
      </c>
      <c r="J723" s="6" t="s">
        <v>59</v>
      </c>
      <c r="K723" s="6" t="s">
        <v>60</v>
      </c>
      <c r="L723" s="6" t="s">
        <v>3584</v>
      </c>
      <c r="M723" s="6" t="s">
        <v>3585</v>
      </c>
      <c r="N723" s="5" t="s">
        <v>1034</v>
      </c>
      <c r="O723" s="5" t="s">
        <v>61</v>
      </c>
      <c r="P723" s="5" t="s">
        <v>3586</v>
      </c>
      <c r="Q723" s="9" t="s">
        <v>62</v>
      </c>
      <c r="R723" s="5" t="s">
        <v>63</v>
      </c>
      <c r="S723" s="5" t="s">
        <v>64</v>
      </c>
      <c r="T723" s="7">
        <v>1</v>
      </c>
      <c r="U723" s="7">
        <v>4</v>
      </c>
      <c r="V723" s="7">
        <v>4</v>
      </c>
      <c r="W723" s="5" t="s">
        <v>65</v>
      </c>
      <c r="X723" s="10" t="s">
        <v>79</v>
      </c>
      <c r="Y723" s="11" t="s">
        <v>3587</v>
      </c>
      <c r="Z723" s="12">
        <v>4</v>
      </c>
      <c r="AA723" s="12">
        <v>0</v>
      </c>
      <c r="AB723" s="12">
        <v>0</v>
      </c>
      <c r="AC723" s="13">
        <v>0</v>
      </c>
      <c r="AD723" s="14">
        <f t="shared" si="24"/>
        <v>4</v>
      </c>
      <c r="AE723" s="15">
        <f t="shared" si="25"/>
        <v>0</v>
      </c>
      <c r="AF723" s="16" t="s">
        <v>3588</v>
      </c>
      <c r="AG723" s="16" t="s">
        <v>66</v>
      </c>
      <c r="AH723" s="17" t="s">
        <v>66</v>
      </c>
      <c r="AI723" s="18" t="s">
        <v>66</v>
      </c>
      <c r="AJ723" s="19"/>
      <c r="AK723" s="20" t="s">
        <v>66</v>
      </c>
      <c r="AL723" s="17" t="s">
        <v>65</v>
      </c>
      <c r="AM723" s="5" t="s">
        <v>66</v>
      </c>
      <c r="AN723" s="5" t="s">
        <v>66</v>
      </c>
      <c r="AO723" s="5" t="s">
        <v>3589</v>
      </c>
      <c r="AP723" s="5" t="s">
        <v>3590</v>
      </c>
      <c r="AQ723" s="5" t="s">
        <v>67</v>
      </c>
      <c r="AR723" s="5" t="s">
        <v>3591</v>
      </c>
      <c r="AS723" s="5" t="s">
        <v>3592</v>
      </c>
      <c r="AT723" s="5" t="s">
        <v>66</v>
      </c>
      <c r="AU723" s="5" t="s">
        <v>66</v>
      </c>
      <c r="AV723" s="5" t="s">
        <v>66</v>
      </c>
      <c r="AW723" s="5" t="s">
        <v>66</v>
      </c>
      <c r="AX723" s="5" t="s">
        <v>68</v>
      </c>
      <c r="AY723" s="5" t="s">
        <v>69</v>
      </c>
      <c r="AZ723" s="5" t="s">
        <v>70</v>
      </c>
      <c r="BA723" s="19" t="s">
        <v>66</v>
      </c>
      <c r="BB723" s="17" t="s">
        <v>69</v>
      </c>
      <c r="BC723" s="5" t="s">
        <v>3593</v>
      </c>
      <c r="BD723" s="5" t="s">
        <v>3594</v>
      </c>
    </row>
    <row r="724" spans="1:56" ht="72" hidden="1" x14ac:dyDescent="0.25">
      <c r="A724" s="78" t="s">
        <v>81</v>
      </c>
      <c r="B724" s="5" t="s">
        <v>82</v>
      </c>
      <c r="C724" s="5" t="s">
        <v>3293</v>
      </c>
      <c r="D724" s="5" t="s">
        <v>3595</v>
      </c>
      <c r="E724" s="99" t="str">
        <f>VLOOKUP(D724,'Dropdown List'!$F$26:$G$40,2,0)</f>
        <v>US</v>
      </c>
      <c r="F724" s="6" t="s">
        <v>3583</v>
      </c>
      <c r="G724" s="7">
        <v>1.9</v>
      </c>
      <c r="H724" s="5" t="s">
        <v>85</v>
      </c>
      <c r="I724" s="8" t="s">
        <v>58</v>
      </c>
      <c r="J724" s="6" t="s">
        <v>59</v>
      </c>
      <c r="K724" s="6" t="s">
        <v>142</v>
      </c>
      <c r="L724" s="6" t="s">
        <v>66</v>
      </c>
      <c r="M724" s="6" t="s">
        <v>3596</v>
      </c>
      <c r="N724" s="5" t="s">
        <v>319</v>
      </c>
      <c r="O724" s="5" t="s">
        <v>74</v>
      </c>
      <c r="P724" s="5" t="s">
        <v>74</v>
      </c>
      <c r="Q724" s="9" t="s">
        <v>62</v>
      </c>
      <c r="R724" s="5" t="s">
        <v>63</v>
      </c>
      <c r="S724" s="5" t="s">
        <v>64</v>
      </c>
      <c r="T724" s="7">
        <v>1</v>
      </c>
      <c r="U724" s="7">
        <v>6</v>
      </c>
      <c r="V724" s="7">
        <v>6</v>
      </c>
      <c r="W724" s="5" t="s">
        <v>143</v>
      </c>
      <c r="X724" s="10" t="s">
        <v>79</v>
      </c>
      <c r="Y724" s="11" t="s">
        <v>66</v>
      </c>
      <c r="Z724" s="12">
        <v>0</v>
      </c>
      <c r="AA724" s="12">
        <v>1</v>
      </c>
      <c r="AB724" s="12">
        <v>1</v>
      </c>
      <c r="AC724" s="13">
        <v>0</v>
      </c>
      <c r="AD724" s="14">
        <f t="shared" si="24"/>
        <v>2</v>
      </c>
      <c r="AE724" s="15">
        <f t="shared" si="25"/>
        <v>0</v>
      </c>
      <c r="AF724" s="16">
        <v>35600</v>
      </c>
      <c r="AG724" s="16" t="s">
        <v>66</v>
      </c>
      <c r="AH724" s="17" t="s">
        <v>66</v>
      </c>
      <c r="AI724" s="18" t="s">
        <v>66</v>
      </c>
      <c r="AJ724" s="19" t="s">
        <v>3597</v>
      </c>
      <c r="AK724" s="20" t="s">
        <v>66</v>
      </c>
      <c r="AL724" s="17" t="s">
        <v>65</v>
      </c>
      <c r="AM724" s="5" t="s">
        <v>66</v>
      </c>
      <c r="AN724" s="5" t="s">
        <v>66</v>
      </c>
      <c r="AO724" s="5" t="s">
        <v>3589</v>
      </c>
      <c r="AP724" s="5" t="s">
        <v>3590</v>
      </c>
      <c r="AQ724" s="5" t="s">
        <v>67</v>
      </c>
      <c r="AR724" s="5" t="s">
        <v>3591</v>
      </c>
      <c r="AS724" s="5" t="s">
        <v>3592</v>
      </c>
      <c r="AT724" s="5" t="s">
        <v>66</v>
      </c>
      <c r="AU724" s="5" t="s">
        <v>66</v>
      </c>
      <c r="AV724" s="5" t="s">
        <v>66</v>
      </c>
      <c r="AW724" s="5" t="s">
        <v>66</v>
      </c>
      <c r="AX724" s="5" t="s">
        <v>68</v>
      </c>
      <c r="AY724" s="5" t="s">
        <v>69</v>
      </c>
      <c r="AZ724" s="5" t="s">
        <v>70</v>
      </c>
      <c r="BA724" s="19" t="s">
        <v>66</v>
      </c>
      <c r="BB724" s="17" t="s">
        <v>69</v>
      </c>
      <c r="BC724" s="5" t="s">
        <v>3593</v>
      </c>
      <c r="BD724" s="5" t="s">
        <v>3598</v>
      </c>
    </row>
    <row r="725" spans="1:56" ht="72" hidden="1" x14ac:dyDescent="0.25">
      <c r="A725" s="78" t="s">
        <v>81</v>
      </c>
      <c r="B725" s="5" t="s">
        <v>82</v>
      </c>
      <c r="C725" s="5" t="s">
        <v>3293</v>
      </c>
      <c r="D725" s="5" t="s">
        <v>3595</v>
      </c>
      <c r="E725" s="99" t="str">
        <f>VLOOKUP(D725,'Dropdown List'!$F$26:$G$40,2,0)</f>
        <v>US</v>
      </c>
      <c r="F725" s="6" t="s">
        <v>3583</v>
      </c>
      <c r="G725" s="7">
        <v>1.9</v>
      </c>
      <c r="H725" s="5" t="s">
        <v>85</v>
      </c>
      <c r="I725" s="8" t="s">
        <v>58</v>
      </c>
      <c r="J725" s="6" t="s">
        <v>59</v>
      </c>
      <c r="K725" s="6" t="s">
        <v>142</v>
      </c>
      <c r="L725" s="6" t="s">
        <v>66</v>
      </c>
      <c r="M725" s="6" t="s">
        <v>3596</v>
      </c>
      <c r="N725" s="5" t="s">
        <v>1034</v>
      </c>
      <c r="O725" s="5" t="s">
        <v>74</v>
      </c>
      <c r="P725" s="5" t="s">
        <v>74</v>
      </c>
      <c r="Q725" s="9" t="s">
        <v>62</v>
      </c>
      <c r="R725" s="5" t="s">
        <v>63</v>
      </c>
      <c r="S725" s="5" t="s">
        <v>64</v>
      </c>
      <c r="T725" s="7">
        <v>1</v>
      </c>
      <c r="U725" s="7">
        <v>2</v>
      </c>
      <c r="V725" s="7">
        <v>6</v>
      </c>
      <c r="W725" s="5" t="s">
        <v>143</v>
      </c>
      <c r="X725" s="10" t="s">
        <v>79</v>
      </c>
      <c r="Y725" s="11" t="s">
        <v>66</v>
      </c>
      <c r="Z725" s="12">
        <v>0</v>
      </c>
      <c r="AA725" s="12">
        <v>1</v>
      </c>
      <c r="AB725" s="12">
        <v>1</v>
      </c>
      <c r="AC725" s="13">
        <v>0</v>
      </c>
      <c r="AD725" s="14">
        <f t="shared" si="24"/>
        <v>2</v>
      </c>
      <c r="AE725" s="15">
        <f t="shared" si="25"/>
        <v>0</v>
      </c>
      <c r="AF725" s="16">
        <v>35600</v>
      </c>
      <c r="AG725" s="16" t="s">
        <v>66</v>
      </c>
      <c r="AH725" s="17" t="s">
        <v>66</v>
      </c>
      <c r="AI725" s="18" t="s">
        <v>66</v>
      </c>
      <c r="AJ725" s="19" t="s">
        <v>3597</v>
      </c>
      <c r="AK725" s="20" t="s">
        <v>66</v>
      </c>
      <c r="AL725" s="17" t="s">
        <v>65</v>
      </c>
      <c r="AM725" s="5" t="s">
        <v>66</v>
      </c>
      <c r="AN725" s="5" t="s">
        <v>66</v>
      </c>
      <c r="AO725" s="5" t="s">
        <v>3589</v>
      </c>
      <c r="AP725" s="5" t="s">
        <v>3590</v>
      </c>
      <c r="AQ725" s="5" t="s">
        <v>67</v>
      </c>
      <c r="AR725" s="5" t="s">
        <v>3591</v>
      </c>
      <c r="AS725" s="5" t="s">
        <v>3592</v>
      </c>
      <c r="AT725" s="5" t="s">
        <v>66</v>
      </c>
      <c r="AU725" s="5" t="s">
        <v>66</v>
      </c>
      <c r="AV725" s="5" t="s">
        <v>66</v>
      </c>
      <c r="AW725" s="5" t="s">
        <v>66</v>
      </c>
      <c r="AX725" s="5" t="s">
        <v>68</v>
      </c>
      <c r="AY725" s="5" t="s">
        <v>69</v>
      </c>
      <c r="AZ725" s="5" t="s">
        <v>70</v>
      </c>
      <c r="BA725" s="19" t="s">
        <v>66</v>
      </c>
      <c r="BB725" s="17" t="s">
        <v>69</v>
      </c>
      <c r="BC725" s="5" t="s">
        <v>3593</v>
      </c>
      <c r="BD725" s="5" t="s">
        <v>3598</v>
      </c>
    </row>
    <row r="726" spans="1:56" ht="72" hidden="1" x14ac:dyDescent="0.25">
      <c r="A726" s="78" t="s">
        <v>3599</v>
      </c>
      <c r="B726" s="5" t="s">
        <v>3600</v>
      </c>
      <c r="C726" s="5" t="s">
        <v>3293</v>
      </c>
      <c r="D726" s="5" t="s">
        <v>3595</v>
      </c>
      <c r="E726" s="99" t="str">
        <f>VLOOKUP(D726,'Dropdown List'!$F$26:$G$40,2,0)</f>
        <v>US</v>
      </c>
      <c r="F726" s="6" t="s">
        <v>3601</v>
      </c>
      <c r="G726" s="7">
        <v>13</v>
      </c>
      <c r="H726" s="5" t="s">
        <v>85</v>
      </c>
      <c r="I726" s="8" t="s">
        <v>58</v>
      </c>
      <c r="J726" s="6" t="s">
        <v>59</v>
      </c>
      <c r="K726" s="6" t="s">
        <v>142</v>
      </c>
      <c r="L726" s="6" t="s">
        <v>66</v>
      </c>
      <c r="M726" s="6" t="s">
        <v>3602</v>
      </c>
      <c r="N726" s="5" t="s">
        <v>1034</v>
      </c>
      <c r="O726" s="5" t="s">
        <v>61</v>
      </c>
      <c r="P726" s="5" t="s">
        <v>156</v>
      </c>
      <c r="Q726" s="9" t="s">
        <v>62</v>
      </c>
      <c r="R726" s="5" t="s">
        <v>63</v>
      </c>
      <c r="S726" s="5" t="s">
        <v>64</v>
      </c>
      <c r="T726" s="7">
        <v>1</v>
      </c>
      <c r="U726" s="7">
        <v>2</v>
      </c>
      <c r="V726" s="7"/>
      <c r="W726" s="5" t="s">
        <v>143</v>
      </c>
      <c r="X726" s="10" t="s">
        <v>79</v>
      </c>
      <c r="Y726" s="11">
        <v>805000</v>
      </c>
      <c r="Z726" s="12">
        <v>6</v>
      </c>
      <c r="AA726" s="12">
        <v>0</v>
      </c>
      <c r="AB726" s="12">
        <v>0</v>
      </c>
      <c r="AC726" s="13">
        <v>0</v>
      </c>
      <c r="AD726" s="14">
        <f t="shared" si="24"/>
        <v>6</v>
      </c>
      <c r="AE726" s="15">
        <f t="shared" si="25"/>
        <v>0</v>
      </c>
      <c r="AF726" s="16">
        <v>211.75</v>
      </c>
      <c r="AG726" s="16" t="s">
        <v>66</v>
      </c>
      <c r="AH726" s="17" t="s">
        <v>66</v>
      </c>
      <c r="AI726" s="18" t="s">
        <v>66</v>
      </c>
      <c r="AJ726" s="19" t="s">
        <v>3603</v>
      </c>
      <c r="AK726" s="20" t="s">
        <v>66</v>
      </c>
      <c r="AL726" s="17" t="s">
        <v>65</v>
      </c>
      <c r="AM726" s="5" t="s">
        <v>66</v>
      </c>
      <c r="AN726" s="5" t="s">
        <v>66</v>
      </c>
      <c r="AO726" s="5" t="s">
        <v>3589</v>
      </c>
      <c r="AP726" s="5" t="s">
        <v>3590</v>
      </c>
      <c r="AQ726" s="5" t="s">
        <v>67</v>
      </c>
      <c r="AR726" s="5" t="s">
        <v>3591</v>
      </c>
      <c r="AS726" s="5" t="s">
        <v>3592</v>
      </c>
      <c r="AT726" s="5" t="s">
        <v>66</v>
      </c>
      <c r="AU726" s="5" t="s">
        <v>66</v>
      </c>
      <c r="AV726" s="5" t="s">
        <v>66</v>
      </c>
      <c r="AW726" s="5" t="s">
        <v>66</v>
      </c>
      <c r="AX726" s="5" t="s">
        <v>68</v>
      </c>
      <c r="AY726" s="5" t="s">
        <v>69</v>
      </c>
      <c r="AZ726" s="5" t="s">
        <v>70</v>
      </c>
      <c r="BA726" s="19" t="s">
        <v>66</v>
      </c>
      <c r="BB726" s="17" t="s">
        <v>69</v>
      </c>
      <c r="BC726" s="5" t="s">
        <v>3593</v>
      </c>
      <c r="BD726" s="5" t="s">
        <v>3604</v>
      </c>
    </row>
    <row r="727" spans="1:56" ht="72" hidden="1" x14ac:dyDescent="0.25">
      <c r="A727" s="78" t="s">
        <v>3605</v>
      </c>
      <c r="B727" s="5" t="s">
        <v>3600</v>
      </c>
      <c r="C727" s="5" t="s">
        <v>3293</v>
      </c>
      <c r="D727" s="5" t="s">
        <v>3595</v>
      </c>
      <c r="E727" s="99" t="str">
        <f>VLOOKUP(D727,'Dropdown List'!$F$26:$G$40,2,0)</f>
        <v>US</v>
      </c>
      <c r="F727" s="6" t="s">
        <v>3601</v>
      </c>
      <c r="G727" s="7">
        <v>9</v>
      </c>
      <c r="H727" s="5" t="s">
        <v>85</v>
      </c>
      <c r="I727" s="8" t="s">
        <v>58</v>
      </c>
      <c r="J727" s="6" t="s">
        <v>59</v>
      </c>
      <c r="K727" s="6" t="s">
        <v>142</v>
      </c>
      <c r="L727" s="6" t="s">
        <v>66</v>
      </c>
      <c r="M727" s="6" t="s">
        <v>3606</v>
      </c>
      <c r="N727" s="5" t="s">
        <v>1034</v>
      </c>
      <c r="O727" s="5" t="s">
        <v>61</v>
      </c>
      <c r="P727" s="5" t="s">
        <v>156</v>
      </c>
      <c r="Q727" s="9" t="s">
        <v>62</v>
      </c>
      <c r="R727" s="5" t="s">
        <v>63</v>
      </c>
      <c r="S727" s="5" t="s">
        <v>64</v>
      </c>
      <c r="T727" s="7">
        <v>1</v>
      </c>
      <c r="U727" s="7">
        <v>4</v>
      </c>
      <c r="V727" s="7">
        <v>4</v>
      </c>
      <c r="W727" s="5" t="s">
        <v>143</v>
      </c>
      <c r="X727" s="10" t="s">
        <v>79</v>
      </c>
      <c r="Y727" s="11">
        <v>430000</v>
      </c>
      <c r="Z727" s="12">
        <v>0</v>
      </c>
      <c r="AA727" s="12">
        <v>0</v>
      </c>
      <c r="AB727" s="12">
        <v>0.5</v>
      </c>
      <c r="AC727" s="13">
        <v>4</v>
      </c>
      <c r="AD727" s="14">
        <f t="shared" si="24"/>
        <v>4.5</v>
      </c>
      <c r="AE727" s="15">
        <f t="shared" si="25"/>
        <v>0.88888888888888884</v>
      </c>
      <c r="AF727" s="16">
        <v>1402.9166666666667</v>
      </c>
      <c r="AG727" s="16" t="s">
        <v>66</v>
      </c>
      <c r="AH727" s="17" t="s">
        <v>66</v>
      </c>
      <c r="AI727" s="18" t="s">
        <v>66</v>
      </c>
      <c r="AJ727" s="19" t="s">
        <v>3603</v>
      </c>
      <c r="AK727" s="20" t="s">
        <v>66</v>
      </c>
      <c r="AL727" s="17" t="s">
        <v>65</v>
      </c>
      <c r="AM727" s="5" t="s">
        <v>66</v>
      </c>
      <c r="AN727" s="5" t="s">
        <v>66</v>
      </c>
      <c r="AO727" s="5" t="s">
        <v>3589</v>
      </c>
      <c r="AP727" s="5" t="s">
        <v>3590</v>
      </c>
      <c r="AQ727" s="5" t="s">
        <v>67</v>
      </c>
      <c r="AR727" s="5" t="s">
        <v>3591</v>
      </c>
      <c r="AS727" s="5" t="s">
        <v>3592</v>
      </c>
      <c r="AT727" s="5" t="s">
        <v>66</v>
      </c>
      <c r="AU727" s="5" t="s">
        <v>66</v>
      </c>
      <c r="AV727" s="5" t="s">
        <v>66</v>
      </c>
      <c r="AW727" s="5" t="s">
        <v>66</v>
      </c>
      <c r="AX727" s="5" t="s">
        <v>68</v>
      </c>
      <c r="AY727" s="5" t="s">
        <v>69</v>
      </c>
      <c r="AZ727" s="5" t="s">
        <v>70</v>
      </c>
      <c r="BA727" s="19" t="s">
        <v>66</v>
      </c>
      <c r="BB727" s="17" t="s">
        <v>69</v>
      </c>
      <c r="BC727" s="5" t="s">
        <v>3593</v>
      </c>
      <c r="BD727" s="5" t="s">
        <v>3604</v>
      </c>
    </row>
    <row r="728" spans="1:56" ht="72" hidden="1" x14ac:dyDescent="0.25">
      <c r="A728" s="78" t="s">
        <v>3607</v>
      </c>
      <c r="B728" s="5" t="s">
        <v>3608</v>
      </c>
      <c r="C728" s="5" t="s">
        <v>3293</v>
      </c>
      <c r="D728" s="5" t="s">
        <v>56</v>
      </c>
      <c r="E728" s="99" t="str">
        <f>VLOOKUP(D728,'Dropdown List'!$F$26:$G$40,2,0)</f>
        <v>India</v>
      </c>
      <c r="F728" s="6" t="s">
        <v>3583</v>
      </c>
      <c r="G728" s="7">
        <v>13</v>
      </c>
      <c r="H728" s="5" t="s">
        <v>57</v>
      </c>
      <c r="I728" s="8" t="s">
        <v>58</v>
      </c>
      <c r="J728" s="6" t="s">
        <v>59</v>
      </c>
      <c r="K728" s="6" t="s">
        <v>487</v>
      </c>
      <c r="L728" s="6" t="s">
        <v>66</v>
      </c>
      <c r="M728" s="6" t="s">
        <v>3609</v>
      </c>
      <c r="N728" s="5" t="s">
        <v>1034</v>
      </c>
      <c r="O728" s="5" t="s">
        <v>61</v>
      </c>
      <c r="P728" s="5" t="s">
        <v>156</v>
      </c>
      <c r="Q728" s="9" t="s">
        <v>62</v>
      </c>
      <c r="R728" s="5" t="s">
        <v>63</v>
      </c>
      <c r="S728" s="5" t="s">
        <v>64</v>
      </c>
      <c r="T728" s="7">
        <v>1</v>
      </c>
      <c r="U728" s="7">
        <v>4</v>
      </c>
      <c r="V728" s="7">
        <v>4</v>
      </c>
      <c r="W728" s="5" t="s">
        <v>143</v>
      </c>
      <c r="X728" s="10" t="s">
        <v>79</v>
      </c>
      <c r="Y728" s="11" t="s">
        <v>3610</v>
      </c>
      <c r="Z728" s="12">
        <v>0</v>
      </c>
      <c r="AA728" s="12">
        <v>0</v>
      </c>
      <c r="AB728" s="12">
        <v>0</v>
      </c>
      <c r="AC728" s="13">
        <v>5</v>
      </c>
      <c r="AD728" s="14">
        <f t="shared" si="24"/>
        <v>5</v>
      </c>
      <c r="AE728" s="15">
        <f t="shared" si="25"/>
        <v>1</v>
      </c>
      <c r="AF728" s="16" t="s">
        <v>3611</v>
      </c>
      <c r="AG728" s="16" t="s">
        <v>66</v>
      </c>
      <c r="AH728" s="17" t="s">
        <v>66</v>
      </c>
      <c r="AI728" s="18" t="s">
        <v>66</v>
      </c>
      <c r="AJ728" s="19" t="s">
        <v>3603</v>
      </c>
      <c r="AK728" s="20" t="s">
        <v>66</v>
      </c>
      <c r="AL728" s="17" t="s">
        <v>65</v>
      </c>
      <c r="AM728" s="5" t="s">
        <v>66</v>
      </c>
      <c r="AN728" s="5" t="s">
        <v>66</v>
      </c>
      <c r="AO728" s="5" t="s">
        <v>3589</v>
      </c>
      <c r="AP728" s="5" t="s">
        <v>3590</v>
      </c>
      <c r="AQ728" s="5" t="s">
        <v>67</v>
      </c>
      <c r="AR728" s="5" t="s">
        <v>3591</v>
      </c>
      <c r="AS728" s="5" t="s">
        <v>3592</v>
      </c>
      <c r="AT728" s="5" t="s">
        <v>66</v>
      </c>
      <c r="AU728" s="5" t="s">
        <v>66</v>
      </c>
      <c r="AV728" s="5" t="s">
        <v>66</v>
      </c>
      <c r="AW728" s="5" t="s">
        <v>66</v>
      </c>
      <c r="AX728" s="5" t="s">
        <v>68</v>
      </c>
      <c r="AY728" s="5" t="s">
        <v>69</v>
      </c>
      <c r="AZ728" s="5" t="s">
        <v>70</v>
      </c>
      <c r="BA728" s="19" t="s">
        <v>66</v>
      </c>
      <c r="BB728" s="17" t="s">
        <v>69</v>
      </c>
      <c r="BC728" s="5" t="s">
        <v>3593</v>
      </c>
      <c r="BD728" s="5" t="s">
        <v>3604</v>
      </c>
    </row>
    <row r="729" spans="1:56" ht="60" hidden="1" x14ac:dyDescent="0.25">
      <c r="A729" s="78" t="s">
        <v>3607</v>
      </c>
      <c r="B729" s="5" t="s">
        <v>3608</v>
      </c>
      <c r="C729" s="5" t="s">
        <v>3293</v>
      </c>
      <c r="D729" s="5" t="s">
        <v>3595</v>
      </c>
      <c r="E729" s="99" t="str">
        <f>VLOOKUP(D729,'Dropdown List'!$F$26:$G$40,2,0)</f>
        <v>US</v>
      </c>
      <c r="F729" s="6" t="s">
        <v>3583</v>
      </c>
      <c r="G729" s="7">
        <v>13</v>
      </c>
      <c r="H729" s="5" t="s">
        <v>57</v>
      </c>
      <c r="I729" s="8" t="s">
        <v>58</v>
      </c>
      <c r="J729" s="6" t="s">
        <v>59</v>
      </c>
      <c r="K729" s="6" t="s">
        <v>142</v>
      </c>
      <c r="L729" s="6" t="s">
        <v>66</v>
      </c>
      <c r="M729" s="6" t="s">
        <v>3612</v>
      </c>
      <c r="N729" s="5" t="s">
        <v>1034</v>
      </c>
      <c r="O729" s="5" t="s">
        <v>61</v>
      </c>
      <c r="P729" s="5" t="s">
        <v>156</v>
      </c>
      <c r="Q729" s="9" t="s">
        <v>62</v>
      </c>
      <c r="R729" s="5" t="s">
        <v>63</v>
      </c>
      <c r="S729" s="5" t="s">
        <v>64</v>
      </c>
      <c r="T729" s="7">
        <v>1</v>
      </c>
      <c r="U729" s="7">
        <v>4</v>
      </c>
      <c r="V729" s="7">
        <v>4</v>
      </c>
      <c r="W729" s="5" t="s">
        <v>143</v>
      </c>
      <c r="X729" s="10" t="s">
        <v>79</v>
      </c>
      <c r="Y729" s="11" t="s">
        <v>3610</v>
      </c>
      <c r="Z729" s="12">
        <v>0</v>
      </c>
      <c r="AA729" s="12">
        <v>0</v>
      </c>
      <c r="AB729" s="12">
        <v>0</v>
      </c>
      <c r="AC729" s="13">
        <v>2</v>
      </c>
      <c r="AD729" s="14">
        <f t="shared" si="24"/>
        <v>2</v>
      </c>
      <c r="AE729" s="15">
        <f t="shared" si="25"/>
        <v>1</v>
      </c>
      <c r="AF729" s="16"/>
      <c r="AG729" s="16" t="s">
        <v>66</v>
      </c>
      <c r="AH729" s="17" t="s">
        <v>66</v>
      </c>
      <c r="AI729" s="18" t="s">
        <v>66</v>
      </c>
      <c r="AJ729" s="19" t="s">
        <v>3603</v>
      </c>
      <c r="AK729" s="20" t="s">
        <v>66</v>
      </c>
      <c r="AL729" s="17" t="s">
        <v>65</v>
      </c>
      <c r="AM729" s="5" t="s">
        <v>66</v>
      </c>
      <c r="AN729" s="5" t="s">
        <v>66</v>
      </c>
      <c r="AO729" s="5" t="s">
        <v>3589</v>
      </c>
      <c r="AP729" s="5" t="s">
        <v>3590</v>
      </c>
      <c r="AQ729" s="5" t="s">
        <v>67</v>
      </c>
      <c r="AR729" s="5" t="s">
        <v>3613</v>
      </c>
      <c r="AS729" s="5" t="s">
        <v>3592</v>
      </c>
      <c r="AT729" s="5" t="s">
        <v>66</v>
      </c>
      <c r="AU729" s="5" t="s">
        <v>66</v>
      </c>
      <c r="AV729" s="5" t="s">
        <v>66</v>
      </c>
      <c r="AW729" s="5" t="s">
        <v>66</v>
      </c>
      <c r="AX729" s="5" t="s">
        <v>68</v>
      </c>
      <c r="AY729" s="5" t="s">
        <v>69</v>
      </c>
      <c r="AZ729" s="5" t="s">
        <v>70</v>
      </c>
      <c r="BA729" s="19" t="s">
        <v>66</v>
      </c>
      <c r="BB729" s="17" t="s">
        <v>69</v>
      </c>
      <c r="BC729" s="5" t="s">
        <v>3593</v>
      </c>
      <c r="BD729" s="5" t="s">
        <v>3604</v>
      </c>
    </row>
    <row r="730" spans="1:56" ht="72" hidden="1" x14ac:dyDescent="0.25">
      <c r="A730" s="78" t="s">
        <v>3614</v>
      </c>
      <c r="B730" s="5" t="s">
        <v>3608</v>
      </c>
      <c r="C730" s="5" t="s">
        <v>3293</v>
      </c>
      <c r="D730" s="5" t="s">
        <v>3595</v>
      </c>
      <c r="E730" s="99" t="str">
        <f>VLOOKUP(D730,'Dropdown List'!$F$26:$G$40,2,0)</f>
        <v>US</v>
      </c>
      <c r="F730" s="6" t="s">
        <v>3601</v>
      </c>
      <c r="G730" s="7">
        <v>12</v>
      </c>
      <c r="H730" s="5" t="s">
        <v>57</v>
      </c>
      <c r="I730" s="8" t="s">
        <v>58</v>
      </c>
      <c r="J730" s="6" t="s">
        <v>59</v>
      </c>
      <c r="K730" s="6" t="s">
        <v>142</v>
      </c>
      <c r="L730" s="6" t="s">
        <v>66</v>
      </c>
      <c r="M730" s="6" t="s">
        <v>3615</v>
      </c>
      <c r="N730" s="5" t="s">
        <v>319</v>
      </c>
      <c r="O730" s="5" t="s">
        <v>74</v>
      </c>
      <c r="P730" s="5" t="s">
        <v>74</v>
      </c>
      <c r="Q730" s="9" t="s">
        <v>62</v>
      </c>
      <c r="R730" s="5" t="s">
        <v>63</v>
      </c>
      <c r="S730" s="5" t="s">
        <v>64</v>
      </c>
      <c r="T730" s="7">
        <v>1</v>
      </c>
      <c r="U730" s="7">
        <v>2</v>
      </c>
      <c r="V730" s="7">
        <v>6</v>
      </c>
      <c r="W730" s="5" t="s">
        <v>143</v>
      </c>
      <c r="X730" s="10" t="s">
        <v>79</v>
      </c>
      <c r="Y730" s="11" t="s">
        <v>3616</v>
      </c>
      <c r="Z730" s="12">
        <v>0</v>
      </c>
      <c r="AA730" s="12">
        <v>0</v>
      </c>
      <c r="AB730" s="12">
        <v>0</v>
      </c>
      <c r="AC730" s="13">
        <v>40</v>
      </c>
      <c r="AD730" s="14">
        <f t="shared" si="24"/>
        <v>40</v>
      </c>
      <c r="AE730" s="15">
        <f t="shared" si="25"/>
        <v>1</v>
      </c>
      <c r="AF730" s="16">
        <v>20000</v>
      </c>
      <c r="AG730" s="16" t="s">
        <v>66</v>
      </c>
      <c r="AH730" s="17" t="s">
        <v>66</v>
      </c>
      <c r="AI730" s="18" t="s">
        <v>66</v>
      </c>
      <c r="AJ730" s="19" t="s">
        <v>3617</v>
      </c>
      <c r="AK730" s="20" t="s">
        <v>66</v>
      </c>
      <c r="AL730" s="17" t="s">
        <v>65</v>
      </c>
      <c r="AM730" s="5" t="s">
        <v>66</v>
      </c>
      <c r="AN730" s="5" t="s">
        <v>66</v>
      </c>
      <c r="AO730" s="5" t="s">
        <v>3589</v>
      </c>
      <c r="AP730" s="5" t="s">
        <v>3590</v>
      </c>
      <c r="AQ730" s="5" t="s">
        <v>67</v>
      </c>
      <c r="AR730" s="5" t="s">
        <v>3591</v>
      </c>
      <c r="AS730" s="5" t="s">
        <v>3592</v>
      </c>
      <c r="AT730" s="5" t="s">
        <v>66</v>
      </c>
      <c r="AU730" s="5" t="s">
        <v>66</v>
      </c>
      <c r="AV730" s="5" t="s">
        <v>66</v>
      </c>
      <c r="AW730" s="5" t="s">
        <v>66</v>
      </c>
      <c r="AX730" s="5" t="s">
        <v>68</v>
      </c>
      <c r="AY730" s="5" t="s">
        <v>69</v>
      </c>
      <c r="AZ730" s="5" t="s">
        <v>70</v>
      </c>
      <c r="BA730" s="19" t="s">
        <v>66</v>
      </c>
      <c r="BB730" s="17" t="s">
        <v>69</v>
      </c>
      <c r="BC730" s="5" t="s">
        <v>3593</v>
      </c>
      <c r="BD730" s="5" t="s">
        <v>3618</v>
      </c>
    </row>
    <row r="731" spans="1:56" ht="48" hidden="1" x14ac:dyDescent="0.25">
      <c r="A731" s="78" t="s">
        <v>1749</v>
      </c>
      <c r="B731" s="5" t="s">
        <v>1750</v>
      </c>
      <c r="C731" s="5" t="s">
        <v>3293</v>
      </c>
      <c r="D731" s="5" t="s">
        <v>56</v>
      </c>
      <c r="E731" s="99" t="str">
        <f>VLOOKUP(D731,'Dropdown List'!$F$26:$G$40,2,0)</f>
        <v>India</v>
      </c>
      <c r="F731" s="6" t="s">
        <v>3601</v>
      </c>
      <c r="G731" s="7">
        <v>0</v>
      </c>
      <c r="H731" s="5" t="s">
        <v>57</v>
      </c>
      <c r="I731" s="8" t="s">
        <v>58</v>
      </c>
      <c r="J731" s="6" t="s">
        <v>59</v>
      </c>
      <c r="K731" s="6" t="s">
        <v>487</v>
      </c>
      <c r="L731" s="6" t="s">
        <v>3619</v>
      </c>
      <c r="M731" s="6" t="s">
        <v>3620</v>
      </c>
      <c r="N731" s="5" t="s">
        <v>319</v>
      </c>
      <c r="O731" s="5" t="s">
        <v>89</v>
      </c>
      <c r="P731" s="5" t="s">
        <v>89</v>
      </c>
      <c r="Q731" s="9" t="s">
        <v>62</v>
      </c>
      <c r="R731" s="5" t="s">
        <v>63</v>
      </c>
      <c r="S731" s="5" t="s">
        <v>64</v>
      </c>
      <c r="T731" s="7">
        <v>1</v>
      </c>
      <c r="U731" s="7">
        <v>6</v>
      </c>
      <c r="V731" s="7">
        <v>4</v>
      </c>
      <c r="W731" s="5" t="s">
        <v>91</v>
      </c>
      <c r="X731" s="10" t="s">
        <v>79</v>
      </c>
      <c r="Y731" s="11" t="s">
        <v>3621</v>
      </c>
      <c r="Z731" s="12">
        <v>36.700000000000003</v>
      </c>
      <c r="AA731" s="12">
        <v>8</v>
      </c>
      <c r="AB731" s="12">
        <v>3</v>
      </c>
      <c r="AC731" s="13">
        <v>10</v>
      </c>
      <c r="AD731" s="14">
        <f t="shared" si="24"/>
        <v>57.7</v>
      </c>
      <c r="AE731" s="15">
        <f t="shared" si="25"/>
        <v>0.17331022530329288</v>
      </c>
      <c r="AF731" s="16">
        <v>50000</v>
      </c>
      <c r="AG731" s="16" t="s">
        <v>66</v>
      </c>
      <c r="AH731" s="17" t="s">
        <v>66</v>
      </c>
      <c r="AI731" s="18" t="s">
        <v>3622</v>
      </c>
      <c r="AJ731" s="19" t="s">
        <v>3623</v>
      </c>
      <c r="AK731" s="20">
        <v>0.95</v>
      </c>
      <c r="AL731" s="17" t="s">
        <v>261</v>
      </c>
      <c r="AM731" s="5" t="s">
        <v>66</v>
      </c>
      <c r="AN731" s="5" t="s">
        <v>66</v>
      </c>
      <c r="AO731" s="5" t="s">
        <v>66</v>
      </c>
      <c r="AP731" s="5" t="s">
        <v>3590</v>
      </c>
      <c r="AQ731" s="5" t="s">
        <v>3624</v>
      </c>
      <c r="AR731" s="5"/>
      <c r="AS731" s="5"/>
      <c r="AT731" s="5"/>
      <c r="AU731" s="5"/>
      <c r="AV731" s="5"/>
      <c r="AW731" s="5"/>
      <c r="AX731" s="5" t="s">
        <v>68</v>
      </c>
      <c r="AY731" s="5" t="s">
        <v>69</v>
      </c>
      <c r="AZ731" s="5" t="s">
        <v>70</v>
      </c>
      <c r="BA731" s="19" t="s">
        <v>66</v>
      </c>
      <c r="BB731" s="17" t="s">
        <v>69</v>
      </c>
      <c r="BC731" s="5" t="s">
        <v>3593</v>
      </c>
      <c r="BD731" s="5" t="s">
        <v>2632</v>
      </c>
    </row>
    <row r="732" spans="1:56" ht="72" hidden="1" x14ac:dyDescent="0.25">
      <c r="A732" s="78" t="s">
        <v>473</v>
      </c>
      <c r="B732" s="5" t="s">
        <v>82</v>
      </c>
      <c r="C732" s="5" t="s">
        <v>3293</v>
      </c>
      <c r="D732" s="5" t="s">
        <v>56</v>
      </c>
      <c r="E732" s="99" t="str">
        <f>VLOOKUP(D732,'Dropdown List'!$F$26:$G$40,2,0)</f>
        <v>India</v>
      </c>
      <c r="F732" s="6" t="s">
        <v>3601</v>
      </c>
      <c r="G732" s="7">
        <v>2</v>
      </c>
      <c r="H732" s="5" t="s">
        <v>57</v>
      </c>
      <c r="I732" s="8" t="s">
        <v>58</v>
      </c>
      <c r="J732" s="6" t="s">
        <v>59</v>
      </c>
      <c r="K732" s="6" t="s">
        <v>142</v>
      </c>
      <c r="L732" s="6" t="s">
        <v>66</v>
      </c>
      <c r="M732" s="6" t="s">
        <v>3625</v>
      </c>
      <c r="N732" s="5" t="s">
        <v>319</v>
      </c>
      <c r="O732" s="5" t="s">
        <v>89</v>
      </c>
      <c r="P732" s="5" t="s">
        <v>89</v>
      </c>
      <c r="Q732" s="9" t="s">
        <v>62</v>
      </c>
      <c r="R732" s="5" t="s">
        <v>63</v>
      </c>
      <c r="S732" s="5" t="s">
        <v>64</v>
      </c>
      <c r="T732" s="7">
        <v>1</v>
      </c>
      <c r="U732" s="7">
        <v>4</v>
      </c>
      <c r="V732" s="7">
        <v>4</v>
      </c>
      <c r="W732" s="5" t="s">
        <v>143</v>
      </c>
      <c r="X732" s="10" t="s">
        <v>79</v>
      </c>
      <c r="Y732" s="11" t="s">
        <v>3626</v>
      </c>
      <c r="Z732" s="12">
        <v>0</v>
      </c>
      <c r="AA732" s="12">
        <v>0</v>
      </c>
      <c r="AB732" s="12">
        <v>0</v>
      </c>
      <c r="AC732" s="13">
        <v>50</v>
      </c>
      <c r="AD732" s="14">
        <f t="shared" si="24"/>
        <v>50</v>
      </c>
      <c r="AE732" s="15">
        <f t="shared" si="25"/>
        <v>1</v>
      </c>
      <c r="AF732" s="16">
        <v>2000</v>
      </c>
      <c r="AG732" s="16" t="s">
        <v>66</v>
      </c>
      <c r="AH732" s="17" t="s">
        <v>66</v>
      </c>
      <c r="AI732" s="18" t="s">
        <v>66</v>
      </c>
      <c r="AJ732" s="19" t="s">
        <v>66</v>
      </c>
      <c r="AK732" s="20" t="s">
        <v>66</v>
      </c>
      <c r="AL732" s="17" t="s">
        <v>65</v>
      </c>
      <c r="AM732" s="5" t="s">
        <v>66</v>
      </c>
      <c r="AN732" s="5" t="s">
        <v>66</v>
      </c>
      <c r="AO732" s="5" t="s">
        <v>3589</v>
      </c>
      <c r="AP732" s="5" t="s">
        <v>3590</v>
      </c>
      <c r="AQ732" s="5" t="s">
        <v>67</v>
      </c>
      <c r="AR732" s="5" t="s">
        <v>3591</v>
      </c>
      <c r="AS732" s="5" t="s">
        <v>3592</v>
      </c>
      <c r="AT732" s="5" t="s">
        <v>66</v>
      </c>
      <c r="AU732" s="5" t="s">
        <v>66</v>
      </c>
      <c r="AV732" s="5" t="s">
        <v>66</v>
      </c>
      <c r="AW732" s="5" t="s">
        <v>66</v>
      </c>
      <c r="AX732" s="5" t="s">
        <v>68</v>
      </c>
      <c r="AY732" s="5" t="s">
        <v>69</v>
      </c>
      <c r="AZ732" s="5" t="s">
        <v>70</v>
      </c>
      <c r="BA732" s="19" t="s">
        <v>66</v>
      </c>
      <c r="BB732" s="17" t="s">
        <v>69</v>
      </c>
      <c r="BC732" s="5" t="s">
        <v>3593</v>
      </c>
      <c r="BD732" s="5" t="s">
        <v>3618</v>
      </c>
    </row>
    <row r="733" spans="1:56" ht="72" hidden="1" x14ac:dyDescent="0.25">
      <c r="A733" s="78" t="s">
        <v>3627</v>
      </c>
      <c r="B733" s="5" t="s">
        <v>3628</v>
      </c>
      <c r="C733" s="5" t="s">
        <v>3293</v>
      </c>
      <c r="D733" s="5" t="s">
        <v>56</v>
      </c>
      <c r="E733" s="99" t="str">
        <f>VLOOKUP(D733,'Dropdown List'!$F$26:$G$40,2,0)</f>
        <v>India</v>
      </c>
      <c r="F733" s="6" t="s">
        <v>3583</v>
      </c>
      <c r="G733" s="7">
        <v>20</v>
      </c>
      <c r="H733" s="5" t="s">
        <v>57</v>
      </c>
      <c r="I733" s="8" t="s">
        <v>58</v>
      </c>
      <c r="J733" s="6" t="s">
        <v>59</v>
      </c>
      <c r="K733" s="6" t="s">
        <v>60</v>
      </c>
      <c r="L733" s="6" t="s">
        <v>3629</v>
      </c>
      <c r="M733" s="6" t="s">
        <v>3630</v>
      </c>
      <c r="N733" s="5" t="s">
        <v>319</v>
      </c>
      <c r="O733" s="5" t="s">
        <v>2082</v>
      </c>
      <c r="P733" s="5" t="s">
        <v>3631</v>
      </c>
      <c r="Q733" s="9" t="s">
        <v>62</v>
      </c>
      <c r="R733" s="5" t="s">
        <v>63</v>
      </c>
      <c r="S733" s="5" t="s">
        <v>64</v>
      </c>
      <c r="T733" s="7">
        <v>1</v>
      </c>
      <c r="U733" s="7">
        <v>1</v>
      </c>
      <c r="V733" s="7">
        <v>1</v>
      </c>
      <c r="W733" s="5" t="s">
        <v>143</v>
      </c>
      <c r="X733" s="10" t="s">
        <v>79</v>
      </c>
      <c r="Y733" s="11" t="s">
        <v>3632</v>
      </c>
      <c r="Z733" s="12">
        <v>3</v>
      </c>
      <c r="AA733" s="12">
        <v>0</v>
      </c>
      <c r="AB733" s="12">
        <v>0</v>
      </c>
      <c r="AC733" s="13">
        <v>0</v>
      </c>
      <c r="AD733" s="14">
        <f t="shared" si="24"/>
        <v>3</v>
      </c>
      <c r="AE733" s="15">
        <f t="shared" si="25"/>
        <v>0</v>
      </c>
      <c r="AF733" s="16" t="s">
        <v>3633</v>
      </c>
      <c r="AG733" s="16" t="s">
        <v>66</v>
      </c>
      <c r="AH733" s="17" t="s">
        <v>66</v>
      </c>
      <c r="AI733" s="18" t="s">
        <v>66</v>
      </c>
      <c r="AJ733" s="19" t="s">
        <v>66</v>
      </c>
      <c r="AK733" s="20" t="s">
        <v>66</v>
      </c>
      <c r="AL733" s="17" t="s">
        <v>65</v>
      </c>
      <c r="AM733" s="5" t="s">
        <v>66</v>
      </c>
      <c r="AN733" s="5" t="s">
        <v>66</v>
      </c>
      <c r="AO733" s="5" t="s">
        <v>3634</v>
      </c>
      <c r="AP733" s="5" t="s">
        <v>3590</v>
      </c>
      <c r="AQ733" s="5" t="s">
        <v>67</v>
      </c>
      <c r="AR733" s="5" t="s">
        <v>3591</v>
      </c>
      <c r="AS733" s="5" t="s">
        <v>3592</v>
      </c>
      <c r="AT733" s="5" t="s">
        <v>66</v>
      </c>
      <c r="AU733" s="5" t="s">
        <v>66</v>
      </c>
      <c r="AV733" s="5" t="s">
        <v>66</v>
      </c>
      <c r="AW733" s="5" t="s">
        <v>66</v>
      </c>
      <c r="AX733" s="5" t="s">
        <v>68</v>
      </c>
      <c r="AY733" s="5" t="s">
        <v>69</v>
      </c>
      <c r="AZ733" s="5" t="s">
        <v>80</v>
      </c>
      <c r="BA733" s="19" t="s">
        <v>66</v>
      </c>
      <c r="BB733" s="17" t="s">
        <v>69</v>
      </c>
      <c r="BC733" s="5" t="s">
        <v>3593</v>
      </c>
      <c r="BD733" s="5" t="s">
        <v>3618</v>
      </c>
    </row>
    <row r="734" spans="1:56" ht="72" hidden="1" x14ac:dyDescent="0.25">
      <c r="A734" s="78" t="s">
        <v>3627</v>
      </c>
      <c r="B734" s="5" t="s">
        <v>3628</v>
      </c>
      <c r="C734" s="5" t="s">
        <v>3293</v>
      </c>
      <c r="D734" s="5" t="s">
        <v>3595</v>
      </c>
      <c r="E734" s="99" t="str">
        <f>VLOOKUP(D734,'Dropdown List'!$F$26:$G$40,2,0)</f>
        <v>US</v>
      </c>
      <c r="F734" s="6" t="s">
        <v>3583</v>
      </c>
      <c r="G734" s="7">
        <v>20</v>
      </c>
      <c r="H734" s="5" t="s">
        <v>57</v>
      </c>
      <c r="I734" s="8" t="s">
        <v>58</v>
      </c>
      <c r="J734" s="6" t="s">
        <v>59</v>
      </c>
      <c r="K734" s="6" t="s">
        <v>60</v>
      </c>
      <c r="L734" s="6" t="s">
        <v>3629</v>
      </c>
      <c r="M734" s="6" t="s">
        <v>3630</v>
      </c>
      <c r="N734" s="5" t="s">
        <v>319</v>
      </c>
      <c r="O734" s="5" t="s">
        <v>2082</v>
      </c>
      <c r="P734" s="5" t="s">
        <v>3631</v>
      </c>
      <c r="Q734" s="9" t="s">
        <v>62</v>
      </c>
      <c r="R734" s="5" t="s">
        <v>63</v>
      </c>
      <c r="S734" s="5" t="s">
        <v>64</v>
      </c>
      <c r="T734" s="7">
        <v>1</v>
      </c>
      <c r="U734" s="7">
        <v>1</v>
      </c>
      <c r="V734" s="7">
        <v>1</v>
      </c>
      <c r="W734" s="5" t="s">
        <v>143</v>
      </c>
      <c r="X734" s="10" t="s">
        <v>79</v>
      </c>
      <c r="Y734" s="11" t="s">
        <v>3632</v>
      </c>
      <c r="Z734" s="12">
        <v>1</v>
      </c>
      <c r="AA734" s="12">
        <v>0</v>
      </c>
      <c r="AB734" s="12">
        <v>0</v>
      </c>
      <c r="AC734" s="13">
        <v>0</v>
      </c>
      <c r="AD734" s="14">
        <f t="shared" si="24"/>
        <v>1</v>
      </c>
      <c r="AE734" s="15">
        <f t="shared" si="25"/>
        <v>0</v>
      </c>
      <c r="AF734" s="16" t="s">
        <v>3633</v>
      </c>
      <c r="AG734" s="16" t="s">
        <v>66</v>
      </c>
      <c r="AH734" s="17" t="s">
        <v>66</v>
      </c>
      <c r="AI734" s="18" t="s">
        <v>66</v>
      </c>
      <c r="AJ734" s="19" t="s">
        <v>66</v>
      </c>
      <c r="AK734" s="20" t="s">
        <v>66</v>
      </c>
      <c r="AL734" s="17" t="s">
        <v>65</v>
      </c>
      <c r="AM734" s="5" t="s">
        <v>66</v>
      </c>
      <c r="AN734" s="5" t="s">
        <v>66</v>
      </c>
      <c r="AO734" s="5" t="s">
        <v>3634</v>
      </c>
      <c r="AP734" s="5" t="s">
        <v>3590</v>
      </c>
      <c r="AQ734" s="5" t="s">
        <v>67</v>
      </c>
      <c r="AR734" s="5" t="s">
        <v>3591</v>
      </c>
      <c r="AS734" s="5" t="s">
        <v>3592</v>
      </c>
      <c r="AT734" s="5" t="s">
        <v>66</v>
      </c>
      <c r="AU734" s="5" t="s">
        <v>66</v>
      </c>
      <c r="AV734" s="5" t="s">
        <v>66</v>
      </c>
      <c r="AW734" s="5" t="s">
        <v>66</v>
      </c>
      <c r="AX734" s="5" t="s">
        <v>68</v>
      </c>
      <c r="AY734" s="5" t="s">
        <v>69</v>
      </c>
      <c r="AZ734" s="5" t="s">
        <v>80</v>
      </c>
      <c r="BA734" s="19" t="s">
        <v>66</v>
      </c>
      <c r="BB734" s="17" t="s">
        <v>69</v>
      </c>
      <c r="BC734" s="5" t="s">
        <v>3593</v>
      </c>
      <c r="BD734" s="5" t="s">
        <v>3618</v>
      </c>
    </row>
    <row r="735" spans="1:56" ht="72" hidden="1" x14ac:dyDescent="0.25">
      <c r="A735" s="78" t="s">
        <v>3627</v>
      </c>
      <c r="B735" s="5" t="s">
        <v>3628</v>
      </c>
      <c r="C735" s="5" t="s">
        <v>3293</v>
      </c>
      <c r="D735" s="5" t="s">
        <v>56</v>
      </c>
      <c r="E735" s="99" t="str">
        <f>VLOOKUP(D735,'Dropdown List'!$F$26:$G$40,2,0)</f>
        <v>India</v>
      </c>
      <c r="F735" s="6" t="s">
        <v>3583</v>
      </c>
      <c r="G735" s="7">
        <v>20</v>
      </c>
      <c r="H735" s="5" t="s">
        <v>57</v>
      </c>
      <c r="I735" s="8" t="s">
        <v>58</v>
      </c>
      <c r="J735" s="6" t="s">
        <v>59</v>
      </c>
      <c r="K735" s="6" t="s">
        <v>142</v>
      </c>
      <c r="L735" s="6" t="s">
        <v>3635</v>
      </c>
      <c r="M735" s="6" t="s">
        <v>3636</v>
      </c>
      <c r="N735" s="5" t="s">
        <v>319</v>
      </c>
      <c r="O735" s="5" t="s">
        <v>89</v>
      </c>
      <c r="P735" s="5" t="s">
        <v>89</v>
      </c>
      <c r="Q735" s="9" t="s">
        <v>62</v>
      </c>
      <c r="R735" s="5" t="s">
        <v>76</v>
      </c>
      <c r="S735" s="5" t="s">
        <v>64</v>
      </c>
      <c r="T735" s="7">
        <v>1</v>
      </c>
      <c r="U735" s="7">
        <v>3</v>
      </c>
      <c r="V735" s="7">
        <v>8</v>
      </c>
      <c r="W735" s="5" t="s">
        <v>78</v>
      </c>
      <c r="X735" s="10" t="s">
        <v>79</v>
      </c>
      <c r="Y735" s="11" t="s">
        <v>3637</v>
      </c>
      <c r="Z735" s="12">
        <v>5</v>
      </c>
      <c r="AA735" s="12">
        <v>0</v>
      </c>
      <c r="AB735" s="12">
        <v>0</v>
      </c>
      <c r="AC735" s="13">
        <v>0</v>
      </c>
      <c r="AD735" s="14">
        <f t="shared" si="24"/>
        <v>5</v>
      </c>
      <c r="AE735" s="15">
        <f t="shared" si="25"/>
        <v>0</v>
      </c>
      <c r="AF735" s="16" t="s">
        <v>3638</v>
      </c>
      <c r="AG735" s="16" t="s">
        <v>66</v>
      </c>
      <c r="AH735" s="17" t="s">
        <v>66</v>
      </c>
      <c r="AI735" s="18" t="s">
        <v>66</v>
      </c>
      <c r="AJ735" s="19" t="s">
        <v>66</v>
      </c>
      <c r="AK735" s="20" t="s">
        <v>66</v>
      </c>
      <c r="AL735" s="17" t="s">
        <v>65</v>
      </c>
      <c r="AM735" s="5" t="s">
        <v>66</v>
      </c>
      <c r="AN735" s="5" t="s">
        <v>66</v>
      </c>
      <c r="AO735" s="5" t="s">
        <v>3639</v>
      </c>
      <c r="AP735" s="5" t="s">
        <v>3590</v>
      </c>
      <c r="AQ735" s="5" t="s">
        <v>67</v>
      </c>
      <c r="AR735" s="5" t="s">
        <v>3591</v>
      </c>
      <c r="AS735" s="5" t="s">
        <v>3592</v>
      </c>
      <c r="AT735" s="5" t="s">
        <v>66</v>
      </c>
      <c r="AU735" s="5" t="s">
        <v>66</v>
      </c>
      <c r="AV735" s="5" t="s">
        <v>66</v>
      </c>
      <c r="AW735" s="5" t="s">
        <v>66</v>
      </c>
      <c r="AX735" s="5" t="s">
        <v>68</v>
      </c>
      <c r="AY735" s="5" t="s">
        <v>69</v>
      </c>
      <c r="AZ735" s="5" t="s">
        <v>80</v>
      </c>
      <c r="BA735" s="19" t="s">
        <v>66</v>
      </c>
      <c r="BB735" s="17" t="s">
        <v>69</v>
      </c>
      <c r="BC735" s="5" t="s">
        <v>3593</v>
      </c>
      <c r="BD735" s="5" t="s">
        <v>3618</v>
      </c>
    </row>
    <row r="736" spans="1:56" ht="72" hidden="1" x14ac:dyDescent="0.25">
      <c r="A736" s="78" t="s">
        <v>3627</v>
      </c>
      <c r="B736" s="5" t="s">
        <v>3628</v>
      </c>
      <c r="C736" s="5" t="s">
        <v>3293</v>
      </c>
      <c r="D736" s="5" t="s">
        <v>3595</v>
      </c>
      <c r="E736" s="99" t="str">
        <f>VLOOKUP(D736,'Dropdown List'!$F$26:$G$40,2,0)</f>
        <v>US</v>
      </c>
      <c r="F736" s="6" t="s">
        <v>3583</v>
      </c>
      <c r="G736" s="7">
        <v>20</v>
      </c>
      <c r="H736" s="5" t="s">
        <v>57</v>
      </c>
      <c r="I736" s="8" t="s">
        <v>58</v>
      </c>
      <c r="J736" s="6" t="s">
        <v>59</v>
      </c>
      <c r="K736" s="6" t="s">
        <v>142</v>
      </c>
      <c r="L736" s="6" t="s">
        <v>3635</v>
      </c>
      <c r="M736" s="6" t="s">
        <v>3636</v>
      </c>
      <c r="N736" s="5" t="s">
        <v>319</v>
      </c>
      <c r="O736" s="5" t="s">
        <v>89</v>
      </c>
      <c r="P736" s="5" t="s">
        <v>89</v>
      </c>
      <c r="Q736" s="9" t="s">
        <v>62</v>
      </c>
      <c r="R736" s="5" t="s">
        <v>76</v>
      </c>
      <c r="S736" s="5" t="s">
        <v>64</v>
      </c>
      <c r="T736" s="7">
        <v>1</v>
      </c>
      <c r="U736" s="7">
        <v>3</v>
      </c>
      <c r="V736" s="7">
        <v>8</v>
      </c>
      <c r="W736" s="5" t="s">
        <v>78</v>
      </c>
      <c r="X736" s="10" t="s">
        <v>79</v>
      </c>
      <c r="Y736" s="11" t="s">
        <v>3640</v>
      </c>
      <c r="Z736" s="12">
        <v>3</v>
      </c>
      <c r="AA736" s="12">
        <v>0</v>
      </c>
      <c r="AB736" s="12">
        <v>0</v>
      </c>
      <c r="AC736" s="13">
        <v>0</v>
      </c>
      <c r="AD736" s="14">
        <f t="shared" si="24"/>
        <v>3</v>
      </c>
      <c r="AE736" s="15">
        <f t="shared" si="25"/>
        <v>0</v>
      </c>
      <c r="AF736" s="16" t="s">
        <v>3641</v>
      </c>
      <c r="AG736" s="16" t="s">
        <v>66</v>
      </c>
      <c r="AH736" s="17" t="s">
        <v>66</v>
      </c>
      <c r="AI736" s="18" t="s">
        <v>66</v>
      </c>
      <c r="AJ736" s="19" t="s">
        <v>66</v>
      </c>
      <c r="AK736" s="20" t="s">
        <v>66</v>
      </c>
      <c r="AL736" s="17" t="s">
        <v>65</v>
      </c>
      <c r="AM736" s="5" t="s">
        <v>66</v>
      </c>
      <c r="AN736" s="5" t="s">
        <v>66</v>
      </c>
      <c r="AO736" s="5" t="s">
        <v>3639</v>
      </c>
      <c r="AP736" s="5" t="s">
        <v>3590</v>
      </c>
      <c r="AQ736" s="5" t="s">
        <v>67</v>
      </c>
      <c r="AR736" s="5" t="s">
        <v>3591</v>
      </c>
      <c r="AS736" s="5" t="s">
        <v>3592</v>
      </c>
      <c r="AT736" s="5" t="s">
        <v>66</v>
      </c>
      <c r="AU736" s="5" t="s">
        <v>66</v>
      </c>
      <c r="AV736" s="5" t="s">
        <v>66</v>
      </c>
      <c r="AW736" s="5" t="s">
        <v>66</v>
      </c>
      <c r="AX736" s="5" t="s">
        <v>68</v>
      </c>
      <c r="AY736" s="5" t="s">
        <v>69</v>
      </c>
      <c r="AZ736" s="5" t="s">
        <v>80</v>
      </c>
      <c r="BA736" s="19" t="s">
        <v>66</v>
      </c>
      <c r="BB736" s="17" t="s">
        <v>69</v>
      </c>
      <c r="BC736" s="5" t="s">
        <v>3593</v>
      </c>
      <c r="BD736" s="5" t="s">
        <v>3618</v>
      </c>
    </row>
    <row r="737" spans="1:56" ht="72" hidden="1" x14ac:dyDescent="0.25">
      <c r="A737" s="78" t="s">
        <v>3627</v>
      </c>
      <c r="B737" s="5" t="s">
        <v>3628</v>
      </c>
      <c r="C737" s="5" t="s">
        <v>3293</v>
      </c>
      <c r="D737" s="5" t="s">
        <v>3595</v>
      </c>
      <c r="E737" s="99" t="str">
        <f>VLOOKUP(D737,'Dropdown List'!$F$26:$G$40,2,0)</f>
        <v>US</v>
      </c>
      <c r="F737" s="6" t="s">
        <v>3583</v>
      </c>
      <c r="G737" s="7">
        <v>20</v>
      </c>
      <c r="H737" s="5" t="s">
        <v>57</v>
      </c>
      <c r="I737" s="8" t="s">
        <v>58</v>
      </c>
      <c r="J737" s="6" t="s">
        <v>59</v>
      </c>
      <c r="K737" s="6" t="s">
        <v>86</v>
      </c>
      <c r="L737" s="6" t="s">
        <v>3642</v>
      </c>
      <c r="M737" s="6" t="s">
        <v>3643</v>
      </c>
      <c r="N737" s="5" t="s">
        <v>319</v>
      </c>
      <c r="O737" s="5" t="s">
        <v>74</v>
      </c>
      <c r="P737" s="5" t="s">
        <v>74</v>
      </c>
      <c r="Q737" s="9" t="s">
        <v>62</v>
      </c>
      <c r="R737" s="5" t="s">
        <v>63</v>
      </c>
      <c r="S737" s="5" t="s">
        <v>64</v>
      </c>
      <c r="T737" s="7">
        <v>1</v>
      </c>
      <c r="U737" s="7">
        <v>3</v>
      </c>
      <c r="V737" s="7">
        <v>4</v>
      </c>
      <c r="W737" s="5" t="s">
        <v>143</v>
      </c>
      <c r="X737" s="10" t="s">
        <v>79</v>
      </c>
      <c r="Y737" s="11" t="s">
        <v>3644</v>
      </c>
      <c r="Z737" s="12">
        <v>1</v>
      </c>
      <c r="AA737" s="12">
        <v>0</v>
      </c>
      <c r="AB737" s="12">
        <v>0</v>
      </c>
      <c r="AC737" s="13">
        <v>0</v>
      </c>
      <c r="AD737" s="14">
        <f t="shared" si="24"/>
        <v>1</v>
      </c>
      <c r="AE737" s="15">
        <f t="shared" si="25"/>
        <v>0</v>
      </c>
      <c r="AF737" s="16" t="s">
        <v>3645</v>
      </c>
      <c r="AG737" s="16" t="s">
        <v>66</v>
      </c>
      <c r="AH737" s="17" t="s">
        <v>66</v>
      </c>
      <c r="AI737" s="18" t="s">
        <v>66</v>
      </c>
      <c r="AJ737" s="19" t="s">
        <v>66</v>
      </c>
      <c r="AK737" s="20" t="s">
        <v>66</v>
      </c>
      <c r="AL737" s="17" t="s">
        <v>65</v>
      </c>
      <c r="AM737" s="5" t="s">
        <v>66</v>
      </c>
      <c r="AN737" s="5" t="s">
        <v>66</v>
      </c>
      <c r="AO737" s="5" t="s">
        <v>3646</v>
      </c>
      <c r="AP737" s="5" t="s">
        <v>3590</v>
      </c>
      <c r="AQ737" s="5" t="s">
        <v>67</v>
      </c>
      <c r="AR737" s="5" t="s">
        <v>3591</v>
      </c>
      <c r="AS737" s="5" t="s">
        <v>3647</v>
      </c>
      <c r="AT737" s="5" t="s">
        <v>66</v>
      </c>
      <c r="AU737" s="5" t="s">
        <v>66</v>
      </c>
      <c r="AV737" s="5" t="s">
        <v>66</v>
      </c>
      <c r="AW737" s="5" t="s">
        <v>66</v>
      </c>
      <c r="AX737" s="5" t="s">
        <v>68</v>
      </c>
      <c r="AY737" s="5" t="s">
        <v>69</v>
      </c>
      <c r="AZ737" s="5" t="s">
        <v>80</v>
      </c>
      <c r="BA737" s="19" t="s">
        <v>66</v>
      </c>
      <c r="BB737" s="17" t="s">
        <v>69</v>
      </c>
      <c r="BC737" s="5" t="s">
        <v>3593</v>
      </c>
      <c r="BD737" s="5" t="s">
        <v>3618</v>
      </c>
    </row>
    <row r="738" spans="1:56" ht="72" hidden="1" x14ac:dyDescent="0.25">
      <c r="A738" s="78" t="s">
        <v>3627</v>
      </c>
      <c r="B738" s="5" t="s">
        <v>3628</v>
      </c>
      <c r="C738" s="5" t="s">
        <v>3293</v>
      </c>
      <c r="D738" s="5" t="s">
        <v>3595</v>
      </c>
      <c r="E738" s="99" t="str">
        <f>VLOOKUP(D738,'Dropdown List'!$F$26:$G$40,2,0)</f>
        <v>US</v>
      </c>
      <c r="F738" s="6" t="s">
        <v>3583</v>
      </c>
      <c r="G738" s="7">
        <v>20</v>
      </c>
      <c r="H738" s="5" t="s">
        <v>57</v>
      </c>
      <c r="I738" s="8" t="s">
        <v>58</v>
      </c>
      <c r="J738" s="6" t="s">
        <v>59</v>
      </c>
      <c r="K738" s="6" t="s">
        <v>60</v>
      </c>
      <c r="L738" s="6" t="s">
        <v>3648</v>
      </c>
      <c r="M738" s="6" t="s">
        <v>3649</v>
      </c>
      <c r="N738" s="5" t="s">
        <v>319</v>
      </c>
      <c r="O738" s="5" t="s">
        <v>89</v>
      </c>
      <c r="P738" s="5" t="s">
        <v>89</v>
      </c>
      <c r="Q738" s="9" t="s">
        <v>62</v>
      </c>
      <c r="R738" s="5" t="s">
        <v>63</v>
      </c>
      <c r="S738" s="5" t="s">
        <v>64</v>
      </c>
      <c r="T738" s="7">
        <v>1</v>
      </c>
      <c r="U738" s="7">
        <v>1</v>
      </c>
      <c r="V738" s="7">
        <v>1</v>
      </c>
      <c r="W738" s="5" t="s">
        <v>65</v>
      </c>
      <c r="X738" s="10" t="s">
        <v>79</v>
      </c>
      <c r="Y738" s="11" t="s">
        <v>3650</v>
      </c>
      <c r="Z738" s="12">
        <v>1</v>
      </c>
      <c r="AA738" s="12">
        <v>0</v>
      </c>
      <c r="AB738" s="12">
        <v>0</v>
      </c>
      <c r="AC738" s="13">
        <v>0</v>
      </c>
      <c r="AD738" s="14">
        <f t="shared" si="24"/>
        <v>1</v>
      </c>
      <c r="AE738" s="15">
        <f t="shared" si="25"/>
        <v>0</v>
      </c>
      <c r="AF738" s="16" t="s">
        <v>1308</v>
      </c>
      <c r="AG738" s="16" t="s">
        <v>66</v>
      </c>
      <c r="AH738" s="17" t="s">
        <v>66</v>
      </c>
      <c r="AI738" s="18" t="s">
        <v>66</v>
      </c>
      <c r="AJ738" s="19" t="s">
        <v>66</v>
      </c>
      <c r="AK738" s="20" t="s">
        <v>66</v>
      </c>
      <c r="AL738" s="17" t="s">
        <v>65</v>
      </c>
      <c r="AM738" s="5" t="s">
        <v>66</v>
      </c>
      <c r="AN738" s="5" t="s">
        <v>66</v>
      </c>
      <c r="AO738" s="5" t="s">
        <v>3634</v>
      </c>
      <c r="AP738" s="5" t="s">
        <v>3590</v>
      </c>
      <c r="AQ738" s="5" t="s">
        <v>67</v>
      </c>
      <c r="AR738" s="5" t="s">
        <v>3591</v>
      </c>
      <c r="AS738" s="5" t="s">
        <v>3651</v>
      </c>
      <c r="AT738" s="5" t="s">
        <v>66</v>
      </c>
      <c r="AU738" s="5" t="s">
        <v>66</v>
      </c>
      <c r="AV738" s="5" t="s">
        <v>66</v>
      </c>
      <c r="AW738" s="5" t="s">
        <v>66</v>
      </c>
      <c r="AX738" s="5" t="s">
        <v>68</v>
      </c>
      <c r="AY738" s="5" t="s">
        <v>69</v>
      </c>
      <c r="AZ738" s="5" t="s">
        <v>80</v>
      </c>
      <c r="BA738" s="19" t="s">
        <v>66</v>
      </c>
      <c r="BB738" s="17" t="s">
        <v>69</v>
      </c>
      <c r="BC738" s="5" t="s">
        <v>3593</v>
      </c>
      <c r="BD738" s="5" t="s">
        <v>3618</v>
      </c>
    </row>
    <row r="739" spans="1:56" ht="72" hidden="1" x14ac:dyDescent="0.25">
      <c r="A739" s="78" t="s">
        <v>3627</v>
      </c>
      <c r="B739" s="5" t="s">
        <v>3628</v>
      </c>
      <c r="C739" s="5" t="s">
        <v>3293</v>
      </c>
      <c r="D739" s="5" t="s">
        <v>56</v>
      </c>
      <c r="E739" s="99" t="str">
        <f>VLOOKUP(D739,'Dropdown List'!$F$26:$G$40,2,0)</f>
        <v>India</v>
      </c>
      <c r="F739" s="6" t="s">
        <v>3583</v>
      </c>
      <c r="G739" s="7">
        <v>20</v>
      </c>
      <c r="H739" s="5" t="s">
        <v>57</v>
      </c>
      <c r="I739" s="8" t="s">
        <v>58</v>
      </c>
      <c r="J739" s="6" t="s">
        <v>59</v>
      </c>
      <c r="K739" s="6" t="s">
        <v>142</v>
      </c>
      <c r="L739" s="6" t="s">
        <v>3652</v>
      </c>
      <c r="M739" s="6" t="s">
        <v>3653</v>
      </c>
      <c r="N739" s="5" t="s">
        <v>319</v>
      </c>
      <c r="O739" s="5" t="s">
        <v>89</v>
      </c>
      <c r="P739" s="5" t="s">
        <v>89</v>
      </c>
      <c r="Q739" s="9" t="s">
        <v>62</v>
      </c>
      <c r="R739" s="5" t="s">
        <v>76</v>
      </c>
      <c r="S739" s="5" t="s">
        <v>64</v>
      </c>
      <c r="T739" s="7">
        <v>1</v>
      </c>
      <c r="U739" s="7">
        <v>3</v>
      </c>
      <c r="V739" s="7">
        <v>8</v>
      </c>
      <c r="W739" s="5" t="s">
        <v>91</v>
      </c>
      <c r="X739" s="10" t="s">
        <v>79</v>
      </c>
      <c r="Y739" s="11" t="s">
        <v>3654</v>
      </c>
      <c r="Z739" s="12">
        <v>3</v>
      </c>
      <c r="AA739" s="12">
        <v>0</v>
      </c>
      <c r="AB739" s="12">
        <v>0</v>
      </c>
      <c r="AC739" s="13">
        <v>0</v>
      </c>
      <c r="AD739" s="14">
        <f t="shared" si="24"/>
        <v>3</v>
      </c>
      <c r="AE739" s="15">
        <f t="shared" si="25"/>
        <v>0</v>
      </c>
      <c r="AF739" s="16" t="s">
        <v>3655</v>
      </c>
      <c r="AG739" s="16" t="s">
        <v>66</v>
      </c>
      <c r="AH739" s="17" t="s">
        <v>66</v>
      </c>
      <c r="AI739" s="18" t="s">
        <v>66</v>
      </c>
      <c r="AJ739" s="19" t="s">
        <v>66</v>
      </c>
      <c r="AK739" s="20" t="s">
        <v>66</v>
      </c>
      <c r="AL739" s="17" t="s">
        <v>65</v>
      </c>
      <c r="AM739" s="5" t="s">
        <v>66</v>
      </c>
      <c r="AN739" s="5" t="s">
        <v>66</v>
      </c>
      <c r="AO739" s="5" t="s">
        <v>3656</v>
      </c>
      <c r="AP739" s="5" t="s">
        <v>3590</v>
      </c>
      <c r="AQ739" s="5" t="s">
        <v>67</v>
      </c>
      <c r="AR739" s="5" t="s">
        <v>3591</v>
      </c>
      <c r="AS739" s="5" t="s">
        <v>3592</v>
      </c>
      <c r="AT739" s="5" t="s">
        <v>66</v>
      </c>
      <c r="AU739" s="5" t="s">
        <v>66</v>
      </c>
      <c r="AV739" s="5" t="s">
        <v>66</v>
      </c>
      <c r="AW739" s="5" t="s">
        <v>66</v>
      </c>
      <c r="AX739" s="5" t="s">
        <v>68</v>
      </c>
      <c r="AY739" s="5" t="s">
        <v>69</v>
      </c>
      <c r="AZ739" s="5" t="s">
        <v>80</v>
      </c>
      <c r="BA739" s="19" t="s">
        <v>66</v>
      </c>
      <c r="BB739" s="17" t="s">
        <v>69</v>
      </c>
      <c r="BC739" s="5" t="s">
        <v>3593</v>
      </c>
      <c r="BD739" s="5" t="s">
        <v>3618</v>
      </c>
    </row>
    <row r="740" spans="1:56" ht="120" hidden="1" x14ac:dyDescent="0.25">
      <c r="A740" s="78" t="s">
        <v>207</v>
      </c>
      <c r="B740" s="5" t="s">
        <v>208</v>
      </c>
      <c r="C740" s="5" t="s">
        <v>3293</v>
      </c>
      <c r="D740" s="5" t="s">
        <v>56</v>
      </c>
      <c r="E740" s="99" t="str">
        <f>VLOOKUP(D740,'Dropdown List'!$F$26:$G$40,2,0)</f>
        <v>India</v>
      </c>
      <c r="F740" s="6" t="s">
        <v>232</v>
      </c>
      <c r="G740" s="7">
        <v>5</v>
      </c>
      <c r="H740" s="5" t="s">
        <v>57</v>
      </c>
      <c r="I740" s="8" t="s">
        <v>233</v>
      </c>
      <c r="J740" s="6" t="s">
        <v>234</v>
      </c>
      <c r="K740" s="6" t="s">
        <v>235</v>
      </c>
      <c r="L740" s="6" t="s">
        <v>3657</v>
      </c>
      <c r="M740" s="6" t="s">
        <v>237</v>
      </c>
      <c r="N740" s="5" t="s">
        <v>1034</v>
      </c>
      <c r="O740" s="5" t="s">
        <v>61</v>
      </c>
      <c r="P740" s="5" t="s">
        <v>238</v>
      </c>
      <c r="Q740" s="9" t="s">
        <v>62</v>
      </c>
      <c r="R740" s="5" t="s">
        <v>76</v>
      </c>
      <c r="S740" s="5" t="s">
        <v>120</v>
      </c>
      <c r="T740" s="7">
        <v>2</v>
      </c>
      <c r="U740" s="7">
        <v>4</v>
      </c>
      <c r="V740" s="7">
        <v>4</v>
      </c>
      <c r="W740" s="5" t="s">
        <v>91</v>
      </c>
      <c r="X740" s="10" t="s">
        <v>79</v>
      </c>
      <c r="Y740" s="11" t="s">
        <v>3301</v>
      </c>
      <c r="Z740" s="12">
        <v>5</v>
      </c>
      <c r="AA740" s="12">
        <v>0</v>
      </c>
      <c r="AB740" s="12">
        <v>1</v>
      </c>
      <c r="AC740" s="13">
        <v>3</v>
      </c>
      <c r="AD740" s="14">
        <f t="shared" si="24"/>
        <v>9</v>
      </c>
      <c r="AE740" s="15">
        <f t="shared" si="25"/>
        <v>0.33333333333333331</v>
      </c>
      <c r="AF740" s="16">
        <v>130</v>
      </c>
      <c r="AG740" s="16">
        <v>130</v>
      </c>
      <c r="AH740" s="17" t="s">
        <v>239</v>
      </c>
      <c r="AI740" s="18" t="s">
        <v>3658</v>
      </c>
      <c r="AJ740" s="19" t="s">
        <v>3659</v>
      </c>
      <c r="AK740" s="20" t="s">
        <v>66</v>
      </c>
      <c r="AL740" s="17" t="s">
        <v>65</v>
      </c>
      <c r="AM740" s="5" t="s">
        <v>66</v>
      </c>
      <c r="AN740" s="5" t="s">
        <v>66</v>
      </c>
      <c r="AO740" s="5" t="s">
        <v>66</v>
      </c>
      <c r="AP740" s="5" t="s">
        <v>242</v>
      </c>
      <c r="AQ740" s="5" t="s">
        <v>61</v>
      </c>
      <c r="AR740" s="5" t="s">
        <v>243</v>
      </c>
      <c r="AS740" s="5" t="s">
        <v>244</v>
      </c>
      <c r="AT740" s="5" t="s">
        <v>137</v>
      </c>
      <c r="AU740" s="5" t="s">
        <v>245</v>
      </c>
      <c r="AV740" s="5" t="s">
        <v>3660</v>
      </c>
      <c r="AW740" s="5" t="s">
        <v>66</v>
      </c>
      <c r="AX740" s="5" t="s">
        <v>247</v>
      </c>
      <c r="AY740" s="5" t="s">
        <v>69</v>
      </c>
      <c r="AZ740" s="5" t="s">
        <v>70</v>
      </c>
      <c r="BA740" s="19" t="s">
        <v>248</v>
      </c>
      <c r="BB740" s="17" t="s">
        <v>69</v>
      </c>
      <c r="BC740" s="5" t="s">
        <v>249</v>
      </c>
      <c r="BD740" s="5" t="s">
        <v>250</v>
      </c>
    </row>
    <row r="741" spans="1:56" ht="96" hidden="1" x14ac:dyDescent="0.25">
      <c r="A741" s="78" t="s">
        <v>813</v>
      </c>
      <c r="B741" s="5" t="s">
        <v>814</v>
      </c>
      <c r="C741" s="5" t="s">
        <v>3293</v>
      </c>
      <c r="D741" s="5" t="s">
        <v>56</v>
      </c>
      <c r="E741" s="99" t="str">
        <f>VLOOKUP(D741,'Dropdown List'!$F$26:$G$40,2,0)</f>
        <v>India</v>
      </c>
      <c r="F741" s="6" t="s">
        <v>3661</v>
      </c>
      <c r="G741" s="7">
        <v>8</v>
      </c>
      <c r="H741" s="5" t="s">
        <v>57</v>
      </c>
      <c r="I741" s="8" t="s">
        <v>233</v>
      </c>
      <c r="J741" s="6" t="s">
        <v>884</v>
      </c>
      <c r="K741" s="6" t="s">
        <v>885</v>
      </c>
      <c r="L741" s="6" t="s">
        <v>3662</v>
      </c>
      <c r="M741" s="6" t="s">
        <v>3663</v>
      </c>
      <c r="N741" s="5" t="s">
        <v>268</v>
      </c>
      <c r="O741" s="5" t="s">
        <v>279</v>
      </c>
      <c r="P741" s="5" t="s">
        <v>3664</v>
      </c>
      <c r="Q741" s="9" t="s">
        <v>62</v>
      </c>
      <c r="R741" s="5" t="s">
        <v>76</v>
      </c>
      <c r="S741" s="5" t="s">
        <v>120</v>
      </c>
      <c r="T741" s="7">
        <v>2</v>
      </c>
      <c r="U741" s="7">
        <v>4</v>
      </c>
      <c r="V741" s="7">
        <v>4</v>
      </c>
      <c r="W741" s="5" t="s">
        <v>91</v>
      </c>
      <c r="X741" s="10" t="s">
        <v>79</v>
      </c>
      <c r="Y741" s="11" t="s">
        <v>3665</v>
      </c>
      <c r="Z741" s="12">
        <v>31</v>
      </c>
      <c r="AA741" s="12">
        <v>0</v>
      </c>
      <c r="AB741" s="12">
        <v>3</v>
      </c>
      <c r="AC741" s="13">
        <v>8</v>
      </c>
      <c r="AD741" s="14">
        <f t="shared" si="24"/>
        <v>42</v>
      </c>
      <c r="AE741" s="15">
        <f t="shared" si="25"/>
        <v>0.19047619047619047</v>
      </c>
      <c r="AF741" s="16">
        <v>18500</v>
      </c>
      <c r="AG741" s="16" t="s">
        <v>3666</v>
      </c>
      <c r="AH741" s="17" t="s">
        <v>3667</v>
      </c>
      <c r="AI741" s="18" t="s">
        <v>3668</v>
      </c>
      <c r="AJ741" s="19" t="s">
        <v>3669</v>
      </c>
      <c r="AK741" s="20">
        <v>0.95</v>
      </c>
      <c r="AL741" s="17" t="s">
        <v>92</v>
      </c>
      <c r="AM741" s="5" t="s">
        <v>66</v>
      </c>
      <c r="AN741" s="5" t="s">
        <v>66</v>
      </c>
      <c r="AO741" s="5" t="s">
        <v>66</v>
      </c>
      <c r="AP741" s="5" t="s">
        <v>2757</v>
      </c>
      <c r="AQ741" s="5" t="s">
        <v>66</v>
      </c>
      <c r="AR741" s="5" t="s">
        <v>66</v>
      </c>
      <c r="AS741" s="5" t="s">
        <v>66</v>
      </c>
      <c r="AT741" s="5" t="s">
        <v>66</v>
      </c>
      <c r="AU741" s="5" t="s">
        <v>66</v>
      </c>
      <c r="AV741" s="5" t="s">
        <v>66</v>
      </c>
      <c r="AW741" s="5" t="s">
        <v>66</v>
      </c>
      <c r="AX741" s="5" t="s">
        <v>3670</v>
      </c>
      <c r="AY741" s="5" t="s">
        <v>69</v>
      </c>
      <c r="AZ741" s="5" t="s">
        <v>70</v>
      </c>
      <c r="BA741" s="19" t="s">
        <v>3671</v>
      </c>
      <c r="BB741" s="17" t="s">
        <v>69</v>
      </c>
      <c r="BC741" s="5" t="s">
        <v>3672</v>
      </c>
      <c r="BD741" s="5" t="s">
        <v>3673</v>
      </c>
    </row>
    <row r="742" spans="1:56" ht="36" hidden="1" x14ac:dyDescent="0.25">
      <c r="A742" s="78" t="s">
        <v>1352</v>
      </c>
      <c r="B742" s="5" t="s">
        <v>1353</v>
      </c>
      <c r="C742" s="5" t="s">
        <v>3293</v>
      </c>
      <c r="D742" s="5" t="s">
        <v>56</v>
      </c>
      <c r="E742" s="99" t="str">
        <f>VLOOKUP(D742,'Dropdown List'!$F$26:$G$40,2,0)</f>
        <v>India</v>
      </c>
      <c r="F742" s="6" t="s">
        <v>3661</v>
      </c>
      <c r="G742" s="7">
        <v>2</v>
      </c>
      <c r="H742" s="5" t="s">
        <v>57</v>
      </c>
      <c r="I742" s="8" t="s">
        <v>233</v>
      </c>
      <c r="J742" s="6" t="s">
        <v>884</v>
      </c>
      <c r="K742" s="6" t="s">
        <v>885</v>
      </c>
      <c r="L742" s="6" t="s">
        <v>3674</v>
      </c>
      <c r="M742" s="6" t="s">
        <v>3674</v>
      </c>
      <c r="N742" s="5" t="s">
        <v>268</v>
      </c>
      <c r="O742" s="5" t="s">
        <v>279</v>
      </c>
      <c r="P742" s="5" t="s">
        <v>3675</v>
      </c>
      <c r="Q742" s="9" t="s">
        <v>62</v>
      </c>
      <c r="R742" s="5" t="s">
        <v>76</v>
      </c>
      <c r="S742" s="5" t="s">
        <v>120</v>
      </c>
      <c r="T742" s="7">
        <v>2</v>
      </c>
      <c r="U742" s="7">
        <v>4</v>
      </c>
      <c r="V742" s="7">
        <v>4</v>
      </c>
      <c r="W742" s="5" t="s">
        <v>91</v>
      </c>
      <c r="X742" s="10" t="s">
        <v>79</v>
      </c>
      <c r="Y742" s="11">
        <v>42064</v>
      </c>
      <c r="Z742" s="12">
        <v>3</v>
      </c>
      <c r="AA742" s="12">
        <v>0</v>
      </c>
      <c r="AB742" s="12">
        <v>1</v>
      </c>
      <c r="AC742" s="13">
        <v>1</v>
      </c>
      <c r="AD742" s="14">
        <f t="shared" si="24"/>
        <v>5</v>
      </c>
      <c r="AE742" s="15">
        <f t="shared" si="25"/>
        <v>0.2</v>
      </c>
      <c r="AF742" s="16">
        <v>1200</v>
      </c>
      <c r="AG742" s="16">
        <v>1200</v>
      </c>
      <c r="AH742" s="17" t="s">
        <v>3667</v>
      </c>
      <c r="AI742" s="18">
        <v>25</v>
      </c>
      <c r="AJ742" s="19" t="s">
        <v>3676</v>
      </c>
      <c r="AK742" s="20">
        <v>0.95</v>
      </c>
      <c r="AL742" s="17" t="s">
        <v>92</v>
      </c>
      <c r="AM742" s="5" t="s">
        <v>66</v>
      </c>
      <c r="AN742" s="5" t="s">
        <v>66</v>
      </c>
      <c r="AO742" s="5" t="s">
        <v>66</v>
      </c>
      <c r="AP742" s="5" t="s">
        <v>2757</v>
      </c>
      <c r="AQ742" s="5" t="s">
        <v>66</v>
      </c>
      <c r="AR742" s="5" t="s">
        <v>66</v>
      </c>
      <c r="AS742" s="5" t="s">
        <v>66</v>
      </c>
      <c r="AT742" s="5" t="s">
        <v>66</v>
      </c>
      <c r="AU742" s="5" t="s">
        <v>66</v>
      </c>
      <c r="AV742" s="5" t="s">
        <v>66</v>
      </c>
      <c r="AW742" s="5" t="s">
        <v>66</v>
      </c>
      <c r="AX742" s="5" t="s">
        <v>3670</v>
      </c>
      <c r="AY742" s="5" t="s">
        <v>69</v>
      </c>
      <c r="AZ742" s="5" t="s">
        <v>70</v>
      </c>
      <c r="BA742" s="19" t="s">
        <v>3677</v>
      </c>
      <c r="BB742" s="17" t="s">
        <v>69</v>
      </c>
      <c r="BC742" s="5" t="s">
        <v>3672</v>
      </c>
      <c r="BD742" s="5" t="s">
        <v>3678</v>
      </c>
    </row>
    <row r="743" spans="1:56" ht="84" hidden="1" x14ac:dyDescent="0.25">
      <c r="A743" s="78" t="s">
        <v>1953</v>
      </c>
      <c r="B743" s="5" t="s">
        <v>1750</v>
      </c>
      <c r="C743" s="5" t="s">
        <v>3293</v>
      </c>
      <c r="D743" s="5" t="s">
        <v>56</v>
      </c>
      <c r="E743" s="99" t="str">
        <f>VLOOKUP(D743,'Dropdown List'!$F$26:$G$40,2,0)</f>
        <v>India</v>
      </c>
      <c r="F743" s="6" t="s">
        <v>3679</v>
      </c>
      <c r="G743" s="7">
        <v>7</v>
      </c>
      <c r="H743" s="5" t="s">
        <v>57</v>
      </c>
      <c r="I743" s="8" t="s">
        <v>233</v>
      </c>
      <c r="J743" s="6" t="s">
        <v>884</v>
      </c>
      <c r="K743" s="6" t="s">
        <v>885</v>
      </c>
      <c r="L743" s="6" t="s">
        <v>3680</v>
      </c>
      <c r="M743" s="6" t="s">
        <v>3681</v>
      </c>
      <c r="N743" s="5" t="s">
        <v>319</v>
      </c>
      <c r="O743" s="5" t="s">
        <v>61</v>
      </c>
      <c r="P743" s="5" t="s">
        <v>3682</v>
      </c>
      <c r="Q743" s="9" t="s">
        <v>418</v>
      </c>
      <c r="R743" s="5" t="s">
        <v>76</v>
      </c>
      <c r="S743" s="5" t="s">
        <v>90</v>
      </c>
      <c r="T743" s="7">
        <v>1</v>
      </c>
      <c r="U743" s="7">
        <v>2</v>
      </c>
      <c r="V743" s="7">
        <v>4</v>
      </c>
      <c r="W743" s="5" t="s">
        <v>91</v>
      </c>
      <c r="X743" s="10" t="s">
        <v>79</v>
      </c>
      <c r="Y743" s="11" t="s">
        <v>3683</v>
      </c>
      <c r="Z743" s="12">
        <v>35</v>
      </c>
      <c r="AA743" s="12">
        <v>0</v>
      </c>
      <c r="AB743" s="12">
        <v>2</v>
      </c>
      <c r="AC743" s="13">
        <v>7</v>
      </c>
      <c r="AD743" s="14">
        <f t="shared" si="24"/>
        <v>44</v>
      </c>
      <c r="AE743" s="15">
        <f t="shared" si="25"/>
        <v>0.15909090909090909</v>
      </c>
      <c r="AF743" s="16">
        <v>16000</v>
      </c>
      <c r="AG743" s="16">
        <v>16000</v>
      </c>
      <c r="AH743" s="17" t="s">
        <v>3684</v>
      </c>
      <c r="AI743" s="18" t="s">
        <v>3685</v>
      </c>
      <c r="AJ743" s="19" t="s">
        <v>3686</v>
      </c>
      <c r="AK743" s="20">
        <v>0.97</v>
      </c>
      <c r="AL743" s="17" t="s">
        <v>92</v>
      </c>
      <c r="AM743" s="5" t="s">
        <v>66</v>
      </c>
      <c r="AN743" s="5" t="s">
        <v>66</v>
      </c>
      <c r="AO743" s="5" t="s">
        <v>66</v>
      </c>
      <c r="AP743" s="5" t="s">
        <v>3687</v>
      </c>
      <c r="AQ743" s="5" t="s">
        <v>66</v>
      </c>
      <c r="AR743" s="5" t="s">
        <v>66</v>
      </c>
      <c r="AS743" s="5" t="s">
        <v>66</v>
      </c>
      <c r="AT743" s="5" t="s">
        <v>66</v>
      </c>
      <c r="AU743" s="5" t="s">
        <v>66</v>
      </c>
      <c r="AV743" s="5" t="s">
        <v>66</v>
      </c>
      <c r="AW743" s="5" t="s">
        <v>66</v>
      </c>
      <c r="AX743" s="5" t="s">
        <v>3688</v>
      </c>
      <c r="AY743" s="5" t="s">
        <v>69</v>
      </c>
      <c r="AZ743" s="5" t="s">
        <v>145</v>
      </c>
      <c r="BA743" s="19" t="s">
        <v>3689</v>
      </c>
      <c r="BB743" s="17" t="s">
        <v>69</v>
      </c>
      <c r="BC743" s="5" t="s">
        <v>3690</v>
      </c>
      <c r="BD743" s="5" t="s">
        <v>3691</v>
      </c>
    </row>
    <row r="744" spans="1:56" ht="216" hidden="1" x14ac:dyDescent="0.25">
      <c r="A744" s="78" t="s">
        <v>1953</v>
      </c>
      <c r="B744" s="5" t="s">
        <v>1750</v>
      </c>
      <c r="C744" s="5" t="s">
        <v>3293</v>
      </c>
      <c r="D744" s="5" t="s">
        <v>56</v>
      </c>
      <c r="E744" s="99" t="str">
        <f>VLOOKUP(D744,'Dropdown List'!$F$26:$G$40,2,0)</f>
        <v>India</v>
      </c>
      <c r="F744" s="6" t="s">
        <v>3679</v>
      </c>
      <c r="G744" s="7">
        <v>6</v>
      </c>
      <c r="H744" s="5" t="s">
        <v>57</v>
      </c>
      <c r="I744" s="8" t="s">
        <v>233</v>
      </c>
      <c r="J744" s="6" t="s">
        <v>884</v>
      </c>
      <c r="K744" s="6" t="s">
        <v>885</v>
      </c>
      <c r="L744" s="6" t="s">
        <v>3692</v>
      </c>
      <c r="M744" s="6" t="s">
        <v>3693</v>
      </c>
      <c r="N744" s="5" t="s">
        <v>1034</v>
      </c>
      <c r="O744" s="5" t="s">
        <v>61</v>
      </c>
      <c r="P744" s="5" t="s">
        <v>3694</v>
      </c>
      <c r="Q744" s="9" t="s">
        <v>418</v>
      </c>
      <c r="R744" s="5" t="s">
        <v>76</v>
      </c>
      <c r="S744" s="5" t="s">
        <v>90</v>
      </c>
      <c r="T744" s="7">
        <v>1</v>
      </c>
      <c r="U744" s="7">
        <v>2</v>
      </c>
      <c r="V744" s="7">
        <v>4</v>
      </c>
      <c r="W744" s="5" t="s">
        <v>91</v>
      </c>
      <c r="X744" s="10" t="s">
        <v>79</v>
      </c>
      <c r="Y744" s="11" t="s">
        <v>3695</v>
      </c>
      <c r="Z744" s="12">
        <v>28.5</v>
      </c>
      <c r="AA744" s="12">
        <v>0</v>
      </c>
      <c r="AB744" s="12">
        <v>2</v>
      </c>
      <c r="AC744" s="13">
        <v>6</v>
      </c>
      <c r="AD744" s="14">
        <f t="shared" si="24"/>
        <v>36.5</v>
      </c>
      <c r="AE744" s="15">
        <f t="shared" si="25"/>
        <v>0.16438356164383561</v>
      </c>
      <c r="AF744" s="16">
        <v>64781</v>
      </c>
      <c r="AG744" s="16">
        <v>64781</v>
      </c>
      <c r="AH744" s="17" t="s">
        <v>3696</v>
      </c>
      <c r="AI744" s="18" t="s">
        <v>3697</v>
      </c>
      <c r="AJ744" s="19">
        <v>0.95</v>
      </c>
      <c r="AK744" s="20" t="s">
        <v>3698</v>
      </c>
      <c r="AL744" s="17" t="s">
        <v>92</v>
      </c>
      <c r="AM744" s="5" t="s">
        <v>66</v>
      </c>
      <c r="AN744" s="5" t="s">
        <v>66</v>
      </c>
      <c r="AO744" s="5" t="s">
        <v>66</v>
      </c>
      <c r="AP744" s="5" t="s">
        <v>3699</v>
      </c>
      <c r="AQ744" s="5" t="s">
        <v>66</v>
      </c>
      <c r="AR744" s="5" t="s">
        <v>66</v>
      </c>
      <c r="AS744" s="5" t="s">
        <v>66</v>
      </c>
      <c r="AT744" s="5" t="s">
        <v>66</v>
      </c>
      <c r="AU744" s="5" t="s">
        <v>66</v>
      </c>
      <c r="AV744" s="5" t="s">
        <v>66</v>
      </c>
      <c r="AW744" s="5" t="s">
        <v>66</v>
      </c>
      <c r="AX744" s="5" t="s">
        <v>3699</v>
      </c>
      <c r="AY744" s="5" t="s">
        <v>69</v>
      </c>
      <c r="AZ744" s="5" t="s">
        <v>70</v>
      </c>
      <c r="BA744" s="19" t="s">
        <v>1292</v>
      </c>
      <c r="BB744" s="17" t="s">
        <v>69</v>
      </c>
      <c r="BC744" s="5" t="s">
        <v>3699</v>
      </c>
      <c r="BD744" s="5" t="s">
        <v>3700</v>
      </c>
    </row>
    <row r="745" spans="1:56" ht="36" hidden="1" x14ac:dyDescent="0.25">
      <c r="A745" s="78" t="s">
        <v>1953</v>
      </c>
      <c r="B745" s="5" t="s">
        <v>1750</v>
      </c>
      <c r="C745" s="5" t="s">
        <v>3293</v>
      </c>
      <c r="D745" s="5" t="s">
        <v>56</v>
      </c>
      <c r="E745" s="99" t="str">
        <f>VLOOKUP(D745,'Dropdown List'!$F$26:$G$40,2,0)</f>
        <v>India</v>
      </c>
      <c r="F745" s="6" t="s">
        <v>3679</v>
      </c>
      <c r="G745" s="7" t="s">
        <v>3701</v>
      </c>
      <c r="H745" s="5" t="s">
        <v>57</v>
      </c>
      <c r="I745" s="8" t="s">
        <v>233</v>
      </c>
      <c r="J745" s="6" t="s">
        <v>884</v>
      </c>
      <c r="K745" s="6" t="s">
        <v>885</v>
      </c>
      <c r="L745" s="6" t="s">
        <v>3702</v>
      </c>
      <c r="M745" s="6" t="s">
        <v>3703</v>
      </c>
      <c r="N745" s="5" t="s">
        <v>1034</v>
      </c>
      <c r="O745" s="5" t="s">
        <v>61</v>
      </c>
      <c r="P745" s="5" t="s">
        <v>3704</v>
      </c>
      <c r="Q745" s="9" t="s">
        <v>418</v>
      </c>
      <c r="R745" s="5" t="s">
        <v>76</v>
      </c>
      <c r="S745" s="5" t="s">
        <v>120</v>
      </c>
      <c r="T745" s="7">
        <v>1</v>
      </c>
      <c r="U745" s="7">
        <v>2</v>
      </c>
      <c r="V745" s="7">
        <v>8</v>
      </c>
      <c r="W745" s="5" t="s">
        <v>91</v>
      </c>
      <c r="X745" s="10" t="s">
        <v>79</v>
      </c>
      <c r="Y745" s="11" t="s">
        <v>3705</v>
      </c>
      <c r="Z745" s="12">
        <v>5</v>
      </c>
      <c r="AA745" s="12">
        <v>0</v>
      </c>
      <c r="AB745" s="12">
        <v>1</v>
      </c>
      <c r="AC745" s="13">
        <v>3</v>
      </c>
      <c r="AD745" s="14">
        <f t="shared" si="24"/>
        <v>9</v>
      </c>
      <c r="AE745" s="15">
        <f t="shared" si="25"/>
        <v>0.33333333333333331</v>
      </c>
      <c r="AF745" s="16" t="s">
        <v>3706</v>
      </c>
      <c r="AG745" s="16" t="s">
        <v>3706</v>
      </c>
      <c r="AH745" s="17" t="s">
        <v>66</v>
      </c>
      <c r="AI745" s="18" t="s">
        <v>3707</v>
      </c>
      <c r="AJ745" s="19">
        <v>0.9</v>
      </c>
      <c r="AK745" s="20">
        <v>0.94</v>
      </c>
      <c r="AL745" s="17" t="s">
        <v>92</v>
      </c>
      <c r="AM745" s="5" t="s">
        <v>66</v>
      </c>
      <c r="AN745" s="5" t="s">
        <v>66</v>
      </c>
      <c r="AO745" s="5" t="s">
        <v>66</v>
      </c>
      <c r="AP745" s="5" t="s">
        <v>3708</v>
      </c>
      <c r="AQ745" s="5" t="s">
        <v>66</v>
      </c>
      <c r="AR745" s="5" t="s">
        <v>66</v>
      </c>
      <c r="AS745" s="5" t="s">
        <v>66</v>
      </c>
      <c r="AT745" s="5" t="s">
        <v>66</v>
      </c>
      <c r="AU745" s="5" t="s">
        <v>66</v>
      </c>
      <c r="AV745" s="5" t="s">
        <v>66</v>
      </c>
      <c r="AW745" s="5" t="s">
        <v>66</v>
      </c>
      <c r="AX745" s="5" t="s">
        <v>3709</v>
      </c>
      <c r="AY745" s="5" t="s">
        <v>3710</v>
      </c>
      <c r="AZ745" s="5" t="s">
        <v>145</v>
      </c>
      <c r="BA745" s="19" t="s">
        <v>3711</v>
      </c>
      <c r="BB745" s="17" t="s">
        <v>3710</v>
      </c>
      <c r="BC745" s="5" t="s">
        <v>3709</v>
      </c>
      <c r="BD745" s="5" t="s">
        <v>3712</v>
      </c>
    </row>
    <row r="746" spans="1:56" ht="72" hidden="1" x14ac:dyDescent="0.25">
      <c r="A746" s="78" t="s">
        <v>1953</v>
      </c>
      <c r="B746" s="5" t="s">
        <v>1750</v>
      </c>
      <c r="C746" s="5" t="s">
        <v>3293</v>
      </c>
      <c r="D746" s="5" t="s">
        <v>56</v>
      </c>
      <c r="E746" s="99" t="str">
        <f>VLOOKUP(D746,'Dropdown List'!$F$26:$G$40,2,0)</f>
        <v>India</v>
      </c>
      <c r="F746" s="6" t="s">
        <v>3679</v>
      </c>
      <c r="G746" s="7" t="s">
        <v>3701</v>
      </c>
      <c r="H746" s="5" t="s">
        <v>57</v>
      </c>
      <c r="I746" s="8" t="s">
        <v>233</v>
      </c>
      <c r="J746" s="6" t="s">
        <v>884</v>
      </c>
      <c r="K746" s="6" t="s">
        <v>885</v>
      </c>
      <c r="L746" s="6" t="s">
        <v>3713</v>
      </c>
      <c r="M746" s="6" t="s">
        <v>3714</v>
      </c>
      <c r="N746" s="5" t="s">
        <v>269</v>
      </c>
      <c r="O746" s="5" t="s">
        <v>61</v>
      </c>
      <c r="P746" s="5" t="s">
        <v>3664</v>
      </c>
      <c r="Q746" s="9" t="s">
        <v>75</v>
      </c>
      <c r="R746" s="5" t="s">
        <v>76</v>
      </c>
      <c r="S746" s="5" t="s">
        <v>120</v>
      </c>
      <c r="T746" s="7">
        <v>1</v>
      </c>
      <c r="U746" s="7">
        <v>2</v>
      </c>
      <c r="V746" s="7">
        <v>4</v>
      </c>
      <c r="W746" s="5" t="s">
        <v>91</v>
      </c>
      <c r="X746" s="10" t="s">
        <v>79</v>
      </c>
      <c r="Y746" s="11" t="s">
        <v>3705</v>
      </c>
      <c r="Z746" s="12">
        <v>1</v>
      </c>
      <c r="AA746" s="12">
        <v>0</v>
      </c>
      <c r="AB746" s="12">
        <v>0</v>
      </c>
      <c r="AC746" s="13">
        <v>1</v>
      </c>
      <c r="AD746" s="14">
        <f t="shared" si="24"/>
        <v>2</v>
      </c>
      <c r="AE746" s="15">
        <f t="shared" si="25"/>
        <v>0.5</v>
      </c>
      <c r="AF746" s="16">
        <v>180</v>
      </c>
      <c r="AG746" s="16">
        <v>180</v>
      </c>
      <c r="AH746" s="17" t="s">
        <v>3696</v>
      </c>
      <c r="AI746" s="18" t="s">
        <v>3715</v>
      </c>
      <c r="AJ746" s="19">
        <v>0.9</v>
      </c>
      <c r="AK746" s="20">
        <v>0.85</v>
      </c>
      <c r="AL746" s="17" t="s">
        <v>92</v>
      </c>
      <c r="AM746" s="5" t="s">
        <v>66</v>
      </c>
      <c r="AN746" s="5" t="s">
        <v>66</v>
      </c>
      <c r="AO746" s="5" t="s">
        <v>66</v>
      </c>
      <c r="AP746" s="5" t="s">
        <v>3716</v>
      </c>
      <c r="AQ746" s="5" t="s">
        <v>66</v>
      </c>
      <c r="AR746" s="5" t="s">
        <v>66</v>
      </c>
      <c r="AS746" s="5" t="s">
        <v>66</v>
      </c>
      <c r="AT746" s="5" t="s">
        <v>66</v>
      </c>
      <c r="AU746" s="5" t="s">
        <v>66</v>
      </c>
      <c r="AV746" s="5" t="s">
        <v>66</v>
      </c>
      <c r="AW746" s="5" t="s">
        <v>66</v>
      </c>
      <c r="AX746" s="5" t="s">
        <v>3717</v>
      </c>
      <c r="AY746" s="5" t="s">
        <v>69</v>
      </c>
      <c r="AZ746" s="5" t="s">
        <v>70</v>
      </c>
      <c r="BA746" s="19" t="s">
        <v>3718</v>
      </c>
      <c r="BB746" s="17" t="s">
        <v>69</v>
      </c>
      <c r="BC746" s="5" t="s">
        <v>3687</v>
      </c>
      <c r="BD746" s="5" t="s">
        <v>3719</v>
      </c>
    </row>
    <row r="747" spans="1:56" ht="60" hidden="1" x14ac:dyDescent="0.25">
      <c r="A747" s="78" t="s">
        <v>1002</v>
      </c>
      <c r="B747" s="5" t="s">
        <v>1003</v>
      </c>
      <c r="C747" s="5" t="s">
        <v>3293</v>
      </c>
      <c r="D747" s="5" t="s">
        <v>56</v>
      </c>
      <c r="E747" s="99" t="str">
        <f>VLOOKUP(D747,'Dropdown List'!$F$26:$G$40,2,0)</f>
        <v>India</v>
      </c>
      <c r="F747" s="6" t="s">
        <v>3720</v>
      </c>
      <c r="G747" s="7" t="s">
        <v>3721</v>
      </c>
      <c r="H747" s="5" t="s">
        <v>57</v>
      </c>
      <c r="I747" s="8" t="s">
        <v>233</v>
      </c>
      <c r="J747" s="6" t="s">
        <v>884</v>
      </c>
      <c r="K747" s="6" t="s">
        <v>885</v>
      </c>
      <c r="L747" s="6" t="s">
        <v>3722</v>
      </c>
      <c r="M747" s="6" t="s">
        <v>3723</v>
      </c>
      <c r="N747" s="5" t="s">
        <v>268</v>
      </c>
      <c r="O747" s="5" t="s">
        <v>279</v>
      </c>
      <c r="P747" s="5" t="s">
        <v>3664</v>
      </c>
      <c r="Q747" s="9" t="s">
        <v>62</v>
      </c>
      <c r="R747" s="5" t="s">
        <v>76</v>
      </c>
      <c r="S747" s="5" t="s">
        <v>120</v>
      </c>
      <c r="T747" s="7">
        <v>4</v>
      </c>
      <c r="U747" s="7">
        <v>10</v>
      </c>
      <c r="V747" s="7">
        <v>4</v>
      </c>
      <c r="W747" s="5" t="s">
        <v>91</v>
      </c>
      <c r="X747" s="10" t="s">
        <v>79</v>
      </c>
      <c r="Y747" s="11">
        <v>183600</v>
      </c>
      <c r="Z747" s="12">
        <v>6</v>
      </c>
      <c r="AA747" s="12">
        <v>0</v>
      </c>
      <c r="AB747" s="12">
        <v>1</v>
      </c>
      <c r="AC747" s="13">
        <v>5</v>
      </c>
      <c r="AD747" s="14">
        <f t="shared" si="24"/>
        <v>12</v>
      </c>
      <c r="AE747" s="15">
        <f t="shared" si="25"/>
        <v>0.41666666666666669</v>
      </c>
      <c r="AF747" s="16">
        <v>1960</v>
      </c>
      <c r="AG747" s="16">
        <v>1960</v>
      </c>
      <c r="AH747" s="17" t="s">
        <v>239</v>
      </c>
      <c r="AI747" s="18" t="s">
        <v>3724</v>
      </c>
      <c r="AJ747" s="19" t="s">
        <v>3725</v>
      </c>
      <c r="AK747" s="20">
        <v>0.96</v>
      </c>
      <c r="AL747" s="17" t="s">
        <v>92</v>
      </c>
      <c r="AM747" s="5" t="s">
        <v>66</v>
      </c>
      <c r="AN747" s="5" t="s">
        <v>66</v>
      </c>
      <c r="AO747" s="5" t="s">
        <v>66</v>
      </c>
      <c r="AP747" s="5" t="s">
        <v>2757</v>
      </c>
      <c r="AQ747" s="5" t="s">
        <v>66</v>
      </c>
      <c r="AR747" s="5" t="s">
        <v>66</v>
      </c>
      <c r="AS747" s="5" t="s">
        <v>66</v>
      </c>
      <c r="AT747" s="5" t="s">
        <v>66</v>
      </c>
      <c r="AU747" s="5" t="s">
        <v>66</v>
      </c>
      <c r="AV747" s="5" t="s">
        <v>66</v>
      </c>
      <c r="AW747" s="5" t="s">
        <v>66</v>
      </c>
      <c r="AX747" s="5" t="s">
        <v>3726</v>
      </c>
      <c r="AY747" s="5" t="s">
        <v>69</v>
      </c>
      <c r="AZ747" s="5" t="s">
        <v>70</v>
      </c>
      <c r="BA747" s="19" t="s">
        <v>3727</v>
      </c>
      <c r="BB747" s="17" t="s">
        <v>69</v>
      </c>
      <c r="BC747" s="5" t="s">
        <v>3672</v>
      </c>
      <c r="BD747" s="5" t="s">
        <v>3728</v>
      </c>
    </row>
    <row r="748" spans="1:56" ht="24" hidden="1" x14ac:dyDescent="0.25">
      <c r="A748" s="78" t="s">
        <v>1002</v>
      </c>
      <c r="B748" s="5" t="s">
        <v>1003</v>
      </c>
      <c r="C748" s="5" t="s">
        <v>3293</v>
      </c>
      <c r="D748" s="5" t="s">
        <v>479</v>
      </c>
      <c r="E748" s="99" t="str">
        <f>VLOOKUP(D748,'Dropdown List'!$F$26:$G$40,2,0)</f>
        <v>Colombia</v>
      </c>
      <c r="F748" s="6" t="s">
        <v>3729</v>
      </c>
      <c r="G748" s="7" t="s">
        <v>3730</v>
      </c>
      <c r="H748" s="5" t="s">
        <v>57</v>
      </c>
      <c r="I748" s="8" t="s">
        <v>58</v>
      </c>
      <c r="J748" s="6" t="s">
        <v>146</v>
      </c>
      <c r="K748" s="6" t="s">
        <v>154</v>
      </c>
      <c r="L748" s="6" t="s">
        <v>1010</v>
      </c>
      <c r="M748" s="6" t="s">
        <v>1011</v>
      </c>
      <c r="N748" s="5" t="s">
        <v>319</v>
      </c>
      <c r="O748" s="5" t="s">
        <v>89</v>
      </c>
      <c r="P748" s="5" t="s">
        <v>89</v>
      </c>
      <c r="Q748" s="9" t="s">
        <v>75</v>
      </c>
      <c r="R748" s="5" t="s">
        <v>132</v>
      </c>
      <c r="S748" s="5" t="s">
        <v>64</v>
      </c>
      <c r="T748" s="7">
        <v>4</v>
      </c>
      <c r="U748" s="7">
        <v>6</v>
      </c>
      <c r="V748" s="7">
        <v>16</v>
      </c>
      <c r="W748" s="5" t="s">
        <v>78</v>
      </c>
      <c r="X748" s="10" t="s">
        <v>79</v>
      </c>
      <c r="Y748" s="101"/>
      <c r="Z748" s="12">
        <v>5</v>
      </c>
      <c r="AA748" s="12">
        <v>2</v>
      </c>
      <c r="AB748" s="12">
        <v>1</v>
      </c>
      <c r="AC748" s="13">
        <v>2</v>
      </c>
      <c r="AD748" s="14">
        <f t="shared" si="24"/>
        <v>10</v>
      </c>
      <c r="AE748" s="15">
        <f t="shared" si="25"/>
        <v>0.2</v>
      </c>
      <c r="AF748" s="102"/>
      <c r="AG748" s="102"/>
      <c r="AH748" s="103"/>
      <c r="AI748" s="104" t="s">
        <v>3731</v>
      </c>
      <c r="AJ748" s="105"/>
      <c r="AK748" s="20" t="s">
        <v>3732</v>
      </c>
      <c r="AL748" s="17" t="s">
        <v>261</v>
      </c>
      <c r="AM748" s="5" t="s">
        <v>66</v>
      </c>
      <c r="AN748" s="5" t="s">
        <v>66</v>
      </c>
      <c r="AO748" s="5" t="s">
        <v>1006</v>
      </c>
      <c r="AP748" s="5"/>
      <c r="AQ748" s="5" t="s">
        <v>66</v>
      </c>
      <c r="AR748" s="5" t="s">
        <v>66</v>
      </c>
      <c r="AS748" s="5" t="s">
        <v>66</v>
      </c>
      <c r="AT748" s="5" t="s">
        <v>66</v>
      </c>
      <c r="AU748" s="5" t="s">
        <v>66</v>
      </c>
      <c r="AV748" s="5" t="s">
        <v>66</v>
      </c>
      <c r="AW748" s="5" t="s">
        <v>66</v>
      </c>
      <c r="AX748" s="5" t="s">
        <v>206</v>
      </c>
      <c r="AY748" s="5" t="s">
        <v>1007</v>
      </c>
      <c r="AZ748" s="5" t="s">
        <v>70</v>
      </c>
      <c r="BA748" s="19"/>
      <c r="BB748" s="17" t="s">
        <v>69</v>
      </c>
      <c r="BC748" s="5" t="s">
        <v>1008</v>
      </c>
      <c r="BD748" s="5" t="s">
        <v>1009</v>
      </c>
    </row>
    <row r="749" spans="1:56" ht="24" hidden="1" x14ac:dyDescent="0.25">
      <c r="A749" s="78" t="s">
        <v>1002</v>
      </c>
      <c r="B749" s="5" t="s">
        <v>1003</v>
      </c>
      <c r="C749" s="5" t="s">
        <v>3293</v>
      </c>
      <c r="D749" s="5" t="s">
        <v>479</v>
      </c>
      <c r="E749" s="99" t="str">
        <f>VLOOKUP(D749,'Dropdown List'!$F$26:$G$40,2,0)</f>
        <v>Colombia</v>
      </c>
      <c r="F749" s="6" t="s">
        <v>3729</v>
      </c>
      <c r="G749" s="7" t="s">
        <v>3730</v>
      </c>
      <c r="H749" s="5" t="s">
        <v>57</v>
      </c>
      <c r="I749" s="8" t="s">
        <v>58</v>
      </c>
      <c r="J749" s="6" t="s">
        <v>146</v>
      </c>
      <c r="K749" s="6" t="s">
        <v>154</v>
      </c>
      <c r="L749" s="6" t="s">
        <v>1012</v>
      </c>
      <c r="M749" s="6" t="s">
        <v>1013</v>
      </c>
      <c r="N749" s="5" t="s">
        <v>319</v>
      </c>
      <c r="O749" s="5" t="s">
        <v>74</v>
      </c>
      <c r="P749" s="5" t="s">
        <v>74</v>
      </c>
      <c r="Q749" s="9" t="s">
        <v>75</v>
      </c>
      <c r="R749" s="5" t="s">
        <v>132</v>
      </c>
      <c r="S749" s="5" t="s">
        <v>64</v>
      </c>
      <c r="T749" s="7">
        <v>4</v>
      </c>
      <c r="U749" s="7">
        <v>6</v>
      </c>
      <c r="V749" s="7">
        <v>16</v>
      </c>
      <c r="W749" s="5" t="s">
        <v>78</v>
      </c>
      <c r="X749" s="10" t="s">
        <v>79</v>
      </c>
      <c r="Y749" s="101"/>
      <c r="Z749" s="12">
        <v>5</v>
      </c>
      <c r="AA749" s="12">
        <v>2</v>
      </c>
      <c r="AB749" s="12">
        <v>1</v>
      </c>
      <c r="AC749" s="13">
        <v>2</v>
      </c>
      <c r="AD749" s="14">
        <f t="shared" si="24"/>
        <v>10</v>
      </c>
      <c r="AE749" s="15">
        <f t="shared" si="25"/>
        <v>0.2</v>
      </c>
      <c r="AF749" s="102"/>
      <c r="AG749" s="102"/>
      <c r="AH749" s="103"/>
      <c r="AI749" s="104" t="s">
        <v>3731</v>
      </c>
      <c r="AJ749" s="105"/>
      <c r="AK749" s="20" t="s">
        <v>3732</v>
      </c>
      <c r="AL749" s="17" t="s">
        <v>261</v>
      </c>
      <c r="AM749" s="5" t="s">
        <v>66</v>
      </c>
      <c r="AN749" s="5" t="s">
        <v>66</v>
      </c>
      <c r="AO749" s="5" t="s">
        <v>1006</v>
      </c>
      <c r="AP749" s="5"/>
      <c r="AQ749" s="5" t="s">
        <v>66</v>
      </c>
      <c r="AR749" s="5" t="s">
        <v>66</v>
      </c>
      <c r="AS749" s="5" t="s">
        <v>66</v>
      </c>
      <c r="AT749" s="5" t="s">
        <v>66</v>
      </c>
      <c r="AU749" s="5" t="s">
        <v>66</v>
      </c>
      <c r="AV749" s="5" t="s">
        <v>66</v>
      </c>
      <c r="AW749" s="5" t="s">
        <v>66</v>
      </c>
      <c r="AX749" s="5" t="s">
        <v>206</v>
      </c>
      <c r="AY749" s="5" t="s">
        <v>1007</v>
      </c>
      <c r="AZ749" s="5" t="s">
        <v>70</v>
      </c>
      <c r="BA749" s="19"/>
      <c r="BB749" s="17" t="s">
        <v>69</v>
      </c>
      <c r="BC749" s="5" t="s">
        <v>1008</v>
      </c>
      <c r="BD749" s="5" t="s">
        <v>1009</v>
      </c>
    </row>
    <row r="750" spans="1:56" hidden="1" x14ac:dyDescent="0.25">
      <c r="A750" s="5"/>
      <c r="B750" s="5"/>
      <c r="C750" s="5"/>
      <c r="D750" s="5"/>
      <c r="E750" s="99" t="e">
        <f>VLOOKUP(D750,'Dropdown List'!$F$26:$G$40,2,0)</f>
        <v>#N/A</v>
      </c>
      <c r="F750" s="6"/>
      <c r="G750" s="7"/>
      <c r="H750" s="5"/>
      <c r="I750" s="8"/>
      <c r="J750" s="6"/>
      <c r="K750" s="6"/>
      <c r="L750" s="6"/>
      <c r="M750" s="6"/>
      <c r="N750" s="5"/>
      <c r="O750" s="5"/>
      <c r="P750" s="5"/>
      <c r="Q750" s="9"/>
      <c r="R750" s="5"/>
      <c r="S750" s="5"/>
      <c r="T750" s="7"/>
      <c r="U750" s="7"/>
      <c r="V750" s="7"/>
      <c r="W750" s="5"/>
      <c r="X750" s="10"/>
      <c r="Y750" s="11"/>
      <c r="Z750" s="12"/>
      <c r="AA750" s="12"/>
      <c r="AB750" s="12"/>
      <c r="AC750" s="13"/>
      <c r="AD750" s="14"/>
      <c r="AE750" s="15"/>
      <c r="AF750" s="16"/>
      <c r="AG750" s="16"/>
      <c r="AH750" s="17"/>
      <c r="AI750" s="18"/>
      <c r="AJ750" s="19"/>
      <c r="AK750" s="20"/>
      <c r="AL750" s="17"/>
      <c r="AM750" s="5"/>
      <c r="AN750" s="5"/>
      <c r="AO750" s="5"/>
      <c r="AP750" s="5"/>
      <c r="AQ750" s="5"/>
      <c r="AR750" s="5"/>
      <c r="AS750" s="5"/>
      <c r="AT750" s="5"/>
      <c r="AU750" s="5"/>
      <c r="AV750" s="5"/>
      <c r="AW750" s="5"/>
      <c r="AX750" s="5"/>
      <c r="AY750" s="5"/>
      <c r="AZ750" s="5"/>
      <c r="BA750" s="19"/>
      <c r="BB750" s="17"/>
      <c r="BC750" s="5"/>
      <c r="BD750" s="5"/>
    </row>
    <row r="751" spans="1:56" hidden="1" x14ac:dyDescent="0.25">
      <c r="A751" s="5"/>
      <c r="B751" s="5"/>
      <c r="C751" s="5"/>
      <c r="D751" s="5"/>
      <c r="E751" s="99" t="e">
        <f>VLOOKUP(D751,'Dropdown List'!$F$26:$G$40,2,0)</f>
        <v>#N/A</v>
      </c>
      <c r="F751" s="6"/>
      <c r="G751" s="7"/>
      <c r="H751" s="5"/>
      <c r="I751" s="8"/>
      <c r="J751" s="6"/>
      <c r="K751" s="6"/>
      <c r="L751" s="6"/>
      <c r="M751" s="6"/>
      <c r="N751" s="5"/>
      <c r="O751" s="5"/>
      <c r="P751" s="5"/>
      <c r="Q751" s="9"/>
      <c r="R751" s="5"/>
      <c r="S751" s="5"/>
      <c r="T751" s="7"/>
      <c r="U751" s="7"/>
      <c r="V751" s="7"/>
      <c r="W751" s="5"/>
      <c r="X751" s="10"/>
      <c r="Y751" s="11"/>
      <c r="Z751" s="12"/>
      <c r="AA751" s="12"/>
      <c r="AB751" s="12"/>
      <c r="AC751" s="13"/>
      <c r="AD751" s="14"/>
      <c r="AE751" s="15"/>
      <c r="AF751" s="16"/>
      <c r="AG751" s="16"/>
      <c r="AH751" s="17"/>
      <c r="AI751" s="18"/>
      <c r="AJ751" s="19"/>
      <c r="AK751" s="20"/>
      <c r="AL751" s="17"/>
      <c r="AM751" s="5"/>
      <c r="AN751" s="5"/>
      <c r="AO751" s="5"/>
      <c r="AP751" s="5"/>
      <c r="AQ751" s="5"/>
      <c r="AR751" s="5"/>
      <c r="AS751" s="5"/>
      <c r="AT751" s="5"/>
      <c r="AU751" s="5"/>
      <c r="AV751" s="5"/>
      <c r="AW751" s="5"/>
      <c r="AX751" s="5"/>
      <c r="AY751" s="5"/>
      <c r="AZ751" s="5"/>
      <c r="BA751" s="19"/>
      <c r="BB751" s="17"/>
      <c r="BC751" s="5"/>
      <c r="BD751" s="5"/>
    </row>
    <row r="752" spans="1:56" hidden="1" x14ac:dyDescent="0.25">
      <c r="A752" s="5"/>
      <c r="B752" s="5"/>
      <c r="C752" s="5"/>
      <c r="D752" s="5"/>
      <c r="E752" s="99" t="e">
        <f>VLOOKUP(D752,'Dropdown List'!$F$26:$G$40,2,0)</f>
        <v>#N/A</v>
      </c>
      <c r="F752" s="6"/>
      <c r="G752" s="7"/>
      <c r="H752" s="5"/>
      <c r="I752" s="8"/>
      <c r="J752" s="6"/>
      <c r="K752" s="6"/>
      <c r="L752" s="6"/>
      <c r="M752" s="6"/>
      <c r="N752" s="5"/>
      <c r="O752" s="5"/>
      <c r="P752" s="5"/>
      <c r="Q752" s="9"/>
      <c r="R752" s="5"/>
      <c r="S752" s="5"/>
      <c r="T752" s="7"/>
      <c r="U752" s="7"/>
      <c r="V752" s="7"/>
      <c r="W752" s="5"/>
      <c r="X752" s="10"/>
      <c r="Y752" s="11"/>
      <c r="Z752" s="12"/>
      <c r="AA752" s="12"/>
      <c r="AB752" s="12"/>
      <c r="AC752" s="13"/>
      <c r="AD752" s="14"/>
      <c r="AE752" s="15"/>
      <c r="AF752" s="16"/>
      <c r="AG752" s="16"/>
      <c r="AH752" s="17"/>
      <c r="AI752" s="18"/>
      <c r="AJ752" s="19"/>
      <c r="AK752" s="20"/>
      <c r="AL752" s="17"/>
      <c r="AM752" s="5"/>
      <c r="AN752" s="5"/>
      <c r="AO752" s="5"/>
      <c r="AP752" s="5"/>
      <c r="AQ752" s="5"/>
      <c r="AR752" s="5"/>
      <c r="AS752" s="5"/>
      <c r="AT752" s="5"/>
      <c r="AU752" s="5"/>
      <c r="AV752" s="5"/>
      <c r="AW752" s="5"/>
      <c r="AX752" s="5"/>
      <c r="AY752" s="5"/>
      <c r="AZ752" s="5"/>
      <c r="BA752" s="19"/>
      <c r="BB752" s="17"/>
      <c r="BC752" s="5"/>
      <c r="BD752" s="5"/>
    </row>
    <row r="753" spans="1:56" hidden="1" x14ac:dyDescent="0.25">
      <c r="A753" s="5"/>
      <c r="B753" s="5"/>
      <c r="C753" s="5"/>
      <c r="D753" s="5"/>
      <c r="E753" s="99" t="e">
        <f>VLOOKUP(D753,'Dropdown List'!$F$26:$G$40,2,0)</f>
        <v>#N/A</v>
      </c>
      <c r="F753" s="6"/>
      <c r="G753" s="7"/>
      <c r="H753" s="5"/>
      <c r="I753" s="8"/>
      <c r="J753" s="6"/>
      <c r="K753" s="6"/>
      <c r="L753" s="6"/>
      <c r="M753" s="6"/>
      <c r="N753" s="5"/>
      <c r="O753" s="5"/>
      <c r="P753" s="5"/>
      <c r="Q753" s="9"/>
      <c r="R753" s="5"/>
      <c r="S753" s="5"/>
      <c r="T753" s="7"/>
      <c r="U753" s="7"/>
      <c r="V753" s="7"/>
      <c r="W753" s="5"/>
      <c r="X753" s="10"/>
      <c r="Y753" s="11"/>
      <c r="Z753" s="12"/>
      <c r="AA753" s="12"/>
      <c r="AB753" s="12"/>
      <c r="AC753" s="13"/>
      <c r="AD753" s="14"/>
      <c r="AE753" s="15"/>
      <c r="AF753" s="16"/>
      <c r="AG753" s="16"/>
      <c r="AH753" s="17"/>
      <c r="AI753" s="18"/>
      <c r="AJ753" s="19"/>
      <c r="AK753" s="20"/>
      <c r="AL753" s="17"/>
      <c r="AM753" s="5"/>
      <c r="AN753" s="5"/>
      <c r="AO753" s="5"/>
      <c r="AP753" s="5"/>
      <c r="AQ753" s="5"/>
      <c r="AR753" s="5"/>
      <c r="AS753" s="5"/>
      <c r="AT753" s="5"/>
      <c r="AU753" s="5"/>
      <c r="AV753" s="5"/>
      <c r="AW753" s="5"/>
      <c r="AX753" s="5"/>
      <c r="AY753" s="5"/>
      <c r="AZ753" s="5"/>
      <c r="BA753" s="19"/>
      <c r="BB753" s="17"/>
      <c r="BC753" s="5"/>
      <c r="BD753" s="5"/>
    </row>
    <row r="754" spans="1:56" hidden="1" x14ac:dyDescent="0.25">
      <c r="A754" s="5"/>
      <c r="B754" s="5"/>
      <c r="C754" s="5"/>
      <c r="D754" s="5"/>
      <c r="E754" s="99" t="e">
        <f>VLOOKUP(D754,'Dropdown List'!$F$26:$G$40,2,0)</f>
        <v>#N/A</v>
      </c>
      <c r="F754" s="6"/>
      <c r="G754" s="7"/>
      <c r="H754" s="5"/>
      <c r="I754" s="8"/>
      <c r="J754" s="6"/>
      <c r="K754" s="6"/>
      <c r="L754" s="6"/>
      <c r="M754" s="6"/>
      <c r="N754" s="5"/>
      <c r="O754" s="5"/>
      <c r="P754" s="5"/>
      <c r="Q754" s="9"/>
      <c r="R754" s="5"/>
      <c r="S754" s="5"/>
      <c r="T754" s="7"/>
      <c r="U754" s="7"/>
      <c r="V754" s="7"/>
      <c r="W754" s="5"/>
      <c r="X754" s="10"/>
      <c r="Y754" s="11"/>
      <c r="Z754" s="12"/>
      <c r="AA754" s="12"/>
      <c r="AB754" s="12"/>
      <c r="AC754" s="13"/>
      <c r="AD754" s="14"/>
      <c r="AE754" s="15"/>
      <c r="AF754" s="16"/>
      <c r="AG754" s="16"/>
      <c r="AH754" s="17"/>
      <c r="AI754" s="18"/>
      <c r="AJ754" s="19"/>
      <c r="AK754" s="20"/>
      <c r="AL754" s="17"/>
      <c r="AM754" s="5"/>
      <c r="AN754" s="5"/>
      <c r="AO754" s="5"/>
      <c r="AP754" s="5"/>
      <c r="AQ754" s="5"/>
      <c r="AR754" s="5"/>
      <c r="AS754" s="5"/>
      <c r="AT754" s="5"/>
      <c r="AU754" s="5"/>
      <c r="AV754" s="5"/>
      <c r="AW754" s="5"/>
      <c r="AX754" s="5"/>
      <c r="AY754" s="5"/>
      <c r="AZ754" s="5"/>
      <c r="BA754" s="19"/>
      <c r="BB754" s="17"/>
      <c r="BC754" s="5"/>
      <c r="BD754" s="5"/>
    </row>
    <row r="755" spans="1:56" hidden="1" x14ac:dyDescent="0.25">
      <c r="A755" s="5"/>
      <c r="B755" s="5"/>
      <c r="C755" s="5"/>
      <c r="D755" s="5"/>
      <c r="E755" s="99" t="e">
        <f>VLOOKUP(D755,'Dropdown List'!$F$26:$G$40,2,0)</f>
        <v>#N/A</v>
      </c>
      <c r="F755" s="6"/>
      <c r="G755" s="7"/>
      <c r="H755" s="5"/>
      <c r="I755" s="8"/>
      <c r="J755" s="6"/>
      <c r="K755" s="6"/>
      <c r="L755" s="6"/>
      <c r="M755" s="6"/>
      <c r="N755" s="5"/>
      <c r="O755" s="5"/>
      <c r="P755" s="5"/>
      <c r="Q755" s="9"/>
      <c r="R755" s="5"/>
      <c r="S755" s="5"/>
      <c r="T755" s="7"/>
      <c r="U755" s="7"/>
      <c r="V755" s="7"/>
      <c r="W755" s="5"/>
      <c r="X755" s="10"/>
      <c r="Y755" s="11"/>
      <c r="Z755" s="12"/>
      <c r="AA755" s="12"/>
      <c r="AB755" s="12"/>
      <c r="AC755" s="13"/>
      <c r="AD755" s="14"/>
      <c r="AE755" s="15"/>
      <c r="AF755" s="16"/>
      <c r="AG755" s="16"/>
      <c r="AH755" s="17"/>
      <c r="AI755" s="18"/>
      <c r="AJ755" s="19"/>
      <c r="AK755" s="20"/>
      <c r="AL755" s="17"/>
      <c r="AM755" s="5"/>
      <c r="AN755" s="5"/>
      <c r="AO755" s="5"/>
      <c r="AP755" s="5"/>
      <c r="AQ755" s="5"/>
      <c r="AR755" s="5"/>
      <c r="AS755" s="5"/>
      <c r="AT755" s="5"/>
      <c r="AU755" s="5"/>
      <c r="AV755" s="5"/>
      <c r="AW755" s="5"/>
      <c r="AX755" s="5"/>
      <c r="AY755" s="5"/>
      <c r="AZ755" s="5"/>
      <c r="BA755" s="19"/>
      <c r="BB755" s="17"/>
      <c r="BC755" s="5"/>
      <c r="BD755" s="5"/>
    </row>
    <row r="756" spans="1:56" hidden="1" x14ac:dyDescent="0.25">
      <c r="A756" s="5"/>
      <c r="B756" s="5"/>
      <c r="C756" s="5"/>
      <c r="D756" s="5"/>
      <c r="E756" s="99" t="e">
        <f>VLOOKUP(D756,'Dropdown List'!$F$26:$G$40,2,0)</f>
        <v>#N/A</v>
      </c>
      <c r="F756" s="6"/>
      <c r="G756" s="7"/>
      <c r="H756" s="5"/>
      <c r="I756" s="8"/>
      <c r="J756" s="6"/>
      <c r="K756" s="6"/>
      <c r="L756" s="6"/>
      <c r="M756" s="6"/>
      <c r="N756" s="5"/>
      <c r="O756" s="5"/>
      <c r="P756" s="5"/>
      <c r="Q756" s="9"/>
      <c r="R756" s="5"/>
      <c r="S756" s="5"/>
      <c r="T756" s="7"/>
      <c r="U756" s="7"/>
      <c r="V756" s="7"/>
      <c r="W756" s="5"/>
      <c r="X756" s="10"/>
      <c r="Y756" s="11"/>
      <c r="Z756" s="12"/>
      <c r="AA756" s="12"/>
      <c r="AB756" s="12"/>
      <c r="AC756" s="13"/>
      <c r="AD756" s="14"/>
      <c r="AE756" s="15"/>
      <c r="AF756" s="16"/>
      <c r="AG756" s="16"/>
      <c r="AH756" s="17"/>
      <c r="AI756" s="18"/>
      <c r="AJ756" s="19"/>
      <c r="AK756" s="20"/>
      <c r="AL756" s="17"/>
      <c r="AM756" s="5"/>
      <c r="AN756" s="5"/>
      <c r="AO756" s="5"/>
      <c r="AP756" s="5"/>
      <c r="AQ756" s="5"/>
      <c r="AR756" s="5"/>
      <c r="AS756" s="5"/>
      <c r="AT756" s="5"/>
      <c r="AU756" s="5"/>
      <c r="AV756" s="5"/>
      <c r="AW756" s="5"/>
      <c r="AX756" s="5"/>
      <c r="AY756" s="5"/>
      <c r="AZ756" s="5"/>
      <c r="BA756" s="19"/>
      <c r="BB756" s="17"/>
      <c r="BC756" s="5"/>
      <c r="BD756" s="5"/>
    </row>
    <row r="757" spans="1:56" hidden="1" x14ac:dyDescent="0.25">
      <c r="A757" s="5"/>
      <c r="B757" s="5"/>
      <c r="C757" s="5"/>
      <c r="D757" s="5"/>
      <c r="E757" s="99" t="e">
        <f>VLOOKUP(D757,'Dropdown List'!$F$26:$G$40,2,0)</f>
        <v>#N/A</v>
      </c>
      <c r="F757" s="6"/>
      <c r="G757" s="7"/>
      <c r="H757" s="5"/>
      <c r="I757" s="8"/>
      <c r="J757" s="6"/>
      <c r="K757" s="6"/>
      <c r="L757" s="6"/>
      <c r="M757" s="6"/>
      <c r="N757" s="5"/>
      <c r="O757" s="5"/>
      <c r="P757" s="5"/>
      <c r="Q757" s="9"/>
      <c r="R757" s="5"/>
      <c r="S757" s="5"/>
      <c r="T757" s="7"/>
      <c r="U757" s="7"/>
      <c r="V757" s="7"/>
      <c r="W757" s="5"/>
      <c r="X757" s="10"/>
      <c r="Y757" s="11"/>
      <c r="Z757" s="12"/>
      <c r="AA757" s="12"/>
      <c r="AB757" s="12"/>
      <c r="AC757" s="13"/>
      <c r="AD757" s="14"/>
      <c r="AE757" s="15"/>
      <c r="AF757" s="16"/>
      <c r="AG757" s="16"/>
      <c r="AH757" s="17"/>
      <c r="AI757" s="18"/>
      <c r="AJ757" s="19"/>
      <c r="AK757" s="20"/>
      <c r="AL757" s="17"/>
      <c r="AM757" s="5"/>
      <c r="AN757" s="5"/>
      <c r="AO757" s="5"/>
      <c r="AP757" s="5"/>
      <c r="AQ757" s="5"/>
      <c r="AR757" s="5"/>
      <c r="AS757" s="5"/>
      <c r="AT757" s="5"/>
      <c r="AU757" s="5"/>
      <c r="AV757" s="5"/>
      <c r="AW757" s="5"/>
      <c r="AX757" s="5"/>
      <c r="AY757" s="5"/>
      <c r="AZ757" s="5"/>
      <c r="BA757" s="19"/>
      <c r="BB757" s="17"/>
      <c r="BC757" s="5"/>
      <c r="BD757" s="5"/>
    </row>
    <row r="758" spans="1:56" hidden="1" x14ac:dyDescent="0.25">
      <c r="A758" s="5"/>
      <c r="B758" s="5"/>
      <c r="C758" s="5"/>
      <c r="D758" s="5"/>
      <c r="E758" s="99" t="e">
        <f>VLOOKUP(D758,'Dropdown List'!$F$26:$G$40,2,0)</f>
        <v>#N/A</v>
      </c>
      <c r="F758" s="6"/>
      <c r="G758" s="7"/>
      <c r="H758" s="5"/>
      <c r="I758" s="8"/>
      <c r="J758" s="6"/>
      <c r="K758" s="6"/>
      <c r="L758" s="6"/>
      <c r="M758" s="6"/>
      <c r="N758" s="5"/>
      <c r="O758" s="5"/>
      <c r="P758" s="5"/>
      <c r="Q758" s="9"/>
      <c r="R758" s="5"/>
      <c r="S758" s="5"/>
      <c r="T758" s="7"/>
      <c r="U758" s="7"/>
      <c r="V758" s="7"/>
      <c r="W758" s="5"/>
      <c r="X758" s="10"/>
      <c r="Y758" s="11"/>
      <c r="Z758" s="12"/>
      <c r="AA758" s="12"/>
      <c r="AB758" s="12"/>
      <c r="AC758" s="13"/>
      <c r="AD758" s="14"/>
      <c r="AE758" s="15"/>
      <c r="AF758" s="16"/>
      <c r="AG758" s="16"/>
      <c r="AH758" s="17"/>
      <c r="AI758" s="18"/>
      <c r="AJ758" s="19"/>
      <c r="AK758" s="20"/>
      <c r="AL758" s="17"/>
      <c r="AM758" s="5"/>
      <c r="AN758" s="5"/>
      <c r="AO758" s="5"/>
      <c r="AP758" s="5"/>
      <c r="AQ758" s="5"/>
      <c r="AR758" s="5"/>
      <c r="AS758" s="5"/>
      <c r="AT758" s="5"/>
      <c r="AU758" s="5"/>
      <c r="AV758" s="5"/>
      <c r="AW758" s="5"/>
      <c r="AX758" s="5"/>
      <c r="AY758" s="5"/>
      <c r="AZ758" s="5"/>
      <c r="BA758" s="19"/>
      <c r="BB758" s="17"/>
      <c r="BC758" s="5"/>
      <c r="BD758" s="5"/>
    </row>
    <row r="759" spans="1:56" hidden="1" x14ac:dyDescent="0.25">
      <c r="A759" s="5"/>
      <c r="B759" s="5"/>
      <c r="C759" s="5"/>
      <c r="D759" s="5"/>
      <c r="E759" s="99" t="e">
        <f>VLOOKUP(D759,'Dropdown List'!$F$26:$G$40,2,0)</f>
        <v>#N/A</v>
      </c>
      <c r="F759" s="6"/>
      <c r="G759" s="7"/>
      <c r="H759" s="5"/>
      <c r="I759" s="8"/>
      <c r="J759" s="6"/>
      <c r="K759" s="6"/>
      <c r="L759" s="6"/>
      <c r="M759" s="6"/>
      <c r="N759" s="5"/>
      <c r="O759" s="5"/>
      <c r="P759" s="5"/>
      <c r="Q759" s="9"/>
      <c r="R759" s="5"/>
      <c r="S759" s="5"/>
      <c r="T759" s="7"/>
      <c r="U759" s="7"/>
      <c r="V759" s="7"/>
      <c r="W759" s="5"/>
      <c r="X759" s="10"/>
      <c r="Y759" s="11"/>
      <c r="Z759" s="12"/>
      <c r="AA759" s="12"/>
      <c r="AB759" s="12"/>
      <c r="AC759" s="13"/>
      <c r="AD759" s="14"/>
      <c r="AE759" s="15"/>
      <c r="AF759" s="16"/>
      <c r="AG759" s="16"/>
      <c r="AH759" s="17"/>
      <c r="AI759" s="18"/>
      <c r="AJ759" s="19"/>
      <c r="AK759" s="20"/>
      <c r="AL759" s="17"/>
      <c r="AM759" s="5"/>
      <c r="AN759" s="5"/>
      <c r="AO759" s="5"/>
      <c r="AP759" s="5"/>
      <c r="AQ759" s="5"/>
      <c r="AR759" s="5"/>
      <c r="AS759" s="5"/>
      <c r="AT759" s="5"/>
      <c r="AU759" s="5"/>
      <c r="AV759" s="5"/>
      <c r="AW759" s="5"/>
      <c r="AX759" s="5"/>
      <c r="AY759" s="5"/>
      <c r="AZ759" s="5"/>
      <c r="BA759" s="19"/>
      <c r="BB759" s="17"/>
      <c r="BC759" s="5"/>
      <c r="BD759" s="5"/>
    </row>
    <row r="760" spans="1:56" hidden="1" x14ac:dyDescent="0.25">
      <c r="A760" s="5"/>
      <c r="B760" s="5"/>
      <c r="C760" s="5"/>
      <c r="D760" s="5"/>
      <c r="E760" s="99" t="e">
        <f>VLOOKUP(D760,'Dropdown List'!$F$26:$G$40,2,0)</f>
        <v>#N/A</v>
      </c>
      <c r="F760" s="6"/>
      <c r="G760" s="7"/>
      <c r="H760" s="5"/>
      <c r="I760" s="8"/>
      <c r="J760" s="6"/>
      <c r="K760" s="6"/>
      <c r="L760" s="6"/>
      <c r="M760" s="6"/>
      <c r="N760" s="5"/>
      <c r="O760" s="5"/>
      <c r="P760" s="5"/>
      <c r="Q760" s="9"/>
      <c r="R760" s="5"/>
      <c r="S760" s="5"/>
      <c r="T760" s="7"/>
      <c r="U760" s="7"/>
      <c r="V760" s="7"/>
      <c r="W760" s="5"/>
      <c r="X760" s="10"/>
      <c r="Y760" s="11"/>
      <c r="Z760" s="12"/>
      <c r="AA760" s="12"/>
      <c r="AB760" s="12"/>
      <c r="AC760" s="13"/>
      <c r="AD760" s="14"/>
      <c r="AE760" s="15"/>
      <c r="AF760" s="16"/>
      <c r="AG760" s="16"/>
      <c r="AH760" s="17"/>
      <c r="AI760" s="18"/>
      <c r="AJ760" s="19"/>
      <c r="AK760" s="20"/>
      <c r="AL760" s="17"/>
      <c r="AM760" s="5"/>
      <c r="AN760" s="5"/>
      <c r="AO760" s="5"/>
      <c r="AP760" s="5"/>
      <c r="AQ760" s="5"/>
      <c r="AR760" s="5"/>
      <c r="AS760" s="5"/>
      <c r="AT760" s="5"/>
      <c r="AU760" s="5"/>
      <c r="AV760" s="5"/>
      <c r="AW760" s="5"/>
      <c r="AX760" s="5"/>
      <c r="AY760" s="5"/>
      <c r="AZ760" s="5"/>
      <c r="BA760" s="19"/>
      <c r="BB760" s="17"/>
      <c r="BC760" s="5"/>
      <c r="BD760" s="5"/>
    </row>
    <row r="761" spans="1:56" hidden="1" x14ac:dyDescent="0.25">
      <c r="A761" s="5"/>
      <c r="B761" s="5"/>
      <c r="C761" s="5"/>
      <c r="D761" s="5"/>
      <c r="E761" s="99" t="e">
        <f>VLOOKUP(D761,'Dropdown List'!$F$26:$G$40,2,0)</f>
        <v>#N/A</v>
      </c>
      <c r="F761" s="6"/>
      <c r="G761" s="7"/>
      <c r="H761" s="5"/>
      <c r="I761" s="8"/>
      <c r="J761" s="6"/>
      <c r="K761" s="6"/>
      <c r="L761" s="6"/>
      <c r="M761" s="6"/>
      <c r="N761" s="5"/>
      <c r="O761" s="5"/>
      <c r="P761" s="5"/>
      <c r="Q761" s="9"/>
      <c r="R761" s="5"/>
      <c r="S761" s="5"/>
      <c r="T761" s="7"/>
      <c r="U761" s="7"/>
      <c r="V761" s="7"/>
      <c r="W761" s="5"/>
      <c r="X761" s="10"/>
      <c r="Y761" s="11"/>
      <c r="Z761" s="12"/>
      <c r="AA761" s="12"/>
      <c r="AB761" s="12"/>
      <c r="AC761" s="13"/>
      <c r="AD761" s="14"/>
      <c r="AE761" s="15"/>
      <c r="AF761" s="16"/>
      <c r="AG761" s="16"/>
      <c r="AH761" s="17"/>
      <c r="AI761" s="18"/>
      <c r="AJ761" s="19"/>
      <c r="AK761" s="20"/>
      <c r="AL761" s="17"/>
      <c r="AM761" s="5"/>
      <c r="AN761" s="5"/>
      <c r="AO761" s="5"/>
      <c r="AP761" s="5"/>
      <c r="AQ761" s="5"/>
      <c r="AR761" s="5"/>
      <c r="AS761" s="5"/>
      <c r="AT761" s="5"/>
      <c r="AU761" s="5"/>
      <c r="AV761" s="5"/>
      <c r="AW761" s="5"/>
      <c r="AX761" s="5"/>
      <c r="AY761" s="5"/>
      <c r="AZ761" s="5"/>
      <c r="BA761" s="19"/>
      <c r="BB761" s="17"/>
      <c r="BC761" s="5"/>
      <c r="BD761" s="5"/>
    </row>
    <row r="762" spans="1:56" hidden="1" x14ac:dyDescent="0.25">
      <c r="A762" s="5"/>
      <c r="B762" s="5"/>
      <c r="C762" s="5"/>
      <c r="D762" s="5"/>
      <c r="E762" s="99" t="e">
        <f>VLOOKUP(D762,'Dropdown List'!$F$26:$G$40,2,0)</f>
        <v>#N/A</v>
      </c>
      <c r="F762" s="6"/>
      <c r="G762" s="7"/>
      <c r="H762" s="5"/>
      <c r="I762" s="8"/>
      <c r="J762" s="6"/>
      <c r="K762" s="6"/>
      <c r="L762" s="6"/>
      <c r="M762" s="6"/>
      <c r="N762" s="5"/>
      <c r="O762" s="5"/>
      <c r="P762" s="5"/>
      <c r="Q762" s="9"/>
      <c r="R762" s="5"/>
      <c r="S762" s="5"/>
      <c r="T762" s="7"/>
      <c r="U762" s="7"/>
      <c r="V762" s="7"/>
      <c r="W762" s="5"/>
      <c r="X762" s="10"/>
      <c r="Y762" s="11"/>
      <c r="Z762" s="12"/>
      <c r="AA762" s="12"/>
      <c r="AB762" s="12"/>
      <c r="AC762" s="13"/>
      <c r="AD762" s="14"/>
      <c r="AE762" s="15"/>
      <c r="AF762" s="16"/>
      <c r="AG762" s="16"/>
      <c r="AH762" s="17"/>
      <c r="AI762" s="18"/>
      <c r="AJ762" s="19"/>
      <c r="AK762" s="20"/>
      <c r="AL762" s="17"/>
      <c r="AM762" s="5"/>
      <c r="AN762" s="5"/>
      <c r="AO762" s="5"/>
      <c r="AP762" s="5"/>
      <c r="AQ762" s="5"/>
      <c r="AR762" s="5"/>
      <c r="AS762" s="5"/>
      <c r="AT762" s="5"/>
      <c r="AU762" s="5"/>
      <c r="AV762" s="5"/>
      <c r="AW762" s="5"/>
      <c r="AX762" s="5"/>
      <c r="AY762" s="5"/>
      <c r="AZ762" s="5"/>
      <c r="BA762" s="19"/>
      <c r="BB762" s="17"/>
      <c r="BC762" s="5"/>
      <c r="BD762" s="5"/>
    </row>
    <row r="763" spans="1:56" hidden="1" x14ac:dyDescent="0.25">
      <c r="A763" s="5"/>
      <c r="B763" s="5"/>
      <c r="C763" s="5"/>
      <c r="D763" s="5"/>
      <c r="E763" s="99" t="e">
        <f>VLOOKUP(D763,'Dropdown List'!$F$26:$G$40,2,0)</f>
        <v>#N/A</v>
      </c>
      <c r="F763" s="6"/>
      <c r="G763" s="7"/>
      <c r="H763" s="5"/>
      <c r="I763" s="8"/>
      <c r="J763" s="6"/>
      <c r="K763" s="6"/>
      <c r="L763" s="6"/>
      <c r="M763" s="6"/>
      <c r="N763" s="5"/>
      <c r="O763" s="5"/>
      <c r="P763" s="5"/>
      <c r="Q763" s="9"/>
      <c r="R763" s="5"/>
      <c r="S763" s="5"/>
      <c r="T763" s="7"/>
      <c r="U763" s="7"/>
      <c r="V763" s="7"/>
      <c r="W763" s="5"/>
      <c r="X763" s="10"/>
      <c r="Y763" s="11"/>
      <c r="Z763" s="12"/>
      <c r="AA763" s="12"/>
      <c r="AB763" s="12"/>
      <c r="AC763" s="13"/>
      <c r="AD763" s="14"/>
      <c r="AE763" s="15"/>
      <c r="AF763" s="16"/>
      <c r="AG763" s="16"/>
      <c r="AH763" s="17"/>
      <c r="AI763" s="18"/>
      <c r="AJ763" s="19"/>
      <c r="AK763" s="20"/>
      <c r="AL763" s="17"/>
      <c r="AM763" s="5"/>
      <c r="AN763" s="5"/>
      <c r="AO763" s="5"/>
      <c r="AP763" s="5"/>
      <c r="AQ763" s="5"/>
      <c r="AR763" s="5"/>
      <c r="AS763" s="5"/>
      <c r="AT763" s="5"/>
      <c r="AU763" s="5"/>
      <c r="AV763" s="5"/>
      <c r="AW763" s="5"/>
      <c r="AX763" s="5"/>
      <c r="AY763" s="5"/>
      <c r="AZ763" s="5"/>
      <c r="BA763" s="19"/>
      <c r="BB763" s="17"/>
      <c r="BC763" s="5"/>
      <c r="BD763" s="5"/>
    </row>
    <row r="764" spans="1:56" hidden="1" x14ac:dyDescent="0.25">
      <c r="A764" s="5"/>
      <c r="B764" s="5"/>
      <c r="C764" s="5"/>
      <c r="D764" s="5"/>
      <c r="E764" s="99" t="e">
        <f>VLOOKUP(D764,'Dropdown List'!$F$26:$G$40,2,0)</f>
        <v>#N/A</v>
      </c>
      <c r="F764" s="6"/>
      <c r="G764" s="7"/>
      <c r="H764" s="5"/>
      <c r="I764" s="8"/>
      <c r="J764" s="6"/>
      <c r="K764" s="6"/>
      <c r="L764" s="6"/>
      <c r="M764" s="6"/>
      <c r="N764" s="5"/>
      <c r="O764" s="5"/>
      <c r="P764" s="5"/>
      <c r="Q764" s="9"/>
      <c r="R764" s="5"/>
      <c r="S764" s="5"/>
      <c r="T764" s="7"/>
      <c r="U764" s="7"/>
      <c r="V764" s="7"/>
      <c r="W764" s="5"/>
      <c r="X764" s="10"/>
      <c r="Y764" s="11"/>
      <c r="Z764" s="12"/>
      <c r="AA764" s="12"/>
      <c r="AB764" s="12"/>
      <c r="AC764" s="13"/>
      <c r="AD764" s="14"/>
      <c r="AE764" s="15"/>
      <c r="AF764" s="16"/>
      <c r="AG764" s="16"/>
      <c r="AH764" s="17"/>
      <c r="AI764" s="18"/>
      <c r="AJ764" s="19"/>
      <c r="AK764" s="20"/>
      <c r="AL764" s="17"/>
      <c r="AM764" s="5"/>
      <c r="AN764" s="5"/>
      <c r="AO764" s="5"/>
      <c r="AP764" s="5"/>
      <c r="AQ764" s="5"/>
      <c r="AR764" s="5"/>
      <c r="AS764" s="5"/>
      <c r="AT764" s="5"/>
      <c r="AU764" s="5"/>
      <c r="AV764" s="5"/>
      <c r="AW764" s="5"/>
      <c r="AX764" s="5"/>
      <c r="AY764" s="5"/>
      <c r="AZ764" s="5"/>
      <c r="BA764" s="19"/>
      <c r="BB764" s="17"/>
      <c r="BC764" s="5"/>
      <c r="BD764" s="5"/>
    </row>
    <row r="765" spans="1:56" hidden="1" x14ac:dyDescent="0.25">
      <c r="A765" s="5"/>
      <c r="B765" s="5"/>
      <c r="C765" s="5"/>
      <c r="D765" s="5"/>
      <c r="E765" s="99" t="e">
        <f>VLOOKUP(D765,'Dropdown List'!$F$26:$G$40,2,0)</f>
        <v>#N/A</v>
      </c>
      <c r="F765" s="6"/>
      <c r="G765" s="7"/>
      <c r="H765" s="5"/>
      <c r="I765" s="8"/>
      <c r="J765" s="6"/>
      <c r="K765" s="6"/>
      <c r="L765" s="6"/>
      <c r="M765" s="6"/>
      <c r="N765" s="5"/>
      <c r="O765" s="5"/>
      <c r="P765" s="5"/>
      <c r="Q765" s="9"/>
      <c r="R765" s="5"/>
      <c r="S765" s="5"/>
      <c r="T765" s="7"/>
      <c r="U765" s="7"/>
      <c r="V765" s="7"/>
      <c r="W765" s="5"/>
      <c r="X765" s="10"/>
      <c r="Y765" s="11"/>
      <c r="Z765" s="12"/>
      <c r="AA765" s="12"/>
      <c r="AB765" s="12"/>
      <c r="AC765" s="13"/>
      <c r="AD765" s="14"/>
      <c r="AE765" s="15"/>
      <c r="AF765" s="16"/>
      <c r="AG765" s="16"/>
      <c r="AH765" s="17"/>
      <c r="AI765" s="18"/>
      <c r="AJ765" s="19"/>
      <c r="AK765" s="20"/>
      <c r="AL765" s="17"/>
      <c r="AM765" s="5"/>
      <c r="AN765" s="5"/>
      <c r="AO765" s="5"/>
      <c r="AP765" s="5"/>
      <c r="AQ765" s="5"/>
      <c r="AR765" s="5"/>
      <c r="AS765" s="5"/>
      <c r="AT765" s="5"/>
      <c r="AU765" s="5"/>
      <c r="AV765" s="5"/>
      <c r="AW765" s="5"/>
      <c r="AX765" s="5"/>
      <c r="AY765" s="5"/>
      <c r="AZ765" s="5"/>
      <c r="BA765" s="19"/>
      <c r="BB765" s="17"/>
      <c r="BC765" s="5"/>
      <c r="BD765" s="5"/>
    </row>
    <row r="766" spans="1:56" hidden="1" x14ac:dyDescent="0.25">
      <c r="A766" s="5"/>
      <c r="B766" s="5"/>
      <c r="C766" s="5"/>
      <c r="D766" s="5"/>
      <c r="E766" s="99" t="e">
        <f>VLOOKUP(D766,'Dropdown List'!$F$26:$G$40,2,0)</f>
        <v>#N/A</v>
      </c>
      <c r="F766" s="6"/>
      <c r="G766" s="7"/>
      <c r="H766" s="5"/>
      <c r="I766" s="8"/>
      <c r="J766" s="6"/>
      <c r="K766" s="6"/>
      <c r="L766" s="6"/>
      <c r="M766" s="6"/>
      <c r="N766" s="5"/>
      <c r="O766" s="5"/>
      <c r="P766" s="5"/>
      <c r="Q766" s="9"/>
      <c r="R766" s="5"/>
      <c r="S766" s="5"/>
      <c r="T766" s="7"/>
      <c r="U766" s="7"/>
      <c r="V766" s="7"/>
      <c r="W766" s="5"/>
      <c r="X766" s="10"/>
      <c r="Y766" s="11"/>
      <c r="Z766" s="12"/>
      <c r="AA766" s="12"/>
      <c r="AB766" s="12"/>
      <c r="AC766" s="13"/>
      <c r="AD766" s="14"/>
      <c r="AE766" s="15"/>
      <c r="AF766" s="16"/>
      <c r="AG766" s="16"/>
      <c r="AH766" s="17"/>
      <c r="AI766" s="18"/>
      <c r="AJ766" s="19"/>
      <c r="AK766" s="20"/>
      <c r="AL766" s="17"/>
      <c r="AM766" s="5"/>
      <c r="AN766" s="5"/>
      <c r="AO766" s="5"/>
      <c r="AP766" s="5"/>
      <c r="AQ766" s="5"/>
      <c r="AR766" s="5"/>
      <c r="AS766" s="5"/>
      <c r="AT766" s="5"/>
      <c r="AU766" s="5"/>
      <c r="AV766" s="5"/>
      <c r="AW766" s="5"/>
      <c r="AX766" s="5"/>
      <c r="AY766" s="5"/>
      <c r="AZ766" s="5"/>
      <c r="BA766" s="19"/>
      <c r="BB766" s="17"/>
      <c r="BC766" s="5"/>
      <c r="BD766" s="5"/>
    </row>
    <row r="767" spans="1:56" hidden="1" x14ac:dyDescent="0.25">
      <c r="A767" s="5"/>
      <c r="B767" s="5"/>
      <c r="C767" s="5"/>
      <c r="D767" s="5"/>
      <c r="E767" s="99" t="e">
        <f>VLOOKUP(D767,'Dropdown List'!$F$26:$G$40,2,0)</f>
        <v>#N/A</v>
      </c>
      <c r="F767" s="6"/>
      <c r="G767" s="7"/>
      <c r="H767" s="5"/>
      <c r="I767" s="8"/>
      <c r="J767" s="6"/>
      <c r="K767" s="6"/>
      <c r="L767" s="6"/>
      <c r="M767" s="6"/>
      <c r="N767" s="5"/>
      <c r="O767" s="5"/>
      <c r="P767" s="5"/>
      <c r="Q767" s="9"/>
      <c r="R767" s="5"/>
      <c r="S767" s="5"/>
      <c r="T767" s="7"/>
      <c r="U767" s="7"/>
      <c r="V767" s="7"/>
      <c r="W767" s="5"/>
      <c r="X767" s="10"/>
      <c r="Y767" s="11"/>
      <c r="Z767" s="12"/>
      <c r="AA767" s="12"/>
      <c r="AB767" s="12"/>
      <c r="AC767" s="13"/>
      <c r="AD767" s="14"/>
      <c r="AE767" s="15"/>
      <c r="AF767" s="16"/>
      <c r="AG767" s="16"/>
      <c r="AH767" s="17"/>
      <c r="AI767" s="18"/>
      <c r="AJ767" s="19"/>
      <c r="AK767" s="20"/>
      <c r="AL767" s="17"/>
      <c r="AM767" s="5"/>
      <c r="AN767" s="5"/>
      <c r="AO767" s="5"/>
      <c r="AP767" s="5"/>
      <c r="AQ767" s="5"/>
      <c r="AR767" s="5"/>
      <c r="AS767" s="5"/>
      <c r="AT767" s="5"/>
      <c r="AU767" s="5"/>
      <c r="AV767" s="5"/>
      <c r="AW767" s="5"/>
      <c r="AX767" s="5"/>
      <c r="AY767" s="5"/>
      <c r="AZ767" s="5"/>
      <c r="BA767" s="19"/>
      <c r="BB767" s="17"/>
      <c r="BC767" s="5"/>
      <c r="BD767" s="5"/>
    </row>
    <row r="768" spans="1:56" hidden="1" x14ac:dyDescent="0.25">
      <c r="A768" s="5"/>
      <c r="B768" s="5"/>
      <c r="C768" s="5"/>
      <c r="D768" s="5"/>
      <c r="E768" s="99" t="e">
        <f>VLOOKUP(D768,'Dropdown List'!$F$26:$G$40,2,0)</f>
        <v>#N/A</v>
      </c>
      <c r="F768" s="6"/>
      <c r="G768" s="7"/>
      <c r="H768" s="5"/>
      <c r="I768" s="8"/>
      <c r="J768" s="6"/>
      <c r="K768" s="6"/>
      <c r="L768" s="6"/>
      <c r="M768" s="6"/>
      <c r="N768" s="5"/>
      <c r="O768" s="5"/>
      <c r="P768" s="5"/>
      <c r="Q768" s="9"/>
      <c r="R768" s="5"/>
      <c r="S768" s="5"/>
      <c r="T768" s="7"/>
      <c r="U768" s="7"/>
      <c r="V768" s="7"/>
      <c r="W768" s="5"/>
      <c r="X768" s="10"/>
      <c r="Y768" s="11"/>
      <c r="Z768" s="12"/>
      <c r="AA768" s="12"/>
      <c r="AB768" s="12"/>
      <c r="AC768" s="13"/>
      <c r="AD768" s="14"/>
      <c r="AE768" s="15"/>
      <c r="AF768" s="16"/>
      <c r="AG768" s="16"/>
      <c r="AH768" s="17"/>
      <c r="AI768" s="18"/>
      <c r="AJ768" s="19"/>
      <c r="AK768" s="20"/>
      <c r="AL768" s="17"/>
      <c r="AM768" s="5"/>
      <c r="AN768" s="5"/>
      <c r="AO768" s="5"/>
      <c r="AP768" s="5"/>
      <c r="AQ768" s="5"/>
      <c r="AR768" s="5"/>
      <c r="AS768" s="5"/>
      <c r="AT768" s="5"/>
      <c r="AU768" s="5"/>
      <c r="AV768" s="5"/>
      <c r="AW768" s="5"/>
      <c r="AX768" s="5"/>
      <c r="AY768" s="5"/>
      <c r="AZ768" s="5"/>
      <c r="BA768" s="19"/>
      <c r="BB768" s="17"/>
      <c r="BC768" s="5"/>
      <c r="BD768" s="5"/>
    </row>
    <row r="769" spans="1:56" hidden="1" x14ac:dyDescent="0.25">
      <c r="A769" s="5"/>
      <c r="B769" s="5"/>
      <c r="C769" s="5"/>
      <c r="D769" s="5"/>
      <c r="E769" s="99" t="e">
        <f>VLOOKUP(D769,'Dropdown List'!$F$26:$G$40,2,0)</f>
        <v>#N/A</v>
      </c>
      <c r="F769" s="6"/>
      <c r="G769" s="7"/>
      <c r="H769" s="5"/>
      <c r="I769" s="8"/>
      <c r="J769" s="6"/>
      <c r="K769" s="6"/>
      <c r="L769" s="6"/>
      <c r="M769" s="6"/>
      <c r="N769" s="5"/>
      <c r="O769" s="5"/>
      <c r="P769" s="5"/>
      <c r="Q769" s="9"/>
      <c r="R769" s="5"/>
      <c r="S769" s="5"/>
      <c r="T769" s="7"/>
      <c r="U769" s="7"/>
      <c r="V769" s="7"/>
      <c r="W769" s="5"/>
      <c r="X769" s="10"/>
      <c r="Y769" s="11"/>
      <c r="Z769" s="12"/>
      <c r="AA769" s="12"/>
      <c r="AB769" s="12"/>
      <c r="AC769" s="13"/>
      <c r="AD769" s="14"/>
      <c r="AE769" s="15"/>
      <c r="AF769" s="16"/>
      <c r="AG769" s="16"/>
      <c r="AH769" s="17"/>
      <c r="AI769" s="18"/>
      <c r="AJ769" s="19"/>
      <c r="AK769" s="20"/>
      <c r="AL769" s="17"/>
      <c r="AM769" s="5"/>
      <c r="AN769" s="5"/>
      <c r="AO769" s="5"/>
      <c r="AP769" s="5"/>
      <c r="AQ769" s="5"/>
      <c r="AR769" s="5"/>
      <c r="AS769" s="5"/>
      <c r="AT769" s="5"/>
      <c r="AU769" s="5"/>
      <c r="AV769" s="5"/>
      <c r="AW769" s="5"/>
      <c r="AX769" s="5"/>
      <c r="AY769" s="5"/>
      <c r="AZ769" s="5"/>
      <c r="BA769" s="19"/>
      <c r="BB769" s="17"/>
      <c r="BC769" s="5"/>
      <c r="BD769" s="5"/>
    </row>
    <row r="770" spans="1:56" hidden="1" x14ac:dyDescent="0.25">
      <c r="A770" s="5"/>
      <c r="B770" s="5"/>
      <c r="C770" s="5"/>
      <c r="D770" s="5"/>
      <c r="E770" s="99" t="e">
        <f>VLOOKUP(D770,'Dropdown List'!$F$26:$G$40,2,0)</f>
        <v>#N/A</v>
      </c>
      <c r="F770" s="6"/>
      <c r="G770" s="7"/>
      <c r="H770" s="5"/>
      <c r="I770" s="8"/>
      <c r="J770" s="6"/>
      <c r="K770" s="6"/>
      <c r="L770" s="6"/>
      <c r="M770" s="6"/>
      <c r="N770" s="5"/>
      <c r="O770" s="5"/>
      <c r="P770" s="5"/>
      <c r="Q770" s="9"/>
      <c r="R770" s="5"/>
      <c r="S770" s="5"/>
      <c r="T770" s="7"/>
      <c r="U770" s="7"/>
      <c r="V770" s="7"/>
      <c r="W770" s="5"/>
      <c r="X770" s="10"/>
      <c r="Y770" s="11"/>
      <c r="Z770" s="12"/>
      <c r="AA770" s="12"/>
      <c r="AB770" s="12"/>
      <c r="AC770" s="13"/>
      <c r="AD770" s="14"/>
      <c r="AE770" s="15"/>
      <c r="AF770" s="16"/>
      <c r="AG770" s="16"/>
      <c r="AH770" s="17"/>
      <c r="AI770" s="18"/>
      <c r="AJ770" s="19"/>
      <c r="AK770" s="20"/>
      <c r="AL770" s="17"/>
      <c r="AM770" s="5"/>
      <c r="AN770" s="5"/>
      <c r="AO770" s="5"/>
      <c r="AP770" s="5"/>
      <c r="AQ770" s="5"/>
      <c r="AR770" s="5"/>
      <c r="AS770" s="5"/>
      <c r="AT770" s="5"/>
      <c r="AU770" s="5"/>
      <c r="AV770" s="5"/>
      <c r="AW770" s="5"/>
      <c r="AX770" s="5"/>
      <c r="AY770" s="5"/>
      <c r="AZ770" s="5"/>
      <c r="BA770" s="19"/>
      <c r="BB770" s="17"/>
      <c r="BC770" s="5"/>
      <c r="BD770" s="5"/>
    </row>
    <row r="771" spans="1:56" hidden="1" x14ac:dyDescent="0.25">
      <c r="A771" s="5"/>
      <c r="B771" s="5"/>
      <c r="C771" s="5"/>
      <c r="D771" s="5"/>
      <c r="E771" s="99" t="e">
        <f>VLOOKUP(D771,'Dropdown List'!$F$26:$G$40,2,0)</f>
        <v>#N/A</v>
      </c>
      <c r="F771" s="6"/>
      <c r="G771" s="7"/>
      <c r="H771" s="5"/>
      <c r="I771" s="8"/>
      <c r="J771" s="6"/>
      <c r="K771" s="6"/>
      <c r="L771" s="6"/>
      <c r="M771" s="6"/>
      <c r="N771" s="5"/>
      <c r="O771" s="5"/>
      <c r="P771" s="5"/>
      <c r="Q771" s="9"/>
      <c r="R771" s="5"/>
      <c r="S771" s="5"/>
      <c r="T771" s="7"/>
      <c r="U771" s="7"/>
      <c r="V771" s="7"/>
      <c r="W771" s="5"/>
      <c r="X771" s="10"/>
      <c r="Y771" s="11"/>
      <c r="Z771" s="12"/>
      <c r="AA771" s="12"/>
      <c r="AB771" s="12"/>
      <c r="AC771" s="13"/>
      <c r="AD771" s="14"/>
      <c r="AE771" s="15"/>
      <c r="AF771" s="16"/>
      <c r="AG771" s="16"/>
      <c r="AH771" s="17"/>
      <c r="AI771" s="18"/>
      <c r="AJ771" s="19"/>
      <c r="AK771" s="20"/>
      <c r="AL771" s="17"/>
      <c r="AM771" s="5"/>
      <c r="AN771" s="5"/>
      <c r="AO771" s="5"/>
      <c r="AP771" s="5"/>
      <c r="AQ771" s="5"/>
      <c r="AR771" s="5"/>
      <c r="AS771" s="5"/>
      <c r="AT771" s="5"/>
      <c r="AU771" s="5"/>
      <c r="AV771" s="5"/>
      <c r="AW771" s="5"/>
      <c r="AX771" s="5"/>
      <c r="AY771" s="5"/>
      <c r="AZ771" s="5"/>
      <c r="BA771" s="19"/>
      <c r="BB771" s="17"/>
      <c r="BC771" s="5"/>
      <c r="BD771" s="5"/>
    </row>
    <row r="772" spans="1:56" hidden="1" x14ac:dyDescent="0.25">
      <c r="A772" s="5"/>
      <c r="B772" s="5"/>
      <c r="C772" s="5"/>
      <c r="D772" s="5"/>
      <c r="E772" s="99" t="e">
        <f>VLOOKUP(D772,'Dropdown List'!$F$26:$G$40,2,0)</f>
        <v>#N/A</v>
      </c>
      <c r="F772" s="6"/>
      <c r="G772" s="7"/>
      <c r="H772" s="5"/>
      <c r="I772" s="8"/>
      <c r="J772" s="6"/>
      <c r="K772" s="6"/>
      <c r="L772" s="6"/>
      <c r="M772" s="6"/>
      <c r="N772" s="5"/>
      <c r="O772" s="5"/>
      <c r="P772" s="5"/>
      <c r="Q772" s="9"/>
      <c r="R772" s="5"/>
      <c r="S772" s="5"/>
      <c r="T772" s="7"/>
      <c r="U772" s="7"/>
      <c r="V772" s="7"/>
      <c r="W772" s="5"/>
      <c r="X772" s="10"/>
      <c r="Y772" s="11"/>
      <c r="Z772" s="12"/>
      <c r="AA772" s="12"/>
      <c r="AB772" s="12"/>
      <c r="AC772" s="13"/>
      <c r="AD772" s="14"/>
      <c r="AE772" s="15"/>
      <c r="AF772" s="16"/>
      <c r="AG772" s="16"/>
      <c r="AH772" s="17"/>
      <c r="AI772" s="18"/>
      <c r="AJ772" s="19"/>
      <c r="AK772" s="20"/>
      <c r="AL772" s="17"/>
      <c r="AM772" s="5"/>
      <c r="AN772" s="5"/>
      <c r="AO772" s="5"/>
      <c r="AP772" s="5"/>
      <c r="AQ772" s="5"/>
      <c r="AR772" s="5"/>
      <c r="AS772" s="5"/>
      <c r="AT772" s="5"/>
      <c r="AU772" s="5"/>
      <c r="AV772" s="5"/>
      <c r="AW772" s="5"/>
      <c r="AX772" s="5"/>
      <c r="AY772" s="5"/>
      <c r="AZ772" s="5"/>
      <c r="BA772" s="19"/>
      <c r="BB772" s="17"/>
      <c r="BC772" s="5"/>
      <c r="BD772" s="5"/>
    </row>
    <row r="773" spans="1:56" hidden="1" x14ac:dyDescent="0.25">
      <c r="A773" s="5"/>
      <c r="B773" s="5"/>
      <c r="C773" s="5"/>
      <c r="D773" s="5"/>
      <c r="E773" s="99" t="e">
        <f>VLOOKUP(D773,'Dropdown List'!$F$26:$G$40,2,0)</f>
        <v>#N/A</v>
      </c>
      <c r="F773" s="6"/>
      <c r="G773" s="7"/>
      <c r="H773" s="5"/>
      <c r="I773" s="8"/>
      <c r="J773" s="6"/>
      <c r="K773" s="6"/>
      <c r="L773" s="6"/>
      <c r="M773" s="6"/>
      <c r="N773" s="5"/>
      <c r="O773" s="5"/>
      <c r="P773" s="5"/>
      <c r="Q773" s="9"/>
      <c r="R773" s="5"/>
      <c r="S773" s="5"/>
      <c r="T773" s="7"/>
      <c r="U773" s="7"/>
      <c r="V773" s="7"/>
      <c r="W773" s="5"/>
      <c r="X773" s="10"/>
      <c r="Y773" s="11"/>
      <c r="Z773" s="12"/>
      <c r="AA773" s="12"/>
      <c r="AB773" s="12"/>
      <c r="AC773" s="13"/>
      <c r="AD773" s="14"/>
      <c r="AE773" s="15"/>
      <c r="AF773" s="16"/>
      <c r="AG773" s="16"/>
      <c r="AH773" s="17"/>
      <c r="AI773" s="18"/>
      <c r="AJ773" s="19"/>
      <c r="AK773" s="20"/>
      <c r="AL773" s="17"/>
      <c r="AM773" s="5"/>
      <c r="AN773" s="5"/>
      <c r="AO773" s="5"/>
      <c r="AP773" s="5"/>
      <c r="AQ773" s="5"/>
      <c r="AR773" s="5"/>
      <c r="AS773" s="5"/>
      <c r="AT773" s="5"/>
      <c r="AU773" s="5"/>
      <c r="AV773" s="5"/>
      <c r="AW773" s="5"/>
      <c r="AX773" s="5"/>
      <c r="AY773" s="5"/>
      <c r="AZ773" s="5"/>
      <c r="BA773" s="19"/>
      <c r="BB773" s="17"/>
      <c r="BC773" s="5"/>
      <c r="BD773" s="5"/>
    </row>
    <row r="774" spans="1:56" hidden="1" x14ac:dyDescent="0.25">
      <c r="A774" s="5"/>
      <c r="B774" s="5"/>
      <c r="C774" s="5"/>
      <c r="D774" s="5"/>
      <c r="E774" s="99" t="e">
        <f>VLOOKUP(D774,'Dropdown List'!$F$26:$G$40,2,0)</f>
        <v>#N/A</v>
      </c>
      <c r="F774" s="6"/>
      <c r="G774" s="7"/>
      <c r="H774" s="5"/>
      <c r="I774" s="8"/>
      <c r="J774" s="6"/>
      <c r="K774" s="6"/>
      <c r="L774" s="6"/>
      <c r="M774" s="6"/>
      <c r="N774" s="5"/>
      <c r="O774" s="5"/>
      <c r="P774" s="5"/>
      <c r="Q774" s="9"/>
      <c r="R774" s="5"/>
      <c r="S774" s="5"/>
      <c r="T774" s="7"/>
      <c r="U774" s="7"/>
      <c r="V774" s="7"/>
      <c r="W774" s="5"/>
      <c r="X774" s="10"/>
      <c r="Y774" s="11"/>
      <c r="Z774" s="12"/>
      <c r="AA774" s="12"/>
      <c r="AB774" s="12"/>
      <c r="AC774" s="13"/>
      <c r="AD774" s="14"/>
      <c r="AE774" s="15"/>
      <c r="AF774" s="16"/>
      <c r="AG774" s="16"/>
      <c r="AH774" s="17"/>
      <c r="AI774" s="18"/>
      <c r="AJ774" s="19"/>
      <c r="AK774" s="20"/>
      <c r="AL774" s="17"/>
      <c r="AM774" s="5"/>
      <c r="AN774" s="5"/>
      <c r="AO774" s="5"/>
      <c r="AP774" s="5"/>
      <c r="AQ774" s="5"/>
      <c r="AR774" s="5"/>
      <c r="AS774" s="5"/>
      <c r="AT774" s="5"/>
      <c r="AU774" s="5"/>
      <c r="AV774" s="5"/>
      <c r="AW774" s="5"/>
      <c r="AX774" s="5"/>
      <c r="AY774" s="5"/>
      <c r="AZ774" s="5"/>
      <c r="BA774" s="19"/>
      <c r="BB774" s="17"/>
      <c r="BC774" s="5"/>
      <c r="BD774" s="5"/>
    </row>
    <row r="775" spans="1:56" hidden="1" x14ac:dyDescent="0.25">
      <c r="A775" s="5"/>
      <c r="B775" s="5"/>
      <c r="C775" s="5"/>
      <c r="D775" s="5"/>
      <c r="E775" s="99" t="e">
        <f>VLOOKUP(D775,'Dropdown List'!$F$26:$G$40,2,0)</f>
        <v>#N/A</v>
      </c>
      <c r="F775" s="6"/>
      <c r="G775" s="7"/>
      <c r="H775" s="5"/>
      <c r="I775" s="8"/>
      <c r="J775" s="6"/>
      <c r="K775" s="6"/>
      <c r="L775" s="6"/>
      <c r="M775" s="6"/>
      <c r="N775" s="5"/>
      <c r="O775" s="5"/>
      <c r="P775" s="5"/>
      <c r="Q775" s="9"/>
      <c r="R775" s="5"/>
      <c r="S775" s="5"/>
      <c r="T775" s="7"/>
      <c r="U775" s="7"/>
      <c r="V775" s="7"/>
      <c r="W775" s="5"/>
      <c r="X775" s="10"/>
      <c r="Y775" s="11"/>
      <c r="Z775" s="12"/>
      <c r="AA775" s="12"/>
      <c r="AB775" s="12"/>
      <c r="AC775" s="13"/>
      <c r="AD775" s="14"/>
      <c r="AE775" s="15"/>
      <c r="AF775" s="16"/>
      <c r="AG775" s="16"/>
      <c r="AH775" s="17"/>
      <c r="AI775" s="18"/>
      <c r="AJ775" s="19"/>
      <c r="AK775" s="20"/>
      <c r="AL775" s="17"/>
      <c r="AM775" s="5"/>
      <c r="AN775" s="5"/>
      <c r="AO775" s="5"/>
      <c r="AP775" s="5"/>
      <c r="AQ775" s="5"/>
      <c r="AR775" s="5"/>
      <c r="AS775" s="5"/>
      <c r="AT775" s="5"/>
      <c r="AU775" s="5"/>
      <c r="AV775" s="5"/>
      <c r="AW775" s="5"/>
      <c r="AX775" s="5"/>
      <c r="AY775" s="5"/>
      <c r="AZ775" s="5"/>
      <c r="BA775" s="19"/>
      <c r="BB775" s="17"/>
      <c r="BC775" s="5"/>
      <c r="BD775" s="5"/>
    </row>
    <row r="776" spans="1:56" hidden="1" x14ac:dyDescent="0.25">
      <c r="A776" s="5"/>
      <c r="B776" s="5"/>
      <c r="C776" s="5"/>
      <c r="D776" s="5"/>
      <c r="E776" s="99" t="e">
        <f>VLOOKUP(D776,'Dropdown List'!$F$26:$G$40,2,0)</f>
        <v>#N/A</v>
      </c>
      <c r="F776" s="6"/>
      <c r="G776" s="7"/>
      <c r="H776" s="5"/>
      <c r="I776" s="8"/>
      <c r="J776" s="6"/>
      <c r="K776" s="6"/>
      <c r="L776" s="6"/>
      <c r="M776" s="6"/>
      <c r="N776" s="5"/>
      <c r="O776" s="5"/>
      <c r="P776" s="5"/>
      <c r="Q776" s="9"/>
      <c r="R776" s="5"/>
      <c r="S776" s="5"/>
      <c r="T776" s="7"/>
      <c r="U776" s="7"/>
      <c r="V776" s="7"/>
      <c r="W776" s="5"/>
      <c r="X776" s="10"/>
      <c r="Y776" s="11"/>
      <c r="Z776" s="12"/>
      <c r="AA776" s="12"/>
      <c r="AB776" s="12"/>
      <c r="AC776" s="13"/>
      <c r="AD776" s="14"/>
      <c r="AE776" s="15"/>
      <c r="AF776" s="16"/>
      <c r="AG776" s="16"/>
      <c r="AH776" s="17"/>
      <c r="AI776" s="18"/>
      <c r="AJ776" s="19"/>
      <c r="AK776" s="20"/>
      <c r="AL776" s="17"/>
      <c r="AM776" s="5"/>
      <c r="AN776" s="5"/>
      <c r="AO776" s="5"/>
      <c r="AP776" s="5"/>
      <c r="AQ776" s="5"/>
      <c r="AR776" s="5"/>
      <c r="AS776" s="5"/>
      <c r="AT776" s="5"/>
      <c r="AU776" s="5"/>
      <c r="AV776" s="5"/>
      <c r="AW776" s="5"/>
      <c r="AX776" s="5"/>
      <c r="AY776" s="5"/>
      <c r="AZ776" s="5"/>
      <c r="BA776" s="19"/>
      <c r="BB776" s="17"/>
      <c r="BC776" s="5"/>
      <c r="BD776" s="5"/>
    </row>
    <row r="777" spans="1:56" hidden="1" x14ac:dyDescent="0.25">
      <c r="A777" s="5"/>
      <c r="B777" s="5"/>
      <c r="C777" s="5"/>
      <c r="D777" s="5"/>
      <c r="E777" s="99" t="e">
        <f>VLOOKUP(D777,'Dropdown List'!$F$26:$G$40,2,0)</f>
        <v>#N/A</v>
      </c>
      <c r="F777" s="6"/>
      <c r="G777" s="7"/>
      <c r="H777" s="5"/>
      <c r="I777" s="8"/>
      <c r="J777" s="6"/>
      <c r="K777" s="6"/>
      <c r="L777" s="6"/>
      <c r="M777" s="6"/>
      <c r="N777" s="5"/>
      <c r="O777" s="5"/>
      <c r="P777" s="5"/>
      <c r="Q777" s="9"/>
      <c r="R777" s="5"/>
      <c r="S777" s="5"/>
      <c r="T777" s="7"/>
      <c r="U777" s="7"/>
      <c r="V777" s="7"/>
      <c r="W777" s="5"/>
      <c r="X777" s="10"/>
      <c r="Y777" s="11"/>
      <c r="Z777" s="12"/>
      <c r="AA777" s="12"/>
      <c r="AB777" s="12"/>
      <c r="AC777" s="13"/>
      <c r="AD777" s="14"/>
      <c r="AE777" s="15"/>
      <c r="AF777" s="16"/>
      <c r="AG777" s="16"/>
      <c r="AH777" s="17"/>
      <c r="AI777" s="18"/>
      <c r="AJ777" s="19"/>
      <c r="AK777" s="20"/>
      <c r="AL777" s="17"/>
      <c r="AM777" s="5"/>
      <c r="AN777" s="5"/>
      <c r="AO777" s="5"/>
      <c r="AP777" s="5"/>
      <c r="AQ777" s="5"/>
      <c r="AR777" s="5"/>
      <c r="AS777" s="5"/>
      <c r="AT777" s="5"/>
      <c r="AU777" s="5"/>
      <c r="AV777" s="5"/>
      <c r="AW777" s="5"/>
      <c r="AX777" s="5"/>
      <c r="AY777" s="5"/>
      <c r="AZ777" s="5"/>
      <c r="BA777" s="19"/>
      <c r="BB777" s="17"/>
      <c r="BC777" s="5"/>
      <c r="BD777" s="5"/>
    </row>
    <row r="778" spans="1:56" hidden="1" x14ac:dyDescent="0.25">
      <c r="A778" s="5"/>
      <c r="B778" s="5"/>
      <c r="C778" s="5"/>
      <c r="D778" s="5"/>
      <c r="E778" s="99" t="e">
        <f>VLOOKUP(D778,'Dropdown List'!$F$26:$G$40,2,0)</f>
        <v>#N/A</v>
      </c>
      <c r="F778" s="6"/>
      <c r="G778" s="7"/>
      <c r="H778" s="5"/>
      <c r="I778" s="8"/>
      <c r="J778" s="6"/>
      <c r="K778" s="6"/>
      <c r="L778" s="6"/>
      <c r="M778" s="6"/>
      <c r="N778" s="5"/>
      <c r="O778" s="5"/>
      <c r="P778" s="5"/>
      <c r="Q778" s="9"/>
      <c r="R778" s="5"/>
      <c r="S778" s="5"/>
      <c r="T778" s="7"/>
      <c r="U778" s="7"/>
      <c r="V778" s="7"/>
      <c r="W778" s="5"/>
      <c r="X778" s="10"/>
      <c r="Y778" s="11"/>
      <c r="Z778" s="12"/>
      <c r="AA778" s="12"/>
      <c r="AB778" s="12"/>
      <c r="AC778" s="13"/>
      <c r="AD778" s="14"/>
      <c r="AE778" s="15"/>
      <c r="AF778" s="16"/>
      <c r="AG778" s="16"/>
      <c r="AH778" s="17"/>
      <c r="AI778" s="18"/>
      <c r="AJ778" s="19"/>
      <c r="AK778" s="20"/>
      <c r="AL778" s="17"/>
      <c r="AM778" s="5"/>
      <c r="AN778" s="5"/>
      <c r="AO778" s="5"/>
      <c r="AP778" s="5"/>
      <c r="AQ778" s="5"/>
      <c r="AR778" s="5"/>
      <c r="AS778" s="5"/>
      <c r="AT778" s="5"/>
      <c r="AU778" s="5"/>
      <c r="AV778" s="5"/>
      <c r="AW778" s="5"/>
      <c r="AX778" s="5"/>
      <c r="AY778" s="5"/>
      <c r="AZ778" s="5"/>
      <c r="BA778" s="19"/>
      <c r="BB778" s="17"/>
      <c r="BC778" s="5"/>
      <c r="BD778" s="5"/>
    </row>
    <row r="779" spans="1:56" hidden="1" x14ac:dyDescent="0.25">
      <c r="A779" s="5"/>
      <c r="B779" s="5"/>
      <c r="C779" s="5"/>
      <c r="D779" s="5"/>
      <c r="E779" s="99" t="e">
        <f>VLOOKUP(D779,'Dropdown List'!$F$26:$G$40,2,0)</f>
        <v>#N/A</v>
      </c>
      <c r="F779" s="6"/>
      <c r="G779" s="7"/>
      <c r="H779" s="5"/>
      <c r="I779" s="8"/>
      <c r="J779" s="6"/>
      <c r="K779" s="6"/>
      <c r="L779" s="6"/>
      <c r="M779" s="6"/>
      <c r="N779" s="5"/>
      <c r="O779" s="5"/>
      <c r="P779" s="5"/>
      <c r="Q779" s="9"/>
      <c r="R779" s="5"/>
      <c r="S779" s="5"/>
      <c r="T779" s="7"/>
      <c r="U779" s="7"/>
      <c r="V779" s="7"/>
      <c r="W779" s="5"/>
      <c r="X779" s="10"/>
      <c r="Y779" s="11"/>
      <c r="Z779" s="12"/>
      <c r="AA779" s="12"/>
      <c r="AB779" s="12"/>
      <c r="AC779" s="13"/>
      <c r="AD779" s="14"/>
      <c r="AE779" s="15"/>
      <c r="AF779" s="16"/>
      <c r="AG779" s="16"/>
      <c r="AH779" s="17"/>
      <c r="AI779" s="18"/>
      <c r="AJ779" s="19"/>
      <c r="AK779" s="20"/>
      <c r="AL779" s="17"/>
      <c r="AM779" s="5"/>
      <c r="AN779" s="5"/>
      <c r="AO779" s="5"/>
      <c r="AP779" s="5"/>
      <c r="AQ779" s="5"/>
      <c r="AR779" s="5"/>
      <c r="AS779" s="5"/>
      <c r="AT779" s="5"/>
      <c r="AU779" s="5"/>
      <c r="AV779" s="5"/>
      <c r="AW779" s="5"/>
      <c r="AX779" s="5"/>
      <c r="AY779" s="5"/>
      <c r="AZ779" s="5"/>
      <c r="BA779" s="19"/>
      <c r="BB779" s="17"/>
      <c r="BC779" s="5"/>
      <c r="BD779" s="5"/>
    </row>
    <row r="780" spans="1:56" hidden="1" x14ac:dyDescent="0.25">
      <c r="A780" s="5"/>
      <c r="B780" s="5"/>
      <c r="C780" s="5"/>
      <c r="D780" s="5"/>
      <c r="E780" s="99" t="e">
        <f>VLOOKUP(D780,'Dropdown List'!$F$26:$G$40,2,0)</f>
        <v>#N/A</v>
      </c>
      <c r="F780" s="6"/>
      <c r="G780" s="7"/>
      <c r="H780" s="5"/>
      <c r="I780" s="8"/>
      <c r="J780" s="6"/>
      <c r="K780" s="6"/>
      <c r="L780" s="6"/>
      <c r="M780" s="6"/>
      <c r="N780" s="5"/>
      <c r="O780" s="5"/>
      <c r="P780" s="5"/>
      <c r="Q780" s="9"/>
      <c r="R780" s="5"/>
      <c r="S780" s="5"/>
      <c r="T780" s="7"/>
      <c r="U780" s="7"/>
      <c r="V780" s="7"/>
      <c r="W780" s="5"/>
      <c r="X780" s="10"/>
      <c r="Y780" s="11"/>
      <c r="Z780" s="12"/>
      <c r="AA780" s="12"/>
      <c r="AB780" s="12"/>
      <c r="AC780" s="13"/>
      <c r="AD780" s="14"/>
      <c r="AE780" s="15"/>
      <c r="AF780" s="16"/>
      <c r="AG780" s="16"/>
      <c r="AH780" s="17"/>
      <c r="AI780" s="18"/>
      <c r="AJ780" s="19"/>
      <c r="AK780" s="20"/>
      <c r="AL780" s="17"/>
      <c r="AM780" s="5"/>
      <c r="AN780" s="5"/>
      <c r="AO780" s="5"/>
      <c r="AP780" s="5"/>
      <c r="AQ780" s="5"/>
      <c r="AR780" s="5"/>
      <c r="AS780" s="5"/>
      <c r="AT780" s="5"/>
      <c r="AU780" s="5"/>
      <c r="AV780" s="5"/>
      <c r="AW780" s="5"/>
      <c r="AX780" s="5"/>
      <c r="AY780" s="5"/>
      <c r="AZ780" s="5"/>
      <c r="BA780" s="19"/>
      <c r="BB780" s="17"/>
      <c r="BC780" s="5"/>
      <c r="BD780" s="5"/>
    </row>
    <row r="781" spans="1:56" hidden="1" x14ac:dyDescent="0.25">
      <c r="A781" s="5"/>
      <c r="B781" s="5"/>
      <c r="C781" s="5"/>
      <c r="D781" s="5"/>
      <c r="E781" s="99" t="e">
        <f>VLOOKUP(D781,'Dropdown List'!$F$26:$G$40,2,0)</f>
        <v>#N/A</v>
      </c>
      <c r="F781" s="6"/>
      <c r="G781" s="7"/>
      <c r="H781" s="5"/>
      <c r="I781" s="8"/>
      <c r="J781" s="6"/>
      <c r="K781" s="6"/>
      <c r="L781" s="6"/>
      <c r="M781" s="6"/>
      <c r="N781" s="5"/>
      <c r="O781" s="5"/>
      <c r="P781" s="5"/>
      <c r="Q781" s="9"/>
      <c r="R781" s="5"/>
      <c r="S781" s="5"/>
      <c r="T781" s="7"/>
      <c r="U781" s="7"/>
      <c r="V781" s="7"/>
      <c r="W781" s="5"/>
      <c r="X781" s="10"/>
      <c r="Y781" s="11"/>
      <c r="Z781" s="12"/>
      <c r="AA781" s="12"/>
      <c r="AB781" s="12"/>
      <c r="AC781" s="13"/>
      <c r="AD781" s="14"/>
      <c r="AE781" s="15"/>
      <c r="AF781" s="16"/>
      <c r="AG781" s="16"/>
      <c r="AH781" s="17"/>
      <c r="AI781" s="18"/>
      <c r="AJ781" s="19"/>
      <c r="AK781" s="20"/>
      <c r="AL781" s="17"/>
      <c r="AM781" s="5"/>
      <c r="AN781" s="5"/>
      <c r="AO781" s="5"/>
      <c r="AP781" s="5"/>
      <c r="AQ781" s="5"/>
      <c r="AR781" s="5"/>
      <c r="AS781" s="5"/>
      <c r="AT781" s="5"/>
      <c r="AU781" s="5"/>
      <c r="AV781" s="5"/>
      <c r="AW781" s="5"/>
      <c r="AX781" s="5"/>
      <c r="AY781" s="5"/>
      <c r="AZ781" s="5"/>
      <c r="BA781" s="19"/>
      <c r="BB781" s="17"/>
      <c r="BC781" s="5"/>
      <c r="BD781" s="5"/>
    </row>
    <row r="782" spans="1:56" hidden="1" x14ac:dyDescent="0.25">
      <c r="A782" s="5"/>
      <c r="B782" s="5"/>
      <c r="C782" s="5"/>
      <c r="D782" s="5"/>
      <c r="E782" s="99" t="e">
        <f>VLOOKUP(D782,'Dropdown List'!$F$26:$G$40,2,0)</f>
        <v>#N/A</v>
      </c>
      <c r="F782" s="6"/>
      <c r="G782" s="7"/>
      <c r="H782" s="5"/>
      <c r="I782" s="8"/>
      <c r="J782" s="6"/>
      <c r="K782" s="6"/>
      <c r="L782" s="6"/>
      <c r="M782" s="6"/>
      <c r="N782" s="5"/>
      <c r="O782" s="5"/>
      <c r="P782" s="5"/>
      <c r="Q782" s="9"/>
      <c r="R782" s="5"/>
      <c r="S782" s="5"/>
      <c r="T782" s="7"/>
      <c r="U782" s="7"/>
      <c r="V782" s="7"/>
      <c r="W782" s="5"/>
      <c r="X782" s="10"/>
      <c r="Y782" s="11"/>
      <c r="Z782" s="12"/>
      <c r="AA782" s="12"/>
      <c r="AB782" s="12"/>
      <c r="AC782" s="13"/>
      <c r="AD782" s="14"/>
      <c r="AE782" s="15"/>
      <c r="AF782" s="16"/>
      <c r="AG782" s="16"/>
      <c r="AH782" s="17"/>
      <c r="AI782" s="18"/>
      <c r="AJ782" s="19"/>
      <c r="AK782" s="20"/>
      <c r="AL782" s="17"/>
      <c r="AM782" s="5"/>
      <c r="AN782" s="5"/>
      <c r="AO782" s="5"/>
      <c r="AP782" s="5"/>
      <c r="AQ782" s="5"/>
      <c r="AR782" s="5"/>
      <c r="AS782" s="5"/>
      <c r="AT782" s="5"/>
      <c r="AU782" s="5"/>
      <c r="AV782" s="5"/>
      <c r="AW782" s="5"/>
      <c r="AX782" s="5"/>
      <c r="AY782" s="5"/>
      <c r="AZ782" s="5"/>
      <c r="BA782" s="19"/>
      <c r="BB782" s="17"/>
      <c r="BC782" s="5"/>
      <c r="BD782" s="5"/>
    </row>
    <row r="783" spans="1:56" hidden="1" x14ac:dyDescent="0.25">
      <c r="A783" s="5"/>
      <c r="B783" s="5"/>
      <c r="C783" s="5"/>
      <c r="D783" s="5"/>
      <c r="E783" s="99" t="e">
        <f>VLOOKUP(D783,'Dropdown List'!$F$26:$G$40,2,0)</f>
        <v>#N/A</v>
      </c>
      <c r="F783" s="6"/>
      <c r="G783" s="7"/>
      <c r="H783" s="5"/>
      <c r="I783" s="8"/>
      <c r="J783" s="6"/>
      <c r="K783" s="6"/>
      <c r="L783" s="6"/>
      <c r="M783" s="6"/>
      <c r="N783" s="5"/>
      <c r="O783" s="5"/>
      <c r="P783" s="5"/>
      <c r="Q783" s="9"/>
      <c r="R783" s="5"/>
      <c r="S783" s="5"/>
      <c r="T783" s="7"/>
      <c r="U783" s="7"/>
      <c r="V783" s="7"/>
      <c r="W783" s="5"/>
      <c r="X783" s="10"/>
      <c r="Y783" s="11"/>
      <c r="Z783" s="12"/>
      <c r="AA783" s="12"/>
      <c r="AB783" s="12"/>
      <c r="AC783" s="13"/>
      <c r="AD783" s="14"/>
      <c r="AE783" s="15"/>
      <c r="AF783" s="16"/>
      <c r="AG783" s="16"/>
      <c r="AH783" s="17"/>
      <c r="AI783" s="18"/>
      <c r="AJ783" s="19"/>
      <c r="AK783" s="20"/>
      <c r="AL783" s="17"/>
      <c r="AM783" s="5"/>
      <c r="AN783" s="5"/>
      <c r="AO783" s="5"/>
      <c r="AP783" s="5"/>
      <c r="AQ783" s="5"/>
      <c r="AR783" s="5"/>
      <c r="AS783" s="5"/>
      <c r="AT783" s="5"/>
      <c r="AU783" s="5"/>
      <c r="AV783" s="5"/>
      <c r="AW783" s="5"/>
      <c r="AX783" s="5"/>
      <c r="AY783" s="5"/>
      <c r="AZ783" s="5"/>
      <c r="BA783" s="19"/>
      <c r="BB783" s="17"/>
      <c r="BC783" s="5"/>
      <c r="BD783" s="5"/>
    </row>
    <row r="784" spans="1:56" hidden="1" x14ac:dyDescent="0.25">
      <c r="A784" s="5"/>
      <c r="B784" s="5"/>
      <c r="C784" s="5"/>
      <c r="D784" s="5"/>
      <c r="E784" s="99" t="e">
        <f>VLOOKUP(D784,'Dropdown List'!$F$26:$G$40,2,0)</f>
        <v>#N/A</v>
      </c>
      <c r="F784" s="6"/>
      <c r="G784" s="7"/>
      <c r="H784" s="5"/>
      <c r="I784" s="8"/>
      <c r="J784" s="6"/>
      <c r="K784" s="6"/>
      <c r="L784" s="6"/>
      <c r="M784" s="6"/>
      <c r="N784" s="5"/>
      <c r="O784" s="5"/>
      <c r="P784" s="5"/>
      <c r="Q784" s="9"/>
      <c r="R784" s="5"/>
      <c r="S784" s="5"/>
      <c r="T784" s="7"/>
      <c r="U784" s="7"/>
      <c r="V784" s="7"/>
      <c r="W784" s="5"/>
      <c r="X784" s="10"/>
      <c r="Y784" s="11"/>
      <c r="Z784" s="12"/>
      <c r="AA784" s="12"/>
      <c r="AB784" s="12"/>
      <c r="AC784" s="13"/>
      <c r="AD784" s="14"/>
      <c r="AE784" s="15"/>
      <c r="AF784" s="16"/>
      <c r="AG784" s="16"/>
      <c r="AH784" s="17"/>
      <c r="AI784" s="18"/>
      <c r="AJ784" s="19"/>
      <c r="AK784" s="20"/>
      <c r="AL784" s="17"/>
      <c r="AM784" s="5"/>
      <c r="AN784" s="5"/>
      <c r="AO784" s="5"/>
      <c r="AP784" s="5"/>
      <c r="AQ784" s="5"/>
      <c r="AR784" s="5"/>
      <c r="AS784" s="5"/>
      <c r="AT784" s="5"/>
      <c r="AU784" s="5"/>
      <c r="AV784" s="5"/>
      <c r="AW784" s="5"/>
      <c r="AX784" s="5"/>
      <c r="AY784" s="5"/>
      <c r="AZ784" s="5"/>
      <c r="BA784" s="19"/>
      <c r="BB784" s="17"/>
      <c r="BC784" s="5"/>
      <c r="BD784" s="5"/>
    </row>
    <row r="785" spans="1:56" hidden="1" x14ac:dyDescent="0.25">
      <c r="A785" s="5"/>
      <c r="B785" s="5"/>
      <c r="C785" s="5"/>
      <c r="D785" s="5"/>
      <c r="E785" s="99" t="e">
        <f>VLOOKUP(D785,'Dropdown List'!$F$26:$G$40,2,0)</f>
        <v>#N/A</v>
      </c>
      <c r="F785" s="6"/>
      <c r="G785" s="7"/>
      <c r="H785" s="5"/>
      <c r="I785" s="8"/>
      <c r="J785" s="6"/>
      <c r="K785" s="6"/>
      <c r="L785" s="6"/>
      <c r="M785" s="6"/>
      <c r="N785" s="5"/>
      <c r="O785" s="5"/>
      <c r="P785" s="5"/>
      <c r="Q785" s="9"/>
      <c r="R785" s="5"/>
      <c r="S785" s="5"/>
      <c r="T785" s="7"/>
      <c r="U785" s="7"/>
      <c r="V785" s="7"/>
      <c r="W785" s="5"/>
      <c r="X785" s="10"/>
      <c r="Y785" s="11"/>
      <c r="Z785" s="12"/>
      <c r="AA785" s="12"/>
      <c r="AB785" s="12"/>
      <c r="AC785" s="13"/>
      <c r="AD785" s="14"/>
      <c r="AE785" s="15"/>
      <c r="AF785" s="16"/>
      <c r="AG785" s="16"/>
      <c r="AH785" s="17"/>
      <c r="AI785" s="18"/>
      <c r="AJ785" s="19"/>
      <c r="AK785" s="20"/>
      <c r="AL785" s="17"/>
      <c r="AM785" s="5"/>
      <c r="AN785" s="5"/>
      <c r="AO785" s="5"/>
      <c r="AP785" s="5"/>
      <c r="AQ785" s="5"/>
      <c r="AR785" s="5"/>
      <c r="AS785" s="5"/>
      <c r="AT785" s="5"/>
      <c r="AU785" s="5"/>
      <c r="AV785" s="5"/>
      <c r="AW785" s="5"/>
      <c r="AX785" s="5"/>
      <c r="AY785" s="5"/>
      <c r="AZ785" s="5"/>
      <c r="BA785" s="19"/>
      <c r="BB785" s="17"/>
      <c r="BC785" s="5"/>
      <c r="BD785" s="5"/>
    </row>
    <row r="786" spans="1:56" hidden="1" x14ac:dyDescent="0.25">
      <c r="A786" s="5"/>
      <c r="B786" s="5"/>
      <c r="C786" s="5"/>
      <c r="D786" s="5"/>
      <c r="E786" s="99" t="e">
        <f>VLOOKUP(D786,'Dropdown List'!$F$26:$G$40,2,0)</f>
        <v>#N/A</v>
      </c>
      <c r="F786" s="6"/>
      <c r="G786" s="7"/>
      <c r="H786" s="5"/>
      <c r="I786" s="8"/>
      <c r="J786" s="6"/>
      <c r="K786" s="6"/>
      <c r="L786" s="6"/>
      <c r="M786" s="6"/>
      <c r="N786" s="5"/>
      <c r="O786" s="5"/>
      <c r="P786" s="5"/>
      <c r="Q786" s="9"/>
      <c r="R786" s="5"/>
      <c r="S786" s="5"/>
      <c r="T786" s="7"/>
      <c r="U786" s="7"/>
      <c r="V786" s="7"/>
      <c r="W786" s="5"/>
      <c r="X786" s="10"/>
      <c r="Y786" s="11"/>
      <c r="Z786" s="12"/>
      <c r="AA786" s="12"/>
      <c r="AB786" s="12"/>
      <c r="AC786" s="13"/>
      <c r="AD786" s="14"/>
      <c r="AE786" s="15"/>
      <c r="AF786" s="16"/>
      <c r="AG786" s="16"/>
      <c r="AH786" s="17"/>
      <c r="AI786" s="18"/>
      <c r="AJ786" s="19"/>
      <c r="AK786" s="20"/>
      <c r="AL786" s="17"/>
      <c r="AM786" s="5"/>
      <c r="AN786" s="5"/>
      <c r="AO786" s="5"/>
      <c r="AP786" s="5"/>
      <c r="AQ786" s="5"/>
      <c r="AR786" s="5"/>
      <c r="AS786" s="5"/>
      <c r="AT786" s="5"/>
      <c r="AU786" s="5"/>
      <c r="AV786" s="5"/>
      <c r="AW786" s="5"/>
      <c r="AX786" s="5"/>
      <c r="AY786" s="5"/>
      <c r="AZ786" s="5"/>
      <c r="BA786" s="19"/>
      <c r="BB786" s="17"/>
      <c r="BC786" s="5"/>
      <c r="BD786" s="5"/>
    </row>
    <row r="787" spans="1:56" hidden="1" x14ac:dyDescent="0.25">
      <c r="A787" s="5"/>
      <c r="B787" s="5"/>
      <c r="C787" s="5"/>
      <c r="D787" s="5"/>
      <c r="E787" s="99" t="e">
        <f>VLOOKUP(D787,'Dropdown List'!$F$26:$G$40,2,0)</f>
        <v>#N/A</v>
      </c>
      <c r="F787" s="6"/>
      <c r="G787" s="7"/>
      <c r="H787" s="5"/>
      <c r="I787" s="8"/>
      <c r="J787" s="6"/>
      <c r="K787" s="6"/>
      <c r="L787" s="6"/>
      <c r="M787" s="6"/>
      <c r="N787" s="5"/>
      <c r="O787" s="5"/>
      <c r="P787" s="5"/>
      <c r="Q787" s="9"/>
      <c r="R787" s="5"/>
      <c r="S787" s="5"/>
      <c r="T787" s="7"/>
      <c r="U787" s="7"/>
      <c r="V787" s="7"/>
      <c r="W787" s="5"/>
      <c r="X787" s="10"/>
      <c r="Y787" s="11"/>
      <c r="Z787" s="12"/>
      <c r="AA787" s="12"/>
      <c r="AB787" s="12"/>
      <c r="AC787" s="13"/>
      <c r="AD787" s="14"/>
      <c r="AE787" s="15"/>
      <c r="AF787" s="16"/>
      <c r="AG787" s="16"/>
      <c r="AH787" s="17"/>
      <c r="AI787" s="18"/>
      <c r="AJ787" s="19"/>
      <c r="AK787" s="20"/>
      <c r="AL787" s="17"/>
      <c r="AM787" s="5"/>
      <c r="AN787" s="5"/>
      <c r="AO787" s="5"/>
      <c r="AP787" s="5"/>
      <c r="AQ787" s="5"/>
      <c r="AR787" s="5"/>
      <c r="AS787" s="5"/>
      <c r="AT787" s="5"/>
      <c r="AU787" s="5"/>
      <c r="AV787" s="5"/>
      <c r="AW787" s="5"/>
      <c r="AX787" s="5"/>
      <c r="AY787" s="5"/>
      <c r="AZ787" s="5"/>
      <c r="BA787" s="19"/>
      <c r="BB787" s="17"/>
      <c r="BC787" s="5"/>
      <c r="BD787" s="5"/>
    </row>
    <row r="788" spans="1:56" hidden="1" x14ac:dyDescent="0.25">
      <c r="A788" s="5"/>
      <c r="B788" s="5"/>
      <c r="C788" s="5"/>
      <c r="D788" s="5"/>
      <c r="E788" s="99" t="e">
        <f>VLOOKUP(D788,'Dropdown List'!$F$26:$G$40,2,0)</f>
        <v>#N/A</v>
      </c>
      <c r="F788" s="6"/>
      <c r="G788" s="7"/>
      <c r="H788" s="5"/>
      <c r="I788" s="8"/>
      <c r="J788" s="6"/>
      <c r="K788" s="6"/>
      <c r="L788" s="6"/>
      <c r="M788" s="6"/>
      <c r="N788" s="5"/>
      <c r="O788" s="5"/>
      <c r="P788" s="5"/>
      <c r="Q788" s="9"/>
      <c r="R788" s="5"/>
      <c r="S788" s="5"/>
      <c r="T788" s="7"/>
      <c r="U788" s="7"/>
      <c r="V788" s="7"/>
      <c r="W788" s="5"/>
      <c r="X788" s="10"/>
      <c r="Y788" s="11"/>
      <c r="Z788" s="12"/>
      <c r="AA788" s="12"/>
      <c r="AB788" s="12"/>
      <c r="AC788" s="13"/>
      <c r="AD788" s="14"/>
      <c r="AE788" s="15"/>
      <c r="AF788" s="16"/>
      <c r="AG788" s="16"/>
      <c r="AH788" s="17"/>
      <c r="AI788" s="18"/>
      <c r="AJ788" s="19"/>
      <c r="AK788" s="20"/>
      <c r="AL788" s="17"/>
      <c r="AM788" s="5"/>
      <c r="AN788" s="5"/>
      <c r="AO788" s="5"/>
      <c r="AP788" s="5"/>
      <c r="AQ788" s="5"/>
      <c r="AR788" s="5"/>
      <c r="AS788" s="5"/>
      <c r="AT788" s="5"/>
      <c r="AU788" s="5"/>
      <c r="AV788" s="5"/>
      <c r="AW788" s="5"/>
      <c r="AX788" s="5"/>
      <c r="AY788" s="5"/>
      <c r="AZ788" s="5"/>
      <c r="BA788" s="19"/>
      <c r="BB788" s="17"/>
      <c r="BC788" s="5"/>
      <c r="BD788" s="5"/>
    </row>
    <row r="789" spans="1:56" hidden="1" x14ac:dyDescent="0.25">
      <c r="A789" s="5"/>
      <c r="B789" s="5"/>
      <c r="C789" s="5"/>
      <c r="D789" s="5"/>
      <c r="E789" s="99" t="e">
        <f>VLOOKUP(D789,'Dropdown List'!$F$26:$G$40,2,0)</f>
        <v>#N/A</v>
      </c>
      <c r="F789" s="6"/>
      <c r="G789" s="7"/>
      <c r="H789" s="5"/>
      <c r="I789" s="8"/>
      <c r="J789" s="6"/>
      <c r="K789" s="6"/>
      <c r="L789" s="6"/>
      <c r="M789" s="6"/>
      <c r="N789" s="5"/>
      <c r="O789" s="5"/>
      <c r="P789" s="5"/>
      <c r="Q789" s="9"/>
      <c r="R789" s="5"/>
      <c r="S789" s="5"/>
      <c r="T789" s="7"/>
      <c r="U789" s="7"/>
      <c r="V789" s="7"/>
      <c r="W789" s="5"/>
      <c r="X789" s="10"/>
      <c r="Y789" s="11"/>
      <c r="Z789" s="12"/>
      <c r="AA789" s="12"/>
      <c r="AB789" s="12"/>
      <c r="AC789" s="13"/>
      <c r="AD789" s="14"/>
      <c r="AE789" s="15"/>
      <c r="AF789" s="16"/>
      <c r="AG789" s="16"/>
      <c r="AH789" s="17"/>
      <c r="AI789" s="18"/>
      <c r="AJ789" s="19"/>
      <c r="AK789" s="20"/>
      <c r="AL789" s="17"/>
      <c r="AM789" s="5"/>
      <c r="AN789" s="5"/>
      <c r="AO789" s="5"/>
      <c r="AP789" s="5"/>
      <c r="AQ789" s="5"/>
      <c r="AR789" s="5"/>
      <c r="AS789" s="5"/>
      <c r="AT789" s="5"/>
      <c r="AU789" s="5"/>
      <c r="AV789" s="5"/>
      <c r="AW789" s="5"/>
      <c r="AX789" s="5"/>
      <c r="AY789" s="5"/>
      <c r="AZ789" s="5"/>
      <c r="BA789" s="19"/>
      <c r="BB789" s="17"/>
      <c r="BC789" s="5"/>
      <c r="BD789" s="5"/>
    </row>
    <row r="790" spans="1:56" hidden="1" x14ac:dyDescent="0.25">
      <c r="A790" s="5"/>
      <c r="B790" s="5"/>
      <c r="C790" s="5"/>
      <c r="D790" s="5"/>
      <c r="E790" s="99" t="e">
        <f>VLOOKUP(D790,'Dropdown List'!$F$26:$G$40,2,0)</f>
        <v>#N/A</v>
      </c>
      <c r="F790" s="6"/>
      <c r="G790" s="7"/>
      <c r="H790" s="5"/>
      <c r="I790" s="8"/>
      <c r="J790" s="6"/>
      <c r="K790" s="6"/>
      <c r="L790" s="6"/>
      <c r="M790" s="6"/>
      <c r="N790" s="5"/>
      <c r="O790" s="5"/>
      <c r="P790" s="5"/>
      <c r="Q790" s="9"/>
      <c r="R790" s="5"/>
      <c r="S790" s="5"/>
      <c r="T790" s="7"/>
      <c r="U790" s="7"/>
      <c r="V790" s="7"/>
      <c r="W790" s="5"/>
      <c r="X790" s="10"/>
      <c r="Y790" s="11"/>
      <c r="Z790" s="12"/>
      <c r="AA790" s="12"/>
      <c r="AB790" s="12"/>
      <c r="AC790" s="13"/>
      <c r="AD790" s="14"/>
      <c r="AE790" s="15"/>
      <c r="AF790" s="16"/>
      <c r="AG790" s="16"/>
      <c r="AH790" s="17"/>
      <c r="AI790" s="18"/>
      <c r="AJ790" s="19"/>
      <c r="AK790" s="20"/>
      <c r="AL790" s="17"/>
      <c r="AM790" s="5"/>
      <c r="AN790" s="5"/>
      <c r="AO790" s="5"/>
      <c r="AP790" s="5"/>
      <c r="AQ790" s="5"/>
      <c r="AR790" s="5"/>
      <c r="AS790" s="5"/>
      <c r="AT790" s="5"/>
      <c r="AU790" s="5"/>
      <c r="AV790" s="5"/>
      <c r="AW790" s="5"/>
      <c r="AX790" s="5"/>
      <c r="AY790" s="5"/>
      <c r="AZ790" s="5"/>
      <c r="BA790" s="19"/>
      <c r="BB790" s="17"/>
      <c r="BC790" s="5"/>
      <c r="BD790" s="5"/>
    </row>
    <row r="791" spans="1:56" hidden="1" x14ac:dyDescent="0.25">
      <c r="A791" s="5"/>
      <c r="B791" s="5"/>
      <c r="C791" s="5"/>
      <c r="D791" s="5"/>
      <c r="E791" s="99" t="e">
        <f>VLOOKUP(D791,'Dropdown List'!$F$26:$G$40,2,0)</f>
        <v>#N/A</v>
      </c>
      <c r="F791" s="6"/>
      <c r="G791" s="7"/>
      <c r="H791" s="5"/>
      <c r="I791" s="8"/>
      <c r="J791" s="6"/>
      <c r="K791" s="6"/>
      <c r="L791" s="6"/>
      <c r="M791" s="6"/>
      <c r="N791" s="5"/>
      <c r="O791" s="5"/>
      <c r="P791" s="5"/>
      <c r="Q791" s="9"/>
      <c r="R791" s="5"/>
      <c r="S791" s="5"/>
      <c r="T791" s="7"/>
      <c r="U791" s="7"/>
      <c r="V791" s="7"/>
      <c r="W791" s="5"/>
      <c r="X791" s="10"/>
      <c r="Y791" s="11"/>
      <c r="Z791" s="12"/>
      <c r="AA791" s="12"/>
      <c r="AB791" s="12"/>
      <c r="AC791" s="13"/>
      <c r="AD791" s="14"/>
      <c r="AE791" s="15"/>
      <c r="AF791" s="16"/>
      <c r="AG791" s="16"/>
      <c r="AH791" s="17"/>
      <c r="AI791" s="18"/>
      <c r="AJ791" s="19"/>
      <c r="AK791" s="20"/>
      <c r="AL791" s="17"/>
      <c r="AM791" s="5"/>
      <c r="AN791" s="5"/>
      <c r="AO791" s="5"/>
      <c r="AP791" s="5"/>
      <c r="AQ791" s="5"/>
      <c r="AR791" s="5"/>
      <c r="AS791" s="5"/>
      <c r="AT791" s="5"/>
      <c r="AU791" s="5"/>
      <c r="AV791" s="5"/>
      <c r="AW791" s="5"/>
      <c r="AX791" s="5"/>
      <c r="AY791" s="5"/>
      <c r="AZ791" s="5"/>
      <c r="BA791" s="19"/>
      <c r="BB791" s="17"/>
      <c r="BC791" s="5"/>
      <c r="BD791" s="5"/>
    </row>
    <row r="792" spans="1:56" hidden="1" x14ac:dyDescent="0.25">
      <c r="A792" s="5"/>
      <c r="B792" s="5"/>
      <c r="C792" s="5"/>
      <c r="D792" s="5"/>
      <c r="E792" s="99" t="e">
        <f>VLOOKUP(D792,'Dropdown List'!$F$26:$G$40,2,0)</f>
        <v>#N/A</v>
      </c>
      <c r="F792" s="6"/>
      <c r="G792" s="7"/>
      <c r="H792" s="5"/>
      <c r="I792" s="8"/>
      <c r="J792" s="6"/>
      <c r="K792" s="6"/>
      <c r="L792" s="6"/>
      <c r="M792" s="6"/>
      <c r="N792" s="5"/>
      <c r="O792" s="5"/>
      <c r="P792" s="5"/>
      <c r="Q792" s="9"/>
      <c r="R792" s="5"/>
      <c r="S792" s="5"/>
      <c r="T792" s="7"/>
      <c r="U792" s="7"/>
      <c r="V792" s="7"/>
      <c r="W792" s="5"/>
      <c r="X792" s="10"/>
      <c r="Y792" s="11"/>
      <c r="Z792" s="12"/>
      <c r="AA792" s="12"/>
      <c r="AB792" s="12"/>
      <c r="AC792" s="13"/>
      <c r="AD792" s="14"/>
      <c r="AE792" s="15"/>
      <c r="AF792" s="16"/>
      <c r="AG792" s="16"/>
      <c r="AH792" s="17"/>
      <c r="AI792" s="18"/>
      <c r="AJ792" s="19"/>
      <c r="AK792" s="20"/>
      <c r="AL792" s="17"/>
      <c r="AM792" s="5"/>
      <c r="AN792" s="5"/>
      <c r="AO792" s="5"/>
      <c r="AP792" s="5"/>
      <c r="AQ792" s="5"/>
      <c r="AR792" s="5"/>
      <c r="AS792" s="5"/>
      <c r="AT792" s="5"/>
      <c r="AU792" s="5"/>
      <c r="AV792" s="5"/>
      <c r="AW792" s="5"/>
      <c r="AX792" s="5"/>
      <c r="AY792" s="5"/>
      <c r="AZ792" s="5"/>
      <c r="BA792" s="19"/>
      <c r="BB792" s="17"/>
      <c r="BC792" s="5"/>
      <c r="BD792" s="5"/>
    </row>
    <row r="793" spans="1:56" hidden="1" x14ac:dyDescent="0.25">
      <c r="A793" s="5"/>
      <c r="B793" s="5"/>
      <c r="C793" s="5"/>
      <c r="D793" s="5"/>
      <c r="E793" s="99" t="e">
        <f>VLOOKUP(D793,'Dropdown List'!$F$26:$G$40,2,0)</f>
        <v>#N/A</v>
      </c>
      <c r="F793" s="6"/>
      <c r="G793" s="7"/>
      <c r="H793" s="5"/>
      <c r="I793" s="8"/>
      <c r="J793" s="6"/>
      <c r="K793" s="6"/>
      <c r="L793" s="6"/>
      <c r="M793" s="6"/>
      <c r="N793" s="5"/>
      <c r="O793" s="5"/>
      <c r="P793" s="5"/>
      <c r="Q793" s="9"/>
      <c r="R793" s="5"/>
      <c r="S793" s="5"/>
      <c r="T793" s="7"/>
      <c r="U793" s="7"/>
      <c r="V793" s="7"/>
      <c r="W793" s="5"/>
      <c r="X793" s="10"/>
      <c r="Y793" s="11"/>
      <c r="Z793" s="12"/>
      <c r="AA793" s="12"/>
      <c r="AB793" s="12"/>
      <c r="AC793" s="13"/>
      <c r="AD793" s="14"/>
      <c r="AE793" s="15"/>
      <c r="AF793" s="16"/>
      <c r="AG793" s="16"/>
      <c r="AH793" s="17"/>
      <c r="AI793" s="18"/>
      <c r="AJ793" s="19"/>
      <c r="AK793" s="20"/>
      <c r="AL793" s="17"/>
      <c r="AM793" s="5"/>
      <c r="AN793" s="5"/>
      <c r="AO793" s="5"/>
      <c r="AP793" s="5"/>
      <c r="AQ793" s="5"/>
      <c r="AR793" s="5"/>
      <c r="AS793" s="5"/>
      <c r="AT793" s="5"/>
      <c r="AU793" s="5"/>
      <c r="AV793" s="5"/>
      <c r="AW793" s="5"/>
      <c r="AX793" s="5"/>
      <c r="AY793" s="5"/>
      <c r="AZ793" s="5"/>
      <c r="BA793" s="19"/>
      <c r="BB793" s="17"/>
      <c r="BC793" s="5"/>
      <c r="BD793" s="5"/>
    </row>
    <row r="794" spans="1:56" hidden="1" x14ac:dyDescent="0.25">
      <c r="A794" s="5"/>
      <c r="B794" s="5"/>
      <c r="C794" s="5"/>
      <c r="D794" s="5"/>
      <c r="E794" s="99" t="e">
        <f>VLOOKUP(D794,'Dropdown List'!$F$26:$G$40,2,0)</f>
        <v>#N/A</v>
      </c>
      <c r="F794" s="6"/>
      <c r="G794" s="7"/>
      <c r="H794" s="5"/>
      <c r="I794" s="8"/>
      <c r="J794" s="6"/>
      <c r="K794" s="6"/>
      <c r="L794" s="6"/>
      <c r="M794" s="6"/>
      <c r="N794" s="5"/>
      <c r="O794" s="5"/>
      <c r="P794" s="5"/>
      <c r="Q794" s="9"/>
      <c r="R794" s="5"/>
      <c r="S794" s="5"/>
      <c r="T794" s="7"/>
      <c r="U794" s="7"/>
      <c r="V794" s="7"/>
      <c r="W794" s="5"/>
      <c r="X794" s="10"/>
      <c r="Y794" s="11"/>
      <c r="Z794" s="12"/>
      <c r="AA794" s="12"/>
      <c r="AB794" s="12"/>
      <c r="AC794" s="13"/>
      <c r="AD794" s="14"/>
      <c r="AE794" s="15"/>
      <c r="AF794" s="16"/>
      <c r="AG794" s="16"/>
      <c r="AH794" s="17"/>
      <c r="AI794" s="18"/>
      <c r="AJ794" s="19"/>
      <c r="AK794" s="20"/>
      <c r="AL794" s="17"/>
      <c r="AM794" s="5"/>
      <c r="AN794" s="5"/>
      <c r="AO794" s="5"/>
      <c r="AP794" s="5"/>
      <c r="AQ794" s="5"/>
      <c r="AR794" s="5"/>
      <c r="AS794" s="5"/>
      <c r="AT794" s="5"/>
      <c r="AU794" s="5"/>
      <c r="AV794" s="5"/>
      <c r="AW794" s="5"/>
      <c r="AX794" s="5"/>
      <c r="AY794" s="5"/>
      <c r="AZ794" s="5"/>
      <c r="BA794" s="19"/>
      <c r="BB794" s="17"/>
      <c r="BC794" s="5"/>
      <c r="BD794" s="5"/>
    </row>
    <row r="795" spans="1:56" hidden="1" x14ac:dyDescent="0.25">
      <c r="A795" s="5"/>
      <c r="B795" s="5"/>
      <c r="C795" s="5"/>
      <c r="D795" s="5"/>
      <c r="E795" s="99" t="e">
        <f>VLOOKUP(D795,'Dropdown List'!$F$26:$G$40,2,0)</f>
        <v>#N/A</v>
      </c>
      <c r="F795" s="6"/>
      <c r="G795" s="7"/>
      <c r="H795" s="5"/>
      <c r="I795" s="8"/>
      <c r="J795" s="6"/>
      <c r="K795" s="6"/>
      <c r="L795" s="6"/>
      <c r="M795" s="6"/>
      <c r="N795" s="5"/>
      <c r="O795" s="5"/>
      <c r="P795" s="5"/>
      <c r="Q795" s="9"/>
      <c r="R795" s="5"/>
      <c r="S795" s="5"/>
      <c r="T795" s="7"/>
      <c r="U795" s="7"/>
      <c r="V795" s="7"/>
      <c r="W795" s="5"/>
      <c r="X795" s="10"/>
      <c r="Y795" s="11"/>
      <c r="Z795" s="12"/>
      <c r="AA795" s="12"/>
      <c r="AB795" s="12"/>
      <c r="AC795" s="13"/>
      <c r="AD795" s="14"/>
      <c r="AE795" s="15"/>
      <c r="AF795" s="16"/>
      <c r="AG795" s="16"/>
      <c r="AH795" s="17"/>
      <c r="AI795" s="18"/>
      <c r="AJ795" s="19"/>
      <c r="AK795" s="20"/>
      <c r="AL795" s="17"/>
      <c r="AM795" s="5"/>
      <c r="AN795" s="5"/>
      <c r="AO795" s="5"/>
      <c r="AP795" s="5"/>
      <c r="AQ795" s="5"/>
      <c r="AR795" s="5"/>
      <c r="AS795" s="5"/>
      <c r="AT795" s="5"/>
      <c r="AU795" s="5"/>
      <c r="AV795" s="5"/>
      <c r="AW795" s="5"/>
      <c r="AX795" s="5"/>
      <c r="AY795" s="5"/>
      <c r="AZ795" s="5"/>
      <c r="BA795" s="19"/>
      <c r="BB795" s="17"/>
      <c r="BC795" s="5"/>
      <c r="BD795" s="5"/>
    </row>
    <row r="796" spans="1:56" hidden="1" x14ac:dyDescent="0.25">
      <c r="A796" s="5"/>
      <c r="B796" s="5"/>
      <c r="C796" s="5"/>
      <c r="D796" s="5"/>
      <c r="E796" s="99" t="e">
        <f>VLOOKUP(D796,'Dropdown List'!$F$26:$G$40,2,0)</f>
        <v>#N/A</v>
      </c>
      <c r="F796" s="6"/>
      <c r="G796" s="7"/>
      <c r="H796" s="5"/>
      <c r="I796" s="8"/>
      <c r="J796" s="6"/>
      <c r="K796" s="6"/>
      <c r="L796" s="6"/>
      <c r="M796" s="6"/>
      <c r="N796" s="5"/>
      <c r="O796" s="5"/>
      <c r="P796" s="5"/>
      <c r="Q796" s="9"/>
      <c r="R796" s="5"/>
      <c r="S796" s="5"/>
      <c r="T796" s="7"/>
      <c r="U796" s="7"/>
      <c r="V796" s="7"/>
      <c r="W796" s="5"/>
      <c r="X796" s="10"/>
      <c r="Y796" s="11"/>
      <c r="Z796" s="12"/>
      <c r="AA796" s="12"/>
      <c r="AB796" s="12"/>
      <c r="AC796" s="13"/>
      <c r="AD796" s="14"/>
      <c r="AE796" s="15"/>
      <c r="AF796" s="16"/>
      <c r="AG796" s="16"/>
      <c r="AH796" s="17"/>
      <c r="AI796" s="18"/>
      <c r="AJ796" s="19"/>
      <c r="AK796" s="20"/>
      <c r="AL796" s="17"/>
      <c r="AM796" s="5"/>
      <c r="AN796" s="5"/>
      <c r="AO796" s="5"/>
      <c r="AP796" s="5"/>
      <c r="AQ796" s="5"/>
      <c r="AR796" s="5"/>
      <c r="AS796" s="5"/>
      <c r="AT796" s="5"/>
      <c r="AU796" s="5"/>
      <c r="AV796" s="5"/>
      <c r="AW796" s="5"/>
      <c r="AX796" s="5"/>
      <c r="AY796" s="5"/>
      <c r="AZ796" s="5"/>
      <c r="BA796" s="19"/>
      <c r="BB796" s="17"/>
      <c r="BC796" s="5"/>
      <c r="BD796" s="5"/>
    </row>
    <row r="797" spans="1:56" hidden="1" x14ac:dyDescent="0.25">
      <c r="A797" s="5"/>
      <c r="B797" s="5"/>
      <c r="C797" s="5"/>
      <c r="D797" s="5"/>
      <c r="E797" s="99" t="e">
        <f>VLOOKUP(D797,'Dropdown List'!$F$26:$G$40,2,0)</f>
        <v>#N/A</v>
      </c>
      <c r="F797" s="6"/>
      <c r="G797" s="7"/>
      <c r="H797" s="5"/>
      <c r="I797" s="8"/>
      <c r="J797" s="6"/>
      <c r="K797" s="6"/>
      <c r="L797" s="6"/>
      <c r="M797" s="6"/>
      <c r="N797" s="5"/>
      <c r="O797" s="5"/>
      <c r="P797" s="5"/>
      <c r="Q797" s="9"/>
      <c r="R797" s="5"/>
      <c r="S797" s="5"/>
      <c r="T797" s="7"/>
      <c r="U797" s="7"/>
      <c r="V797" s="7"/>
      <c r="W797" s="5"/>
      <c r="X797" s="10"/>
      <c r="Y797" s="11"/>
      <c r="Z797" s="12"/>
      <c r="AA797" s="12"/>
      <c r="AB797" s="12"/>
      <c r="AC797" s="13"/>
      <c r="AD797" s="14"/>
      <c r="AE797" s="15"/>
      <c r="AF797" s="16"/>
      <c r="AG797" s="16"/>
      <c r="AH797" s="17"/>
      <c r="AI797" s="18"/>
      <c r="AJ797" s="19"/>
      <c r="AK797" s="20"/>
      <c r="AL797" s="17"/>
      <c r="AM797" s="5"/>
      <c r="AN797" s="5"/>
      <c r="AO797" s="5"/>
      <c r="AP797" s="5"/>
      <c r="AQ797" s="5"/>
      <c r="AR797" s="5"/>
      <c r="AS797" s="5"/>
      <c r="AT797" s="5"/>
      <c r="AU797" s="5"/>
      <c r="AV797" s="5"/>
      <c r="AW797" s="5"/>
      <c r="AX797" s="5"/>
      <c r="AY797" s="5"/>
      <c r="AZ797" s="5"/>
      <c r="BA797" s="19"/>
      <c r="BB797" s="17"/>
      <c r="BC797" s="5"/>
      <c r="BD797" s="5"/>
    </row>
    <row r="798" spans="1:56" hidden="1" x14ac:dyDescent="0.25">
      <c r="A798" s="5"/>
      <c r="B798" s="5"/>
      <c r="C798" s="5"/>
      <c r="D798" s="5"/>
      <c r="E798" s="99" t="e">
        <f>VLOOKUP(D798,'Dropdown List'!$F$26:$G$40,2,0)</f>
        <v>#N/A</v>
      </c>
      <c r="F798" s="6"/>
      <c r="G798" s="7"/>
      <c r="H798" s="5"/>
      <c r="I798" s="8"/>
      <c r="J798" s="6"/>
      <c r="K798" s="6"/>
      <c r="L798" s="6"/>
      <c r="M798" s="6"/>
      <c r="N798" s="5"/>
      <c r="O798" s="5"/>
      <c r="P798" s="5"/>
      <c r="Q798" s="9"/>
      <c r="R798" s="5"/>
      <c r="S798" s="5"/>
      <c r="T798" s="7"/>
      <c r="U798" s="7"/>
      <c r="V798" s="7"/>
      <c r="W798" s="5"/>
      <c r="X798" s="10"/>
      <c r="Y798" s="11"/>
      <c r="Z798" s="12"/>
      <c r="AA798" s="12"/>
      <c r="AB798" s="12"/>
      <c r="AC798" s="13"/>
      <c r="AD798" s="14"/>
      <c r="AE798" s="15"/>
      <c r="AF798" s="16"/>
      <c r="AG798" s="16"/>
      <c r="AH798" s="17"/>
      <c r="AI798" s="18"/>
      <c r="AJ798" s="19"/>
      <c r="AK798" s="20"/>
      <c r="AL798" s="17"/>
      <c r="AM798" s="5"/>
      <c r="AN798" s="5"/>
      <c r="AO798" s="5"/>
      <c r="AP798" s="5"/>
      <c r="AQ798" s="5"/>
      <c r="AR798" s="5"/>
      <c r="AS798" s="5"/>
      <c r="AT798" s="5"/>
      <c r="AU798" s="5"/>
      <c r="AV798" s="5"/>
      <c r="AW798" s="5"/>
      <c r="AX798" s="5"/>
      <c r="AY798" s="5"/>
      <c r="AZ798" s="5"/>
      <c r="BA798" s="19"/>
      <c r="BB798" s="17"/>
      <c r="BC798" s="5"/>
      <c r="BD798" s="5"/>
    </row>
    <row r="799" spans="1:56" hidden="1" x14ac:dyDescent="0.25">
      <c r="A799" s="5"/>
      <c r="B799" s="5"/>
      <c r="C799" s="5"/>
      <c r="D799" s="5"/>
      <c r="E799" s="99" t="e">
        <f>VLOOKUP(D799,'Dropdown List'!$F$26:$G$40,2,0)</f>
        <v>#N/A</v>
      </c>
      <c r="F799" s="6"/>
      <c r="G799" s="7"/>
      <c r="H799" s="5"/>
      <c r="I799" s="8"/>
      <c r="J799" s="6"/>
      <c r="K799" s="6"/>
      <c r="L799" s="6"/>
      <c r="M799" s="6"/>
      <c r="N799" s="5"/>
      <c r="O799" s="5"/>
      <c r="P799" s="5"/>
      <c r="Q799" s="9"/>
      <c r="R799" s="5"/>
      <c r="S799" s="5"/>
      <c r="T799" s="7"/>
      <c r="U799" s="7"/>
      <c r="V799" s="7"/>
      <c r="W799" s="5"/>
      <c r="X799" s="10"/>
      <c r="Y799" s="11"/>
      <c r="Z799" s="12"/>
      <c r="AA799" s="12"/>
      <c r="AB799" s="12"/>
      <c r="AC799" s="13"/>
      <c r="AD799" s="14"/>
      <c r="AE799" s="15"/>
      <c r="AF799" s="16"/>
      <c r="AG799" s="16"/>
      <c r="AH799" s="17"/>
      <c r="AI799" s="18"/>
      <c r="AJ799" s="19"/>
      <c r="AK799" s="20"/>
      <c r="AL799" s="17"/>
      <c r="AM799" s="5"/>
      <c r="AN799" s="5"/>
      <c r="AO799" s="5"/>
      <c r="AP799" s="5"/>
      <c r="AQ799" s="5"/>
      <c r="AR799" s="5"/>
      <c r="AS799" s="5"/>
      <c r="AT799" s="5"/>
      <c r="AU799" s="5"/>
      <c r="AV799" s="5"/>
      <c r="AW799" s="5"/>
      <c r="AX799" s="5"/>
      <c r="AY799" s="5"/>
      <c r="AZ799" s="5"/>
      <c r="BA799" s="19"/>
      <c r="BB799" s="17"/>
      <c r="BC799" s="5"/>
      <c r="BD799" s="5"/>
    </row>
    <row r="800" spans="1:56" hidden="1" x14ac:dyDescent="0.25">
      <c r="A800" s="5"/>
      <c r="B800" s="5"/>
      <c r="C800" s="5"/>
      <c r="D800" s="5"/>
      <c r="E800" s="99" t="e">
        <f>VLOOKUP(D800,'Dropdown List'!$F$26:$G$40,2,0)</f>
        <v>#N/A</v>
      </c>
      <c r="F800" s="6"/>
      <c r="G800" s="7"/>
      <c r="H800" s="5"/>
      <c r="I800" s="8"/>
      <c r="J800" s="6"/>
      <c r="K800" s="6"/>
      <c r="L800" s="6"/>
      <c r="M800" s="6"/>
      <c r="N800" s="5"/>
      <c r="O800" s="5"/>
      <c r="P800" s="5"/>
      <c r="Q800" s="9"/>
      <c r="R800" s="5"/>
      <c r="S800" s="5"/>
      <c r="T800" s="7"/>
      <c r="U800" s="7"/>
      <c r="V800" s="7"/>
      <c r="W800" s="5"/>
      <c r="X800" s="10"/>
      <c r="Y800" s="11"/>
      <c r="Z800" s="12"/>
      <c r="AA800" s="12"/>
      <c r="AB800" s="12"/>
      <c r="AC800" s="13"/>
      <c r="AD800" s="14"/>
      <c r="AE800" s="15"/>
      <c r="AF800" s="16"/>
      <c r="AG800" s="16"/>
      <c r="AH800" s="17"/>
      <c r="AI800" s="18"/>
      <c r="AJ800" s="19"/>
      <c r="AK800" s="20"/>
      <c r="AL800" s="17"/>
      <c r="AM800" s="5"/>
      <c r="AN800" s="5"/>
      <c r="AO800" s="5"/>
      <c r="AP800" s="5"/>
      <c r="AQ800" s="5"/>
      <c r="AR800" s="5"/>
      <c r="AS800" s="5"/>
      <c r="AT800" s="5"/>
      <c r="AU800" s="5"/>
      <c r="AV800" s="5"/>
      <c r="AW800" s="5"/>
      <c r="AX800" s="5"/>
      <c r="AY800" s="5"/>
      <c r="AZ800" s="5"/>
      <c r="BA800" s="19"/>
      <c r="BB800" s="17"/>
      <c r="BC800" s="5"/>
      <c r="BD800" s="5"/>
    </row>
    <row r="801" spans="1:56" hidden="1" x14ac:dyDescent="0.25">
      <c r="A801" s="5"/>
      <c r="B801" s="5"/>
      <c r="C801" s="5"/>
      <c r="D801" s="5"/>
      <c r="E801" s="99" t="e">
        <f>VLOOKUP(D801,'Dropdown List'!$F$26:$G$40,2,0)</f>
        <v>#N/A</v>
      </c>
      <c r="F801" s="6"/>
      <c r="G801" s="7"/>
      <c r="H801" s="5"/>
      <c r="I801" s="8"/>
      <c r="J801" s="6"/>
      <c r="K801" s="6"/>
      <c r="L801" s="6"/>
      <c r="M801" s="6"/>
      <c r="N801" s="5"/>
      <c r="O801" s="5"/>
      <c r="P801" s="5"/>
      <c r="Q801" s="9"/>
      <c r="R801" s="5"/>
      <c r="S801" s="5"/>
      <c r="T801" s="7"/>
      <c r="U801" s="7"/>
      <c r="V801" s="7"/>
      <c r="W801" s="5"/>
      <c r="X801" s="10"/>
      <c r="Y801" s="11"/>
      <c r="Z801" s="12"/>
      <c r="AA801" s="12"/>
      <c r="AB801" s="12"/>
      <c r="AC801" s="13"/>
      <c r="AD801" s="14"/>
      <c r="AE801" s="15"/>
      <c r="AF801" s="16"/>
      <c r="AG801" s="16"/>
      <c r="AH801" s="17"/>
      <c r="AI801" s="18"/>
      <c r="AJ801" s="19"/>
      <c r="AK801" s="20"/>
      <c r="AL801" s="17"/>
      <c r="AM801" s="5"/>
      <c r="AN801" s="5"/>
      <c r="AO801" s="5"/>
      <c r="AP801" s="5"/>
      <c r="AQ801" s="5"/>
      <c r="AR801" s="5"/>
      <c r="AS801" s="5"/>
      <c r="AT801" s="5"/>
      <c r="AU801" s="5"/>
      <c r="AV801" s="5"/>
      <c r="AW801" s="5"/>
      <c r="AX801" s="5"/>
      <c r="AY801" s="5"/>
      <c r="AZ801" s="5"/>
      <c r="BA801" s="19"/>
      <c r="BB801" s="17"/>
      <c r="BC801" s="5"/>
      <c r="BD801" s="5"/>
    </row>
    <row r="802" spans="1:56" hidden="1" x14ac:dyDescent="0.25">
      <c r="A802" s="5"/>
      <c r="B802" s="5"/>
      <c r="C802" s="5"/>
      <c r="D802" s="5"/>
      <c r="E802" s="99" t="e">
        <f>VLOOKUP(D802,'Dropdown List'!$F$26:$G$40,2,0)</f>
        <v>#N/A</v>
      </c>
      <c r="F802" s="6"/>
      <c r="G802" s="7"/>
      <c r="H802" s="5"/>
      <c r="I802" s="8"/>
      <c r="J802" s="6"/>
      <c r="K802" s="6"/>
      <c r="L802" s="6"/>
      <c r="M802" s="6"/>
      <c r="N802" s="5"/>
      <c r="O802" s="5"/>
      <c r="P802" s="5"/>
      <c r="Q802" s="9"/>
      <c r="R802" s="5"/>
      <c r="S802" s="5"/>
      <c r="T802" s="7"/>
      <c r="U802" s="7"/>
      <c r="V802" s="7"/>
      <c r="W802" s="5"/>
      <c r="X802" s="10"/>
      <c r="Y802" s="11"/>
      <c r="Z802" s="12"/>
      <c r="AA802" s="12"/>
      <c r="AB802" s="12"/>
      <c r="AC802" s="13"/>
      <c r="AD802" s="14"/>
      <c r="AE802" s="15"/>
      <c r="AF802" s="16"/>
      <c r="AG802" s="16"/>
      <c r="AH802" s="17"/>
      <c r="AI802" s="18"/>
      <c r="AJ802" s="19"/>
      <c r="AK802" s="20"/>
      <c r="AL802" s="17"/>
      <c r="AM802" s="5"/>
      <c r="AN802" s="5"/>
      <c r="AO802" s="5"/>
      <c r="AP802" s="5"/>
      <c r="AQ802" s="5"/>
      <c r="AR802" s="5"/>
      <c r="AS802" s="5"/>
      <c r="AT802" s="5"/>
      <c r="AU802" s="5"/>
      <c r="AV802" s="5"/>
      <c r="AW802" s="5"/>
      <c r="AX802" s="5"/>
      <c r="AY802" s="5"/>
      <c r="AZ802" s="5"/>
      <c r="BA802" s="19"/>
      <c r="BB802" s="17"/>
      <c r="BC802" s="5"/>
      <c r="BD802" s="5"/>
    </row>
    <row r="803" spans="1:56" hidden="1" x14ac:dyDescent="0.25">
      <c r="A803" s="5"/>
      <c r="B803" s="5"/>
      <c r="C803" s="5"/>
      <c r="D803" s="5"/>
      <c r="E803" s="99" t="e">
        <f>VLOOKUP(D803,'Dropdown List'!$F$26:$G$40,2,0)</f>
        <v>#N/A</v>
      </c>
      <c r="F803" s="6"/>
      <c r="G803" s="7"/>
      <c r="H803" s="5"/>
      <c r="I803" s="8"/>
      <c r="J803" s="6"/>
      <c r="K803" s="6"/>
      <c r="L803" s="6"/>
      <c r="M803" s="6"/>
      <c r="N803" s="5"/>
      <c r="O803" s="5"/>
      <c r="P803" s="5"/>
      <c r="Q803" s="9"/>
      <c r="R803" s="5"/>
      <c r="S803" s="5"/>
      <c r="T803" s="7"/>
      <c r="U803" s="7"/>
      <c r="V803" s="7"/>
      <c r="W803" s="5"/>
      <c r="X803" s="10"/>
      <c r="Y803" s="11"/>
      <c r="Z803" s="12"/>
      <c r="AA803" s="12"/>
      <c r="AB803" s="12"/>
      <c r="AC803" s="13"/>
      <c r="AD803" s="14"/>
      <c r="AE803" s="15"/>
      <c r="AF803" s="16"/>
      <c r="AG803" s="16"/>
      <c r="AH803" s="17"/>
      <c r="AI803" s="18"/>
      <c r="AJ803" s="19"/>
      <c r="AK803" s="20"/>
      <c r="AL803" s="17"/>
      <c r="AM803" s="5"/>
      <c r="AN803" s="5"/>
      <c r="AO803" s="5"/>
      <c r="AP803" s="5"/>
      <c r="AQ803" s="5"/>
      <c r="AR803" s="5"/>
      <c r="AS803" s="5"/>
      <c r="AT803" s="5"/>
      <c r="AU803" s="5"/>
      <c r="AV803" s="5"/>
      <c r="AW803" s="5"/>
      <c r="AX803" s="5"/>
      <c r="AY803" s="5"/>
      <c r="AZ803" s="5"/>
      <c r="BA803" s="19"/>
      <c r="BB803" s="17"/>
      <c r="BC803" s="5"/>
      <c r="BD803" s="5"/>
    </row>
    <row r="804" spans="1:56" hidden="1" x14ac:dyDescent="0.25">
      <c r="A804" s="5"/>
      <c r="B804" s="5"/>
      <c r="C804" s="5"/>
      <c r="D804" s="5"/>
      <c r="E804" s="99" t="e">
        <f>VLOOKUP(D804,'Dropdown List'!$F$26:$G$40,2,0)</f>
        <v>#N/A</v>
      </c>
      <c r="F804" s="6"/>
      <c r="G804" s="7"/>
      <c r="H804" s="5"/>
      <c r="I804" s="8"/>
      <c r="J804" s="6"/>
      <c r="K804" s="6"/>
      <c r="L804" s="6"/>
      <c r="M804" s="6"/>
      <c r="N804" s="5"/>
      <c r="O804" s="5"/>
      <c r="P804" s="5"/>
      <c r="Q804" s="9"/>
      <c r="R804" s="5"/>
      <c r="S804" s="5"/>
      <c r="T804" s="7"/>
      <c r="U804" s="7"/>
      <c r="V804" s="7"/>
      <c r="W804" s="5"/>
      <c r="X804" s="10"/>
      <c r="Y804" s="11"/>
      <c r="Z804" s="12"/>
      <c r="AA804" s="12"/>
      <c r="AB804" s="12"/>
      <c r="AC804" s="13"/>
      <c r="AD804" s="14"/>
      <c r="AE804" s="15"/>
      <c r="AF804" s="16"/>
      <c r="AG804" s="16"/>
      <c r="AH804" s="17"/>
      <c r="AI804" s="18"/>
      <c r="AJ804" s="19"/>
      <c r="AK804" s="20"/>
      <c r="AL804" s="17"/>
      <c r="AM804" s="5"/>
      <c r="AN804" s="5"/>
      <c r="AO804" s="5"/>
      <c r="AP804" s="5"/>
      <c r="AQ804" s="5"/>
      <c r="AR804" s="5"/>
      <c r="AS804" s="5"/>
      <c r="AT804" s="5"/>
      <c r="AU804" s="5"/>
      <c r="AV804" s="5"/>
      <c r="AW804" s="5"/>
      <c r="AX804" s="5"/>
      <c r="AY804" s="5"/>
      <c r="AZ804" s="5"/>
      <c r="BA804" s="19"/>
      <c r="BB804" s="17"/>
      <c r="BC804" s="5"/>
      <c r="BD804" s="5"/>
    </row>
    <row r="805" spans="1:56" hidden="1" x14ac:dyDescent="0.25">
      <c r="A805" s="5"/>
      <c r="B805" s="5"/>
      <c r="C805" s="5"/>
      <c r="D805" s="5"/>
      <c r="E805" s="99" t="e">
        <f>VLOOKUP(D805,'Dropdown List'!$F$26:$G$40,2,0)</f>
        <v>#N/A</v>
      </c>
      <c r="F805" s="6"/>
      <c r="G805" s="7"/>
      <c r="H805" s="5"/>
      <c r="I805" s="8"/>
      <c r="J805" s="6"/>
      <c r="K805" s="6"/>
      <c r="L805" s="6"/>
      <c r="M805" s="6"/>
      <c r="N805" s="5"/>
      <c r="O805" s="5"/>
      <c r="P805" s="5"/>
      <c r="Q805" s="9"/>
      <c r="R805" s="5"/>
      <c r="S805" s="5"/>
      <c r="T805" s="7"/>
      <c r="U805" s="7"/>
      <c r="V805" s="7"/>
      <c r="W805" s="5"/>
      <c r="X805" s="10"/>
      <c r="Y805" s="11"/>
      <c r="Z805" s="12"/>
      <c r="AA805" s="12"/>
      <c r="AB805" s="12"/>
      <c r="AC805" s="13"/>
      <c r="AD805" s="14"/>
      <c r="AE805" s="15"/>
      <c r="AF805" s="16"/>
      <c r="AG805" s="16"/>
      <c r="AH805" s="17"/>
      <c r="AI805" s="18"/>
      <c r="AJ805" s="19"/>
      <c r="AK805" s="20"/>
      <c r="AL805" s="17"/>
      <c r="AM805" s="5"/>
      <c r="AN805" s="5"/>
      <c r="AO805" s="5"/>
      <c r="AP805" s="5"/>
      <c r="AQ805" s="5"/>
      <c r="AR805" s="5"/>
      <c r="AS805" s="5"/>
      <c r="AT805" s="5"/>
      <c r="AU805" s="5"/>
      <c r="AV805" s="5"/>
      <c r="AW805" s="5"/>
      <c r="AX805" s="5"/>
      <c r="AY805" s="5"/>
      <c r="AZ805" s="5"/>
      <c r="BA805" s="19"/>
      <c r="BB805" s="17"/>
      <c r="BC805" s="5"/>
      <c r="BD805" s="5"/>
    </row>
    <row r="806" spans="1:56" hidden="1" x14ac:dyDescent="0.25">
      <c r="A806" s="5"/>
      <c r="B806" s="5"/>
      <c r="C806" s="5"/>
      <c r="D806" s="5"/>
      <c r="E806" s="99" t="e">
        <f>VLOOKUP(D806,'Dropdown List'!$F$26:$G$40,2,0)</f>
        <v>#N/A</v>
      </c>
      <c r="F806" s="6"/>
      <c r="G806" s="7"/>
      <c r="H806" s="5"/>
      <c r="I806" s="8"/>
      <c r="J806" s="6"/>
      <c r="K806" s="6"/>
      <c r="L806" s="6"/>
      <c r="M806" s="6"/>
      <c r="N806" s="5"/>
      <c r="O806" s="5"/>
      <c r="P806" s="5"/>
      <c r="Q806" s="9"/>
      <c r="R806" s="5"/>
      <c r="S806" s="5"/>
      <c r="T806" s="7"/>
      <c r="U806" s="7"/>
      <c r="V806" s="7"/>
      <c r="W806" s="5"/>
      <c r="X806" s="10"/>
      <c r="Y806" s="11"/>
      <c r="Z806" s="12"/>
      <c r="AA806" s="12"/>
      <c r="AB806" s="12"/>
      <c r="AC806" s="13"/>
      <c r="AD806" s="14"/>
      <c r="AE806" s="15"/>
      <c r="AF806" s="16"/>
      <c r="AG806" s="16"/>
      <c r="AH806" s="17"/>
      <c r="AI806" s="18"/>
      <c r="AJ806" s="19"/>
      <c r="AK806" s="20"/>
      <c r="AL806" s="17"/>
      <c r="AM806" s="5"/>
      <c r="AN806" s="5"/>
      <c r="AO806" s="5"/>
      <c r="AP806" s="5"/>
      <c r="AQ806" s="5"/>
      <c r="AR806" s="5"/>
      <c r="AS806" s="5"/>
      <c r="AT806" s="5"/>
      <c r="AU806" s="5"/>
      <c r="AV806" s="5"/>
      <c r="AW806" s="5"/>
      <c r="AX806" s="5"/>
      <c r="AY806" s="5"/>
      <c r="AZ806" s="5"/>
      <c r="BA806" s="19"/>
      <c r="BB806" s="17"/>
      <c r="BC806" s="5"/>
      <c r="BD806" s="5"/>
    </row>
    <row r="807" spans="1:56" hidden="1" x14ac:dyDescent="0.25">
      <c r="A807" s="5"/>
      <c r="B807" s="5"/>
      <c r="C807" s="5"/>
      <c r="D807" s="5"/>
      <c r="E807" s="99" t="e">
        <f>VLOOKUP(D807,'Dropdown List'!$F$26:$G$40,2,0)</f>
        <v>#N/A</v>
      </c>
      <c r="F807" s="6"/>
      <c r="G807" s="7"/>
      <c r="H807" s="5"/>
      <c r="I807" s="8"/>
      <c r="J807" s="6"/>
      <c r="K807" s="6"/>
      <c r="L807" s="6"/>
      <c r="M807" s="6"/>
      <c r="N807" s="5"/>
      <c r="O807" s="5"/>
      <c r="P807" s="5"/>
      <c r="Q807" s="9"/>
      <c r="R807" s="5"/>
      <c r="S807" s="5"/>
      <c r="T807" s="7"/>
      <c r="U807" s="7"/>
      <c r="V807" s="7"/>
      <c r="W807" s="5"/>
      <c r="X807" s="10"/>
      <c r="Y807" s="11"/>
      <c r="Z807" s="12"/>
      <c r="AA807" s="12"/>
      <c r="AB807" s="12"/>
      <c r="AC807" s="13"/>
      <c r="AD807" s="14"/>
      <c r="AE807" s="15"/>
      <c r="AF807" s="16"/>
      <c r="AG807" s="16"/>
      <c r="AH807" s="17"/>
      <c r="AI807" s="18"/>
      <c r="AJ807" s="19"/>
      <c r="AK807" s="20"/>
      <c r="AL807" s="17"/>
      <c r="AM807" s="5"/>
      <c r="AN807" s="5"/>
      <c r="AO807" s="5"/>
      <c r="AP807" s="5"/>
      <c r="AQ807" s="5"/>
      <c r="AR807" s="5"/>
      <c r="AS807" s="5"/>
      <c r="AT807" s="5"/>
      <c r="AU807" s="5"/>
      <c r="AV807" s="5"/>
      <c r="AW807" s="5"/>
      <c r="AX807" s="5"/>
      <c r="AY807" s="5"/>
      <c r="AZ807" s="5"/>
      <c r="BA807" s="19"/>
      <c r="BB807" s="17"/>
      <c r="BC807" s="5"/>
      <c r="BD807" s="5"/>
    </row>
    <row r="808" spans="1:56" hidden="1" x14ac:dyDescent="0.25">
      <c r="A808" s="5"/>
      <c r="B808" s="5"/>
      <c r="C808" s="5"/>
      <c r="D808" s="5"/>
      <c r="E808" s="99" t="e">
        <f>VLOOKUP(D808,'Dropdown List'!$F$26:$G$40,2,0)</f>
        <v>#N/A</v>
      </c>
      <c r="F808" s="6"/>
      <c r="G808" s="7"/>
      <c r="H808" s="5"/>
      <c r="I808" s="8"/>
      <c r="J808" s="6"/>
      <c r="K808" s="6"/>
      <c r="L808" s="6"/>
      <c r="M808" s="6"/>
      <c r="N808" s="5"/>
      <c r="O808" s="5"/>
      <c r="P808" s="5"/>
      <c r="Q808" s="9"/>
      <c r="R808" s="5"/>
      <c r="S808" s="5"/>
      <c r="T808" s="7"/>
      <c r="U808" s="7"/>
      <c r="V808" s="7"/>
      <c r="W808" s="5"/>
      <c r="X808" s="10"/>
      <c r="Y808" s="11"/>
      <c r="Z808" s="12"/>
      <c r="AA808" s="12"/>
      <c r="AB808" s="12"/>
      <c r="AC808" s="13"/>
      <c r="AD808" s="14"/>
      <c r="AE808" s="15"/>
      <c r="AF808" s="16"/>
      <c r="AG808" s="16"/>
      <c r="AH808" s="17"/>
      <c r="AI808" s="18"/>
      <c r="AJ808" s="19"/>
      <c r="AK808" s="20"/>
      <c r="AL808" s="17"/>
      <c r="AM808" s="5"/>
      <c r="AN808" s="5"/>
      <c r="AO808" s="5"/>
      <c r="AP808" s="5"/>
      <c r="AQ808" s="5"/>
      <c r="AR808" s="5"/>
      <c r="AS808" s="5"/>
      <c r="AT808" s="5"/>
      <c r="AU808" s="5"/>
      <c r="AV808" s="5"/>
      <c r="AW808" s="5"/>
      <c r="AX808" s="5"/>
      <c r="AY808" s="5"/>
      <c r="AZ808" s="5"/>
      <c r="BA808" s="19"/>
      <c r="BB808" s="17"/>
      <c r="BC808" s="5"/>
      <c r="BD808" s="5"/>
    </row>
    <row r="809" spans="1:56" hidden="1" x14ac:dyDescent="0.25">
      <c r="A809" s="5"/>
      <c r="B809" s="5"/>
      <c r="C809" s="5"/>
      <c r="D809" s="5"/>
      <c r="E809" s="99" t="e">
        <f>VLOOKUP(D809,'Dropdown List'!$F$26:$G$40,2,0)</f>
        <v>#N/A</v>
      </c>
      <c r="F809" s="6"/>
      <c r="G809" s="7"/>
      <c r="H809" s="5"/>
      <c r="I809" s="8"/>
      <c r="J809" s="6"/>
      <c r="K809" s="6"/>
      <c r="L809" s="6"/>
      <c r="M809" s="6"/>
      <c r="N809" s="5"/>
      <c r="O809" s="5"/>
      <c r="P809" s="5"/>
      <c r="Q809" s="9"/>
      <c r="R809" s="5"/>
      <c r="S809" s="5"/>
      <c r="T809" s="7"/>
      <c r="U809" s="7"/>
      <c r="V809" s="7"/>
      <c r="W809" s="5"/>
      <c r="X809" s="10"/>
      <c r="Y809" s="11"/>
      <c r="Z809" s="12"/>
      <c r="AA809" s="12"/>
      <c r="AB809" s="12"/>
      <c r="AC809" s="13"/>
      <c r="AD809" s="14"/>
      <c r="AE809" s="15"/>
      <c r="AF809" s="16"/>
      <c r="AG809" s="16"/>
      <c r="AH809" s="17"/>
      <c r="AI809" s="18"/>
      <c r="AJ809" s="19"/>
      <c r="AK809" s="20"/>
      <c r="AL809" s="17"/>
      <c r="AM809" s="5"/>
      <c r="AN809" s="5"/>
      <c r="AO809" s="5"/>
      <c r="AP809" s="5"/>
      <c r="AQ809" s="5"/>
      <c r="AR809" s="5"/>
      <c r="AS809" s="5"/>
      <c r="AT809" s="5"/>
      <c r="AU809" s="5"/>
      <c r="AV809" s="5"/>
      <c r="AW809" s="5"/>
      <c r="AX809" s="5"/>
      <c r="AY809" s="5"/>
      <c r="AZ809" s="5"/>
      <c r="BA809" s="19"/>
      <c r="BB809" s="17"/>
      <c r="BC809" s="5"/>
      <c r="BD809" s="5"/>
    </row>
    <row r="810" spans="1:56" hidden="1" x14ac:dyDescent="0.25">
      <c r="A810" s="5"/>
      <c r="B810" s="5"/>
      <c r="C810" s="5"/>
      <c r="D810" s="5"/>
      <c r="E810" s="99" t="e">
        <f>VLOOKUP(D810,'Dropdown List'!$F$26:$G$40,2,0)</f>
        <v>#N/A</v>
      </c>
      <c r="F810" s="6"/>
      <c r="G810" s="7"/>
      <c r="H810" s="5"/>
      <c r="I810" s="8"/>
      <c r="J810" s="6"/>
      <c r="K810" s="6"/>
      <c r="L810" s="6"/>
      <c r="M810" s="6"/>
      <c r="N810" s="5"/>
      <c r="O810" s="5"/>
      <c r="P810" s="5"/>
      <c r="Q810" s="9"/>
      <c r="R810" s="5"/>
      <c r="S810" s="5"/>
      <c r="T810" s="7"/>
      <c r="U810" s="7"/>
      <c r="V810" s="7"/>
      <c r="W810" s="5"/>
      <c r="X810" s="10"/>
      <c r="Y810" s="11"/>
      <c r="Z810" s="12"/>
      <c r="AA810" s="12"/>
      <c r="AB810" s="12"/>
      <c r="AC810" s="13"/>
      <c r="AD810" s="14"/>
      <c r="AE810" s="15"/>
      <c r="AF810" s="16"/>
      <c r="AG810" s="16"/>
      <c r="AH810" s="17"/>
      <c r="AI810" s="18"/>
      <c r="AJ810" s="19"/>
      <c r="AK810" s="20"/>
      <c r="AL810" s="17"/>
      <c r="AM810" s="5"/>
      <c r="AN810" s="5"/>
      <c r="AO810" s="5"/>
      <c r="AP810" s="5"/>
      <c r="AQ810" s="5"/>
      <c r="AR810" s="5"/>
      <c r="AS810" s="5"/>
      <c r="AT810" s="5"/>
      <c r="AU810" s="5"/>
      <c r="AV810" s="5"/>
      <c r="AW810" s="5"/>
      <c r="AX810" s="5"/>
      <c r="AY810" s="5"/>
      <c r="AZ810" s="5"/>
      <c r="BA810" s="19"/>
      <c r="BB810" s="17"/>
      <c r="BC810" s="5"/>
      <c r="BD810" s="5"/>
    </row>
    <row r="811" spans="1:56" hidden="1" x14ac:dyDescent="0.25">
      <c r="A811" s="5"/>
      <c r="B811" s="5"/>
      <c r="C811" s="5"/>
      <c r="D811" s="5"/>
      <c r="E811" s="99" t="e">
        <f>VLOOKUP(D811,'Dropdown List'!$F$26:$G$40,2,0)</f>
        <v>#N/A</v>
      </c>
      <c r="F811" s="6"/>
      <c r="G811" s="7"/>
      <c r="H811" s="5"/>
      <c r="I811" s="8"/>
      <c r="J811" s="6"/>
      <c r="K811" s="6"/>
      <c r="L811" s="6"/>
      <c r="M811" s="6"/>
      <c r="N811" s="5"/>
      <c r="O811" s="5"/>
      <c r="P811" s="5"/>
      <c r="Q811" s="9"/>
      <c r="R811" s="5"/>
      <c r="S811" s="5"/>
      <c r="T811" s="7"/>
      <c r="U811" s="7"/>
      <c r="V811" s="7"/>
      <c r="W811" s="5"/>
      <c r="X811" s="10"/>
      <c r="Y811" s="11"/>
      <c r="Z811" s="12"/>
      <c r="AA811" s="12"/>
      <c r="AB811" s="12"/>
      <c r="AC811" s="13"/>
      <c r="AD811" s="14"/>
      <c r="AE811" s="15"/>
      <c r="AF811" s="16"/>
      <c r="AG811" s="16"/>
      <c r="AH811" s="17"/>
      <c r="AI811" s="18"/>
      <c r="AJ811" s="19"/>
      <c r="AK811" s="20"/>
      <c r="AL811" s="17"/>
      <c r="AM811" s="5"/>
      <c r="AN811" s="5"/>
      <c r="AO811" s="5"/>
      <c r="AP811" s="5"/>
      <c r="AQ811" s="5"/>
      <c r="AR811" s="5"/>
      <c r="AS811" s="5"/>
      <c r="AT811" s="5"/>
      <c r="AU811" s="5"/>
      <c r="AV811" s="5"/>
      <c r="AW811" s="5"/>
      <c r="AX811" s="5"/>
      <c r="AY811" s="5"/>
      <c r="AZ811" s="5"/>
      <c r="BA811" s="19"/>
      <c r="BB811" s="17"/>
      <c r="BC811" s="5"/>
      <c r="BD811" s="5"/>
    </row>
    <row r="812" spans="1:56" hidden="1" x14ac:dyDescent="0.25">
      <c r="A812" s="5"/>
      <c r="B812" s="5"/>
      <c r="C812" s="5"/>
      <c r="D812" s="5"/>
      <c r="E812" s="99" t="e">
        <f>VLOOKUP(D812,'Dropdown List'!$F$26:$G$40,2,0)</f>
        <v>#N/A</v>
      </c>
      <c r="F812" s="6"/>
      <c r="G812" s="7"/>
      <c r="H812" s="5"/>
      <c r="I812" s="8"/>
      <c r="J812" s="6"/>
      <c r="K812" s="6"/>
      <c r="L812" s="6"/>
      <c r="M812" s="6"/>
      <c r="N812" s="5"/>
      <c r="O812" s="5"/>
      <c r="P812" s="5"/>
      <c r="Q812" s="9"/>
      <c r="R812" s="5"/>
      <c r="S812" s="5"/>
      <c r="T812" s="7"/>
      <c r="U812" s="7"/>
      <c r="V812" s="7"/>
      <c r="W812" s="5"/>
      <c r="X812" s="10"/>
      <c r="Y812" s="11"/>
      <c r="Z812" s="12"/>
      <c r="AA812" s="12"/>
      <c r="AB812" s="12"/>
      <c r="AC812" s="13"/>
      <c r="AD812" s="14"/>
      <c r="AE812" s="15"/>
      <c r="AF812" s="16"/>
      <c r="AG812" s="16"/>
      <c r="AH812" s="17"/>
      <c r="AI812" s="18"/>
      <c r="AJ812" s="19"/>
      <c r="AK812" s="20"/>
      <c r="AL812" s="17"/>
      <c r="AM812" s="5"/>
      <c r="AN812" s="5"/>
      <c r="AO812" s="5"/>
      <c r="AP812" s="5"/>
      <c r="AQ812" s="5"/>
      <c r="AR812" s="5"/>
      <c r="AS812" s="5"/>
      <c r="AT812" s="5"/>
      <c r="AU812" s="5"/>
      <c r="AV812" s="5"/>
      <c r="AW812" s="5"/>
      <c r="AX812" s="5"/>
      <c r="AY812" s="5"/>
      <c r="AZ812" s="5"/>
      <c r="BA812" s="19"/>
      <c r="BB812" s="17"/>
      <c r="BC812" s="5"/>
      <c r="BD812" s="5"/>
    </row>
  </sheetData>
  <sheetProtection sort="0" autoFilter="0" pivotTables="0"/>
  <protectedRanges>
    <protectedRange algorithmName="SHA-512" hashValue="93XEk8mFrswSUDK/3JAUijQjqxNkUQhNkOrzY6WdBeUEd4uhs9bIwYjXQtrRpOAy87T0E0CcYWkTAOv+B4bhKQ==" saltValue="yqP57tdRX+QT2zmm3hxwZg==" spinCount="100000" sqref="E1:E1048576" name="Range1"/>
  </protectedRanges>
  <autoFilter ref="A1:BD812" xr:uid="{D32CAA2D-EB9C-493A-836D-E59702ADE193}">
    <filterColumn colId="0">
      <filters>
        <filter val="Everest Global Services"/>
      </filters>
    </filterColumn>
    <filterColumn colId="7">
      <filters>
        <filter val="Active"/>
      </filters>
    </filterColumn>
    <filterColumn colId="8">
      <filters>
        <filter val="Underwriting and UW Support"/>
      </filters>
    </filterColumn>
  </autoFilter>
  <conditionalFormatting sqref="J3:J812">
    <cfRule type="expression" dxfId="1" priority="4">
      <formula>ISERROR(MATCH(J3,INDIRECT(SUBSTITUTE($I3," ","_")),0))</formula>
    </cfRule>
  </conditionalFormatting>
  <conditionalFormatting sqref="K3:K812">
    <cfRule type="expression" dxfId="0" priority="3">
      <formula>ISERROR(MATCH(K3,INDIRECT(SUBSTITUTE($J3," ","_")),0))</formula>
    </cfRule>
  </conditionalFormatting>
  <dataValidations count="6">
    <dataValidation type="list" allowBlank="1" showInputMessage="1" showErrorMessage="1" sqref="AT1:AT2 AQ1:AQ2" xr:uid="{6F5C1A5F-A246-4E43-B5DC-59F39B8048BB}">
      <formula1>#REF!</formula1>
    </dataValidation>
    <dataValidation type="list" allowBlank="1" showInputMessage="1" showErrorMessage="1" sqref="H3:H812" xr:uid="{97719066-B1CF-4355-9792-67D9A4AA08B3}">
      <formula1>"Active, Inactive"</formula1>
    </dataValidation>
    <dataValidation type="list" allowBlank="1" showInputMessage="1" showErrorMessage="1" sqref="R2:R812" xr:uid="{2A2091AE-3BAB-466F-8C37-67363F25E62B}">
      <formula1>"Back Office, Voice, Blended"</formula1>
    </dataValidation>
    <dataValidation type="list" allowBlank="1" showInputMessage="1" showErrorMessage="1" sqref="S2:S812" xr:uid="{10D21188-30F7-4F2C-8804-9E5A31A434B7}">
      <formula1>"L1, L2, L3, L4, L5"</formula1>
    </dataValidation>
    <dataValidation type="list" allowBlank="1" showInputMessage="1" showErrorMessage="1" sqref="J3:J812" xr:uid="{516BD2F4-6517-40CA-89B1-0A7FE5B22258}">
      <formula1>INDIRECT(SUBSTITUTE($I3," ","_"))</formula1>
    </dataValidation>
    <dataValidation type="list" allowBlank="1" showInputMessage="1" showErrorMessage="1" sqref="K3:K812" xr:uid="{EDFFCA31-A04E-40F7-8829-5DABEA52DC44}">
      <formula1>INDIRECT(SUBSTITUTE($J3," ","_"))</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51CAFF10-4827-4E66-AB14-FC33B074D063}">
          <x14:formula1>
            <xm:f>'Dropdown List'!$A$49:$A$55</xm:f>
          </x14:formula1>
          <xm:sqref>C3:C812</xm:sqref>
        </x14:dataValidation>
        <x14:dataValidation type="list" allowBlank="1" showInputMessage="1" showErrorMessage="1" xr:uid="{E489BA22-32D3-4BB5-B46B-C3CBCB447B29}">
          <x14:formula1>
            <xm:f>'Dropdown List'!$A$2:$A$5</xm:f>
          </x14:formula1>
          <xm:sqref>I3:I812</xm:sqref>
        </x14:dataValidation>
        <x14:dataValidation type="list" allowBlank="1" showInputMessage="1" showErrorMessage="1" xr:uid="{ABE97E7E-2B19-4BAD-833A-8E9634CDA81F}">
          <x14:formula1>
            <xm:f>'Dropdown List'!$A$26:$A$31</xm:f>
          </x14:formula1>
          <xm:sqref>N2 N724 N730:N739 N741:N743 N746:N812</xm:sqref>
        </x14:dataValidation>
        <x14:dataValidation type="list" allowBlank="1" showInputMessage="1" showErrorMessage="1" xr:uid="{41196AF6-10A1-4C30-B763-B44B97362F97}">
          <x14:formula1>
            <xm:f>'Dropdown List'!$B$26:$B$34</xm:f>
          </x14:formula1>
          <xm:sqref>Q2:Q812</xm:sqref>
        </x14:dataValidation>
        <x14:dataValidation type="list" allowBlank="1" showInputMessage="1" showErrorMessage="1" xr:uid="{B1CD093A-38BB-43B2-9649-2A036A7CF095}">
          <x14:formula1>
            <xm:f>'Dropdown List'!$C$26:$C$30</xm:f>
          </x14:formula1>
          <xm:sqref>W2:W812</xm:sqref>
        </x14:dataValidation>
        <x14:dataValidation type="list" allowBlank="1" showInputMessage="1" showErrorMessage="1" xr:uid="{F9D93D6C-4F2A-44D1-95BF-DC325C72341F}">
          <x14:formula1>
            <xm:f>'Dropdown List'!$E$26:$E$29</xm:f>
          </x14:formula1>
          <xm:sqref>X2:X812</xm:sqref>
        </x14:dataValidation>
        <x14:dataValidation type="list" allowBlank="1" showInputMessage="1" showErrorMessage="1" xr:uid="{B9F2150E-B1F0-42BD-B5AD-FBFD4F186D3E}">
          <x14:formula1>
            <xm:f>'Dropdown List'!$B$49:$B$55</xm:f>
          </x14:formula1>
          <xm:sqref>AL2:AL812</xm:sqref>
        </x14:dataValidation>
        <x14:dataValidation type="list" allowBlank="1" showInputMessage="1" showErrorMessage="1" xr:uid="{688F87C6-8A25-4616-96C7-DCFE4D666636}">
          <x14:formula1>
            <xm:f>'Dropdown List'!$D$49:$D$51</xm:f>
          </x14:formula1>
          <xm:sqref>AZ2:AZ812</xm:sqref>
        </x14:dataValidation>
        <x14:dataValidation type="list" allowBlank="1" showInputMessage="1" showErrorMessage="1" xr:uid="{6D51D727-E507-4B12-B525-134EBD823AC9}">
          <x14:formula1>
            <xm:f>'Dropdown List'!$D$26:$D$43</xm:f>
          </x14:formula1>
          <xm:sqref>O2:O812</xm:sqref>
        </x14:dataValidation>
        <x14:dataValidation type="list" allowBlank="1" showInputMessage="1" showErrorMessage="1" xr:uid="{18789098-3A79-4EDF-B852-AC6BB0A2D7D0}">
          <x14:formula1>
            <xm:f>'Dropdown List'!$F$26:$F$40</xm:f>
          </x14:formula1>
          <xm:sqref>D3:D749</xm:sqref>
        </x14:dataValidation>
        <x14:dataValidation type="list" allowBlank="1" showInputMessage="1" showErrorMessage="1" xr:uid="{D832CBBB-CFDC-4323-B12B-37E5B1B2515D}">
          <x14:formula1>
            <xm:f>'Dropdown List'!$A$26:$A$30</xm:f>
          </x14:formula1>
          <xm:sqref>N744:N745 N725:N729 N740 N3:N723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6E44-3CE3-4931-A066-0CF3EC9591E8}">
  <dimension ref="A10:G35"/>
  <sheetViews>
    <sheetView showGridLines="0" zoomScale="70" zoomScaleNormal="70" workbookViewId="0">
      <selection activeCell="A15" sqref="A15"/>
    </sheetView>
  </sheetViews>
  <sheetFormatPr defaultRowHeight="15" x14ac:dyDescent="0.25"/>
  <cols>
    <col min="1" max="1" width="43.5703125" bestFit="1" customWidth="1"/>
    <col min="2" max="2" width="28.85546875" bestFit="1" customWidth="1"/>
    <col min="3" max="3" width="11.7109375" bestFit="1" customWidth="1"/>
    <col min="4" max="4" width="12.42578125" bestFit="1" customWidth="1"/>
    <col min="5" max="5" width="14.85546875" bestFit="1" customWidth="1"/>
    <col min="6" max="6" width="18.7109375" bestFit="1" customWidth="1"/>
    <col min="7" max="10" width="15" bestFit="1" customWidth="1"/>
    <col min="11" max="11" width="24.28515625" bestFit="1" customWidth="1"/>
    <col min="12" max="12" width="11" bestFit="1" customWidth="1"/>
    <col min="13" max="13" width="27.42578125" bestFit="1" customWidth="1"/>
    <col min="14" max="14" width="22.85546875" bestFit="1" customWidth="1"/>
    <col min="15" max="15" width="13.7109375" bestFit="1" customWidth="1"/>
    <col min="16" max="16" width="12.7109375" bestFit="1" customWidth="1"/>
    <col min="17" max="17" width="11.5703125" bestFit="1" customWidth="1"/>
    <col min="18" max="18" width="22.85546875" bestFit="1" customWidth="1"/>
    <col min="19" max="19" width="17.5703125" bestFit="1" customWidth="1"/>
    <col min="20" max="20" width="13.85546875" bestFit="1" customWidth="1"/>
    <col min="21" max="21" width="16.140625" bestFit="1" customWidth="1"/>
    <col min="22" max="22" width="46.5703125" bestFit="1" customWidth="1"/>
    <col min="23" max="23" width="11.7109375" bestFit="1" customWidth="1"/>
    <col min="24" max="24" width="19" bestFit="1" customWidth="1"/>
    <col min="25" max="25" width="11.7109375" bestFit="1" customWidth="1"/>
    <col min="26" max="26" width="11" bestFit="1" customWidth="1"/>
    <col min="27" max="27" width="14.140625" bestFit="1" customWidth="1"/>
    <col min="28" max="28" width="24" bestFit="1" customWidth="1"/>
    <col min="29" max="29" width="22.85546875" bestFit="1" customWidth="1"/>
    <col min="30" max="30" width="34.7109375" bestFit="1" customWidth="1"/>
    <col min="31" max="31" width="11.7109375" bestFit="1" customWidth="1"/>
    <col min="32" max="32" width="19" bestFit="1" customWidth="1"/>
    <col min="33" max="33" width="11.7109375" bestFit="1" customWidth="1"/>
    <col min="34" max="34" width="11" bestFit="1" customWidth="1"/>
    <col min="35" max="35" width="27.140625" bestFit="1" customWidth="1"/>
    <col min="36" max="36" width="21.28515625" bestFit="1" customWidth="1"/>
    <col min="37" max="37" width="11.7109375" bestFit="1" customWidth="1"/>
    <col min="38" max="38" width="24.42578125" bestFit="1" customWidth="1"/>
    <col min="39" max="39" width="11.7109375" bestFit="1" customWidth="1"/>
    <col min="40" max="40" width="14" bestFit="1" customWidth="1"/>
    <col min="41" max="41" width="11.28515625" bestFit="1" customWidth="1"/>
  </cols>
  <sheetData>
    <row r="10" spans="1:7" x14ac:dyDescent="0.25">
      <c r="A10" s="1" t="s">
        <v>6</v>
      </c>
      <c r="B10" t="s">
        <v>57</v>
      </c>
    </row>
    <row r="12" spans="1:7" x14ac:dyDescent="0.25">
      <c r="A12" s="1" t="s">
        <v>3134</v>
      </c>
      <c r="B12" s="1" t="s">
        <v>3133</v>
      </c>
    </row>
    <row r="13" spans="1:7" x14ac:dyDescent="0.25">
      <c r="A13" s="1" t="s">
        <v>3131</v>
      </c>
      <c r="B13" t="s">
        <v>268</v>
      </c>
      <c r="C13" t="s">
        <v>319</v>
      </c>
      <c r="D13" t="s">
        <v>269</v>
      </c>
      <c r="E13" t="s">
        <v>1034</v>
      </c>
      <c r="F13" t="s">
        <v>3294</v>
      </c>
      <c r="G13" t="s">
        <v>3132</v>
      </c>
    </row>
    <row r="14" spans="1:7" x14ac:dyDescent="0.25">
      <c r="A14" s="2" t="s">
        <v>58</v>
      </c>
      <c r="B14" s="4">
        <v>6</v>
      </c>
      <c r="C14" s="4">
        <v>2682.2129454545452</v>
      </c>
      <c r="D14" s="4">
        <v>104.07000000000002</v>
      </c>
      <c r="E14" s="4">
        <v>2028.9779382988409</v>
      </c>
      <c r="F14" s="4">
        <v>15</v>
      </c>
      <c r="G14" s="4">
        <v>4836.2608837533862</v>
      </c>
    </row>
    <row r="15" spans="1:7" x14ac:dyDescent="0.25">
      <c r="A15" s="3" t="s">
        <v>881</v>
      </c>
      <c r="B15" s="4">
        <v>6</v>
      </c>
      <c r="C15" s="4">
        <v>19.450000000000003</v>
      </c>
      <c r="D15" s="4"/>
      <c r="E15" s="4">
        <v>416.71874512495259</v>
      </c>
      <c r="F15" s="4"/>
      <c r="G15" s="4">
        <v>442.16874512495258</v>
      </c>
    </row>
    <row r="16" spans="1:7" x14ac:dyDescent="0.25">
      <c r="A16" s="3" t="s">
        <v>146</v>
      </c>
      <c r="B16" s="4"/>
      <c r="C16" s="4">
        <v>2207.6133333333332</v>
      </c>
      <c r="D16" s="4">
        <v>51</v>
      </c>
      <c r="E16" s="4">
        <v>541.79001704855398</v>
      </c>
      <c r="F16" s="4"/>
      <c r="G16" s="4">
        <v>2800.4033503818873</v>
      </c>
    </row>
    <row r="17" spans="1:7" x14ac:dyDescent="0.25">
      <c r="A17" s="3" t="s">
        <v>163</v>
      </c>
      <c r="B17" s="4"/>
      <c r="C17" s="4">
        <v>87.86454545454545</v>
      </c>
      <c r="D17" s="4">
        <v>53.070000000000022</v>
      </c>
      <c r="E17" s="4">
        <v>522.21468252876696</v>
      </c>
      <c r="F17" s="4">
        <v>15</v>
      </c>
      <c r="G17" s="4">
        <v>678.14922798331236</v>
      </c>
    </row>
    <row r="18" spans="1:7" x14ac:dyDescent="0.25">
      <c r="A18" s="3" t="s">
        <v>396</v>
      </c>
      <c r="B18" s="4"/>
      <c r="C18" s="4">
        <v>143.33840000000001</v>
      </c>
      <c r="D18" s="4"/>
      <c r="E18" s="4">
        <v>506.72628846836233</v>
      </c>
      <c r="F18" s="4"/>
      <c r="G18" s="4">
        <v>650.06468846836231</v>
      </c>
    </row>
    <row r="19" spans="1:7" x14ac:dyDescent="0.25">
      <c r="A19" s="3" t="s">
        <v>59</v>
      </c>
      <c r="B19" s="4"/>
      <c r="C19" s="4">
        <v>223.94666666666666</v>
      </c>
      <c r="D19" s="4"/>
      <c r="E19" s="4">
        <v>41.52820512820513</v>
      </c>
      <c r="F19" s="4"/>
      <c r="G19" s="4">
        <v>265.47487179487177</v>
      </c>
    </row>
    <row r="20" spans="1:7" x14ac:dyDescent="0.25">
      <c r="A20" s="2" t="s">
        <v>233</v>
      </c>
      <c r="B20" s="4">
        <v>59</v>
      </c>
      <c r="C20" s="4">
        <v>44</v>
      </c>
      <c r="D20" s="4">
        <v>2</v>
      </c>
      <c r="E20" s="4">
        <v>63.5</v>
      </c>
      <c r="F20" s="4"/>
      <c r="G20" s="4">
        <v>168.5</v>
      </c>
    </row>
    <row r="21" spans="1:7" x14ac:dyDescent="0.25">
      <c r="A21" s="3" t="s">
        <v>884</v>
      </c>
      <c r="B21" s="4">
        <v>59</v>
      </c>
      <c r="C21" s="4">
        <v>44</v>
      </c>
      <c r="D21" s="4">
        <v>2</v>
      </c>
      <c r="E21" s="4">
        <v>45.5</v>
      </c>
      <c r="F21" s="4"/>
      <c r="G21" s="4">
        <v>150.5</v>
      </c>
    </row>
    <row r="22" spans="1:7" x14ac:dyDescent="0.25">
      <c r="A22" s="3" t="s">
        <v>234</v>
      </c>
      <c r="B22" s="4"/>
      <c r="C22" s="4"/>
      <c r="D22" s="4"/>
      <c r="E22" s="4">
        <v>18</v>
      </c>
      <c r="F22" s="4"/>
      <c r="G22" s="4">
        <v>18</v>
      </c>
    </row>
    <row r="23" spans="1:7" x14ac:dyDescent="0.25">
      <c r="A23" s="2" t="s">
        <v>480</v>
      </c>
      <c r="B23" s="4"/>
      <c r="C23" s="4">
        <v>1293.8</v>
      </c>
      <c r="D23" s="4"/>
      <c r="E23" s="4"/>
      <c r="F23" s="4"/>
      <c r="G23" s="4">
        <v>1293.8</v>
      </c>
    </row>
    <row r="24" spans="1:7" x14ac:dyDescent="0.25">
      <c r="A24" s="3" t="s">
        <v>481</v>
      </c>
      <c r="B24" s="4"/>
      <c r="C24" s="4">
        <v>878.8</v>
      </c>
      <c r="D24" s="4"/>
      <c r="E24" s="4"/>
      <c r="F24" s="4"/>
      <c r="G24" s="4">
        <v>878.8</v>
      </c>
    </row>
    <row r="25" spans="1:7" x14ac:dyDescent="0.25">
      <c r="A25" s="3" t="s">
        <v>807</v>
      </c>
      <c r="B25" s="4"/>
      <c r="C25" s="4">
        <v>415</v>
      </c>
      <c r="D25" s="4"/>
      <c r="E25" s="4"/>
      <c r="F25" s="4"/>
      <c r="G25" s="4">
        <v>415</v>
      </c>
    </row>
    <row r="26" spans="1:7" x14ac:dyDescent="0.25">
      <c r="A26" s="2" t="s">
        <v>71</v>
      </c>
      <c r="B26" s="4">
        <v>274.26473432889901</v>
      </c>
      <c r="C26" s="4">
        <v>546.91366017386883</v>
      </c>
      <c r="D26" s="4">
        <v>131</v>
      </c>
      <c r="E26" s="4">
        <v>1322.4099999999999</v>
      </c>
      <c r="F26" s="4">
        <v>163</v>
      </c>
      <c r="G26" s="4">
        <v>2437.5883945027676</v>
      </c>
    </row>
    <row r="27" spans="1:7" x14ac:dyDescent="0.25">
      <c r="A27" s="3" t="s">
        <v>167</v>
      </c>
      <c r="B27" s="4"/>
      <c r="C27" s="4">
        <v>5</v>
      </c>
      <c r="D27" s="4">
        <v>22</v>
      </c>
      <c r="E27" s="4">
        <v>30.509999999999998</v>
      </c>
      <c r="F27" s="4"/>
      <c r="G27" s="4">
        <v>57.51</v>
      </c>
    </row>
    <row r="28" spans="1:7" x14ac:dyDescent="0.25">
      <c r="A28" s="3" t="s">
        <v>292</v>
      </c>
      <c r="B28" s="4">
        <v>34</v>
      </c>
      <c r="C28" s="4"/>
      <c r="D28" s="4"/>
      <c r="E28" s="4">
        <v>212.45999999999995</v>
      </c>
      <c r="F28" s="4">
        <v>163</v>
      </c>
      <c r="G28" s="4">
        <v>409.45999999999992</v>
      </c>
    </row>
    <row r="29" spans="1:7" x14ac:dyDescent="0.25">
      <c r="A29" s="3" t="s">
        <v>102</v>
      </c>
      <c r="B29" s="4">
        <v>110.59182624618251</v>
      </c>
      <c r="C29" s="4">
        <v>42.416730349955067</v>
      </c>
      <c r="D29" s="4">
        <v>17.5</v>
      </c>
      <c r="E29" s="4">
        <v>259.56</v>
      </c>
      <c r="F29" s="4"/>
      <c r="G29" s="4">
        <v>430.06855659613757</v>
      </c>
    </row>
    <row r="30" spans="1:7" x14ac:dyDescent="0.25">
      <c r="A30" s="3" t="s">
        <v>112</v>
      </c>
      <c r="B30" s="4">
        <v>87.61073625705265</v>
      </c>
      <c r="C30" s="4">
        <v>476.91692982391368</v>
      </c>
      <c r="D30" s="4">
        <v>91.5</v>
      </c>
      <c r="E30" s="4">
        <v>589.66999999999996</v>
      </c>
      <c r="F30" s="4"/>
      <c r="G30" s="4">
        <v>1245.6976660809664</v>
      </c>
    </row>
    <row r="31" spans="1:7" x14ac:dyDescent="0.25">
      <c r="A31" s="3" t="s">
        <v>1547</v>
      </c>
      <c r="B31" s="4"/>
      <c r="C31" s="4"/>
      <c r="D31" s="4"/>
      <c r="E31" s="4">
        <v>29.93</v>
      </c>
      <c r="F31" s="4"/>
      <c r="G31" s="4">
        <v>29.93</v>
      </c>
    </row>
    <row r="32" spans="1:7" x14ac:dyDescent="0.25">
      <c r="A32" s="3" t="s">
        <v>2702</v>
      </c>
      <c r="B32" s="4">
        <v>42.06217182566386</v>
      </c>
      <c r="C32" s="4">
        <v>0.08</v>
      </c>
      <c r="D32" s="4"/>
      <c r="E32" s="4">
        <v>199.28</v>
      </c>
      <c r="F32" s="4"/>
      <c r="G32" s="4">
        <v>241.42217182566387</v>
      </c>
    </row>
    <row r="33" spans="1:7" x14ac:dyDescent="0.25">
      <c r="A33" s="3" t="s">
        <v>72</v>
      </c>
      <c r="B33" s="4"/>
      <c r="C33" s="4"/>
      <c r="D33" s="4"/>
      <c r="E33" s="4">
        <v>1</v>
      </c>
      <c r="F33" s="4"/>
      <c r="G33" s="4">
        <v>1</v>
      </c>
    </row>
    <row r="34" spans="1:7" x14ac:dyDescent="0.25">
      <c r="A34" s="3" t="s">
        <v>2703</v>
      </c>
      <c r="B34" s="4"/>
      <c r="C34" s="4">
        <v>22.5</v>
      </c>
      <c r="D34" s="4"/>
      <c r="E34" s="4"/>
      <c r="F34" s="4"/>
      <c r="G34" s="4">
        <v>22.5</v>
      </c>
    </row>
    <row r="35" spans="1:7" x14ac:dyDescent="0.25">
      <c r="A35" s="2" t="s">
        <v>3132</v>
      </c>
      <c r="B35" s="4">
        <v>339.26473432889907</v>
      </c>
      <c r="C35" s="4">
        <v>4566.9266056284141</v>
      </c>
      <c r="D35" s="4">
        <v>237.07000000000002</v>
      </c>
      <c r="E35" s="4">
        <v>3414.8879382988412</v>
      </c>
      <c r="F35" s="4">
        <v>178</v>
      </c>
      <c r="G35" s="4">
        <v>8736.1492782561545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CBAC-82F7-4900-8F8E-C6D162373EB4}">
  <dimension ref="A1:C188"/>
  <sheetViews>
    <sheetView topLeftCell="A76" workbookViewId="0">
      <selection activeCell="A4" sqref="A4:XFD6"/>
    </sheetView>
  </sheetViews>
  <sheetFormatPr defaultRowHeight="15" x14ac:dyDescent="0.25"/>
  <cols>
    <col min="1" max="1" width="43.7109375" bestFit="1" customWidth="1"/>
    <col min="2" max="2" width="16.7109375" bestFit="1" customWidth="1"/>
    <col min="3" max="3" width="31" bestFit="1" customWidth="1"/>
    <col min="4" max="4" width="5.28515625" bestFit="1" customWidth="1"/>
    <col min="5" max="5" width="15.5703125" bestFit="1" customWidth="1"/>
    <col min="6" max="6" width="22.85546875" bestFit="1" customWidth="1"/>
    <col min="7" max="7" width="19.85546875" bestFit="1" customWidth="1"/>
    <col min="8" max="8" width="15.7109375" bestFit="1" customWidth="1"/>
    <col min="9" max="9" width="3.28515625" bestFit="1" customWidth="1"/>
    <col min="10" max="10" width="9.5703125" bestFit="1" customWidth="1"/>
    <col min="11" max="11" width="6.5703125" bestFit="1" customWidth="1"/>
    <col min="12" max="12" width="25.140625" bestFit="1" customWidth="1"/>
    <col min="13" max="13" width="18.85546875" bestFit="1" customWidth="1"/>
    <col min="14" max="14" width="8.140625" bestFit="1" customWidth="1"/>
    <col min="15" max="15" width="8.7109375" bestFit="1" customWidth="1"/>
    <col min="16" max="16" width="18.85546875" bestFit="1" customWidth="1"/>
    <col min="17" max="17" width="14.140625" bestFit="1" customWidth="1"/>
    <col min="18" max="18" width="9" bestFit="1" customWidth="1"/>
    <col min="19" max="19" width="5.42578125" bestFit="1" customWidth="1"/>
    <col min="20" max="20" width="4.140625" bestFit="1" customWidth="1"/>
    <col min="21" max="21" width="11.28515625" bestFit="1" customWidth="1"/>
  </cols>
  <sheetData>
    <row r="1" spans="1:3" x14ac:dyDescent="0.25">
      <c r="A1" s="1" t="s">
        <v>6</v>
      </c>
      <c r="B1" t="s">
        <v>57</v>
      </c>
    </row>
    <row r="3" spans="1:3" x14ac:dyDescent="0.25">
      <c r="A3" s="1" t="s">
        <v>3131</v>
      </c>
      <c r="B3" t="s">
        <v>3134</v>
      </c>
      <c r="C3" t="s">
        <v>3742</v>
      </c>
    </row>
    <row r="4" spans="1:3" hidden="1" x14ac:dyDescent="0.25">
      <c r="A4" s="2" t="s">
        <v>3581</v>
      </c>
      <c r="B4" s="4">
        <v>4</v>
      </c>
      <c r="C4" s="4">
        <v>0</v>
      </c>
    </row>
    <row r="5" spans="1:3" hidden="1" x14ac:dyDescent="0.25">
      <c r="A5" s="3" t="s">
        <v>58</v>
      </c>
      <c r="B5" s="4">
        <v>4</v>
      </c>
      <c r="C5" s="4">
        <v>0</v>
      </c>
    </row>
    <row r="6" spans="1:3" hidden="1" x14ac:dyDescent="0.25">
      <c r="A6" s="108" t="s">
        <v>59</v>
      </c>
      <c r="B6" s="4">
        <v>4</v>
      </c>
      <c r="C6" s="4">
        <v>0</v>
      </c>
    </row>
    <row r="7" spans="1:3" x14ac:dyDescent="0.25">
      <c r="A7" s="2" t="s">
        <v>81</v>
      </c>
      <c r="B7" s="4">
        <v>513</v>
      </c>
      <c r="C7" s="4">
        <v>192246.28571428571</v>
      </c>
    </row>
    <row r="8" spans="1:3" x14ac:dyDescent="0.25">
      <c r="A8" s="3" t="s">
        <v>58</v>
      </c>
      <c r="B8" s="4">
        <v>349</v>
      </c>
      <c r="C8" s="4">
        <v>161046.28571428571</v>
      </c>
    </row>
    <row r="9" spans="1:3" x14ac:dyDescent="0.25">
      <c r="A9" s="108" t="s">
        <v>146</v>
      </c>
      <c r="B9" s="4">
        <v>349</v>
      </c>
      <c r="C9" s="4">
        <v>161046.28571428571</v>
      </c>
    </row>
    <row r="10" spans="1:3" x14ac:dyDescent="0.25">
      <c r="A10" s="3" t="s">
        <v>71</v>
      </c>
      <c r="B10" s="4">
        <v>164</v>
      </c>
      <c r="C10" s="4">
        <v>31200</v>
      </c>
    </row>
    <row r="11" spans="1:3" x14ac:dyDescent="0.25">
      <c r="A11" s="108" t="s">
        <v>112</v>
      </c>
      <c r="B11" s="4">
        <v>164</v>
      </c>
      <c r="C11" s="4">
        <v>31200</v>
      </c>
    </row>
    <row r="12" spans="1:3" x14ac:dyDescent="0.25">
      <c r="A12" s="2" t="s">
        <v>164</v>
      </c>
      <c r="B12" s="4">
        <v>92</v>
      </c>
      <c r="C12" s="4">
        <v>74500</v>
      </c>
    </row>
    <row r="13" spans="1:3" x14ac:dyDescent="0.25">
      <c r="A13" s="3" t="s">
        <v>58</v>
      </c>
      <c r="B13" s="4">
        <v>11.5</v>
      </c>
      <c r="C13" s="4">
        <v>14500</v>
      </c>
    </row>
    <row r="14" spans="1:3" x14ac:dyDescent="0.25">
      <c r="A14" s="108" t="s">
        <v>146</v>
      </c>
      <c r="B14" s="4">
        <v>6</v>
      </c>
      <c r="C14" s="4">
        <v>2500</v>
      </c>
    </row>
    <row r="15" spans="1:3" x14ac:dyDescent="0.25">
      <c r="A15" s="108" t="s">
        <v>163</v>
      </c>
      <c r="B15" s="4">
        <v>5.5</v>
      </c>
      <c r="C15" s="4">
        <v>12000</v>
      </c>
    </row>
    <row r="16" spans="1:3" x14ac:dyDescent="0.25">
      <c r="A16" s="3" t="s">
        <v>71</v>
      </c>
      <c r="B16" s="4">
        <v>80.5</v>
      </c>
      <c r="C16" s="4">
        <v>60000</v>
      </c>
    </row>
    <row r="17" spans="1:3" x14ac:dyDescent="0.25">
      <c r="A17" s="108" t="s">
        <v>167</v>
      </c>
      <c r="B17" s="4">
        <v>22</v>
      </c>
      <c r="C17" s="4">
        <v>21000</v>
      </c>
    </row>
    <row r="18" spans="1:3" x14ac:dyDescent="0.25">
      <c r="A18" s="108" t="s">
        <v>112</v>
      </c>
      <c r="B18" s="4">
        <v>58.5</v>
      </c>
      <c r="C18" s="4">
        <v>39000</v>
      </c>
    </row>
    <row r="19" spans="1:3" x14ac:dyDescent="0.25">
      <c r="A19" s="2" t="s">
        <v>207</v>
      </c>
      <c r="B19" s="4">
        <v>131</v>
      </c>
      <c r="C19" s="4">
        <v>80260</v>
      </c>
    </row>
    <row r="20" spans="1:3" x14ac:dyDescent="0.25">
      <c r="A20" s="3" t="s">
        <v>58</v>
      </c>
      <c r="B20" s="4">
        <v>113</v>
      </c>
      <c r="C20" s="4">
        <v>80000</v>
      </c>
    </row>
    <row r="21" spans="1:3" x14ac:dyDescent="0.25">
      <c r="A21" s="108" t="s">
        <v>146</v>
      </c>
      <c r="B21" s="4">
        <v>113</v>
      </c>
      <c r="C21" s="4">
        <v>80000</v>
      </c>
    </row>
    <row r="22" spans="1:3" x14ac:dyDescent="0.25">
      <c r="A22" s="3" t="s">
        <v>233</v>
      </c>
      <c r="B22" s="4">
        <v>18</v>
      </c>
      <c r="C22" s="4">
        <v>260</v>
      </c>
    </row>
    <row r="23" spans="1:3" x14ac:dyDescent="0.25">
      <c r="A23" s="108" t="s">
        <v>234</v>
      </c>
      <c r="B23" s="4">
        <v>18</v>
      </c>
      <c r="C23" s="4">
        <v>260</v>
      </c>
    </row>
    <row r="24" spans="1:3" x14ac:dyDescent="0.25">
      <c r="A24" s="2" t="s">
        <v>274</v>
      </c>
      <c r="B24" s="4">
        <v>42</v>
      </c>
      <c r="C24" s="4">
        <v>48826</v>
      </c>
    </row>
    <row r="25" spans="1:3" x14ac:dyDescent="0.25">
      <c r="A25" s="3" t="s">
        <v>58</v>
      </c>
      <c r="B25" s="4">
        <v>21</v>
      </c>
      <c r="C25" s="4">
        <v>24364</v>
      </c>
    </row>
    <row r="26" spans="1:3" x14ac:dyDescent="0.25">
      <c r="A26" s="108" t="s">
        <v>163</v>
      </c>
      <c r="B26" s="4">
        <v>21</v>
      </c>
      <c r="C26" s="4">
        <v>24364</v>
      </c>
    </row>
    <row r="27" spans="1:3" x14ac:dyDescent="0.25">
      <c r="A27" s="3" t="s">
        <v>71</v>
      </c>
      <c r="B27" s="4">
        <v>21</v>
      </c>
      <c r="C27" s="4">
        <v>24462</v>
      </c>
    </row>
    <row r="28" spans="1:3" x14ac:dyDescent="0.25">
      <c r="A28" s="108" t="s">
        <v>112</v>
      </c>
      <c r="B28" s="4">
        <v>21</v>
      </c>
      <c r="C28" s="4">
        <v>24462</v>
      </c>
    </row>
    <row r="29" spans="1:3" x14ac:dyDescent="0.25">
      <c r="A29" s="2" t="s">
        <v>1352</v>
      </c>
      <c r="B29" s="4">
        <v>481.23104268957991</v>
      </c>
      <c r="C29" s="4">
        <v>282813</v>
      </c>
    </row>
    <row r="30" spans="1:3" x14ac:dyDescent="0.25">
      <c r="A30" s="3" t="s">
        <v>58</v>
      </c>
      <c r="B30" s="4">
        <v>230.79104268957991</v>
      </c>
      <c r="C30" s="4">
        <v>131286</v>
      </c>
    </row>
    <row r="31" spans="1:3" x14ac:dyDescent="0.25">
      <c r="A31" s="108" t="s">
        <v>881</v>
      </c>
      <c r="B31" s="4">
        <v>32.568717948717946</v>
      </c>
      <c r="C31" s="4">
        <v>5710</v>
      </c>
    </row>
    <row r="32" spans="1:3" x14ac:dyDescent="0.25">
      <c r="A32" s="108" t="s">
        <v>146</v>
      </c>
      <c r="B32" s="4">
        <v>62.413350381887618</v>
      </c>
      <c r="C32" s="4">
        <v>35637</v>
      </c>
    </row>
    <row r="33" spans="1:3" x14ac:dyDescent="0.25">
      <c r="A33" s="108" t="s">
        <v>163</v>
      </c>
      <c r="B33" s="4">
        <v>7.9920512820512828</v>
      </c>
      <c r="C33" s="4">
        <v>2854</v>
      </c>
    </row>
    <row r="34" spans="1:3" x14ac:dyDescent="0.25">
      <c r="A34" s="108" t="s">
        <v>396</v>
      </c>
      <c r="B34" s="4">
        <v>114.94205128205128</v>
      </c>
      <c r="C34" s="4">
        <v>84565</v>
      </c>
    </row>
    <row r="35" spans="1:3" x14ac:dyDescent="0.25">
      <c r="A35" s="108" t="s">
        <v>59</v>
      </c>
      <c r="B35" s="4">
        <v>12.874871794871797</v>
      </c>
      <c r="C35" s="4">
        <v>2520</v>
      </c>
    </row>
    <row r="36" spans="1:3" x14ac:dyDescent="0.25">
      <c r="A36" s="3" t="s">
        <v>233</v>
      </c>
      <c r="B36" s="4">
        <v>5</v>
      </c>
      <c r="C36" s="4">
        <v>1200</v>
      </c>
    </row>
    <row r="37" spans="1:3" x14ac:dyDescent="0.25">
      <c r="A37" s="108" t="s">
        <v>884</v>
      </c>
      <c r="B37" s="4">
        <v>5</v>
      </c>
      <c r="C37" s="4">
        <v>1200</v>
      </c>
    </row>
    <row r="38" spans="1:3" x14ac:dyDescent="0.25">
      <c r="A38" s="3" t="s">
        <v>71</v>
      </c>
      <c r="B38" s="4">
        <v>245.44</v>
      </c>
      <c r="C38" s="4">
        <v>150327</v>
      </c>
    </row>
    <row r="39" spans="1:3" x14ac:dyDescent="0.25">
      <c r="A39" s="108" t="s">
        <v>167</v>
      </c>
      <c r="B39" s="4">
        <v>11.51</v>
      </c>
      <c r="C39" s="4">
        <v>14476</v>
      </c>
    </row>
    <row r="40" spans="1:3" x14ac:dyDescent="0.25">
      <c r="A40" s="108" t="s">
        <v>292</v>
      </c>
      <c r="B40" s="4">
        <v>48.2</v>
      </c>
      <c r="C40" s="4">
        <v>32248</v>
      </c>
    </row>
    <row r="41" spans="1:3" x14ac:dyDescent="0.25">
      <c r="A41" s="108" t="s">
        <v>102</v>
      </c>
      <c r="B41" s="4">
        <v>32.86</v>
      </c>
      <c r="C41" s="4">
        <v>11080</v>
      </c>
    </row>
    <row r="42" spans="1:3" x14ac:dyDescent="0.25">
      <c r="A42" s="108" t="s">
        <v>112</v>
      </c>
      <c r="B42" s="4">
        <v>132.81</v>
      </c>
      <c r="C42" s="4">
        <v>70821</v>
      </c>
    </row>
    <row r="43" spans="1:3" x14ac:dyDescent="0.25">
      <c r="A43" s="108" t="s">
        <v>1547</v>
      </c>
      <c r="B43" s="4">
        <v>16.93</v>
      </c>
      <c r="C43" s="4">
        <v>21495</v>
      </c>
    </row>
    <row r="44" spans="1:3" x14ac:dyDescent="0.25">
      <c r="A44" s="108" t="s">
        <v>2702</v>
      </c>
      <c r="B44" s="4">
        <v>2.13</v>
      </c>
      <c r="C44" s="4">
        <v>157</v>
      </c>
    </row>
    <row r="45" spans="1:3" x14ac:dyDescent="0.25">
      <c r="A45" s="108" t="s">
        <v>72</v>
      </c>
      <c r="B45" s="4">
        <v>1</v>
      </c>
      <c r="C45" s="4">
        <v>50</v>
      </c>
    </row>
    <row r="46" spans="1:3" x14ac:dyDescent="0.25">
      <c r="A46" s="2" t="s">
        <v>288</v>
      </c>
      <c r="B46" s="4">
        <v>88</v>
      </c>
      <c r="C46" s="4">
        <v>0</v>
      </c>
    </row>
    <row r="47" spans="1:3" x14ac:dyDescent="0.25">
      <c r="A47" s="3" t="s">
        <v>58</v>
      </c>
      <c r="B47" s="4">
        <v>15</v>
      </c>
      <c r="C47" s="4">
        <v>0</v>
      </c>
    </row>
    <row r="48" spans="1:3" x14ac:dyDescent="0.25">
      <c r="A48" s="108" t="s">
        <v>163</v>
      </c>
      <c r="B48" s="4">
        <v>15</v>
      </c>
      <c r="C48" s="4">
        <v>0</v>
      </c>
    </row>
    <row r="49" spans="1:3" x14ac:dyDescent="0.25">
      <c r="A49" s="3" t="s">
        <v>71</v>
      </c>
      <c r="B49" s="4">
        <v>73</v>
      </c>
      <c r="C49" s="4">
        <v>0</v>
      </c>
    </row>
    <row r="50" spans="1:3" x14ac:dyDescent="0.25">
      <c r="A50" s="108" t="s">
        <v>292</v>
      </c>
      <c r="B50" s="4">
        <v>73</v>
      </c>
      <c r="C50" s="4">
        <v>0</v>
      </c>
    </row>
    <row r="51" spans="1:3" x14ac:dyDescent="0.25">
      <c r="A51" s="2" t="s">
        <v>661</v>
      </c>
      <c r="B51" s="4">
        <v>1516</v>
      </c>
      <c r="C51" s="4">
        <v>1159085</v>
      </c>
    </row>
    <row r="52" spans="1:3" x14ac:dyDescent="0.25">
      <c r="A52" s="3" t="s">
        <v>58</v>
      </c>
      <c r="B52" s="4">
        <v>745</v>
      </c>
      <c r="C52" s="4">
        <v>706800</v>
      </c>
    </row>
    <row r="53" spans="1:3" x14ac:dyDescent="0.25">
      <c r="A53" s="108" t="s">
        <v>146</v>
      </c>
      <c r="B53" s="4">
        <v>628</v>
      </c>
      <c r="C53" s="4">
        <v>584020</v>
      </c>
    </row>
    <row r="54" spans="1:3" x14ac:dyDescent="0.25">
      <c r="A54" s="108" t="s">
        <v>163</v>
      </c>
      <c r="B54" s="4">
        <v>13</v>
      </c>
      <c r="C54" s="4">
        <v>5500</v>
      </c>
    </row>
    <row r="55" spans="1:3" x14ac:dyDescent="0.25">
      <c r="A55" s="108" t="s">
        <v>396</v>
      </c>
      <c r="B55" s="4">
        <v>96</v>
      </c>
      <c r="C55" s="4">
        <v>113365</v>
      </c>
    </row>
    <row r="56" spans="1:3" x14ac:dyDescent="0.25">
      <c r="A56" s="108" t="s">
        <v>59</v>
      </c>
      <c r="B56" s="4">
        <v>8</v>
      </c>
      <c r="C56" s="4">
        <v>3915</v>
      </c>
    </row>
    <row r="57" spans="1:3" x14ac:dyDescent="0.25">
      <c r="A57" s="3" t="s">
        <v>480</v>
      </c>
      <c r="B57" s="4">
        <v>704</v>
      </c>
      <c r="C57" s="4">
        <v>360845</v>
      </c>
    </row>
    <row r="58" spans="1:3" x14ac:dyDescent="0.25">
      <c r="A58" s="108" t="s">
        <v>481</v>
      </c>
      <c r="B58" s="4">
        <v>372</v>
      </c>
      <c r="C58" s="4">
        <v>176001</v>
      </c>
    </row>
    <row r="59" spans="1:3" x14ac:dyDescent="0.25">
      <c r="A59" s="108" t="s">
        <v>807</v>
      </c>
      <c r="B59" s="4">
        <v>332</v>
      </c>
      <c r="C59" s="4">
        <v>184844</v>
      </c>
    </row>
    <row r="60" spans="1:3" x14ac:dyDescent="0.25">
      <c r="A60" s="3" t="s">
        <v>71</v>
      </c>
      <c r="B60" s="4">
        <v>67</v>
      </c>
      <c r="C60" s="4">
        <v>91440</v>
      </c>
    </row>
    <row r="61" spans="1:3" x14ac:dyDescent="0.25">
      <c r="A61" s="108" t="s">
        <v>292</v>
      </c>
      <c r="B61" s="4">
        <v>2</v>
      </c>
      <c r="C61" s="4">
        <v>800</v>
      </c>
    </row>
    <row r="62" spans="1:3" x14ac:dyDescent="0.25">
      <c r="A62" s="108" t="s">
        <v>112</v>
      </c>
      <c r="B62" s="4">
        <v>65</v>
      </c>
      <c r="C62" s="4">
        <v>90640</v>
      </c>
    </row>
    <row r="63" spans="1:3" x14ac:dyDescent="0.25">
      <c r="A63" s="2" t="s">
        <v>313</v>
      </c>
      <c r="B63" s="4">
        <v>83</v>
      </c>
      <c r="C63" s="4">
        <v>55000</v>
      </c>
    </row>
    <row r="64" spans="1:3" x14ac:dyDescent="0.25">
      <c r="A64" s="3" t="s">
        <v>480</v>
      </c>
      <c r="B64" s="4">
        <v>83</v>
      </c>
      <c r="C64" s="4">
        <v>55000</v>
      </c>
    </row>
    <row r="65" spans="1:3" x14ac:dyDescent="0.25">
      <c r="A65" s="108" t="s">
        <v>807</v>
      </c>
      <c r="B65" s="4">
        <v>83</v>
      </c>
      <c r="C65" s="4">
        <v>55000</v>
      </c>
    </row>
    <row r="66" spans="1:3" x14ac:dyDescent="0.25">
      <c r="A66" s="2" t="s">
        <v>330</v>
      </c>
      <c r="B66" s="4">
        <v>167</v>
      </c>
      <c r="C66" s="4">
        <v>20143</v>
      </c>
    </row>
    <row r="67" spans="1:3" x14ac:dyDescent="0.25">
      <c r="A67" s="3" t="s">
        <v>58</v>
      </c>
      <c r="B67" s="4">
        <v>33</v>
      </c>
      <c r="C67" s="4">
        <v>3850</v>
      </c>
    </row>
    <row r="68" spans="1:3" x14ac:dyDescent="0.25">
      <c r="A68" s="108" t="s">
        <v>146</v>
      </c>
      <c r="B68" s="4">
        <v>29</v>
      </c>
      <c r="C68" s="4">
        <v>2450</v>
      </c>
    </row>
    <row r="69" spans="1:3" x14ac:dyDescent="0.25">
      <c r="A69" s="108" t="s">
        <v>396</v>
      </c>
      <c r="B69" s="4">
        <v>4</v>
      </c>
      <c r="C69" s="4">
        <v>1400</v>
      </c>
    </row>
    <row r="70" spans="1:3" x14ac:dyDescent="0.25">
      <c r="A70" s="3" t="s">
        <v>71</v>
      </c>
      <c r="B70" s="4">
        <v>134</v>
      </c>
      <c r="C70" s="4">
        <v>16293</v>
      </c>
    </row>
    <row r="71" spans="1:3" x14ac:dyDescent="0.25">
      <c r="A71" s="108" t="s">
        <v>167</v>
      </c>
      <c r="B71" s="4">
        <v>2</v>
      </c>
      <c r="C71" s="4">
        <v>400</v>
      </c>
    </row>
    <row r="72" spans="1:3" x14ac:dyDescent="0.25">
      <c r="A72" s="108" t="s">
        <v>292</v>
      </c>
      <c r="B72" s="4">
        <v>11</v>
      </c>
      <c r="C72" s="4">
        <v>427</v>
      </c>
    </row>
    <row r="73" spans="1:3" x14ac:dyDescent="0.25">
      <c r="A73" s="108" t="s">
        <v>102</v>
      </c>
      <c r="B73" s="4">
        <v>14</v>
      </c>
      <c r="C73" s="4">
        <v>657</v>
      </c>
    </row>
    <row r="74" spans="1:3" x14ac:dyDescent="0.25">
      <c r="A74" s="108" t="s">
        <v>112</v>
      </c>
      <c r="B74" s="4">
        <v>27</v>
      </c>
      <c r="C74" s="4">
        <v>2345</v>
      </c>
    </row>
    <row r="75" spans="1:3" x14ac:dyDescent="0.25">
      <c r="A75" s="108" t="s">
        <v>2702</v>
      </c>
      <c r="B75" s="4">
        <v>80</v>
      </c>
      <c r="C75" s="4">
        <v>12464</v>
      </c>
    </row>
    <row r="76" spans="1:3" x14ac:dyDescent="0.25">
      <c r="A76" s="2" t="s">
        <v>3627</v>
      </c>
      <c r="B76" s="4">
        <v>17</v>
      </c>
      <c r="C76" s="4">
        <v>0</v>
      </c>
    </row>
    <row r="77" spans="1:3" x14ac:dyDescent="0.25">
      <c r="A77" s="3" t="s">
        <v>58</v>
      </c>
      <c r="B77" s="4">
        <v>17</v>
      </c>
      <c r="C77" s="4">
        <v>0</v>
      </c>
    </row>
    <row r="78" spans="1:3" x14ac:dyDescent="0.25">
      <c r="A78" s="108" t="s">
        <v>59</v>
      </c>
      <c r="B78" s="4">
        <v>17</v>
      </c>
      <c r="C78" s="4">
        <v>0</v>
      </c>
    </row>
    <row r="79" spans="1:3" x14ac:dyDescent="0.25">
      <c r="A79" s="2" t="s">
        <v>401</v>
      </c>
      <c r="B79" s="4">
        <v>90</v>
      </c>
      <c r="C79" s="4">
        <v>2500</v>
      </c>
    </row>
    <row r="80" spans="1:3" x14ac:dyDescent="0.25">
      <c r="A80" s="3" t="s">
        <v>71</v>
      </c>
      <c r="B80" s="4">
        <v>90</v>
      </c>
      <c r="C80" s="4">
        <v>2500</v>
      </c>
    </row>
    <row r="81" spans="1:3" x14ac:dyDescent="0.25">
      <c r="A81" s="108" t="s">
        <v>292</v>
      </c>
      <c r="B81" s="4">
        <v>90</v>
      </c>
      <c r="C81" s="4">
        <v>2500</v>
      </c>
    </row>
    <row r="82" spans="1:3" x14ac:dyDescent="0.25">
      <c r="A82" s="2" t="s">
        <v>813</v>
      </c>
      <c r="B82" s="4">
        <v>718.91268929027547</v>
      </c>
      <c r="C82" s="4">
        <v>546839.08333333337</v>
      </c>
    </row>
    <row r="83" spans="1:3" x14ac:dyDescent="0.25">
      <c r="A83" s="3" t="s">
        <v>58</v>
      </c>
      <c r="B83" s="4">
        <v>78</v>
      </c>
      <c r="C83" s="4">
        <v>93465</v>
      </c>
    </row>
    <row r="84" spans="1:3" x14ac:dyDescent="0.25">
      <c r="A84" s="108" t="s">
        <v>146</v>
      </c>
      <c r="B84" s="4">
        <v>78</v>
      </c>
      <c r="C84" s="4">
        <v>93465</v>
      </c>
    </row>
    <row r="85" spans="1:3" x14ac:dyDescent="0.25">
      <c r="A85" s="3" t="s">
        <v>233</v>
      </c>
      <c r="B85" s="4">
        <v>42</v>
      </c>
      <c r="C85" s="4">
        <v>18500</v>
      </c>
    </row>
    <row r="86" spans="1:3" x14ac:dyDescent="0.25">
      <c r="A86" s="108" t="s">
        <v>884</v>
      </c>
      <c r="B86" s="4">
        <v>42</v>
      </c>
      <c r="C86" s="4">
        <v>18500</v>
      </c>
    </row>
    <row r="87" spans="1:3" x14ac:dyDescent="0.25">
      <c r="A87" s="3" t="s">
        <v>71</v>
      </c>
      <c r="B87" s="4">
        <v>598.91268929027547</v>
      </c>
      <c r="C87" s="4">
        <v>434874.08333333337</v>
      </c>
    </row>
    <row r="88" spans="1:3" x14ac:dyDescent="0.25">
      <c r="A88" s="108" t="s">
        <v>167</v>
      </c>
      <c r="B88" s="4">
        <v>7</v>
      </c>
      <c r="C88" s="4">
        <v>9000</v>
      </c>
    </row>
    <row r="89" spans="1:3" x14ac:dyDescent="0.25">
      <c r="A89" s="108" t="s">
        <v>292</v>
      </c>
      <c r="B89" s="4">
        <v>34</v>
      </c>
      <c r="C89" s="4">
        <v>4118.916666666667</v>
      </c>
    </row>
    <row r="90" spans="1:3" x14ac:dyDescent="0.25">
      <c r="A90" s="108" t="s">
        <v>102</v>
      </c>
      <c r="B90" s="4">
        <v>239.35</v>
      </c>
      <c r="C90" s="4">
        <v>107239.25</v>
      </c>
    </row>
    <row r="91" spans="1:3" x14ac:dyDescent="0.25">
      <c r="A91" s="108" t="s">
        <v>112</v>
      </c>
      <c r="B91" s="4">
        <v>284.5626892902755</v>
      </c>
      <c r="C91" s="4">
        <v>313218.08333333337</v>
      </c>
    </row>
    <row r="92" spans="1:3" x14ac:dyDescent="0.25">
      <c r="A92" s="108" t="s">
        <v>2702</v>
      </c>
      <c r="B92" s="4">
        <v>34</v>
      </c>
      <c r="C92" s="4">
        <v>1297.8333333333333</v>
      </c>
    </row>
    <row r="93" spans="1:3" x14ac:dyDescent="0.25">
      <c r="A93" s="2" t="s">
        <v>1056</v>
      </c>
      <c r="B93" s="4">
        <v>909.85927088359313</v>
      </c>
      <c r="C93" s="4">
        <v>1187381.1657258577</v>
      </c>
    </row>
    <row r="94" spans="1:3" x14ac:dyDescent="0.25">
      <c r="A94" s="3" t="s">
        <v>58</v>
      </c>
      <c r="B94" s="4">
        <v>848.85829999999987</v>
      </c>
      <c r="C94" s="4">
        <v>1140908.28</v>
      </c>
    </row>
    <row r="95" spans="1:3" x14ac:dyDescent="0.25">
      <c r="A95" s="108" t="s">
        <v>881</v>
      </c>
      <c r="B95" s="4">
        <v>210.08999999999997</v>
      </c>
      <c r="C95" s="4">
        <v>235700</v>
      </c>
    </row>
    <row r="96" spans="1:3" x14ac:dyDescent="0.25">
      <c r="A96" s="108" t="s">
        <v>146</v>
      </c>
      <c r="B96" s="4">
        <v>67.34</v>
      </c>
      <c r="C96" s="4">
        <v>27577</v>
      </c>
    </row>
    <row r="97" spans="1:3" x14ac:dyDescent="0.25">
      <c r="A97" s="108" t="s">
        <v>163</v>
      </c>
      <c r="B97" s="4">
        <v>413.65</v>
      </c>
      <c r="C97" s="4">
        <v>627005</v>
      </c>
    </row>
    <row r="98" spans="1:3" x14ac:dyDescent="0.25">
      <c r="A98" s="108" t="s">
        <v>396</v>
      </c>
      <c r="B98" s="4">
        <v>133.7783</v>
      </c>
      <c r="C98" s="4">
        <v>240326.27999999997</v>
      </c>
    </row>
    <row r="99" spans="1:3" x14ac:dyDescent="0.25">
      <c r="A99" s="108" t="s">
        <v>59</v>
      </c>
      <c r="B99" s="4">
        <v>23.999999999999996</v>
      </c>
      <c r="C99" s="4">
        <v>10300</v>
      </c>
    </row>
    <row r="100" spans="1:3" x14ac:dyDescent="0.25">
      <c r="A100" s="3" t="s">
        <v>71</v>
      </c>
      <c r="B100" s="4">
        <v>61.000970883593261</v>
      </c>
      <c r="C100" s="4">
        <v>46472.885725857785</v>
      </c>
    </row>
    <row r="101" spans="1:3" x14ac:dyDescent="0.25">
      <c r="A101" s="108" t="s">
        <v>102</v>
      </c>
      <c r="B101" s="4">
        <v>6.6730349955064938E-2</v>
      </c>
      <c r="C101" s="4">
        <v>15</v>
      </c>
    </row>
    <row r="102" spans="1:3" x14ac:dyDescent="0.25">
      <c r="A102" s="108" t="s">
        <v>112</v>
      </c>
      <c r="B102" s="4">
        <v>60.854240533638198</v>
      </c>
      <c r="C102" s="4">
        <v>46414.885725857785</v>
      </c>
    </row>
    <row r="103" spans="1:3" x14ac:dyDescent="0.25">
      <c r="A103" s="108" t="s">
        <v>2702</v>
      </c>
      <c r="B103" s="4">
        <v>0.08</v>
      </c>
      <c r="C103" s="4">
        <v>43</v>
      </c>
    </row>
    <row r="104" spans="1:3" x14ac:dyDescent="0.25">
      <c r="A104" s="2" t="s">
        <v>410</v>
      </c>
      <c r="B104" s="4">
        <v>353</v>
      </c>
      <c r="C104" s="4">
        <v>35763</v>
      </c>
    </row>
    <row r="105" spans="1:3" x14ac:dyDescent="0.25">
      <c r="A105" s="3" t="s">
        <v>58</v>
      </c>
      <c r="B105" s="4">
        <v>353</v>
      </c>
      <c r="C105" s="4">
        <v>35763</v>
      </c>
    </row>
    <row r="106" spans="1:3" x14ac:dyDescent="0.25">
      <c r="A106" s="108" t="s">
        <v>146</v>
      </c>
      <c r="B106" s="4">
        <v>353</v>
      </c>
      <c r="C106" s="4">
        <v>35763</v>
      </c>
    </row>
    <row r="107" spans="1:3" x14ac:dyDescent="0.25">
      <c r="A107" s="2" t="s">
        <v>432</v>
      </c>
      <c r="B107" s="4">
        <v>119</v>
      </c>
      <c r="C107" s="4">
        <v>90733</v>
      </c>
    </row>
    <row r="108" spans="1:3" x14ac:dyDescent="0.25">
      <c r="A108" s="3" t="s">
        <v>58</v>
      </c>
      <c r="B108" s="4">
        <v>119</v>
      </c>
      <c r="C108" s="4">
        <v>90733</v>
      </c>
    </row>
    <row r="109" spans="1:3" x14ac:dyDescent="0.25">
      <c r="A109" s="108" t="s">
        <v>146</v>
      </c>
      <c r="B109" s="4">
        <v>119</v>
      </c>
      <c r="C109" s="4">
        <v>90733</v>
      </c>
    </row>
    <row r="110" spans="1:3" x14ac:dyDescent="0.25">
      <c r="A110" s="2" t="s">
        <v>894</v>
      </c>
      <c r="B110" s="4">
        <v>129.77999999999997</v>
      </c>
      <c r="C110" s="4">
        <v>79444</v>
      </c>
    </row>
    <row r="111" spans="1:3" x14ac:dyDescent="0.25">
      <c r="A111" s="3" t="s">
        <v>58</v>
      </c>
      <c r="B111" s="4">
        <v>129.77999999999997</v>
      </c>
      <c r="C111" s="4">
        <v>79444</v>
      </c>
    </row>
    <row r="112" spans="1:3" x14ac:dyDescent="0.25">
      <c r="A112" s="108" t="s">
        <v>881</v>
      </c>
      <c r="B112" s="4">
        <v>6.48</v>
      </c>
      <c r="C112" s="4">
        <v>0</v>
      </c>
    </row>
    <row r="113" spans="1:3" x14ac:dyDescent="0.25">
      <c r="A113" s="108" t="s">
        <v>146</v>
      </c>
      <c r="B113" s="4">
        <v>85.159999999999982</v>
      </c>
      <c r="C113" s="4">
        <v>59992</v>
      </c>
    </row>
    <row r="114" spans="1:3" x14ac:dyDescent="0.25">
      <c r="A114" s="108" t="s">
        <v>163</v>
      </c>
      <c r="B114" s="4">
        <v>3.9800000000000004</v>
      </c>
      <c r="C114" s="4">
        <v>2389</v>
      </c>
    </row>
    <row r="115" spans="1:3" x14ac:dyDescent="0.25">
      <c r="A115" s="108" t="s">
        <v>396</v>
      </c>
      <c r="B115" s="4">
        <v>18.46</v>
      </c>
      <c r="C115" s="4">
        <v>6719</v>
      </c>
    </row>
    <row r="116" spans="1:3" x14ac:dyDescent="0.25">
      <c r="A116" s="108" t="s">
        <v>59</v>
      </c>
      <c r="B116" s="4">
        <v>15.700000000000001</v>
      </c>
      <c r="C116" s="4">
        <v>10344</v>
      </c>
    </row>
    <row r="117" spans="1:3" x14ac:dyDescent="0.25">
      <c r="A117" s="2" t="s">
        <v>1953</v>
      </c>
      <c r="B117" s="4">
        <v>91.5</v>
      </c>
      <c r="C117" s="4">
        <v>80961</v>
      </c>
    </row>
    <row r="118" spans="1:3" x14ac:dyDescent="0.25">
      <c r="A118" s="3" t="s">
        <v>233</v>
      </c>
      <c r="B118" s="4">
        <v>91.5</v>
      </c>
      <c r="C118" s="4">
        <v>80961</v>
      </c>
    </row>
    <row r="119" spans="1:3" x14ac:dyDescent="0.25">
      <c r="A119" s="108" t="s">
        <v>884</v>
      </c>
      <c r="B119" s="4">
        <v>91.5</v>
      </c>
      <c r="C119" s="4">
        <v>80961</v>
      </c>
    </row>
    <row r="120" spans="1:3" x14ac:dyDescent="0.25">
      <c r="A120" s="2" t="s">
        <v>1749</v>
      </c>
      <c r="B120" s="4">
        <v>752.42000000000007</v>
      </c>
      <c r="C120" s="4">
        <v>663634</v>
      </c>
    </row>
    <row r="121" spans="1:3" x14ac:dyDescent="0.25">
      <c r="A121" s="3" t="s">
        <v>58</v>
      </c>
      <c r="B121" s="4">
        <v>535.42000000000007</v>
      </c>
      <c r="C121" s="4">
        <v>645778</v>
      </c>
    </row>
    <row r="122" spans="1:3" x14ac:dyDescent="0.25">
      <c r="A122" s="108" t="s">
        <v>881</v>
      </c>
      <c r="B122" s="4">
        <v>8</v>
      </c>
      <c r="C122" s="4">
        <v>14037</v>
      </c>
    </row>
    <row r="123" spans="1:3" x14ac:dyDescent="0.25">
      <c r="A123" s="108" t="s">
        <v>146</v>
      </c>
      <c r="B123" s="4">
        <v>124</v>
      </c>
      <c r="C123" s="4">
        <v>112252</v>
      </c>
    </row>
    <row r="124" spans="1:3" x14ac:dyDescent="0.25">
      <c r="A124" s="108" t="s">
        <v>163</v>
      </c>
      <c r="B124" s="4">
        <v>102.49</v>
      </c>
      <c r="C124" s="4">
        <v>128510</v>
      </c>
    </row>
    <row r="125" spans="1:3" x14ac:dyDescent="0.25">
      <c r="A125" s="108" t="s">
        <v>396</v>
      </c>
      <c r="B125" s="4">
        <v>243.23000000000002</v>
      </c>
      <c r="C125" s="4">
        <v>340979</v>
      </c>
    </row>
    <row r="126" spans="1:3" x14ac:dyDescent="0.25">
      <c r="A126" s="108" t="s">
        <v>59</v>
      </c>
      <c r="B126" s="4">
        <v>57.7</v>
      </c>
      <c r="C126" s="4">
        <v>50000</v>
      </c>
    </row>
    <row r="127" spans="1:3" x14ac:dyDescent="0.25">
      <c r="A127" s="3" t="s">
        <v>71</v>
      </c>
      <c r="B127" s="4">
        <v>217</v>
      </c>
      <c r="C127" s="4">
        <v>17856</v>
      </c>
    </row>
    <row r="128" spans="1:3" x14ac:dyDescent="0.25">
      <c r="A128" s="108" t="s">
        <v>292</v>
      </c>
      <c r="B128" s="4">
        <v>39.5</v>
      </c>
      <c r="C128" s="4">
        <v>1760</v>
      </c>
    </row>
    <row r="129" spans="1:3" x14ac:dyDescent="0.25">
      <c r="A129" s="108" t="s">
        <v>102</v>
      </c>
      <c r="B129" s="4">
        <v>51.5</v>
      </c>
      <c r="C129" s="4">
        <v>5674</v>
      </c>
    </row>
    <row r="130" spans="1:3" x14ac:dyDescent="0.25">
      <c r="A130" s="108" t="s">
        <v>112</v>
      </c>
      <c r="B130" s="4">
        <v>45.5</v>
      </c>
      <c r="C130" s="4">
        <v>3923</v>
      </c>
    </row>
    <row r="131" spans="1:3" x14ac:dyDescent="0.25">
      <c r="A131" s="108" t="s">
        <v>1547</v>
      </c>
      <c r="B131" s="4">
        <v>13</v>
      </c>
      <c r="C131" s="4">
        <v>3302</v>
      </c>
    </row>
    <row r="132" spans="1:3" x14ac:dyDescent="0.25">
      <c r="A132" s="108" t="s">
        <v>2702</v>
      </c>
      <c r="B132" s="4">
        <v>67.5</v>
      </c>
      <c r="C132" s="4">
        <v>3197</v>
      </c>
    </row>
    <row r="133" spans="1:3" x14ac:dyDescent="0.25">
      <c r="A133" s="2" t="s">
        <v>473</v>
      </c>
      <c r="B133" s="4">
        <v>477</v>
      </c>
      <c r="C133" s="4">
        <v>181703</v>
      </c>
    </row>
    <row r="134" spans="1:3" x14ac:dyDescent="0.25">
      <c r="A134" s="3" t="s">
        <v>58</v>
      </c>
      <c r="B134" s="4">
        <v>150</v>
      </c>
      <c r="C134" s="4">
        <v>9597.2000000000007</v>
      </c>
    </row>
    <row r="135" spans="1:3" x14ac:dyDescent="0.25">
      <c r="A135" s="108" t="s">
        <v>146</v>
      </c>
      <c r="B135" s="4">
        <v>100</v>
      </c>
      <c r="C135" s="4">
        <v>7597.2</v>
      </c>
    </row>
    <row r="136" spans="1:3" x14ac:dyDescent="0.25">
      <c r="A136" s="108" t="s">
        <v>59</v>
      </c>
      <c r="B136" s="4">
        <v>50</v>
      </c>
      <c r="C136" s="4">
        <v>2000</v>
      </c>
    </row>
    <row r="137" spans="1:3" x14ac:dyDescent="0.25">
      <c r="A137" s="3" t="s">
        <v>480</v>
      </c>
      <c r="B137" s="4">
        <v>151.80000000000001</v>
      </c>
      <c r="C137" s="4">
        <v>30778.799999999999</v>
      </c>
    </row>
    <row r="138" spans="1:3" x14ac:dyDescent="0.25">
      <c r="A138" s="108" t="s">
        <v>481</v>
      </c>
      <c r="B138" s="4">
        <v>151.80000000000001</v>
      </c>
      <c r="C138" s="4">
        <v>30778.799999999999</v>
      </c>
    </row>
    <row r="139" spans="1:3" x14ac:dyDescent="0.25">
      <c r="A139" s="3" t="s">
        <v>71</v>
      </c>
      <c r="B139" s="4">
        <v>175.2</v>
      </c>
      <c r="C139" s="4">
        <v>141327</v>
      </c>
    </row>
    <row r="140" spans="1:3" x14ac:dyDescent="0.25">
      <c r="A140" s="108" t="s">
        <v>112</v>
      </c>
      <c r="B140" s="4">
        <v>152.69999999999999</v>
      </c>
      <c r="C140" s="4">
        <v>119786</v>
      </c>
    </row>
    <row r="141" spans="1:3" x14ac:dyDescent="0.25">
      <c r="A141" s="108" t="s">
        <v>2703</v>
      </c>
      <c r="B141" s="4">
        <v>22.5</v>
      </c>
      <c r="C141" s="4">
        <v>21541</v>
      </c>
    </row>
    <row r="142" spans="1:3" x14ac:dyDescent="0.25">
      <c r="A142" s="2" t="s">
        <v>1002</v>
      </c>
      <c r="B142" s="4">
        <v>723.00454545454556</v>
      </c>
      <c r="C142" s="4">
        <v>51632.666666666693</v>
      </c>
    </row>
    <row r="143" spans="1:3" x14ac:dyDescent="0.25">
      <c r="A143" s="3" t="s">
        <v>58</v>
      </c>
      <c r="B143" s="4">
        <v>711.00454545454556</v>
      </c>
      <c r="C143" s="4">
        <v>49672.666666666693</v>
      </c>
    </row>
    <row r="144" spans="1:3" x14ac:dyDescent="0.25">
      <c r="A144" s="108" t="s">
        <v>881</v>
      </c>
      <c r="B144" s="4">
        <v>3.47</v>
      </c>
      <c r="C144" s="4">
        <v>1529.1666666666667</v>
      </c>
    </row>
    <row r="145" spans="1:3" x14ac:dyDescent="0.25">
      <c r="A145" s="108" t="s">
        <v>146</v>
      </c>
      <c r="B145" s="4">
        <v>581</v>
      </c>
      <c r="C145" s="4"/>
    </row>
    <row r="146" spans="1:3" x14ac:dyDescent="0.25">
      <c r="A146" s="108" t="s">
        <v>163</v>
      </c>
      <c r="B146" s="4">
        <v>81.904545454545485</v>
      </c>
      <c r="C146" s="4">
        <v>40069.500000000029</v>
      </c>
    </row>
    <row r="147" spans="1:3" x14ac:dyDescent="0.25">
      <c r="A147" s="108" t="s">
        <v>396</v>
      </c>
      <c r="B147" s="4">
        <v>27.630000000000003</v>
      </c>
      <c r="C147" s="4">
        <v>1791.6666666666667</v>
      </c>
    </row>
    <row r="148" spans="1:3" x14ac:dyDescent="0.25">
      <c r="A148" s="108" t="s">
        <v>59</v>
      </c>
      <c r="B148" s="4">
        <v>17</v>
      </c>
      <c r="C148" s="4">
        <v>6282.333333333333</v>
      </c>
    </row>
    <row r="149" spans="1:3" x14ac:dyDescent="0.25">
      <c r="A149" s="3" t="s">
        <v>233</v>
      </c>
      <c r="B149" s="4">
        <v>12</v>
      </c>
      <c r="C149" s="4">
        <v>1960</v>
      </c>
    </row>
    <row r="150" spans="1:3" x14ac:dyDescent="0.25">
      <c r="A150" s="108" t="s">
        <v>884</v>
      </c>
      <c r="B150" s="4">
        <v>12</v>
      </c>
      <c r="C150" s="4">
        <v>1960</v>
      </c>
    </row>
    <row r="151" spans="1:3" x14ac:dyDescent="0.25">
      <c r="A151" s="2" t="s">
        <v>3607</v>
      </c>
      <c r="B151" s="4">
        <v>7</v>
      </c>
      <c r="C151" s="4">
        <v>0</v>
      </c>
    </row>
    <row r="152" spans="1:3" x14ac:dyDescent="0.25">
      <c r="A152" s="3" t="s">
        <v>58</v>
      </c>
      <c r="B152" s="4">
        <v>7</v>
      </c>
      <c r="C152" s="4">
        <v>0</v>
      </c>
    </row>
    <row r="153" spans="1:3" x14ac:dyDescent="0.25">
      <c r="A153" s="108" t="s">
        <v>59</v>
      </c>
      <c r="B153" s="4">
        <v>7</v>
      </c>
      <c r="C153" s="4">
        <v>0</v>
      </c>
    </row>
    <row r="154" spans="1:3" x14ac:dyDescent="0.25">
      <c r="A154" s="2" t="s">
        <v>488</v>
      </c>
      <c r="B154" s="4">
        <v>257</v>
      </c>
      <c r="C154" s="4">
        <v>114989</v>
      </c>
    </row>
    <row r="155" spans="1:3" x14ac:dyDescent="0.25">
      <c r="A155" s="3" t="s">
        <v>71</v>
      </c>
      <c r="B155" s="4">
        <v>257</v>
      </c>
      <c r="C155" s="4">
        <v>114989</v>
      </c>
    </row>
    <row r="156" spans="1:3" x14ac:dyDescent="0.25">
      <c r="A156" s="108" t="s">
        <v>167</v>
      </c>
      <c r="B156" s="4">
        <v>3</v>
      </c>
      <c r="C156" s="4">
        <v>0</v>
      </c>
    </row>
    <row r="157" spans="1:3" x14ac:dyDescent="0.25">
      <c r="A157" s="108" t="s">
        <v>292</v>
      </c>
      <c r="B157" s="4">
        <v>67</v>
      </c>
      <c r="C157" s="4">
        <v>58606</v>
      </c>
    </row>
    <row r="158" spans="1:3" x14ac:dyDescent="0.25">
      <c r="A158" s="108" t="s">
        <v>102</v>
      </c>
      <c r="B158" s="4">
        <v>13</v>
      </c>
      <c r="C158" s="4">
        <v>3127</v>
      </c>
    </row>
    <row r="159" spans="1:3" x14ac:dyDescent="0.25">
      <c r="A159" s="108" t="s">
        <v>112</v>
      </c>
      <c r="B159" s="4">
        <v>174</v>
      </c>
      <c r="C159" s="4">
        <v>53256</v>
      </c>
    </row>
    <row r="160" spans="1:3" x14ac:dyDescent="0.25">
      <c r="A160" s="2" t="s">
        <v>546</v>
      </c>
      <c r="B160" s="4">
        <v>355</v>
      </c>
      <c r="C160" s="4">
        <v>158445</v>
      </c>
    </row>
    <row r="161" spans="1:3" x14ac:dyDescent="0.25">
      <c r="A161" s="3" t="s">
        <v>480</v>
      </c>
      <c r="B161" s="4">
        <v>355</v>
      </c>
      <c r="C161" s="4">
        <v>158445</v>
      </c>
    </row>
    <row r="162" spans="1:3" x14ac:dyDescent="0.25">
      <c r="A162" s="108" t="s">
        <v>481</v>
      </c>
      <c r="B162" s="4">
        <v>355</v>
      </c>
      <c r="C162" s="4">
        <v>158445</v>
      </c>
    </row>
    <row r="163" spans="1:3" x14ac:dyDescent="0.25">
      <c r="A163" s="2" t="s">
        <v>3614</v>
      </c>
      <c r="B163" s="4">
        <v>40</v>
      </c>
      <c r="C163" s="4">
        <v>20000</v>
      </c>
    </row>
    <row r="164" spans="1:3" x14ac:dyDescent="0.25">
      <c r="A164" s="3" t="s">
        <v>58</v>
      </c>
      <c r="B164" s="4">
        <v>40</v>
      </c>
      <c r="C164" s="4">
        <v>20000</v>
      </c>
    </row>
    <row r="165" spans="1:3" x14ac:dyDescent="0.25">
      <c r="A165" s="108" t="s">
        <v>59</v>
      </c>
      <c r="B165" s="4">
        <v>40</v>
      </c>
      <c r="C165" s="4">
        <v>20000</v>
      </c>
    </row>
    <row r="166" spans="1:3" x14ac:dyDescent="0.25">
      <c r="A166" s="2" t="s">
        <v>587</v>
      </c>
      <c r="B166" s="4">
        <v>122</v>
      </c>
      <c r="C166" s="4">
        <v>12689</v>
      </c>
    </row>
    <row r="167" spans="1:3" x14ac:dyDescent="0.25">
      <c r="A167" s="3" t="s">
        <v>58</v>
      </c>
      <c r="B167" s="4">
        <v>57</v>
      </c>
      <c r="C167" s="4">
        <v>0</v>
      </c>
    </row>
    <row r="168" spans="1:3" x14ac:dyDescent="0.25">
      <c r="A168" s="108" t="s">
        <v>146</v>
      </c>
      <c r="B168" s="4">
        <v>45</v>
      </c>
      <c r="C168" s="4">
        <v>0</v>
      </c>
    </row>
    <row r="169" spans="1:3" x14ac:dyDescent="0.25">
      <c r="A169" s="108" t="s">
        <v>59</v>
      </c>
      <c r="B169" s="4">
        <v>12</v>
      </c>
      <c r="C169" s="4">
        <v>0</v>
      </c>
    </row>
    <row r="170" spans="1:3" x14ac:dyDescent="0.25">
      <c r="A170" s="3" t="s">
        <v>71</v>
      </c>
      <c r="B170" s="4">
        <v>65</v>
      </c>
      <c r="C170" s="4">
        <v>12689</v>
      </c>
    </row>
    <row r="171" spans="1:3" x14ac:dyDescent="0.25">
      <c r="A171" s="108" t="s">
        <v>167</v>
      </c>
      <c r="B171" s="4">
        <v>6</v>
      </c>
      <c r="C171" s="4">
        <v>600</v>
      </c>
    </row>
    <row r="172" spans="1:3" x14ac:dyDescent="0.25">
      <c r="A172" s="108" t="s">
        <v>292</v>
      </c>
      <c r="B172" s="4">
        <v>14</v>
      </c>
      <c r="C172" s="4">
        <v>7000</v>
      </c>
    </row>
    <row r="173" spans="1:3" x14ac:dyDescent="0.25">
      <c r="A173" s="108" t="s">
        <v>102</v>
      </c>
      <c r="B173" s="4">
        <v>39</v>
      </c>
      <c r="C173" s="4">
        <v>4014</v>
      </c>
    </row>
    <row r="174" spans="1:3" x14ac:dyDescent="0.25">
      <c r="A174" s="108" t="s">
        <v>112</v>
      </c>
      <c r="B174" s="4">
        <v>6</v>
      </c>
      <c r="C174" s="4">
        <v>1075</v>
      </c>
    </row>
    <row r="175" spans="1:3" x14ac:dyDescent="0.25">
      <c r="A175" s="2" t="s">
        <v>2186</v>
      </c>
      <c r="B175" s="4">
        <v>456.44172993816039</v>
      </c>
      <c r="C175" s="4">
        <v>204774</v>
      </c>
    </row>
    <row r="176" spans="1:3" x14ac:dyDescent="0.25">
      <c r="A176" s="3" t="s">
        <v>58</v>
      </c>
      <c r="B176" s="4">
        <v>267.9069956092614</v>
      </c>
      <c r="C176" s="4">
        <v>157291</v>
      </c>
    </row>
    <row r="177" spans="1:3" x14ac:dyDescent="0.25">
      <c r="A177" s="108" t="s">
        <v>881</v>
      </c>
      <c r="B177" s="4">
        <v>181.56002717623463</v>
      </c>
      <c r="C177" s="4">
        <v>66240</v>
      </c>
    </row>
    <row r="178" spans="1:3" x14ac:dyDescent="0.25">
      <c r="A178" s="108" t="s">
        <v>146</v>
      </c>
      <c r="B178" s="4">
        <v>60.489999999999988</v>
      </c>
      <c r="C178" s="4">
        <v>66277</v>
      </c>
    </row>
    <row r="179" spans="1:3" x14ac:dyDescent="0.25">
      <c r="A179" s="108" t="s">
        <v>163</v>
      </c>
      <c r="B179" s="4">
        <v>13.632631246715798</v>
      </c>
      <c r="C179" s="4">
        <v>13315</v>
      </c>
    </row>
    <row r="180" spans="1:3" x14ac:dyDescent="0.25">
      <c r="A180" s="108" t="s">
        <v>396</v>
      </c>
      <c r="B180" s="4">
        <v>12.024337186311032</v>
      </c>
      <c r="C180" s="4">
        <v>11376</v>
      </c>
    </row>
    <row r="181" spans="1:3" x14ac:dyDescent="0.25">
      <c r="A181" s="108" t="s">
        <v>59</v>
      </c>
      <c r="B181" s="4">
        <v>0.2</v>
      </c>
      <c r="C181" s="4">
        <v>83</v>
      </c>
    </row>
    <row r="182" spans="1:3" x14ac:dyDescent="0.25">
      <c r="A182" s="3" t="s">
        <v>71</v>
      </c>
      <c r="B182" s="4">
        <v>188.53473432889902</v>
      </c>
      <c r="C182" s="4">
        <v>47483</v>
      </c>
    </row>
    <row r="183" spans="1:3" x14ac:dyDescent="0.25">
      <c r="A183" s="108" t="s">
        <v>167</v>
      </c>
      <c r="B183" s="4">
        <v>6</v>
      </c>
      <c r="C183" s="4">
        <v>4570</v>
      </c>
    </row>
    <row r="184" spans="1:3" x14ac:dyDescent="0.25">
      <c r="A184" s="108" t="s">
        <v>292</v>
      </c>
      <c r="B184" s="4">
        <v>30.759999999999998</v>
      </c>
      <c r="C184" s="4">
        <v>4404</v>
      </c>
    </row>
    <row r="185" spans="1:3" x14ac:dyDescent="0.25">
      <c r="A185" s="108" t="s">
        <v>102</v>
      </c>
      <c r="B185" s="4">
        <v>40.291826246182517</v>
      </c>
      <c r="C185" s="4">
        <v>3966</v>
      </c>
    </row>
    <row r="186" spans="1:3" x14ac:dyDescent="0.25">
      <c r="A186" s="108" t="s">
        <v>112</v>
      </c>
      <c r="B186" s="4">
        <v>53.770736257052647</v>
      </c>
      <c r="C186" s="4">
        <v>30283</v>
      </c>
    </row>
    <row r="187" spans="1:3" x14ac:dyDescent="0.25">
      <c r="A187" s="108" t="s">
        <v>2702</v>
      </c>
      <c r="B187" s="4">
        <v>57.712171825663859</v>
      </c>
      <c r="C187" s="4">
        <v>4260</v>
      </c>
    </row>
    <row r="188" spans="1:3" x14ac:dyDescent="0.25">
      <c r="A188" s="2" t="s">
        <v>3132</v>
      </c>
      <c r="B188" s="4">
        <v>8736.1492782561527</v>
      </c>
      <c r="C188" s="4">
        <v>5344361.2014401434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C7A5-1041-4E8C-83D4-E1D1FA3CD79E}">
  <dimension ref="B1:L48"/>
  <sheetViews>
    <sheetView showGridLines="0" zoomScale="69" workbookViewId="0">
      <selection activeCell="I14" sqref="I14"/>
    </sheetView>
  </sheetViews>
  <sheetFormatPr defaultColWidth="14" defaultRowHeight="15" x14ac:dyDescent="0.25"/>
  <cols>
    <col min="1" max="1" width="4.28515625" style="109" customWidth="1"/>
    <col min="2" max="16384" width="14" style="109"/>
  </cols>
  <sheetData>
    <row r="1" spans="2:12" ht="15.75" thickBot="1" x14ac:dyDescent="0.3"/>
    <row r="2" spans="2:12" ht="32.25" thickBot="1" x14ac:dyDescent="0.3">
      <c r="B2" s="114" t="s">
        <v>3743</v>
      </c>
      <c r="C2" s="114" t="s">
        <v>3744</v>
      </c>
      <c r="D2" s="114" t="s">
        <v>3745</v>
      </c>
      <c r="E2" s="114" t="s">
        <v>3746</v>
      </c>
      <c r="F2" s="114" t="s">
        <v>3127</v>
      </c>
      <c r="G2" s="114" t="s">
        <v>3129</v>
      </c>
      <c r="H2" s="114" t="s">
        <v>3128</v>
      </c>
      <c r="I2" s="114" t="s">
        <v>3293</v>
      </c>
      <c r="J2" s="114" t="s">
        <v>290</v>
      </c>
      <c r="K2" s="138" t="s">
        <v>3130</v>
      </c>
      <c r="L2" s="145" t="s">
        <v>3759</v>
      </c>
    </row>
    <row r="3" spans="2:12" ht="17.25" thickTop="1" thickBot="1" x14ac:dyDescent="0.3">
      <c r="B3" s="110" t="s">
        <v>81</v>
      </c>
      <c r="C3" s="115"/>
      <c r="D3" s="115"/>
      <c r="E3" s="116">
        <v>349</v>
      </c>
      <c r="F3" s="115"/>
      <c r="G3" s="116">
        <v>186</v>
      </c>
      <c r="H3" s="116">
        <v>163</v>
      </c>
      <c r="I3" s="115"/>
      <c r="J3" s="115"/>
      <c r="K3" s="139"/>
      <c r="L3" s="122">
        <f>SUM(F3:K3)</f>
        <v>349</v>
      </c>
    </row>
    <row r="4" spans="2:12" ht="17.25" thickTop="1" thickBot="1" x14ac:dyDescent="0.3">
      <c r="B4" s="111" t="s">
        <v>3747</v>
      </c>
      <c r="C4" s="117"/>
      <c r="D4" s="117"/>
      <c r="E4" s="118">
        <v>12</v>
      </c>
      <c r="F4" s="118">
        <v>6</v>
      </c>
      <c r="G4" s="118">
        <v>6</v>
      </c>
      <c r="H4" s="117"/>
      <c r="I4" s="117"/>
      <c r="J4" s="117"/>
      <c r="K4" s="140"/>
      <c r="L4" s="122">
        <f t="shared" ref="L4:L24" si="0">SUM(F4:K4)</f>
        <v>12</v>
      </c>
    </row>
    <row r="5" spans="2:12" ht="17.25" thickTop="1" thickBot="1" x14ac:dyDescent="0.3">
      <c r="B5" s="112" t="s">
        <v>3748</v>
      </c>
      <c r="C5" s="119"/>
      <c r="D5" s="119"/>
      <c r="E5" s="120">
        <v>113</v>
      </c>
      <c r="F5" s="119"/>
      <c r="G5" s="120">
        <v>113</v>
      </c>
      <c r="H5" s="119"/>
      <c r="I5" s="119"/>
      <c r="J5" s="119"/>
      <c r="K5" s="141"/>
      <c r="L5" s="122">
        <f t="shared" si="0"/>
        <v>113</v>
      </c>
    </row>
    <row r="6" spans="2:12" ht="17.25" thickTop="1" thickBot="1" x14ac:dyDescent="0.3">
      <c r="B6" s="111" t="s">
        <v>3749</v>
      </c>
      <c r="C6" s="117"/>
      <c r="D6" s="117"/>
      <c r="E6" s="118">
        <v>21</v>
      </c>
      <c r="F6" s="117"/>
      <c r="G6" s="117"/>
      <c r="H6" s="118">
        <v>21</v>
      </c>
      <c r="I6" s="117"/>
      <c r="J6" s="117"/>
      <c r="K6" s="140"/>
      <c r="L6" s="122">
        <f t="shared" si="0"/>
        <v>21</v>
      </c>
    </row>
    <row r="7" spans="2:12" ht="17.25" thickTop="1" thickBot="1" x14ac:dyDescent="0.3">
      <c r="B7" s="112" t="s">
        <v>1352</v>
      </c>
      <c r="C7" s="119"/>
      <c r="D7" s="119"/>
      <c r="E7" s="120">
        <v>231</v>
      </c>
      <c r="F7" s="120">
        <v>197</v>
      </c>
      <c r="G7" s="120">
        <v>34</v>
      </c>
      <c r="H7" s="119"/>
      <c r="I7" s="119"/>
      <c r="J7" s="119"/>
      <c r="K7" s="141"/>
      <c r="L7" s="122">
        <f t="shared" si="0"/>
        <v>231</v>
      </c>
    </row>
    <row r="8" spans="2:12" ht="17.25" thickTop="1" thickBot="1" x14ac:dyDescent="0.3">
      <c r="B8" s="111" t="s">
        <v>288</v>
      </c>
      <c r="C8" s="117"/>
      <c r="D8" s="117"/>
      <c r="E8" s="118">
        <v>15</v>
      </c>
      <c r="F8" s="118">
        <v>15</v>
      </c>
      <c r="G8" s="117"/>
      <c r="H8" s="117"/>
      <c r="I8" s="117"/>
      <c r="J8" s="117"/>
      <c r="K8" s="140"/>
      <c r="L8" s="122">
        <f t="shared" si="0"/>
        <v>15</v>
      </c>
    </row>
    <row r="9" spans="2:12" ht="17.25" thickTop="1" thickBot="1" x14ac:dyDescent="0.3">
      <c r="B9" s="112" t="s">
        <v>661</v>
      </c>
      <c r="C9" s="119"/>
      <c r="D9" s="119"/>
      <c r="E9" s="120">
        <v>745</v>
      </c>
      <c r="F9" s="120">
        <v>641</v>
      </c>
      <c r="G9" s="119"/>
      <c r="H9" s="120">
        <v>104</v>
      </c>
      <c r="I9" s="119"/>
      <c r="J9" s="119"/>
      <c r="K9" s="141"/>
      <c r="L9" s="122">
        <f t="shared" si="0"/>
        <v>745</v>
      </c>
    </row>
    <row r="10" spans="2:12" ht="17.25" thickTop="1" thickBot="1" x14ac:dyDescent="0.3">
      <c r="B10" s="111" t="s">
        <v>3750</v>
      </c>
      <c r="C10" s="117"/>
      <c r="D10" s="117"/>
      <c r="E10" s="118">
        <v>33</v>
      </c>
      <c r="F10" s="118">
        <v>19</v>
      </c>
      <c r="G10" s="117"/>
      <c r="H10" s="118">
        <v>14</v>
      </c>
      <c r="I10" s="117"/>
      <c r="J10" s="117"/>
      <c r="K10" s="140"/>
      <c r="L10" s="122">
        <f t="shared" si="0"/>
        <v>33</v>
      </c>
    </row>
    <row r="11" spans="2:12" ht="17.25" thickTop="1" thickBot="1" x14ac:dyDescent="0.3">
      <c r="B11" s="112" t="s">
        <v>3627</v>
      </c>
      <c r="C11" s="119"/>
      <c r="D11" s="119"/>
      <c r="E11" s="120">
        <v>16</v>
      </c>
      <c r="F11" s="120">
        <v>11</v>
      </c>
      <c r="G11" s="119"/>
      <c r="H11" s="119"/>
      <c r="I11" s="120">
        <v>5</v>
      </c>
      <c r="J11" s="119"/>
      <c r="K11" s="141"/>
      <c r="L11" s="122">
        <f t="shared" si="0"/>
        <v>16</v>
      </c>
    </row>
    <row r="12" spans="2:12" ht="17.25" thickTop="1" thickBot="1" x14ac:dyDescent="0.3">
      <c r="B12" s="111" t="s">
        <v>813</v>
      </c>
      <c r="C12" s="117"/>
      <c r="D12" s="117"/>
      <c r="E12" s="118">
        <v>78</v>
      </c>
      <c r="F12" s="118">
        <v>61</v>
      </c>
      <c r="G12" s="117"/>
      <c r="H12" s="118">
        <v>17</v>
      </c>
      <c r="I12" s="117"/>
      <c r="J12" s="117"/>
      <c r="K12" s="140"/>
      <c r="L12" s="122">
        <f t="shared" si="0"/>
        <v>78</v>
      </c>
    </row>
    <row r="13" spans="2:12" ht="17.25" thickTop="1" thickBot="1" x14ac:dyDescent="0.3">
      <c r="B13" s="112" t="s">
        <v>1056</v>
      </c>
      <c r="C13" s="119"/>
      <c r="D13" s="119"/>
      <c r="E13" s="120">
        <v>849</v>
      </c>
      <c r="F13" s="120">
        <v>583</v>
      </c>
      <c r="G13" s="120">
        <v>266</v>
      </c>
      <c r="H13" s="119"/>
      <c r="I13" s="119"/>
      <c r="J13" s="119"/>
      <c r="K13" s="141"/>
      <c r="L13" s="122">
        <f t="shared" si="0"/>
        <v>849</v>
      </c>
    </row>
    <row r="14" spans="2:12" ht="17.25" thickTop="1" thickBot="1" x14ac:dyDescent="0.3">
      <c r="B14" s="111" t="s">
        <v>410</v>
      </c>
      <c r="C14" s="117"/>
      <c r="D14" s="117"/>
      <c r="E14" s="118">
        <v>353</v>
      </c>
      <c r="F14" s="117"/>
      <c r="G14" s="118">
        <v>144</v>
      </c>
      <c r="H14" s="118">
        <v>209</v>
      </c>
      <c r="I14" s="117"/>
      <c r="J14" s="117"/>
      <c r="K14" s="140"/>
      <c r="L14" s="122">
        <f t="shared" si="0"/>
        <v>353</v>
      </c>
    </row>
    <row r="15" spans="2:12" ht="17.25" thickTop="1" thickBot="1" x14ac:dyDescent="0.3">
      <c r="B15" s="112" t="s">
        <v>3751</v>
      </c>
      <c r="C15" s="119"/>
      <c r="D15" s="119"/>
      <c r="E15" s="120">
        <v>119</v>
      </c>
      <c r="F15" s="120">
        <v>33</v>
      </c>
      <c r="G15" s="120">
        <v>86</v>
      </c>
      <c r="H15" s="119"/>
      <c r="I15" s="119"/>
      <c r="J15" s="119"/>
      <c r="K15" s="141"/>
      <c r="L15" s="122">
        <f t="shared" si="0"/>
        <v>119</v>
      </c>
    </row>
    <row r="16" spans="2:12" ht="17.25" thickTop="1" thickBot="1" x14ac:dyDescent="0.3">
      <c r="B16" s="111" t="s">
        <v>894</v>
      </c>
      <c r="C16" s="117"/>
      <c r="D16" s="117"/>
      <c r="E16" s="118">
        <v>130</v>
      </c>
      <c r="F16" s="118">
        <v>69</v>
      </c>
      <c r="G16" s="117"/>
      <c r="H16" s="118">
        <v>61</v>
      </c>
      <c r="I16" s="117"/>
      <c r="J16" s="117"/>
      <c r="K16" s="140"/>
      <c r="L16" s="122">
        <f t="shared" si="0"/>
        <v>130</v>
      </c>
    </row>
    <row r="17" spans="2:12" ht="33" thickTop="1" thickBot="1" x14ac:dyDescent="0.3">
      <c r="B17" s="112" t="s">
        <v>3752</v>
      </c>
      <c r="C17" s="119"/>
      <c r="D17" s="119"/>
      <c r="E17" s="120">
        <v>535</v>
      </c>
      <c r="F17" s="120">
        <v>489</v>
      </c>
      <c r="G17" s="120">
        <v>47</v>
      </c>
      <c r="H17" s="119"/>
      <c r="I17" s="119"/>
      <c r="J17" s="119"/>
      <c r="K17" s="141"/>
      <c r="L17" s="122">
        <f t="shared" si="0"/>
        <v>536</v>
      </c>
    </row>
    <row r="18" spans="2:12" ht="17.25" thickTop="1" thickBot="1" x14ac:dyDescent="0.3">
      <c r="B18" s="111" t="s">
        <v>473</v>
      </c>
      <c r="C18" s="117"/>
      <c r="D18" s="117"/>
      <c r="E18" s="118">
        <v>150</v>
      </c>
      <c r="F18" s="118">
        <v>50</v>
      </c>
      <c r="G18" s="117"/>
      <c r="H18" s="118">
        <v>77</v>
      </c>
      <c r="I18" s="117"/>
      <c r="J18" s="117"/>
      <c r="K18" s="142">
        <v>23</v>
      </c>
      <c r="L18" s="122">
        <f t="shared" si="0"/>
        <v>150</v>
      </c>
    </row>
    <row r="19" spans="2:12" ht="17.25" thickTop="1" thickBot="1" x14ac:dyDescent="0.3">
      <c r="B19" s="112" t="s">
        <v>1002</v>
      </c>
      <c r="C19" s="119"/>
      <c r="D19" s="119"/>
      <c r="E19" s="120">
        <v>711</v>
      </c>
      <c r="F19" s="120">
        <v>130</v>
      </c>
      <c r="G19" s="120">
        <v>561</v>
      </c>
      <c r="H19" s="119"/>
      <c r="I19" s="119"/>
      <c r="J19" s="119"/>
      <c r="K19" s="143">
        <v>20</v>
      </c>
      <c r="L19" s="122">
        <f t="shared" si="0"/>
        <v>711</v>
      </c>
    </row>
    <row r="20" spans="2:12" ht="17.25" thickTop="1" thickBot="1" x14ac:dyDescent="0.3">
      <c r="B20" s="111" t="s">
        <v>3753</v>
      </c>
      <c r="C20" s="117"/>
      <c r="D20" s="117"/>
      <c r="E20" s="118">
        <v>7</v>
      </c>
      <c r="F20" s="118">
        <v>5</v>
      </c>
      <c r="G20" s="117"/>
      <c r="H20" s="117"/>
      <c r="I20" s="118">
        <v>2</v>
      </c>
      <c r="J20" s="117"/>
      <c r="K20" s="140"/>
      <c r="L20" s="122">
        <f t="shared" si="0"/>
        <v>7</v>
      </c>
    </row>
    <row r="21" spans="2:12" ht="17.25" thickTop="1" thickBot="1" x14ac:dyDescent="0.3">
      <c r="B21" s="112" t="s">
        <v>3614</v>
      </c>
      <c r="C21" s="119"/>
      <c r="D21" s="119"/>
      <c r="E21" s="120">
        <v>40</v>
      </c>
      <c r="F21" s="119"/>
      <c r="G21" s="119"/>
      <c r="H21" s="119"/>
      <c r="I21" s="120">
        <v>40</v>
      </c>
      <c r="J21" s="119"/>
      <c r="K21" s="141"/>
      <c r="L21" s="122">
        <f t="shared" si="0"/>
        <v>40</v>
      </c>
    </row>
    <row r="22" spans="2:12" ht="17.25" thickTop="1" thickBot="1" x14ac:dyDescent="0.3">
      <c r="B22" s="111" t="s">
        <v>587</v>
      </c>
      <c r="C22" s="117"/>
      <c r="D22" s="117"/>
      <c r="E22" s="118">
        <v>57</v>
      </c>
      <c r="F22" s="118">
        <v>23</v>
      </c>
      <c r="G22" s="118">
        <v>34</v>
      </c>
      <c r="H22" s="117"/>
      <c r="I22" s="117"/>
      <c r="J22" s="117"/>
      <c r="K22" s="140"/>
      <c r="L22" s="122">
        <f t="shared" si="0"/>
        <v>57</v>
      </c>
    </row>
    <row r="23" spans="2:12" ht="17.25" thickTop="1" thickBot="1" x14ac:dyDescent="0.3">
      <c r="B23" s="112" t="s">
        <v>2186</v>
      </c>
      <c r="C23" s="119"/>
      <c r="D23" s="119"/>
      <c r="E23" s="120">
        <v>268</v>
      </c>
      <c r="F23" s="120">
        <v>73</v>
      </c>
      <c r="G23" s="120">
        <v>195</v>
      </c>
      <c r="H23" s="119"/>
      <c r="I23" s="119"/>
      <c r="J23" s="119"/>
      <c r="K23" s="141"/>
      <c r="L23" s="122">
        <f t="shared" si="0"/>
        <v>268</v>
      </c>
    </row>
    <row r="24" spans="2:12" ht="17.25" thickTop="1" thickBot="1" x14ac:dyDescent="0.3">
      <c r="B24" s="113" t="s">
        <v>3754</v>
      </c>
      <c r="C24" s="121"/>
      <c r="D24" s="121"/>
      <c r="E24" s="146">
        <f>SUM(E3:E23)</f>
        <v>4832</v>
      </c>
      <c r="F24" s="122">
        <f t="shared" ref="F24:K24" si="1">SUM(F3:F23)</f>
        <v>2405</v>
      </c>
      <c r="G24" s="122">
        <f t="shared" si="1"/>
        <v>1672</v>
      </c>
      <c r="H24" s="122">
        <f t="shared" si="1"/>
        <v>666</v>
      </c>
      <c r="I24" s="122">
        <f t="shared" si="1"/>
        <v>47</v>
      </c>
      <c r="J24" s="122">
        <f t="shared" si="1"/>
        <v>0</v>
      </c>
      <c r="K24" s="144">
        <f t="shared" si="1"/>
        <v>43</v>
      </c>
      <c r="L24" s="146">
        <f t="shared" si="0"/>
        <v>4833</v>
      </c>
    </row>
    <row r="25" spans="2:12" ht="15.75" thickBot="1" x14ac:dyDescent="0.3"/>
    <row r="26" spans="2:12" ht="48" thickBot="1" x14ac:dyDescent="0.3">
      <c r="B26" s="126" t="s">
        <v>3743</v>
      </c>
      <c r="C26" s="126" t="s">
        <v>3755</v>
      </c>
      <c r="D26" s="126" t="s">
        <v>3756</v>
      </c>
      <c r="E26" s="126" t="s">
        <v>881</v>
      </c>
      <c r="F26" s="126" t="s">
        <v>3757</v>
      </c>
      <c r="G26" s="126" t="s">
        <v>59</v>
      </c>
      <c r="H26" s="126" t="s">
        <v>3759</v>
      </c>
    </row>
    <row r="27" spans="2:12" ht="17.25" thickTop="1" thickBot="1" x14ac:dyDescent="0.3">
      <c r="B27" s="123" t="s">
        <v>81</v>
      </c>
      <c r="C27" s="127">
        <v>349</v>
      </c>
      <c r="D27" s="128"/>
      <c r="E27" s="128"/>
      <c r="F27" s="129"/>
      <c r="G27" s="128"/>
      <c r="H27" s="126">
        <f>SUM(C27:G27)</f>
        <v>349</v>
      </c>
    </row>
    <row r="28" spans="2:12" ht="16.5" thickBot="1" x14ac:dyDescent="0.3">
      <c r="B28" s="124" t="s">
        <v>3747</v>
      </c>
      <c r="C28" s="130">
        <v>6</v>
      </c>
      <c r="D28" s="130">
        <v>6</v>
      </c>
      <c r="E28" s="131"/>
      <c r="F28" s="132"/>
      <c r="G28" s="131"/>
      <c r="H28" s="126">
        <f t="shared" ref="H28:H47" si="2">SUM(C28:G28)</f>
        <v>12</v>
      </c>
    </row>
    <row r="29" spans="2:12" ht="16.5" thickBot="1" x14ac:dyDescent="0.3">
      <c r="B29" s="125" t="s">
        <v>3748</v>
      </c>
      <c r="C29" s="133">
        <v>113</v>
      </c>
      <c r="D29" s="134"/>
      <c r="E29" s="134"/>
      <c r="F29" s="135"/>
      <c r="G29" s="134"/>
      <c r="H29" s="126">
        <f t="shared" si="2"/>
        <v>113</v>
      </c>
    </row>
    <row r="30" spans="2:12" ht="16.5" thickBot="1" x14ac:dyDescent="0.3">
      <c r="B30" s="124" t="s">
        <v>3749</v>
      </c>
      <c r="C30" s="131"/>
      <c r="D30" s="130">
        <v>21</v>
      </c>
      <c r="E30" s="131"/>
      <c r="F30" s="132"/>
      <c r="G30" s="131"/>
      <c r="H30" s="126">
        <f t="shared" si="2"/>
        <v>21</v>
      </c>
    </row>
    <row r="31" spans="2:12" ht="16.5" thickBot="1" x14ac:dyDescent="0.3">
      <c r="B31" s="125" t="s">
        <v>1352</v>
      </c>
      <c r="C31" s="133">
        <v>62</v>
      </c>
      <c r="D31" s="133">
        <v>8</v>
      </c>
      <c r="E31" s="133">
        <v>33</v>
      </c>
      <c r="F31" s="136">
        <v>115</v>
      </c>
      <c r="G31" s="133">
        <v>13</v>
      </c>
      <c r="H31" s="126">
        <f t="shared" si="2"/>
        <v>231</v>
      </c>
    </row>
    <row r="32" spans="2:12" ht="16.5" thickBot="1" x14ac:dyDescent="0.3">
      <c r="B32" s="124" t="s">
        <v>288</v>
      </c>
      <c r="C32" s="131"/>
      <c r="D32" s="130">
        <v>15</v>
      </c>
      <c r="E32" s="131"/>
      <c r="F32" s="132"/>
      <c r="G32" s="131"/>
      <c r="H32" s="126">
        <f t="shared" si="2"/>
        <v>15</v>
      </c>
    </row>
    <row r="33" spans="2:8" ht="16.5" thickBot="1" x14ac:dyDescent="0.3">
      <c r="B33" s="125" t="s">
        <v>661</v>
      </c>
      <c r="C33" s="133">
        <v>628</v>
      </c>
      <c r="D33" s="133">
        <v>13</v>
      </c>
      <c r="E33" s="134"/>
      <c r="F33" s="136">
        <v>96</v>
      </c>
      <c r="G33" s="133">
        <v>8</v>
      </c>
      <c r="H33" s="126">
        <f t="shared" si="2"/>
        <v>745</v>
      </c>
    </row>
    <row r="34" spans="2:8" ht="16.5" thickBot="1" x14ac:dyDescent="0.3">
      <c r="B34" s="124" t="s">
        <v>3750</v>
      </c>
      <c r="C34" s="130">
        <v>29</v>
      </c>
      <c r="D34" s="131"/>
      <c r="E34" s="131"/>
      <c r="F34" s="137">
        <v>4</v>
      </c>
      <c r="G34" s="131"/>
      <c r="H34" s="126">
        <f t="shared" si="2"/>
        <v>33</v>
      </c>
    </row>
    <row r="35" spans="2:8" ht="16.5" thickBot="1" x14ac:dyDescent="0.3">
      <c r="B35" s="125" t="s">
        <v>3627</v>
      </c>
      <c r="C35" s="134"/>
      <c r="D35" s="134"/>
      <c r="E35" s="134"/>
      <c r="F35" s="135"/>
      <c r="G35" s="133">
        <v>16</v>
      </c>
      <c r="H35" s="126">
        <f t="shared" si="2"/>
        <v>16</v>
      </c>
    </row>
    <row r="36" spans="2:8" ht="16.5" thickBot="1" x14ac:dyDescent="0.3">
      <c r="B36" s="124" t="s">
        <v>813</v>
      </c>
      <c r="C36" s="130">
        <v>78</v>
      </c>
      <c r="D36" s="131"/>
      <c r="E36" s="131"/>
      <c r="F36" s="132"/>
      <c r="G36" s="131"/>
      <c r="H36" s="126">
        <f t="shared" si="2"/>
        <v>78</v>
      </c>
    </row>
    <row r="37" spans="2:8" ht="16.5" thickBot="1" x14ac:dyDescent="0.3">
      <c r="B37" s="125" t="s">
        <v>1056</v>
      </c>
      <c r="C37" s="133">
        <v>67</v>
      </c>
      <c r="D37" s="133">
        <v>414</v>
      </c>
      <c r="E37" s="133">
        <v>210</v>
      </c>
      <c r="F37" s="136">
        <v>134</v>
      </c>
      <c r="G37" s="133">
        <v>24</v>
      </c>
      <c r="H37" s="126">
        <f t="shared" si="2"/>
        <v>849</v>
      </c>
    </row>
    <row r="38" spans="2:8" ht="16.5" thickBot="1" x14ac:dyDescent="0.3">
      <c r="B38" s="124" t="s">
        <v>410</v>
      </c>
      <c r="C38" s="130">
        <v>353</v>
      </c>
      <c r="D38" s="131"/>
      <c r="E38" s="131"/>
      <c r="F38" s="132"/>
      <c r="G38" s="131"/>
      <c r="H38" s="126">
        <f t="shared" si="2"/>
        <v>353</v>
      </c>
    </row>
    <row r="39" spans="2:8" ht="16.5" thickBot="1" x14ac:dyDescent="0.3">
      <c r="B39" s="125" t="s">
        <v>3751</v>
      </c>
      <c r="C39" s="133">
        <v>119</v>
      </c>
      <c r="D39" s="134"/>
      <c r="E39" s="134"/>
      <c r="F39" s="135"/>
      <c r="G39" s="134"/>
      <c r="H39" s="126">
        <f t="shared" si="2"/>
        <v>119</v>
      </c>
    </row>
    <row r="40" spans="2:8" ht="16.5" thickBot="1" x14ac:dyDescent="0.3">
      <c r="B40" s="124" t="s">
        <v>894</v>
      </c>
      <c r="C40" s="130">
        <v>85</v>
      </c>
      <c r="D40" s="130">
        <v>4</v>
      </c>
      <c r="E40" s="130">
        <v>6</v>
      </c>
      <c r="F40" s="137">
        <v>18</v>
      </c>
      <c r="G40" s="130">
        <v>16</v>
      </c>
      <c r="H40" s="126">
        <f t="shared" si="2"/>
        <v>129</v>
      </c>
    </row>
    <row r="41" spans="2:8" ht="32.25" thickBot="1" x14ac:dyDescent="0.3">
      <c r="B41" s="125" t="s">
        <v>3752</v>
      </c>
      <c r="C41" s="133">
        <v>124</v>
      </c>
      <c r="D41" s="133">
        <v>102</v>
      </c>
      <c r="E41" s="133">
        <v>8</v>
      </c>
      <c r="F41" s="136">
        <v>243</v>
      </c>
      <c r="G41" s="133">
        <v>58</v>
      </c>
      <c r="H41" s="126">
        <f t="shared" si="2"/>
        <v>535</v>
      </c>
    </row>
    <row r="42" spans="2:8" ht="16.5" thickBot="1" x14ac:dyDescent="0.3">
      <c r="B42" s="124" t="s">
        <v>473</v>
      </c>
      <c r="C42" s="130">
        <v>100</v>
      </c>
      <c r="D42" s="131"/>
      <c r="E42" s="131"/>
      <c r="F42" s="132"/>
      <c r="G42" s="130">
        <v>50</v>
      </c>
      <c r="H42" s="126">
        <f t="shared" si="2"/>
        <v>150</v>
      </c>
    </row>
    <row r="43" spans="2:8" ht="16.5" thickBot="1" x14ac:dyDescent="0.3">
      <c r="B43" s="125" t="s">
        <v>1002</v>
      </c>
      <c r="C43" s="133">
        <v>581</v>
      </c>
      <c r="D43" s="133">
        <v>82</v>
      </c>
      <c r="E43" s="133">
        <v>3</v>
      </c>
      <c r="F43" s="136">
        <v>28</v>
      </c>
      <c r="G43" s="133">
        <v>17</v>
      </c>
      <c r="H43" s="126">
        <f t="shared" si="2"/>
        <v>711</v>
      </c>
    </row>
    <row r="44" spans="2:8" ht="16.5" thickBot="1" x14ac:dyDescent="0.3">
      <c r="B44" s="124" t="s">
        <v>3753</v>
      </c>
      <c r="C44" s="131"/>
      <c r="D44" s="131"/>
      <c r="E44" s="131"/>
      <c r="F44" s="132"/>
      <c r="G44" s="130">
        <v>7</v>
      </c>
      <c r="H44" s="126">
        <f t="shared" si="2"/>
        <v>7</v>
      </c>
    </row>
    <row r="45" spans="2:8" ht="16.5" thickBot="1" x14ac:dyDescent="0.3">
      <c r="B45" s="125" t="s">
        <v>3614</v>
      </c>
      <c r="C45" s="134"/>
      <c r="D45" s="134"/>
      <c r="E45" s="134"/>
      <c r="F45" s="135"/>
      <c r="G45" s="133">
        <v>40</v>
      </c>
      <c r="H45" s="126">
        <f t="shared" si="2"/>
        <v>40</v>
      </c>
    </row>
    <row r="46" spans="2:8" ht="16.5" thickBot="1" x14ac:dyDescent="0.3">
      <c r="B46" s="124" t="s">
        <v>587</v>
      </c>
      <c r="C46" s="130">
        <v>45</v>
      </c>
      <c r="D46" s="131"/>
      <c r="E46" s="131"/>
      <c r="F46" s="132"/>
      <c r="G46" s="130">
        <v>12</v>
      </c>
      <c r="H46" s="126">
        <f t="shared" si="2"/>
        <v>57</v>
      </c>
    </row>
    <row r="47" spans="2:8" ht="16.5" thickBot="1" x14ac:dyDescent="0.3">
      <c r="B47" s="125" t="s">
        <v>2186</v>
      </c>
      <c r="C47" s="133">
        <v>60</v>
      </c>
      <c r="D47" s="133">
        <v>14</v>
      </c>
      <c r="E47" s="133">
        <v>182</v>
      </c>
      <c r="F47" s="136">
        <v>12</v>
      </c>
      <c r="G47" s="134"/>
      <c r="H47" s="126">
        <f t="shared" si="2"/>
        <v>268</v>
      </c>
    </row>
    <row r="48" spans="2:8" ht="17.25" thickTop="1" thickBot="1" x14ac:dyDescent="0.3">
      <c r="B48" s="147" t="s">
        <v>3758</v>
      </c>
      <c r="C48" s="147">
        <f>SUM(C27:C47)</f>
        <v>2799</v>
      </c>
      <c r="D48" s="147">
        <f t="shared" ref="D48:G48" si="3">SUM(D27:D47)</f>
        <v>679</v>
      </c>
      <c r="E48" s="147">
        <f t="shared" si="3"/>
        <v>442</v>
      </c>
      <c r="F48" s="147">
        <f t="shared" si="3"/>
        <v>650</v>
      </c>
      <c r="G48" s="147">
        <f t="shared" si="3"/>
        <v>261</v>
      </c>
      <c r="H48" s="148">
        <f>SUM(C48:G48)</f>
        <v>4831</v>
      </c>
    </row>
  </sheetData>
  <autoFilter ref="B2:K2" xr:uid="{9925C7A5-1041-4E8C-83D4-E1D1FA3CD79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8680-1EB4-4D6F-B86E-F908CDE803DC}">
  <dimension ref="C3:C7"/>
  <sheetViews>
    <sheetView workbookViewId="0">
      <selection activeCell="C2" sqref="C2:C9"/>
    </sheetView>
  </sheetViews>
  <sheetFormatPr defaultRowHeight="15" x14ac:dyDescent="0.25"/>
  <cols>
    <col min="3" max="3" width="26" customWidth="1"/>
  </cols>
  <sheetData>
    <row r="3" spans="3:3" x14ac:dyDescent="0.25">
      <c r="C3" s="77" t="s">
        <v>3280</v>
      </c>
    </row>
    <row r="4" spans="3:3" x14ac:dyDescent="0.25">
      <c r="C4" t="s">
        <v>3281</v>
      </c>
    </row>
    <row r="5" spans="3:3" x14ac:dyDescent="0.25">
      <c r="C5" t="s">
        <v>3282</v>
      </c>
    </row>
    <row r="6" spans="3:3" x14ac:dyDescent="0.25">
      <c r="C6" t="s">
        <v>3283</v>
      </c>
    </row>
    <row r="7" spans="3:3" x14ac:dyDescent="0.25">
      <c r="C7" t="s">
        <v>3284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92B-DE6A-4565-B247-BBF4F0001414}">
  <dimension ref="A1:X64"/>
  <sheetViews>
    <sheetView zoomScale="85" zoomScaleNormal="85" workbookViewId="0">
      <selection activeCell="A25" sqref="A25"/>
    </sheetView>
  </sheetViews>
  <sheetFormatPr defaultColWidth="14.85546875" defaultRowHeight="11.25" x14ac:dyDescent="0.2"/>
  <cols>
    <col min="1" max="2" width="21.28515625" style="49" customWidth="1"/>
    <col min="3" max="3" width="30.42578125" style="49" bestFit="1" customWidth="1"/>
    <col min="4" max="4" width="21.42578125" style="49" bestFit="1" customWidth="1"/>
    <col min="5" max="5" width="19.42578125" style="49" bestFit="1" customWidth="1"/>
    <col min="6" max="6" width="31.85546875" style="49" customWidth="1"/>
    <col min="7" max="7" width="25.85546875" style="49" customWidth="1"/>
    <col min="8" max="8" width="40" style="49" bestFit="1" customWidth="1"/>
    <col min="9" max="9" width="37.140625" style="49" bestFit="1" customWidth="1"/>
    <col min="10" max="10" width="30.5703125" style="49" bestFit="1" customWidth="1"/>
    <col min="11" max="11" width="46" style="49" bestFit="1" customWidth="1"/>
    <col min="12" max="12" width="86.85546875" style="49" bestFit="1" customWidth="1"/>
    <col min="13" max="13" width="33.7109375" style="49" bestFit="1" customWidth="1"/>
    <col min="14" max="14" width="37.85546875" style="49" bestFit="1" customWidth="1"/>
    <col min="15" max="15" width="32.42578125" style="49" bestFit="1" customWidth="1"/>
    <col min="16" max="16" width="29.42578125" style="49" bestFit="1" customWidth="1"/>
    <col min="17" max="17" width="25.5703125" style="49" bestFit="1" customWidth="1"/>
    <col min="18" max="18" width="25.7109375" style="49" bestFit="1" customWidth="1"/>
    <col min="19" max="19" width="29.5703125" style="49" bestFit="1" customWidth="1"/>
    <col min="20" max="20" width="23" style="49" bestFit="1" customWidth="1"/>
    <col min="21" max="21" width="25.28515625" style="49" bestFit="1" customWidth="1"/>
    <col min="22" max="22" width="29.5703125" style="49" bestFit="1" customWidth="1"/>
    <col min="23" max="23" width="24.140625" style="49" bestFit="1" customWidth="1"/>
    <col min="24" max="24" width="25.28515625" style="49" bestFit="1" customWidth="1"/>
    <col min="25" max="16384" width="14.85546875" style="49"/>
  </cols>
  <sheetData>
    <row r="1" spans="1:24" x14ac:dyDescent="0.2">
      <c r="A1" s="75" t="s">
        <v>2701</v>
      </c>
      <c r="B1" s="75" t="s">
        <v>58</v>
      </c>
      <c r="C1" s="75" t="s">
        <v>71</v>
      </c>
      <c r="D1" s="75" t="s">
        <v>480</v>
      </c>
      <c r="E1" s="75" t="s">
        <v>233</v>
      </c>
      <c r="F1" s="75" t="s">
        <v>146</v>
      </c>
      <c r="G1" s="75" t="s">
        <v>163</v>
      </c>
      <c r="H1" s="75" t="s">
        <v>881</v>
      </c>
      <c r="I1" s="75" t="s">
        <v>396</v>
      </c>
      <c r="J1" s="75" t="s">
        <v>59</v>
      </c>
      <c r="K1" s="75" t="s">
        <v>167</v>
      </c>
      <c r="L1" s="75" t="s">
        <v>292</v>
      </c>
      <c r="M1" s="75" t="s">
        <v>2702</v>
      </c>
      <c r="N1" s="75" t="s">
        <v>2703</v>
      </c>
      <c r="O1" s="75" t="s">
        <v>102</v>
      </c>
      <c r="P1" s="75" t="s">
        <v>112</v>
      </c>
      <c r="Q1" s="75" t="s">
        <v>1547</v>
      </c>
      <c r="R1" s="75" t="s">
        <v>72</v>
      </c>
      <c r="S1" s="75" t="s">
        <v>2704</v>
      </c>
      <c r="T1" s="75" t="s">
        <v>481</v>
      </c>
      <c r="U1" s="75" t="s">
        <v>807</v>
      </c>
      <c r="V1" s="75" t="s">
        <v>884</v>
      </c>
      <c r="W1" s="75" t="s">
        <v>315</v>
      </c>
      <c r="X1" s="75" t="s">
        <v>234</v>
      </c>
    </row>
    <row r="2" spans="1:24" x14ac:dyDescent="0.2">
      <c r="A2" s="50" t="s">
        <v>58</v>
      </c>
      <c r="B2" s="51" t="s">
        <v>146</v>
      </c>
      <c r="C2" s="51" t="s">
        <v>167</v>
      </c>
      <c r="D2" s="51" t="s">
        <v>2704</v>
      </c>
      <c r="E2" s="51" t="s">
        <v>884</v>
      </c>
      <c r="F2" s="50" t="s">
        <v>190</v>
      </c>
      <c r="G2" s="50" t="s">
        <v>254</v>
      </c>
      <c r="H2" s="50" t="s">
        <v>2705</v>
      </c>
      <c r="I2" s="50" t="s">
        <v>1453</v>
      </c>
      <c r="J2" s="50" t="s">
        <v>487</v>
      </c>
      <c r="K2" s="50" t="s">
        <v>644</v>
      </c>
      <c r="L2" s="50" t="s">
        <v>2435</v>
      </c>
      <c r="M2" s="50" t="s">
        <v>2706</v>
      </c>
      <c r="N2" s="50" t="s">
        <v>2707</v>
      </c>
      <c r="O2" s="50" t="s">
        <v>2708</v>
      </c>
      <c r="P2" s="50" t="s">
        <v>1244</v>
      </c>
      <c r="Q2" s="50" t="s">
        <v>1548</v>
      </c>
      <c r="R2" s="50" t="s">
        <v>2709</v>
      </c>
      <c r="S2" s="50" t="s">
        <v>2710</v>
      </c>
      <c r="T2" s="50" t="s">
        <v>2710</v>
      </c>
      <c r="U2" s="50" t="s">
        <v>2711</v>
      </c>
      <c r="V2" s="50" t="s">
        <v>885</v>
      </c>
      <c r="W2" s="50" t="s">
        <v>251</v>
      </c>
      <c r="X2" s="50" t="s">
        <v>251</v>
      </c>
    </row>
    <row r="3" spans="1:24" x14ac:dyDescent="0.2">
      <c r="A3" s="50" t="s">
        <v>71</v>
      </c>
      <c r="B3" s="51" t="s">
        <v>163</v>
      </c>
      <c r="C3" s="51" t="s">
        <v>292</v>
      </c>
      <c r="D3" s="52" t="s">
        <v>481</v>
      </c>
      <c r="E3" s="52" t="s">
        <v>315</v>
      </c>
      <c r="F3" s="50" t="s">
        <v>267</v>
      </c>
      <c r="G3" s="50" t="s">
        <v>762</v>
      </c>
      <c r="H3" s="50" t="s">
        <v>1318</v>
      </c>
      <c r="I3" s="50" t="s">
        <v>1054</v>
      </c>
      <c r="J3" s="50" t="s">
        <v>996</v>
      </c>
      <c r="K3" s="50" t="s">
        <v>2712</v>
      </c>
      <c r="L3" s="50" t="s">
        <v>2431</v>
      </c>
      <c r="M3" s="50" t="s">
        <v>2713</v>
      </c>
      <c r="N3" s="50" t="s">
        <v>2714</v>
      </c>
      <c r="O3" s="50" t="s">
        <v>611</v>
      </c>
      <c r="P3" s="50" t="s">
        <v>2715</v>
      </c>
      <c r="Q3" s="50" t="s">
        <v>1556</v>
      </c>
      <c r="R3" s="50" t="s">
        <v>2716</v>
      </c>
      <c r="S3" s="50" t="s">
        <v>2719</v>
      </c>
      <c r="T3" s="50" t="s">
        <v>2719</v>
      </c>
      <c r="U3" s="50" t="s">
        <v>2720</v>
      </c>
      <c r="V3" s="50" t="s">
        <v>2717</v>
      </c>
      <c r="W3" s="50" t="s">
        <v>2718</v>
      </c>
      <c r="X3" s="50" t="s">
        <v>2718</v>
      </c>
    </row>
    <row r="4" spans="1:24" x14ac:dyDescent="0.2">
      <c r="A4" s="50" t="s">
        <v>480</v>
      </c>
      <c r="B4" s="51" t="s">
        <v>881</v>
      </c>
      <c r="C4" s="51" t="s">
        <v>2702</v>
      </c>
      <c r="D4" s="51" t="s">
        <v>807</v>
      </c>
      <c r="E4" s="51" t="s">
        <v>234</v>
      </c>
      <c r="F4" s="50" t="s">
        <v>2721</v>
      </c>
      <c r="G4" s="50" t="s">
        <v>307</v>
      </c>
      <c r="H4" s="50" t="s">
        <v>1055</v>
      </c>
      <c r="I4" s="50" t="s">
        <v>2287</v>
      </c>
      <c r="J4" s="50" t="s">
        <v>920</v>
      </c>
      <c r="K4" s="50" t="s">
        <v>2722</v>
      </c>
      <c r="L4" s="50" t="s">
        <v>1637</v>
      </c>
      <c r="M4" s="50" t="s">
        <v>376</v>
      </c>
      <c r="N4" s="50" t="s">
        <v>2723</v>
      </c>
      <c r="O4" s="50" t="s">
        <v>205</v>
      </c>
      <c r="P4" s="50" t="s">
        <v>1202</v>
      </c>
      <c r="Q4" s="50" t="s">
        <v>1564</v>
      </c>
      <c r="R4" s="50" t="s">
        <v>73</v>
      </c>
      <c r="S4" s="50" t="s">
        <v>2727</v>
      </c>
      <c r="T4" s="50" t="s">
        <v>316</v>
      </c>
      <c r="U4" s="50" t="s">
        <v>2728</v>
      </c>
      <c r="V4" s="50" t="s">
        <v>2724</v>
      </c>
      <c r="W4" s="50" t="s">
        <v>2725</v>
      </c>
      <c r="X4" s="50" t="s">
        <v>2726</v>
      </c>
    </row>
    <row r="5" spans="1:24" x14ac:dyDescent="0.2">
      <c r="A5" s="50" t="s">
        <v>233</v>
      </c>
      <c r="B5" s="51" t="s">
        <v>396</v>
      </c>
      <c r="C5" s="51" t="s">
        <v>2703</v>
      </c>
      <c r="D5" s="51"/>
      <c r="E5" s="51"/>
      <c r="F5" s="50" t="s">
        <v>147</v>
      </c>
      <c r="G5" s="50" t="s">
        <v>1916</v>
      </c>
      <c r="H5" s="50" t="s">
        <v>882</v>
      </c>
      <c r="I5" s="50" t="s">
        <v>2729</v>
      </c>
      <c r="J5" s="50" t="s">
        <v>142</v>
      </c>
      <c r="K5" s="50" t="s">
        <v>2730</v>
      </c>
      <c r="L5" s="50" t="s">
        <v>1632</v>
      </c>
      <c r="M5" s="50" t="s">
        <v>372</v>
      </c>
      <c r="N5" s="50" t="s">
        <v>2731</v>
      </c>
      <c r="O5" s="50" t="s">
        <v>516</v>
      </c>
      <c r="P5" s="50" t="s">
        <v>361</v>
      </c>
      <c r="Q5" s="50" t="s">
        <v>1569</v>
      </c>
      <c r="R5" s="50" t="s">
        <v>2732</v>
      </c>
      <c r="S5" s="50"/>
      <c r="T5" s="50" t="s">
        <v>2736</v>
      </c>
      <c r="U5" s="50" t="s">
        <v>2737</v>
      </c>
      <c r="V5" s="50" t="s">
        <v>2733</v>
      </c>
      <c r="W5" s="50" t="s">
        <v>2734</v>
      </c>
      <c r="X5" s="50" t="s">
        <v>2735</v>
      </c>
    </row>
    <row r="6" spans="1:24" x14ac:dyDescent="0.2">
      <c r="A6" s="50"/>
      <c r="B6" s="51" t="s">
        <v>59</v>
      </c>
      <c r="C6" s="51" t="s">
        <v>102</v>
      </c>
      <c r="D6" s="51"/>
      <c r="E6" s="51"/>
      <c r="F6" s="50" t="s">
        <v>2738</v>
      </c>
      <c r="G6" s="50" t="s">
        <v>2739</v>
      </c>
      <c r="H6" s="50" t="s">
        <v>1187</v>
      </c>
      <c r="I6" s="50" t="s">
        <v>2740</v>
      </c>
      <c r="J6" s="50" t="s">
        <v>86</v>
      </c>
      <c r="K6" s="50" t="s">
        <v>2741</v>
      </c>
      <c r="L6" s="50" t="s">
        <v>2742</v>
      </c>
      <c r="M6" s="50" t="s">
        <v>855</v>
      </c>
      <c r="N6" s="50" t="s">
        <v>2743</v>
      </c>
      <c r="O6" s="50" t="s">
        <v>369</v>
      </c>
      <c r="P6" s="50" t="s">
        <v>285</v>
      </c>
      <c r="Q6" s="50" t="s">
        <v>1572</v>
      </c>
      <c r="R6" s="50" t="s">
        <v>1729</v>
      </c>
      <c r="S6" s="50"/>
      <c r="T6" s="50" t="s">
        <v>2746</v>
      </c>
      <c r="U6" s="50" t="s">
        <v>2747</v>
      </c>
      <c r="V6" s="50" t="s">
        <v>2744</v>
      </c>
      <c r="W6" s="50" t="s">
        <v>2745</v>
      </c>
      <c r="X6" s="50" t="s">
        <v>235</v>
      </c>
    </row>
    <row r="7" spans="1:24" x14ac:dyDescent="0.2">
      <c r="A7" s="50"/>
      <c r="B7" s="53"/>
      <c r="C7" s="51" t="s">
        <v>112</v>
      </c>
      <c r="D7" s="51"/>
      <c r="E7" s="51"/>
      <c r="F7" s="50" t="s">
        <v>2248</v>
      </c>
      <c r="G7" s="50" t="s">
        <v>1050</v>
      </c>
      <c r="H7" s="50" t="s">
        <v>1323</v>
      </c>
      <c r="I7" s="50" t="s">
        <v>1437</v>
      </c>
      <c r="J7" s="50" t="s">
        <v>2748</v>
      </c>
      <c r="K7" s="50" t="s">
        <v>491</v>
      </c>
      <c r="L7" s="50" t="s">
        <v>293</v>
      </c>
      <c r="M7" s="50" t="s">
        <v>1956</v>
      </c>
      <c r="N7" s="50" t="s">
        <v>2749</v>
      </c>
      <c r="O7" s="50" t="s">
        <v>103</v>
      </c>
      <c r="P7" s="50" t="s">
        <v>113</v>
      </c>
      <c r="Q7" s="50" t="s">
        <v>1575</v>
      </c>
      <c r="R7" s="50"/>
      <c r="S7" s="50"/>
      <c r="T7" s="50" t="s">
        <v>2728</v>
      </c>
      <c r="U7" s="50" t="s">
        <v>485</v>
      </c>
      <c r="V7" s="50"/>
      <c r="W7" s="50" t="s">
        <v>2750</v>
      </c>
      <c r="X7" s="50" t="s">
        <v>2751</v>
      </c>
    </row>
    <row r="8" spans="1:24" x14ac:dyDescent="0.2">
      <c r="A8" s="50"/>
      <c r="B8" s="51"/>
      <c r="C8" s="51" t="s">
        <v>1547</v>
      </c>
      <c r="D8" s="51"/>
      <c r="E8" s="51"/>
      <c r="F8" s="50" t="s">
        <v>154</v>
      </c>
      <c r="G8" s="50" t="s">
        <v>2752</v>
      </c>
      <c r="H8" s="50" t="s">
        <v>1327</v>
      </c>
      <c r="I8" s="50" t="s">
        <v>1433</v>
      </c>
      <c r="J8" s="50" t="s">
        <v>2753</v>
      </c>
      <c r="K8" s="50" t="s">
        <v>2754</v>
      </c>
      <c r="L8" s="50" t="s">
        <v>505</v>
      </c>
      <c r="M8" s="50" t="s">
        <v>115</v>
      </c>
      <c r="N8" s="50"/>
      <c r="O8" s="50" t="s">
        <v>2755</v>
      </c>
      <c r="P8" s="50" t="s">
        <v>1263</v>
      </c>
      <c r="Q8" s="50" t="s">
        <v>2756</v>
      </c>
      <c r="R8" s="50"/>
      <c r="S8" s="50"/>
      <c r="T8" s="50" t="s">
        <v>2737</v>
      </c>
      <c r="U8" s="50" t="s">
        <v>689</v>
      </c>
      <c r="V8" s="50"/>
      <c r="W8" s="50" t="s">
        <v>2757</v>
      </c>
      <c r="X8" s="50"/>
    </row>
    <row r="9" spans="1:24" x14ac:dyDescent="0.2">
      <c r="A9" s="50"/>
      <c r="B9" s="54"/>
      <c r="C9" s="54" t="s">
        <v>72</v>
      </c>
      <c r="D9" s="54"/>
      <c r="E9" s="54"/>
      <c r="F9" s="50" t="s">
        <v>897</v>
      </c>
      <c r="G9" s="50" t="s">
        <v>2758</v>
      </c>
      <c r="H9" s="50" t="s">
        <v>1287</v>
      </c>
      <c r="I9" s="50" t="s">
        <v>1715</v>
      </c>
      <c r="J9" s="50" t="s">
        <v>2759</v>
      </c>
      <c r="K9" s="50" t="s">
        <v>168</v>
      </c>
      <c r="L9" s="50" t="s">
        <v>2418</v>
      </c>
      <c r="M9" s="50" t="s">
        <v>2760</v>
      </c>
      <c r="N9" s="50"/>
      <c r="O9" s="50"/>
      <c r="P9" s="50" t="s">
        <v>190</v>
      </c>
      <c r="Q9" s="50" t="s">
        <v>2761</v>
      </c>
      <c r="R9" s="50"/>
      <c r="S9" s="50"/>
      <c r="T9" s="50" t="s">
        <v>485</v>
      </c>
      <c r="U9" s="50" t="s">
        <v>2762</v>
      </c>
      <c r="V9" s="50"/>
      <c r="W9" s="50"/>
      <c r="X9" s="50"/>
    </row>
    <row r="10" spans="1:24" x14ac:dyDescent="0.2">
      <c r="A10" s="50"/>
      <c r="B10" s="50"/>
      <c r="C10" s="50"/>
      <c r="D10" s="50"/>
      <c r="E10" s="50"/>
      <c r="F10" s="50" t="s">
        <v>211</v>
      </c>
      <c r="G10" s="50" t="s">
        <v>2763</v>
      </c>
      <c r="H10" s="50" t="s">
        <v>883</v>
      </c>
      <c r="I10" s="50" t="s">
        <v>2160</v>
      </c>
      <c r="J10" s="50" t="s">
        <v>2764</v>
      </c>
      <c r="K10" s="50" t="s">
        <v>2765</v>
      </c>
      <c r="L10" s="50" t="s">
        <v>2766</v>
      </c>
      <c r="M10" s="50" t="s">
        <v>2767</v>
      </c>
      <c r="N10" s="50"/>
      <c r="O10" s="50"/>
      <c r="P10" s="50" t="s">
        <v>1735</v>
      </c>
      <c r="Q10" s="50" t="s">
        <v>2768</v>
      </c>
      <c r="R10" s="50"/>
      <c r="S10" s="50"/>
      <c r="T10" s="50" t="s">
        <v>2769</v>
      </c>
      <c r="U10" s="50" t="s">
        <v>1066</v>
      </c>
      <c r="V10" s="50"/>
      <c r="W10" s="50"/>
      <c r="X10" s="50"/>
    </row>
    <row r="11" spans="1:24" x14ac:dyDescent="0.2">
      <c r="A11" s="50"/>
      <c r="B11" s="50"/>
      <c r="C11" s="50"/>
      <c r="D11" s="50"/>
      <c r="E11" s="50"/>
      <c r="F11" s="50" t="s">
        <v>2770</v>
      </c>
      <c r="G11" s="50" t="s">
        <v>1052</v>
      </c>
      <c r="H11" s="50" t="s">
        <v>917</v>
      </c>
      <c r="I11" s="50" t="s">
        <v>2771</v>
      </c>
      <c r="J11" s="50" t="s">
        <v>2772</v>
      </c>
      <c r="K11" s="50" t="s">
        <v>2773</v>
      </c>
      <c r="L11" s="50" t="s">
        <v>862</v>
      </c>
      <c r="M11" s="50" t="s">
        <v>2774</v>
      </c>
      <c r="N11" s="50"/>
      <c r="O11" s="50"/>
      <c r="P11" s="50" t="s">
        <v>356</v>
      </c>
      <c r="Q11" s="50" t="s">
        <v>2684</v>
      </c>
      <c r="R11" s="50"/>
      <c r="S11" s="50"/>
      <c r="T11" s="50"/>
      <c r="U11" s="50" t="s">
        <v>2775</v>
      </c>
      <c r="V11" s="50"/>
      <c r="W11" s="50"/>
      <c r="X11" s="50"/>
    </row>
    <row r="12" spans="1:24" x14ac:dyDescent="0.2">
      <c r="A12" s="50"/>
      <c r="B12" s="50"/>
      <c r="C12" s="50"/>
      <c r="D12" s="50"/>
      <c r="E12" s="50"/>
      <c r="F12" s="50" t="s">
        <v>1367</v>
      </c>
      <c r="G12" s="50" t="s">
        <v>2776</v>
      </c>
      <c r="H12" s="50" t="s">
        <v>1334</v>
      </c>
      <c r="I12" s="50" t="s">
        <v>2318</v>
      </c>
      <c r="J12" s="50" t="s">
        <v>60</v>
      </c>
      <c r="K12" s="50" t="s">
        <v>570</v>
      </c>
      <c r="L12" s="50" t="s">
        <v>2777</v>
      </c>
      <c r="M12" s="50" t="s">
        <v>2778</v>
      </c>
      <c r="N12" s="50"/>
      <c r="O12" s="50"/>
      <c r="P12" s="50" t="s">
        <v>2779</v>
      </c>
      <c r="Q12" s="50"/>
      <c r="R12" s="50"/>
      <c r="S12" s="50"/>
      <c r="T12" s="50"/>
      <c r="U12" s="50" t="s">
        <v>2780</v>
      </c>
      <c r="V12" s="50"/>
      <c r="W12" s="50"/>
      <c r="X12" s="50"/>
    </row>
    <row r="13" spans="1:24" x14ac:dyDescent="0.2">
      <c r="A13" s="50"/>
      <c r="B13" s="50"/>
      <c r="C13" s="50"/>
      <c r="D13" s="50"/>
      <c r="E13" s="50"/>
      <c r="F13" s="50" t="s">
        <v>2781</v>
      </c>
      <c r="G13" s="50" t="s">
        <v>957</v>
      </c>
      <c r="H13" s="50" t="s">
        <v>2362</v>
      </c>
      <c r="I13" s="50" t="s">
        <v>1468</v>
      </c>
      <c r="J13" s="50"/>
      <c r="K13" s="50" t="s">
        <v>836</v>
      </c>
      <c r="L13" s="50" t="s">
        <v>1624</v>
      </c>
      <c r="M13" s="50" t="s">
        <v>2782</v>
      </c>
      <c r="N13" s="50"/>
      <c r="O13" s="50"/>
      <c r="P13" s="50" t="s">
        <v>2627</v>
      </c>
      <c r="Q13" s="50"/>
      <c r="R13" s="50"/>
      <c r="S13" s="50"/>
      <c r="T13" s="50"/>
      <c r="U13" s="50"/>
      <c r="V13" s="50"/>
      <c r="W13" s="50"/>
      <c r="X13" s="50"/>
    </row>
    <row r="14" spans="1:24" x14ac:dyDescent="0.2">
      <c r="A14" s="50"/>
      <c r="B14" s="50"/>
      <c r="C14" s="50"/>
      <c r="D14" s="50"/>
      <c r="E14" s="50"/>
      <c r="F14" s="50" t="s">
        <v>2783</v>
      </c>
      <c r="G14" s="50" t="s">
        <v>1919</v>
      </c>
      <c r="H14" s="50" t="s">
        <v>2784</v>
      </c>
      <c r="I14" s="50" t="s">
        <v>1506</v>
      </c>
      <c r="J14" s="50"/>
      <c r="K14" s="50" t="s">
        <v>2785</v>
      </c>
      <c r="L14" s="50" t="s">
        <v>2786</v>
      </c>
      <c r="M14" s="50" t="s">
        <v>2787</v>
      </c>
      <c r="N14" s="50"/>
      <c r="O14" s="50"/>
      <c r="P14" s="50" t="s">
        <v>2788</v>
      </c>
      <c r="Q14" s="50"/>
      <c r="R14" s="50"/>
      <c r="S14" s="50"/>
      <c r="T14" s="50"/>
      <c r="U14" s="50"/>
      <c r="V14" s="50"/>
      <c r="W14" s="50"/>
      <c r="X14" s="50"/>
    </row>
    <row r="15" spans="1:24" x14ac:dyDescent="0.2">
      <c r="A15" s="50"/>
      <c r="B15" s="50"/>
      <c r="C15" s="50"/>
      <c r="D15" s="50"/>
      <c r="E15" s="50"/>
      <c r="F15" s="50" t="s">
        <v>2304</v>
      </c>
      <c r="G15" s="50" t="s">
        <v>2231</v>
      </c>
      <c r="H15" s="50" t="s">
        <v>2321</v>
      </c>
      <c r="I15" s="50" t="s">
        <v>1479</v>
      </c>
      <c r="J15" s="50"/>
      <c r="K15" s="50" t="s">
        <v>2789</v>
      </c>
      <c r="L15" s="50" t="s">
        <v>2558</v>
      </c>
      <c r="M15" s="50" t="s">
        <v>2790</v>
      </c>
      <c r="N15" s="50"/>
      <c r="O15" s="50"/>
      <c r="P15" s="50" t="s">
        <v>2791</v>
      </c>
      <c r="Q15" s="50"/>
      <c r="R15" s="50"/>
      <c r="S15" s="50"/>
      <c r="T15" s="50"/>
      <c r="U15" s="50"/>
      <c r="V15" s="50"/>
      <c r="W15" s="50"/>
      <c r="X15" s="50"/>
    </row>
    <row r="16" spans="1:24" x14ac:dyDescent="0.2">
      <c r="A16" s="50"/>
      <c r="B16" s="50"/>
      <c r="C16" s="50"/>
      <c r="D16" s="50"/>
      <c r="E16" s="50"/>
      <c r="F16" s="50" t="s">
        <v>2792</v>
      </c>
      <c r="G16" s="50" t="s">
        <v>2793</v>
      </c>
      <c r="H16" s="50" t="s">
        <v>2441</v>
      </c>
      <c r="I16" s="50" t="s">
        <v>1472</v>
      </c>
      <c r="J16" s="50"/>
      <c r="K16" s="50" t="s">
        <v>2794</v>
      </c>
      <c r="L16" s="50" t="s">
        <v>365</v>
      </c>
      <c r="M16" s="50" t="s">
        <v>2621</v>
      </c>
      <c r="N16" s="50"/>
      <c r="O16" s="50"/>
      <c r="P16" s="50" t="s">
        <v>2664</v>
      </c>
      <c r="Q16" s="50"/>
      <c r="R16" s="50"/>
      <c r="S16" s="50"/>
      <c r="T16" s="50"/>
      <c r="U16" s="50"/>
      <c r="V16" s="50"/>
      <c r="W16" s="50"/>
      <c r="X16" s="50"/>
    </row>
    <row r="17" spans="1:24" x14ac:dyDescent="0.2">
      <c r="A17" s="50"/>
      <c r="B17" s="50"/>
      <c r="C17" s="50"/>
      <c r="D17" s="50"/>
      <c r="E17" s="50"/>
      <c r="F17" s="50" t="s">
        <v>1752</v>
      </c>
      <c r="G17" s="50" t="s">
        <v>1053</v>
      </c>
      <c r="H17" s="50" t="s">
        <v>2795</v>
      </c>
      <c r="I17" s="50" t="s">
        <v>2796</v>
      </c>
      <c r="J17" s="50"/>
      <c r="K17" s="50" t="s">
        <v>2467</v>
      </c>
      <c r="L17" s="50" t="s">
        <v>1664</v>
      </c>
      <c r="M17" s="50" t="s">
        <v>851</v>
      </c>
      <c r="N17" s="50"/>
      <c r="O17" s="50"/>
      <c r="P17" s="50" t="s">
        <v>1211</v>
      </c>
      <c r="Q17" s="50"/>
      <c r="R17" s="50"/>
      <c r="S17" s="50"/>
      <c r="T17" s="50"/>
      <c r="U17" s="50"/>
      <c r="V17" s="50"/>
      <c r="W17" s="50"/>
      <c r="X17" s="50"/>
    </row>
    <row r="18" spans="1:24" x14ac:dyDescent="0.2">
      <c r="A18" s="50"/>
      <c r="B18" s="50"/>
      <c r="C18" s="50"/>
      <c r="D18" s="50"/>
      <c r="E18" s="50"/>
      <c r="F18" s="50" t="s">
        <v>931</v>
      </c>
      <c r="G18" s="50" t="s">
        <v>277</v>
      </c>
      <c r="H18" s="50"/>
      <c r="I18" s="50" t="s">
        <v>2188</v>
      </c>
      <c r="J18" s="50"/>
      <c r="K18" s="50"/>
      <c r="L18" s="50" t="s">
        <v>2797</v>
      </c>
      <c r="M18" s="50" t="s">
        <v>2575</v>
      </c>
      <c r="N18" s="50"/>
      <c r="O18" s="50"/>
      <c r="P18" s="50" t="s">
        <v>540</v>
      </c>
      <c r="Q18" s="50"/>
      <c r="R18" s="50"/>
      <c r="S18" s="50"/>
      <c r="T18" s="50"/>
      <c r="U18" s="50"/>
      <c r="V18" s="50"/>
      <c r="W18" s="50"/>
      <c r="X18" s="50"/>
    </row>
    <row r="19" spans="1:24" x14ac:dyDescent="0.2">
      <c r="A19" s="50"/>
      <c r="B19" s="50"/>
      <c r="C19" s="50"/>
      <c r="D19" s="50"/>
      <c r="E19" s="50"/>
      <c r="F19" s="50"/>
      <c r="G19" s="50"/>
      <c r="H19" s="50"/>
      <c r="I19" s="50" t="s">
        <v>397</v>
      </c>
      <c r="J19" s="50"/>
      <c r="K19" s="50"/>
      <c r="L19" s="50" t="s">
        <v>787</v>
      </c>
      <c r="M19" s="50" t="s">
        <v>2798</v>
      </c>
      <c r="N19" s="50"/>
      <c r="O19" s="50"/>
      <c r="P19" s="50" t="s">
        <v>524</v>
      </c>
      <c r="Q19" s="50"/>
      <c r="R19" s="50"/>
      <c r="S19" s="50"/>
      <c r="T19" s="50"/>
      <c r="U19" s="50"/>
      <c r="V19" s="50"/>
      <c r="W19" s="50"/>
      <c r="X19" s="50"/>
    </row>
    <row r="20" spans="1:24" x14ac:dyDescent="0.2">
      <c r="A20" s="50"/>
      <c r="B20" s="50"/>
      <c r="C20" s="50"/>
      <c r="D20" s="50"/>
      <c r="E20" s="50"/>
      <c r="F20" s="50"/>
      <c r="G20" s="50"/>
      <c r="H20" s="50"/>
      <c r="I20" s="50" t="s">
        <v>1355</v>
      </c>
      <c r="J20" s="50"/>
      <c r="K20" s="50"/>
      <c r="L20" s="50" t="s">
        <v>2799</v>
      </c>
      <c r="M20" s="50" t="s">
        <v>2800</v>
      </c>
      <c r="N20" s="50"/>
      <c r="O20" s="50"/>
      <c r="P20" s="50" t="s">
        <v>130</v>
      </c>
      <c r="Q20" s="50"/>
      <c r="R20" s="50"/>
      <c r="S20" s="50"/>
      <c r="T20" s="50"/>
      <c r="U20" s="50"/>
      <c r="V20" s="50"/>
      <c r="W20" s="50"/>
      <c r="X20" s="50"/>
    </row>
    <row r="21" spans="1:24" x14ac:dyDescent="0.2">
      <c r="A21" s="50"/>
      <c r="B21" s="50"/>
      <c r="C21" s="50"/>
      <c r="D21" s="50"/>
      <c r="E21" s="50"/>
      <c r="F21" s="50"/>
      <c r="G21" s="50"/>
      <c r="H21" s="50"/>
      <c r="I21" s="50"/>
      <c r="J21" s="50"/>
      <c r="K21" s="50"/>
      <c r="L21" s="50" t="s">
        <v>2801</v>
      </c>
      <c r="M21" s="50"/>
      <c r="N21" s="50"/>
      <c r="O21" s="50"/>
      <c r="P21" s="50" t="s">
        <v>859</v>
      </c>
      <c r="Q21" s="50"/>
      <c r="R21" s="50"/>
      <c r="S21" s="50"/>
      <c r="T21" s="50"/>
      <c r="U21" s="50"/>
      <c r="V21" s="50"/>
      <c r="W21" s="50"/>
      <c r="X21" s="50"/>
    </row>
    <row r="22" spans="1:24" x14ac:dyDescent="0.2">
      <c r="A22" s="50"/>
      <c r="B22" s="50"/>
      <c r="C22" s="50"/>
      <c r="D22" s="50"/>
      <c r="E22" s="50"/>
      <c r="F22" s="50"/>
      <c r="G22" s="50"/>
      <c r="H22" s="50"/>
      <c r="I22" s="50"/>
      <c r="J22" s="50"/>
      <c r="K22" s="50"/>
      <c r="L22" s="50" t="s">
        <v>2802</v>
      </c>
      <c r="M22" s="50"/>
      <c r="N22" s="50"/>
      <c r="O22" s="50"/>
      <c r="P22" s="50"/>
      <c r="Q22" s="50"/>
      <c r="R22" s="50"/>
      <c r="S22" s="50"/>
      <c r="T22" s="50"/>
      <c r="U22" s="50"/>
      <c r="V22" s="50"/>
      <c r="W22" s="50"/>
      <c r="X22" s="50"/>
    </row>
    <row r="24" spans="1:24" ht="12" thickBot="1" x14ac:dyDescent="0.25"/>
    <row r="25" spans="1:24" ht="22.5" x14ac:dyDescent="0.2">
      <c r="A25" s="80" t="s">
        <v>12</v>
      </c>
      <c r="B25" s="81" t="s">
        <v>15</v>
      </c>
      <c r="C25" s="81" t="s">
        <v>21</v>
      </c>
      <c r="D25" s="81" t="s">
        <v>2220</v>
      </c>
      <c r="E25" s="81" t="s">
        <v>22</v>
      </c>
      <c r="F25" s="81" t="s">
        <v>3367</v>
      </c>
      <c r="G25" s="82" t="s">
        <v>3368</v>
      </c>
    </row>
    <row r="26" spans="1:24" ht="15" x14ac:dyDescent="0.25">
      <c r="A26" s="59" t="s">
        <v>319</v>
      </c>
      <c r="B26" s="51" t="s">
        <v>438</v>
      </c>
      <c r="C26" s="51" t="s">
        <v>91</v>
      </c>
      <c r="D26" s="51" t="s">
        <v>2697</v>
      </c>
      <c r="E26" s="50" t="s">
        <v>79</v>
      </c>
      <c r="F26" s="79" t="s">
        <v>479</v>
      </c>
      <c r="G26" s="83" t="s">
        <v>3130</v>
      </c>
    </row>
    <row r="27" spans="1:24" ht="15" x14ac:dyDescent="0.25">
      <c r="A27" s="59" t="s">
        <v>1034</v>
      </c>
      <c r="B27" s="51" t="s">
        <v>418</v>
      </c>
      <c r="C27" s="51" t="s">
        <v>78</v>
      </c>
      <c r="D27" s="51" t="s">
        <v>2082</v>
      </c>
      <c r="E27" s="50" t="s">
        <v>321</v>
      </c>
      <c r="F27" s="79" t="s">
        <v>1236</v>
      </c>
      <c r="G27" s="83" t="s">
        <v>3127</v>
      </c>
    </row>
    <row r="28" spans="1:24" ht="15" x14ac:dyDescent="0.25">
      <c r="A28" s="59" t="s">
        <v>269</v>
      </c>
      <c r="B28" s="51" t="s">
        <v>62</v>
      </c>
      <c r="C28" s="51" t="s">
        <v>143</v>
      </c>
      <c r="D28" s="51" t="s">
        <v>89</v>
      </c>
      <c r="E28" s="50" t="s">
        <v>737</v>
      </c>
      <c r="F28" s="79" t="s">
        <v>1195</v>
      </c>
      <c r="G28" s="83" t="s">
        <v>3127</v>
      </c>
    </row>
    <row r="29" spans="1:24" ht="15" x14ac:dyDescent="0.25">
      <c r="A29" s="59" t="s">
        <v>268</v>
      </c>
      <c r="B29" s="51" t="s">
        <v>270</v>
      </c>
      <c r="C29" s="51" t="s">
        <v>2803</v>
      </c>
      <c r="D29" s="51" t="s">
        <v>156</v>
      </c>
      <c r="E29" s="50" t="s">
        <v>421</v>
      </c>
      <c r="F29" s="79" t="s">
        <v>56</v>
      </c>
      <c r="G29" s="83" t="s">
        <v>3127</v>
      </c>
    </row>
    <row r="30" spans="1:24" ht="15" x14ac:dyDescent="0.25">
      <c r="A30" s="59" t="s">
        <v>3294</v>
      </c>
      <c r="B30" s="51" t="s">
        <v>2685</v>
      </c>
      <c r="C30" s="51" t="s">
        <v>65</v>
      </c>
      <c r="D30" s="51" t="s">
        <v>2692</v>
      </c>
      <c r="E30" s="50"/>
      <c r="F30" s="79" t="s">
        <v>252</v>
      </c>
      <c r="G30" s="83" t="s">
        <v>3127</v>
      </c>
    </row>
    <row r="31" spans="1:24" ht="15" x14ac:dyDescent="0.25">
      <c r="A31" s="59"/>
      <c r="B31" s="51" t="s">
        <v>172</v>
      </c>
      <c r="C31" s="51"/>
      <c r="D31" s="51" t="s">
        <v>1525</v>
      </c>
      <c r="E31" s="50"/>
      <c r="F31" s="79" t="s">
        <v>209</v>
      </c>
      <c r="G31" s="83" t="s">
        <v>3129</v>
      </c>
    </row>
    <row r="32" spans="1:24" ht="15" x14ac:dyDescent="0.25">
      <c r="A32" s="59"/>
      <c r="B32" s="51" t="s">
        <v>615</v>
      </c>
      <c r="C32" s="51"/>
      <c r="D32" s="51" t="s">
        <v>2042</v>
      </c>
      <c r="E32" s="50"/>
      <c r="F32" s="79" t="s">
        <v>3369</v>
      </c>
      <c r="G32" s="83" t="s">
        <v>3129</v>
      </c>
    </row>
    <row r="33" spans="1:7" ht="15" x14ac:dyDescent="0.25">
      <c r="A33" s="59"/>
      <c r="B33" s="51" t="s">
        <v>144</v>
      </c>
      <c r="C33" s="51"/>
      <c r="D33" s="51" t="s">
        <v>1051</v>
      </c>
      <c r="E33" s="50"/>
      <c r="F33" s="79" t="s">
        <v>448</v>
      </c>
      <c r="G33" s="83" t="s">
        <v>3129</v>
      </c>
    </row>
    <row r="34" spans="1:7" ht="15" x14ac:dyDescent="0.25">
      <c r="A34" s="59"/>
      <c r="B34" s="51" t="s">
        <v>75</v>
      </c>
      <c r="C34" s="51"/>
      <c r="D34" s="50" t="s">
        <v>666</v>
      </c>
      <c r="E34" s="50"/>
      <c r="F34" s="79" t="s">
        <v>3161</v>
      </c>
      <c r="G34" s="83" t="s">
        <v>3129</v>
      </c>
    </row>
    <row r="35" spans="1:7" ht="15" x14ac:dyDescent="0.25">
      <c r="A35" s="59"/>
      <c r="B35" s="51"/>
      <c r="C35" s="51"/>
      <c r="D35" s="50" t="s">
        <v>699</v>
      </c>
      <c r="E35" s="50"/>
      <c r="F35" s="79" t="s">
        <v>3370</v>
      </c>
      <c r="G35" s="83" t="s">
        <v>3128</v>
      </c>
    </row>
    <row r="36" spans="1:7" ht="15" x14ac:dyDescent="0.25">
      <c r="A36" s="61"/>
      <c r="B36" s="50"/>
      <c r="C36" s="50"/>
      <c r="D36" s="50" t="s">
        <v>61</v>
      </c>
      <c r="E36" s="50"/>
      <c r="F36" s="79" t="s">
        <v>275</v>
      </c>
      <c r="G36" s="83" t="s">
        <v>3128</v>
      </c>
    </row>
    <row r="37" spans="1:7" ht="15" x14ac:dyDescent="0.25">
      <c r="A37" s="61"/>
      <c r="B37" s="50"/>
      <c r="C37" s="50"/>
      <c r="D37" s="50" t="s">
        <v>106</v>
      </c>
      <c r="E37" s="50"/>
      <c r="F37" s="79" t="s">
        <v>3595</v>
      </c>
      <c r="G37" s="83" t="s">
        <v>3293</v>
      </c>
    </row>
    <row r="38" spans="1:7" x14ac:dyDescent="0.2">
      <c r="A38" s="61"/>
      <c r="B38" s="50"/>
      <c r="C38" s="50"/>
      <c r="D38" s="50" t="s">
        <v>74</v>
      </c>
      <c r="E38" s="50"/>
      <c r="F38" s="50"/>
      <c r="G38" s="50"/>
    </row>
    <row r="39" spans="1:7" x14ac:dyDescent="0.2">
      <c r="A39" s="61"/>
      <c r="B39" s="50"/>
      <c r="C39" s="50"/>
      <c r="D39" s="50" t="s">
        <v>279</v>
      </c>
      <c r="E39" s="50"/>
      <c r="F39" s="50"/>
      <c r="G39" s="50"/>
    </row>
    <row r="40" spans="1:7" x14ac:dyDescent="0.2">
      <c r="A40" s="61"/>
      <c r="B40" s="50"/>
      <c r="C40" s="50"/>
      <c r="D40" s="50" t="s">
        <v>1681</v>
      </c>
      <c r="E40" s="50"/>
      <c r="F40" s="50"/>
      <c r="G40" s="50"/>
    </row>
    <row r="41" spans="1:7" x14ac:dyDescent="0.2">
      <c r="A41" s="61"/>
      <c r="B41" s="50"/>
      <c r="C41" s="50"/>
      <c r="D41" s="50" t="s">
        <v>269</v>
      </c>
      <c r="E41" s="50"/>
      <c r="F41" s="50"/>
      <c r="G41" s="60"/>
    </row>
    <row r="42" spans="1:7" x14ac:dyDescent="0.2">
      <c r="A42" s="61"/>
      <c r="B42" s="50"/>
      <c r="C42" s="50"/>
      <c r="D42" s="50" t="s">
        <v>2531</v>
      </c>
      <c r="E42" s="50"/>
      <c r="F42" s="50"/>
      <c r="G42" s="60"/>
    </row>
    <row r="43" spans="1:7" ht="12" thickBot="1" x14ac:dyDescent="0.25">
      <c r="A43" s="62"/>
      <c r="B43" s="63"/>
      <c r="C43" s="63"/>
      <c r="D43" s="63" t="s">
        <v>1069</v>
      </c>
      <c r="E43" s="63"/>
      <c r="F43" s="63"/>
      <c r="G43" s="64"/>
    </row>
    <row r="47" spans="1:7" ht="12" thickBot="1" x14ac:dyDescent="0.25"/>
    <row r="48" spans="1:7" ht="18.75" customHeight="1" thickBot="1" x14ac:dyDescent="0.25">
      <c r="A48" s="55" t="s">
        <v>2</v>
      </c>
      <c r="B48" s="56" t="s">
        <v>36</v>
      </c>
      <c r="C48" s="65" t="s">
        <v>2804</v>
      </c>
      <c r="D48" s="66" t="s">
        <v>2805</v>
      </c>
      <c r="E48" s="66" t="s">
        <v>3126</v>
      </c>
    </row>
    <row r="49" spans="1:10" x14ac:dyDescent="0.2">
      <c r="A49" s="57" t="s">
        <v>3293</v>
      </c>
      <c r="B49" s="58" t="s">
        <v>261</v>
      </c>
      <c r="C49" s="67" t="s">
        <v>936</v>
      </c>
      <c r="D49" s="68" t="s">
        <v>80</v>
      </c>
      <c r="E49" s="68" t="s">
        <v>3127</v>
      </c>
    </row>
    <row r="50" spans="1:10" x14ac:dyDescent="0.2">
      <c r="A50" s="59" t="s">
        <v>290</v>
      </c>
      <c r="B50" s="51" t="s">
        <v>92</v>
      </c>
      <c r="C50" s="54" t="s">
        <v>2806</v>
      </c>
      <c r="D50" s="69" t="s">
        <v>70</v>
      </c>
      <c r="E50" s="69" t="s">
        <v>3129</v>
      </c>
    </row>
    <row r="51" spans="1:10" ht="22.5" x14ac:dyDescent="0.2">
      <c r="A51" s="59" t="s">
        <v>412</v>
      </c>
      <c r="B51" s="51" t="s">
        <v>594</v>
      </c>
      <c r="C51" s="54" t="s">
        <v>353</v>
      </c>
      <c r="D51" s="69" t="s">
        <v>145</v>
      </c>
      <c r="E51" s="69" t="s">
        <v>3128</v>
      </c>
    </row>
    <row r="52" spans="1:10" ht="22.5" x14ac:dyDescent="0.2">
      <c r="A52" s="59" t="s">
        <v>204</v>
      </c>
      <c r="B52" s="51" t="s">
        <v>338</v>
      </c>
      <c r="C52" s="54" t="s">
        <v>2807</v>
      </c>
      <c r="D52" s="69"/>
      <c r="E52" s="69" t="s">
        <v>3130</v>
      </c>
    </row>
    <row r="53" spans="1:10" ht="22.5" x14ac:dyDescent="0.2">
      <c r="A53" s="59" t="s">
        <v>3124</v>
      </c>
      <c r="B53" s="51" t="s">
        <v>1276</v>
      </c>
      <c r="C53" s="54" t="s">
        <v>110</v>
      </c>
      <c r="D53" s="69"/>
      <c r="E53" s="69" t="s">
        <v>55</v>
      </c>
    </row>
    <row r="54" spans="1:10" x14ac:dyDescent="0.2">
      <c r="A54" s="59" t="s">
        <v>3125</v>
      </c>
      <c r="B54" s="51" t="s">
        <v>2810</v>
      </c>
      <c r="C54" s="54" t="s">
        <v>2698</v>
      </c>
      <c r="D54" s="69"/>
      <c r="E54" s="69" t="s">
        <v>290</v>
      </c>
    </row>
    <row r="55" spans="1:10" x14ac:dyDescent="0.2">
      <c r="A55" s="70" t="s">
        <v>3292</v>
      </c>
      <c r="B55" s="51" t="s">
        <v>65</v>
      </c>
      <c r="C55" s="54" t="s">
        <v>673</v>
      </c>
      <c r="D55" s="69"/>
      <c r="E55" s="69" t="s">
        <v>3125</v>
      </c>
    </row>
    <row r="56" spans="1:10" x14ac:dyDescent="0.2">
      <c r="A56" s="70"/>
      <c r="B56" s="54"/>
      <c r="C56" s="54" t="s">
        <v>2808</v>
      </c>
      <c r="D56" s="69"/>
      <c r="E56" s="69"/>
    </row>
    <row r="57" spans="1:10" x14ac:dyDescent="0.2">
      <c r="A57" s="70"/>
      <c r="B57" s="54"/>
      <c r="C57" s="54" t="s">
        <v>94</v>
      </c>
      <c r="D57" s="69"/>
      <c r="E57" s="69"/>
    </row>
    <row r="58" spans="1:10" x14ac:dyDescent="0.2">
      <c r="A58" s="70"/>
      <c r="B58" s="54"/>
      <c r="C58" s="54" t="s">
        <v>69</v>
      </c>
      <c r="D58" s="69"/>
      <c r="E58" s="69"/>
    </row>
    <row r="59" spans="1:10" ht="12" thickBot="1" x14ac:dyDescent="0.25">
      <c r="A59" s="71"/>
      <c r="B59" s="72"/>
      <c r="C59" s="72" t="s">
        <v>65</v>
      </c>
      <c r="D59" s="73"/>
      <c r="E59" s="73"/>
    </row>
    <row r="60" spans="1:10" x14ac:dyDescent="0.2">
      <c r="D60" s="74"/>
      <c r="E60" s="74"/>
      <c r="F60" s="74"/>
      <c r="G60" s="74"/>
      <c r="H60" s="74"/>
      <c r="I60" s="74"/>
      <c r="J60" s="74"/>
    </row>
    <row r="61" spans="1:10" x14ac:dyDescent="0.2">
      <c r="D61" s="74"/>
      <c r="E61" s="74"/>
      <c r="F61" s="74"/>
      <c r="G61" s="74"/>
      <c r="H61" s="74"/>
      <c r="I61" s="74"/>
      <c r="J61" s="74"/>
    </row>
    <row r="62" spans="1:10" x14ac:dyDescent="0.2">
      <c r="D62" s="74"/>
      <c r="E62" s="74"/>
      <c r="F62" s="74"/>
      <c r="G62" s="74"/>
      <c r="H62" s="74"/>
      <c r="I62" s="74"/>
      <c r="J62" s="74"/>
    </row>
    <row r="63" spans="1:10" x14ac:dyDescent="0.2">
      <c r="E63" s="74"/>
    </row>
    <row r="64" spans="1:10" x14ac:dyDescent="0.2">
      <c r="E64" s="7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9C0AFAF505C446B674E5B305AA70E0" ma:contentTypeVersion="3" ma:contentTypeDescription="Create a new document." ma:contentTypeScope="" ma:versionID="4fc0781007ca60dfb422c6884e4d089c">
  <xsd:schema xmlns:xsd="http://www.w3.org/2001/XMLSchema" xmlns:xs="http://www.w3.org/2001/XMLSchema" xmlns:p="http://schemas.microsoft.com/office/2006/metadata/properties" xmlns:ns2="085df370-e3d9-449b-8f08-f32167d80bd5" targetNamespace="http://schemas.microsoft.com/office/2006/metadata/properties" ma:root="true" ma:fieldsID="dc2a3925283b380f7474926593b89b0d" ns2:_="">
    <xsd:import namespace="085df370-e3d9-449b-8f08-f32167d80bd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5df370-e3d9-449b-8f08-f32167d80b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84CDE0-E386-435A-AD23-3A10CCFC409E}">
  <ds:schemaRefs>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 ds:uri="085df370-e3d9-449b-8f08-f32167d80bd5"/>
    <ds:schemaRef ds:uri="http://purl.org/dc/dcmityp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2F0706FE-0908-4B57-A7BE-009154247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5df370-e3d9-449b-8f08-f32167d80b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22E0C3-B41E-483B-9B49-5DA0E4EAF8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1. General Instructions</vt:lpstr>
      <vt:lpstr>Sheet1</vt:lpstr>
      <vt:lpstr>2. Data Collection</vt:lpstr>
      <vt:lpstr>Pivot Table</vt:lpstr>
      <vt:lpstr>P&amp;C Transactional Data</vt:lpstr>
      <vt:lpstr>Claims Data</vt:lpstr>
      <vt:lpstr>Sheet2</vt:lpstr>
      <vt:lpstr>Dropdown List</vt:lpstr>
      <vt:lpstr>Broker_and_Agent_Management</vt:lpstr>
      <vt:lpstr>Claims</vt:lpstr>
      <vt:lpstr>Evaluation</vt:lpstr>
      <vt:lpstr>Functions</vt:lpstr>
      <vt:lpstr>Information_Gathering_and_Risk_Selection</vt:lpstr>
      <vt:lpstr>Initiation</vt:lpstr>
      <vt:lpstr>Investigation</vt:lpstr>
      <vt:lpstr>Issuance</vt:lpstr>
      <vt:lpstr>Legal_Support</vt:lpstr>
      <vt:lpstr>Legal_Support_Services</vt:lpstr>
      <vt:lpstr>Litigation_and_Resolution</vt:lpstr>
      <vt:lpstr>Office_of_General_Counsel</vt:lpstr>
      <vt:lpstr>Policy_Servicing</vt:lpstr>
      <vt:lpstr>Premium_Audit</vt:lpstr>
      <vt:lpstr>Pricing_and_Negotiation</vt:lpstr>
      <vt:lpstr>Procurement</vt:lpstr>
      <vt:lpstr>Risk_Assessment_and_Rating</vt:lpstr>
      <vt:lpstr>Risk_Control</vt:lpstr>
      <vt:lpstr>Sales</vt:lpstr>
      <vt:lpstr>Sales_and_Customer_Support</vt:lpstr>
      <vt:lpstr>Sales_and_Service</vt:lpstr>
      <vt:lpstr>Service_and_Upsell</vt:lpstr>
      <vt:lpstr>Subrogation_and_Compliance</vt:lpstr>
      <vt:lpstr>Underwriting_and_UW_Support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Sharma (LAM)</dc:creator>
  <cp:keywords/>
  <dc:description/>
  <cp:lastModifiedBy>EXL</cp:lastModifiedBy>
  <cp:revision/>
  <dcterms:created xsi:type="dcterms:W3CDTF">2015-06-05T18:17:20Z</dcterms:created>
  <dcterms:modified xsi:type="dcterms:W3CDTF">2026-02-06T09:36:51Z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0x0101005D9C0AFAF505C446B674E5B305AA70E0</vt:lpwstr>
  </property>
  <property fmtid="{D5CDD505-2E9C-101B-9397-08002B2CF9AE}" pid="3" name="MediaServiceImageTags">
    <vt:lpwstr/>
  </property>
</Properties>
</file>
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exlservicenam.sharepoint.com/sites/TravelersProactiveProposal/Shared Documents/2026/Current - Research Documents/"/>
    </mc:Choice>
  </mc:AlternateContent>
  <xr:revisionPtr revIDLastSave="1018" documentId="13_ncr:1_{06EC12AD-0F9B-49CF-A1B3-9DD44513C10E}" xr6:coauthVersionLast="47" xr6:coauthVersionMax="47" xr10:uidLastSave="{E169F789-1146-446B-80E6-85532BB75D82}"/>
  <bookViews>
    <workbookView xWindow="-110" yWindow="-110" windowWidth="19420" windowHeight="11500" tabRatio="724" activeTab="1" xr2:uid="{E8EA78C8-7456-47E4-8829-DF8758F97B7B}"/>
  </bookViews>
  <sheets>
    <sheet name="Outsourcing Landscape" sheetId="1" r:id="rId1"/>
    <sheet name="Numbers Rationale" sheetId="15" r:id="rId2"/>
    <sheet name="Scope Summary" sheetId="4" r:id="rId3"/>
    <sheet name="Scope Details " sheetId="2" r:id="rId4"/>
    <sheet name="NB Flow" sheetId="5" r:id="rId5"/>
    <sheet name="Renewal Flow" sheetId="7" r:id="rId6"/>
    <sheet name="Policy Servicing Flow" sheetId="8" r:id="rId7"/>
    <sheet name="Claims - WC Flow" sheetId="9" r:id="rId8"/>
    <sheet name="Claims - Non WC Flow" sheetId="10" r:id="rId9"/>
    <sheet name="F&amp;A - R2R Flow Acc. Ops" sheetId="13" r:id="rId10"/>
    <sheet name="F&amp;A - O2C Flow" sheetId="14" r:id="rId11"/>
  </sheets>
  <definedNames>
    <definedName name="_xlnm._FilterDatabase" localSheetId="3" hidden="1">'Scope Details '!$B$2:$G$55</definedName>
  </definedNames>
  <calcPr calcId="191028"/>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8" i="15" l="1"/>
  <c r="E88" i="15"/>
  <c r="F87" i="15"/>
  <c r="E87" i="15"/>
  <c r="F86" i="15"/>
  <c r="E86" i="15"/>
  <c r="F85" i="15"/>
  <c r="E85" i="15"/>
  <c r="F84" i="15"/>
  <c r="E84" i="15"/>
  <c r="F83" i="15"/>
  <c r="E83" i="15"/>
  <c r="F82" i="15"/>
  <c r="E82" i="15"/>
  <c r="F81" i="15"/>
  <c r="E81" i="15"/>
  <c r="F78" i="15"/>
  <c r="F77" i="15"/>
  <c r="F76" i="15"/>
  <c r="F75" i="15"/>
  <c r="F74" i="15"/>
  <c r="F73" i="15"/>
  <c r="F72" i="15"/>
  <c r="E78" i="15"/>
  <c r="E77" i="15"/>
  <c r="E76" i="15"/>
  <c r="E75" i="15"/>
  <c r="E74" i="15"/>
  <c r="E73" i="15"/>
  <c r="E72" i="15"/>
  <c r="D79" i="15"/>
  <c r="C79" i="15"/>
  <c r="F69" i="15"/>
  <c r="E69" i="15"/>
  <c r="D69" i="15"/>
  <c r="C69" i="15"/>
  <c r="F68" i="15"/>
  <c r="F67" i="15"/>
  <c r="F66" i="15"/>
  <c r="F65" i="15"/>
  <c r="F64" i="15"/>
  <c r="F63" i="15"/>
  <c r="F62" i="15"/>
  <c r="E68" i="15"/>
  <c r="E67" i="15"/>
  <c r="E66" i="15"/>
  <c r="E65" i="15"/>
  <c r="E64" i="15"/>
  <c r="E63" i="15"/>
  <c r="E62" i="15"/>
  <c r="C57" i="15"/>
  <c r="C56" i="15"/>
  <c r="C55" i="15"/>
  <c r="C54" i="15"/>
  <c r="C53" i="15"/>
  <c r="C52" i="15"/>
  <c r="C51" i="15"/>
  <c r="C16" i="15"/>
  <c r="C15" i="15"/>
  <c r="C14" i="15"/>
  <c r="D57" i="15"/>
  <c r="D56" i="15"/>
  <c r="D53" i="15"/>
  <c r="D52" i="15"/>
  <c r="D51" i="15"/>
  <c r="G34" i="15"/>
  <c r="D45" i="15" s="1"/>
  <c r="D55" i="15" s="1"/>
  <c r="C48" i="15"/>
  <c r="E38" i="15"/>
  <c r="F79" i="15" l="1"/>
  <c r="E79" i="15"/>
  <c r="C58" i="15"/>
  <c r="H34" i="15"/>
  <c r="D44" i="15" s="1"/>
  <c r="D48" i="15" l="1"/>
  <c r="D54" i="15"/>
  <c r="D58" i="15" s="1"/>
  <c r="C28" i="15" l="1"/>
  <c r="C24" i="15"/>
  <c r="C20" i="15"/>
  <c r="C17" i="15"/>
  <c r="C13" i="15"/>
  <c r="C4" i="15"/>
  <c r="C5" i="15" s="1"/>
  <c r="C21" i="15" l="1"/>
  <c r="C23" i="15"/>
  <c r="C22" i="15"/>
  <c r="C7" i="15"/>
  <c r="C8" i="15" s="1"/>
  <c r="F21" i="1"/>
  <c r="C4" i="4"/>
  <c r="C7" i="4"/>
  <c r="C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tc={9430F8ED-2677-41A1-8AB1-9C5B1D4173AC}</author>
  </authors>
  <commentList>
    <comment ref="B7" authorId="0" shapeId="0" xr:uid="{9430F8ED-2677-41A1-8AB1-9C5B1D4173AC}">
      <text>
        <t>[Threaded comment]
Your version of Excel allows you to read this threaded comment; however, any edits to it will get removed if the file is opened in a newer version of Excel. Learn more: https://go.microsoft.com/fwlink/?linkid=870924
Comment:
    @Rashmi Ashrafi Please update this table for Renewal flow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tc={05C55001-BAD8-4441-8B61-000EF3A3ED77}</author>
  </authors>
  <commentList>
    <comment ref="B5" authorId="0" shapeId="0" xr:uid="{05C55001-BAD8-4441-8B61-000EF3A3ED77}">
      <text>
        <t>[Threaded comment]
Your version of Excel allows you to read this threaded comment; however, any edits to it will get removed if the file is opened in a newer version of Excel. Learn more: https://go.microsoft.com/fwlink/?linkid=870924
Comment:
    @Rashmi Ashrafi Please update this table for Policy Servicing flow</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tc={CFFB5545-AB65-40C8-88B3-5AB8F73A0DD3}</author>
  </authors>
  <commentList>
    <comment ref="B2" authorId="0" shapeId="0" xr:uid="{CFFB5545-AB65-40C8-88B3-5AB8F73A0DD3}">
      <text>
        <t>[Threaded comment]
Your version of Excel allows you to read this threaded comment; however, any edits to it will get removed if the file is opened in a newer version of Excel. Learn more: https://go.microsoft.com/fwlink/?linkid=870924
Comment:
    @Rahul Misra Please update this table for Claims - WC flow
Reply:
    Done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tc={00F0DF1D-5F81-4324-9A18-737D26A7D85F}</author>
  </authors>
  <commentList>
    <comment ref="B2" authorId="0" shapeId="0" xr:uid="{00F0DF1D-5F81-4324-9A18-737D26A7D85F}">
      <text>
        <t>[Threaded comment]
Your version of Excel allows you to read this threaded comment; however, any edits to it will get removed if the file is opened in a newer version of Excel. Learn more: https://go.microsoft.com/fwlink/?linkid=870924
Comment:
    @Karan Vohra  please update this table for Claims Non WC flow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tc={D6708A27-2C69-4E34-963F-B99A4EBAA960}</author>
    <author>tc={976F87B4-F600-478E-ABB7-AB46E8AB584F}</author>
  </authors>
  <commentList>
    <comment ref="B2" authorId="0" shapeId="0" xr:uid="{D6708A27-2C69-4E34-963F-B99A4EBAA960}">
      <text>
        <t>[Threaded comment]
Your version of Excel allows you to read this threaded comment; however, any edits to it will get removed if the file is opened in a newer version of Excel. Learn more: https://go.microsoft.com/fwlink/?linkid=870924
Comment:
    @Suresh Murjani please update this table for F&amp;A - R2R flow</t>
      </text>
    </comment>
    <comment ref="C2" authorId="1" shapeId="0" xr:uid="{976F87B4-F600-478E-ABB7-AB46E8AB584F}">
      <text>
        <t>[Threaded comment]
Your version of Excel allows you to read this threaded comment; however, any edits to it will get removed if the file is opened in a newer version of Excel. Learn more: https://go.microsoft.com/fwlink/?linkid=870924
Comment:
    @Drew Henson @Yogesh Sarkhot for reviewing Potential solutions and Impact for F&amp;A scope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tc={AAC3D91E-5BEC-4677-96AD-A3FACAE93729}</author>
    <author>tc={02F91C9E-6D9B-47A3-A00B-9B86696128D6}</author>
  </authors>
  <commentList>
    <comment ref="A1" authorId="0" shapeId="0" xr:uid="{AAC3D91E-5BEC-4677-96AD-A3FACAE93729}">
      <text>
        <t>[Threaded comment]
Your version of Excel allows you to read this threaded comment; however, any edits to it will get removed if the file is opened in a newer version of Excel. Learn more: https://go.microsoft.com/fwlink/?linkid=870924
Comment:
    @Suresh Murjani please update this table for F&amp;A O2C flow</t>
      </text>
    </comment>
    <comment ref="B1" authorId="1" shapeId="0" xr:uid="{02F91C9E-6D9B-47A3-A00B-9B86696128D6}">
      <text>
        <t>[Threaded comment]
Your version of Excel allows you to read this threaded comment; however, any edits to it will get removed if the file is opened in a newer version of Excel. Learn more: https://go.microsoft.com/fwlink/?linkid=870924
Comment:
    @Drew Henson @Yogesh Sarkhot for reviewing Potential solutions and Impact for F&amp;A scope</t>
      </text>
    </comment>
  </commentList>
</comments>
</file>

<file path=xl/sharedStrings.xml><?xml version="1.0" encoding="utf-8"?>
<sst xmlns="http://schemas.openxmlformats.org/spreadsheetml/2006/main" count="649" uniqueCount="372">
  <si>
    <t>Travelers - Current Supplier Data Collection</t>
  </si>
  <si>
    <t>Current FTE Size - Offshored</t>
  </si>
  <si>
    <t>Functions Offshored</t>
  </si>
  <si>
    <r>
      <t>LOBs</t>
    </r>
    <r>
      <rPr>
        <b/>
        <sz val="8"/>
        <color theme="3" tint="0.89999084444715716"/>
        <rFont val="Aptos Narrow"/>
        <family val="2"/>
        <scheme val="minor"/>
      </rPr>
      <t xml:space="preserve"> 
(Auto, Prop, WC, Specialty, Prop.,etc.)</t>
    </r>
  </si>
  <si>
    <r>
      <t xml:space="preserve">Tasks/Processes 
</t>
    </r>
    <r>
      <rPr>
        <b/>
        <sz val="8"/>
        <color theme="3" tint="0.89999084444715716"/>
        <rFont val="Aptos Narrow"/>
        <family val="2"/>
        <scheme val="minor"/>
      </rPr>
      <t>(FNOL, Letters, Indexing, Loss Runs, File Closure, etc.)</t>
    </r>
  </si>
  <si>
    <t>Supplier Delivery Location (s)</t>
  </si>
  <si>
    <r>
      <t xml:space="preserve">Current Commercial Construct
 </t>
    </r>
    <r>
      <rPr>
        <b/>
        <sz val="8"/>
        <color theme="3" tint="0.89999084444715716"/>
        <rFont val="Aptos Narrow"/>
        <family val="2"/>
        <scheme val="minor"/>
      </rPr>
      <t>(FTE, Outcome, TBP)</t>
    </r>
  </si>
  <si>
    <t>FTE Rates (Annual)</t>
  </si>
  <si>
    <t>Any delivery issues/pain points?</t>
  </si>
  <si>
    <t>Current Transformation Initiatives</t>
  </si>
  <si>
    <t>Genpact</t>
  </si>
  <si>
    <t>950-1000</t>
  </si>
  <si>
    <t>- Policy Servicing
- Claims
- F&amp;A</t>
  </si>
  <si>
    <t>All lines</t>
  </si>
  <si>
    <t>State Filing, EDI Filing, Average Weekly wage, Mileage calculations and payments, Cat Modeling, MRS</t>
  </si>
  <si>
    <t>- GGN
- Noida
- Bangalore
- Hyderabad</t>
  </si>
  <si>
    <t xml:space="preserve">FTE based </t>
  </si>
  <si>
    <t xml:space="preserve">~$25K-$26K </t>
  </si>
  <si>
    <t>- Some operational challenges for Canada work
- Delivery issues in a small area within BI</t>
  </si>
  <si>
    <t>- Legacy systems
- Not much transformation done with/by the supplier</t>
  </si>
  <si>
    <t>Cognizant</t>
  </si>
  <si>
    <t>- Business Insurance
- Personal Insurance
- Claims</t>
  </si>
  <si>
    <t>- Claims WC and GL - Clinical (BO and Voice) - All PHP, not India
- BI Select and Middle market (BO - Across the value chain)
- PI : Across the value chain</t>
  </si>
  <si>
    <t xml:space="preserve">- MBR, Coding, WC activities
- Provider Inquiry Center, MTA (USRNs, PHRNs)
- Personal Lines - (ASO) Agency Support Operations (Voice work) (complex voice work with customer and agent interactions </t>
  </si>
  <si>
    <t>- Pune
- Noida
- Manila
- Cebu</t>
  </si>
  <si>
    <t>$19K-$24K (BO)
$27K-$33K (Voice)
$~44K (ASO)</t>
  </si>
  <si>
    <t>- None. Overall very pleased with service delivery.</t>
  </si>
  <si>
    <t>WNS</t>
  </si>
  <si>
    <t>Claims Subrogation:  ~25
Others - Not Available</t>
  </si>
  <si>
    <t>- Claims Subrogation
- Some small number of Select and Middle Market BO tasks</t>
  </si>
  <si>
    <t>Auto, Property, WC, GL</t>
  </si>
  <si>
    <t>- Pune</t>
  </si>
  <si>
    <t>G</t>
  </si>
  <si>
    <t>Cogni</t>
  </si>
  <si>
    <t xml:space="preserve">Policy </t>
  </si>
  <si>
    <t>BI</t>
  </si>
  <si>
    <t>Claims</t>
  </si>
  <si>
    <t>F&amp;A</t>
  </si>
  <si>
    <t>PI</t>
  </si>
  <si>
    <t>1000 FTE</t>
  </si>
  <si>
    <t>Contact Center</t>
  </si>
  <si>
    <t>PL</t>
  </si>
  <si>
    <t>Med</t>
  </si>
  <si>
    <t>BO</t>
  </si>
  <si>
    <t>40% Medical</t>
  </si>
  <si>
    <t>CL</t>
  </si>
  <si>
    <r>
      <rPr>
        <b/>
        <sz val="11"/>
        <color theme="1"/>
        <rFont val="Aptos Narrow"/>
        <family val="2"/>
        <scheme val="minor"/>
      </rPr>
      <t>CLAIMS MANAGEMENT</t>
    </r>
    <r>
      <rPr>
        <sz val="11"/>
        <color theme="1"/>
        <rFont val="Aptos Narrow"/>
        <family val="2"/>
        <scheme val="minor"/>
      </rPr>
      <t xml:space="preserve"> The Company’s claim functions are managed through its Claims Services organization, with locations in the United States and in the other countries where it does business. </t>
    </r>
    <r>
      <rPr>
        <b/>
        <u/>
        <sz val="11"/>
        <color theme="1"/>
        <rFont val="Aptos Narrow"/>
        <family val="2"/>
        <scheme val="minor"/>
      </rPr>
      <t>With approximately 12,500 employees</t>
    </r>
    <r>
      <rPr>
        <sz val="11"/>
        <color theme="1"/>
        <rFont val="Aptos Narrow"/>
        <family val="2"/>
        <scheme val="minor"/>
      </rPr>
      <t>, Claims Services employs a group of professionals with diverse skills, including claim adjusters, appraisers, attorneys, investigators, engineers, accountants, nurses, data and analytics professionals, system specialists and training, management and support personnel. Approved external service providers, such as investigators, attorneys and, when necessary, independent adjusters and appraisers, are available for use as appropriate.</t>
    </r>
  </si>
  <si>
    <t>Travelers 2023 Annual Report</t>
  </si>
  <si>
    <t>13000 per 2022 report</t>
  </si>
  <si>
    <t>Total Adjusters</t>
  </si>
  <si>
    <t>WC Line Mix</t>
  </si>
  <si>
    <t>per industry stds</t>
  </si>
  <si>
    <t>WC Adjuster Ratio</t>
  </si>
  <si>
    <t>Non WC Mix</t>
  </si>
  <si>
    <t>Non WC adjuster</t>
  </si>
  <si>
    <r>
      <t xml:space="preserve">An </t>
    </r>
    <r>
      <rPr>
        <b/>
        <sz val="11"/>
        <color theme="1"/>
        <rFont val="Aptos Narrow"/>
        <family val="2"/>
        <scheme val="minor"/>
      </rPr>
      <t>Underwriting function</t>
    </r>
    <r>
      <rPr>
        <sz val="11"/>
        <color theme="1"/>
        <rFont val="Aptos Narrow"/>
        <family val="2"/>
        <scheme val="minor"/>
      </rPr>
      <t xml:space="preserve"> of approximately </t>
    </r>
    <r>
      <rPr>
        <b/>
        <sz val="11"/>
        <color theme="1"/>
        <rFont val="Aptos Narrow"/>
        <family val="2"/>
        <scheme val="minor"/>
      </rPr>
      <t>4,200 people</t>
    </r>
    <r>
      <rPr>
        <sz val="11"/>
        <color theme="1"/>
        <rFont val="Aptos Narrow"/>
        <family val="2"/>
        <scheme val="minor"/>
      </rPr>
      <t xml:space="preserve">, with an average tenure at Travelers of 12.5 years, supported by </t>
    </r>
    <r>
      <rPr>
        <b/>
        <sz val="11"/>
        <color theme="1"/>
        <rFont val="Aptos Narrow"/>
        <family val="2"/>
        <scheme val="minor"/>
      </rPr>
      <t>4,000+</t>
    </r>
    <r>
      <rPr>
        <sz val="11"/>
        <color theme="1"/>
        <rFont val="Aptos Narrow"/>
        <family val="2"/>
        <scheme val="minor"/>
      </rPr>
      <t xml:space="preserve">
operations specialists across 70+ locations.</t>
    </r>
  </si>
  <si>
    <t>https://asset.trvstatic.com/download/assets/travelers_sustainabilityreport2019.pdf/7314eedcb97011ef9833be9c826b7e85?utm_source=chatgpt.com</t>
  </si>
  <si>
    <t>Total UW</t>
  </si>
  <si>
    <t>small</t>
  </si>
  <si>
    <t xml:space="preserve">mid </t>
  </si>
  <si>
    <t>large</t>
  </si>
  <si>
    <t>Total Support Staff</t>
  </si>
  <si>
    <r>
      <rPr>
        <b/>
        <sz val="11"/>
        <color theme="1"/>
        <rFont val="Aptos Narrow"/>
        <family val="2"/>
        <scheme val="minor"/>
      </rPr>
      <t>F&amp;A</t>
    </r>
    <r>
      <rPr>
        <sz val="11"/>
        <color theme="1"/>
        <rFont val="Aptos Narrow"/>
        <family val="2"/>
        <scheme val="minor"/>
      </rPr>
      <t xml:space="preserve"> - Roughly 6%-8% of the P&amp;C Carrier workforce</t>
    </r>
  </si>
  <si>
    <t>Total TRV Staff</t>
  </si>
  <si>
    <t>OFFSHORE (G and Cogni)</t>
  </si>
  <si>
    <t>Total</t>
  </si>
  <si>
    <t>SPLIT of Onshore vs Offshore</t>
  </si>
  <si>
    <t xml:space="preserve">Onshore </t>
  </si>
  <si>
    <t>Outsourced</t>
  </si>
  <si>
    <t xml:space="preserve">Workflow 1 - NB UW </t>
  </si>
  <si>
    <t>Middle+Large</t>
  </si>
  <si>
    <t>Workflow 2 - Renewal</t>
  </si>
  <si>
    <t>Workflow 3 - Policy Servicing</t>
  </si>
  <si>
    <t>Personal+Large</t>
  </si>
  <si>
    <t>Workflow 4 - Claim NWC</t>
  </si>
  <si>
    <t>Workflow 5 - Claim WC</t>
  </si>
  <si>
    <t>Workflow 6 - GL Accounting</t>
  </si>
  <si>
    <t>Workflow 7 - F&amp;A O2C</t>
  </si>
  <si>
    <t>Offshore</t>
  </si>
  <si>
    <t>UW</t>
  </si>
  <si>
    <t>UT</t>
  </si>
  <si>
    <t>Adjuster</t>
  </si>
  <si>
    <t>F&amp;A Role</t>
  </si>
  <si>
    <t>Onshore Ranges</t>
  </si>
  <si>
    <t>Low (FTE)</t>
  </si>
  <si>
    <t>High (FTE)</t>
  </si>
  <si>
    <t>Low ($$)</t>
  </si>
  <si>
    <t>High ($$)</t>
  </si>
  <si>
    <t>Offshore Ranges</t>
  </si>
  <si>
    <t>Sum Onshore + Offshore</t>
  </si>
  <si>
    <t>Location</t>
  </si>
  <si>
    <t>LOB</t>
  </si>
  <si>
    <t>Process Name</t>
  </si>
  <si>
    <t>Primary Shift</t>
  </si>
  <si>
    <t>Process Description</t>
  </si>
  <si>
    <t>FTE</t>
  </si>
  <si>
    <t>Noida</t>
  </si>
  <si>
    <t>Financial Operations</t>
  </si>
  <si>
    <t>PASC Support</t>
  </si>
  <si>
    <t>12:30 PM - 09:30 PM</t>
  </si>
  <si>
    <t xml:space="preserve">Premium Audit Service Center (PASC) </t>
  </si>
  <si>
    <t xml:space="preserve">LSRM </t>
  </si>
  <si>
    <t xml:space="preserve">Booked vs. Billed Reconciliation (BvB) </t>
  </si>
  <si>
    <t>ABO - PSPT</t>
  </si>
  <si>
    <t xml:space="preserve">ABO - First Party Resolution </t>
  </si>
  <si>
    <t>ABO - Filler Tasks</t>
  </si>
  <si>
    <t xml:space="preserve">ABO- Premium Statements </t>
  </si>
  <si>
    <t xml:space="preserve">ABO - Account Current Keying </t>
  </si>
  <si>
    <t xml:space="preserve">ABO - Remittance Advice Keying </t>
  </si>
  <si>
    <t xml:space="preserve">ABO - Payment Reconciliation </t>
  </si>
  <si>
    <t xml:space="preserve">ABO - Payment Application </t>
  </si>
  <si>
    <t xml:space="preserve">ABO - Account Current Reconciliation </t>
  </si>
  <si>
    <t>Sum of FTE</t>
  </si>
  <si>
    <t>Business Insurance</t>
  </si>
  <si>
    <t>Business Insurance - Select</t>
  </si>
  <si>
    <t>Personal Insurance</t>
  </si>
  <si>
    <t>Grand Total</t>
  </si>
  <si>
    <t>RMD Service Center</t>
  </si>
  <si>
    <t>02:30 PM - 02:30 AM</t>
  </si>
  <si>
    <t>FOS</t>
  </si>
  <si>
    <t>BI Underwriting Suppport Phase 1</t>
  </si>
  <si>
    <t>2:30 PM - 04:30 AM</t>
  </si>
  <si>
    <t>Pune</t>
  </si>
  <si>
    <t>Account Clearing</t>
  </si>
  <si>
    <t>12:30 PM - 06:30 AM</t>
  </si>
  <si>
    <t>PAC</t>
  </si>
  <si>
    <t>Policy Admin</t>
  </si>
  <si>
    <t>NBS</t>
  </si>
  <si>
    <t>BIP</t>
  </si>
  <si>
    <t>Endorsement</t>
  </si>
  <si>
    <t>The process at EXL involves issuance of the change requested by marketing for WG8 policies as per the change endorsement template saved in virtual workstation. As per the request we process endorsement transaction. Each transaction is reviewed to determine if all necessary information was provided, and additional data is requested from the Account Managers. While processing the processor researches with the help of Electronic Policy Warehouse (EPW), HOST, Information &amp; Procedures Matrix, C&amp;S library and Product Catalog. Post that, necessary data is entered from the endorsement request template, and the endorsement change committed in Service Center Workstation issuance systems.
EXL processes Non-Premium and Premium bearing endorsements for New Business and Renewal policies.</t>
  </si>
  <si>
    <t>Renewal</t>
  </si>
  <si>
    <t xml:space="preserve">  </t>
  </si>
  <si>
    <t>Audit Endorsement</t>
  </si>
  <si>
    <t>Indexing</t>
  </si>
  <si>
    <t>DCS</t>
  </si>
  <si>
    <t>Claim Ops E Fax</t>
  </si>
  <si>
    <t>02:30 PM - 08:30 AM</t>
  </si>
  <si>
    <t>FSA1</t>
  </si>
  <si>
    <t>4:30 PM- 02:30 AM</t>
  </si>
  <si>
    <t>Claim AWW</t>
  </si>
  <si>
    <t>12:30 PM - 10:30 PM</t>
  </si>
  <si>
    <t>Claims JCC/Medicare</t>
  </si>
  <si>
    <t>Claim Non MBR</t>
  </si>
  <si>
    <t>Claim QM</t>
  </si>
  <si>
    <t>Claim- State Filing</t>
  </si>
  <si>
    <t>5:30 PM - 05:30 AM</t>
  </si>
  <si>
    <t>Claim Legal -CLMRS</t>
  </si>
  <si>
    <t>Clam legal - CDRS</t>
  </si>
  <si>
    <t>Medical Bill Entry</t>
  </si>
  <si>
    <t>10:30 AM - 19:30 PM</t>
  </si>
  <si>
    <t>Subrogation Collections</t>
  </si>
  <si>
    <t>Risk Control</t>
  </si>
  <si>
    <t>Subrogation STEP</t>
  </si>
  <si>
    <t>05:30 PM - 02:30 AM</t>
  </si>
  <si>
    <t>Subrogation NOL</t>
  </si>
  <si>
    <t>04:30 PM - 01:30 AM</t>
  </si>
  <si>
    <t>CCS Efax NOL</t>
  </si>
  <si>
    <t>08:30 PM - 05:30 AM</t>
  </si>
  <si>
    <t>Ops Efax Pune</t>
  </si>
  <si>
    <t>8:30 PM - 05:30 AM</t>
  </si>
  <si>
    <t>Special Projects</t>
  </si>
  <si>
    <t>12:45 PM - 02:30 AM</t>
  </si>
  <si>
    <t>Underwriting Support</t>
  </si>
  <si>
    <t>12:45 PM - 09:45 PM</t>
  </si>
  <si>
    <t>Book Transfer</t>
  </si>
  <si>
    <t>Policy Change</t>
  </si>
  <si>
    <t>08:30 AM - 05:30 AM</t>
  </si>
  <si>
    <t>Policy Cancels</t>
  </si>
  <si>
    <t>11:00 PM - 8:00 AM</t>
  </si>
  <si>
    <t>New Business</t>
  </si>
  <si>
    <t>08:30 AM - 03:30 AM</t>
  </si>
  <si>
    <t>Marine AP</t>
  </si>
  <si>
    <t>Agency Audit</t>
  </si>
  <si>
    <t>Miscellaneous Transactions</t>
  </si>
  <si>
    <t>QAP</t>
  </si>
  <si>
    <t>Indexing - PI</t>
  </si>
  <si>
    <t>12:45 PM - 10:30 PM</t>
  </si>
  <si>
    <t>Shared Services or UW</t>
  </si>
  <si>
    <t>SS</t>
  </si>
  <si>
    <t>Submission Intake</t>
  </si>
  <si>
    <t>UW Risk Review</t>
  </si>
  <si>
    <t>Coverage Structuring</t>
  </si>
  <si>
    <t>Pricing /Rating</t>
  </si>
  <si>
    <t>UW Documentation</t>
  </si>
  <si>
    <t>Quote Generation</t>
  </si>
  <si>
    <t xml:space="preserve">Bind </t>
  </si>
  <si>
    <t>Issuance</t>
  </si>
  <si>
    <t>Steps</t>
  </si>
  <si>
    <t>Validate business class
Pre-fill data using external sources
Check eligibility and appetite
Assign to underwriter queue if referral</t>
  </si>
  <si>
    <t>Business operations
Loss history
Location exposures
Financial indicators
Insurance history</t>
  </si>
  <si>
    <t>Coverage parameters
Limits
Deductibles
Endorsements
Sublimits
exclusions if needed</t>
  </si>
  <si>
    <t>Input exposures
Apply classification codes
Adjust rating variables</t>
  </si>
  <si>
    <t>Typical documentation includes:
Risk summary
Loss analysis
Appetite rationale
Pricing justification
Coverage decisions
Any exceptions to guidelines</t>
  </si>
  <si>
    <t>The system generates a formal quote proposal that includes:
Premium
Coverage summary
limits and deductibles
optional endorsements
The quote is sent to the agent/broker.</t>
  </si>
  <si>
    <t>Binding triggers:
policy number creation
coverage effective</t>
  </si>
  <si>
    <t>generate policy documents
issue declarations
send to agent/insured</t>
  </si>
  <si>
    <t>Friction Points</t>
  </si>
  <si>
    <t>Incomplete submissions:
Missing ACORD forms
No loss runs
Missing property details (construction, protection class, SOV)
Unstructured data:
emails
PDFs
scanned applications
spreadsheets
Broker variability
Every broker sends information differently.
High volume
Underwriters may receive dozens of submissions daily, making intake triage difficult.
Duplicate submissions
Same account marketed to multiple underwriters in the company.</t>
  </si>
  <si>
    <t>Manual appetite matching
Underwriter must compare risk vs internal appetite guidelines.
Guideline complexity
Appetite rules may be buried in:
manuals
internal PDFs
underwriting bulletins.</t>
  </si>
  <si>
    <t>Determining correct forms and endorsements can be complex.
State regulatory differences
Forms differ by state regulations.
Manual policy customization
Determining exclusions
adding manuscript endorsements</t>
  </si>
  <si>
    <t>Manual data entry
Exposure information must be entered into rating systems.
Rating errors
Manual inputs increase risk of mistakes.</t>
  </si>
  <si>
    <t>Time-consuming documentation
Compliance requires detailed underwriting notes.
Audit pressure
Internal audits require clear justification for pricing decisions.
Duplicate work
Underwriters often enter the same information in multiple systems.</t>
  </si>
  <si>
    <t>Manual proposal creation
Building broker proposals may require:
compiling quotes
formatting documents
summarizing coverages
Version control
Multiple quote revisions may circulate.
Coordination with brokers
Frequent back-and-forth communications.</t>
  </si>
  <si>
    <t>Data reentry
Policy teams may re-enter information into policy systems.
Documentation errors
Incorrect forms or limits may be issued.</t>
  </si>
  <si>
    <t>ACORD application(s)
Loss runs (3–5 years)
Statement of values (if property)
Supplemental applications (class specific)
Target premium / requested effective date
Details on operations, payroll, sales, vehicles, etc.</t>
  </si>
  <si>
    <t>Manual data validation
Checking:
addresses
building age
protection class
revenue/payroll
External research required
Underwriters may need to check:
websites
Google Maps
business filings
inspection reports
Inconsistent data
Application vs loss runs vs broker emails may not match.</t>
  </si>
  <si>
    <t>Potential Solutions - 1</t>
  </si>
  <si>
    <t>EXL UW Assist - Gen AI powered</t>
  </si>
  <si>
    <r>
      <rPr>
        <b/>
        <sz val="11"/>
        <color theme="1"/>
        <rFont val="Aptos Narrow"/>
        <family val="2"/>
        <scheme val="minor"/>
      </rPr>
      <t>Data Processing</t>
    </r>
    <r>
      <rPr>
        <sz val="11"/>
        <color theme="1"/>
        <rFont val="Aptos Narrow"/>
        <family val="2"/>
        <scheme val="minor"/>
      </rPr>
      <t xml:space="preserve"> : AI powered automated processing of unstructured submission documents (Emails, SOVs, Loss Runs, Financial Statements, Schedules)
Extraction of relevant information required for Submission logging and quoting
</t>
    </r>
    <r>
      <rPr>
        <b/>
        <sz val="11"/>
        <color theme="1"/>
        <rFont val="Aptos Narrow"/>
        <family val="2"/>
        <scheme val="minor"/>
      </rPr>
      <t xml:space="preserve">Data Enrichment : </t>
    </r>
    <r>
      <rPr>
        <sz val="11"/>
        <color theme="1"/>
        <rFont val="Aptos Narrow"/>
        <family val="2"/>
        <scheme val="minor"/>
      </rPr>
      <t xml:space="preserve">Data enrichment from external sources, Data validation against internal (PAS, CRM etc.) and external systems (Geo coding, AIR codes etc.)
</t>
    </r>
    <r>
      <rPr>
        <b/>
        <sz val="11"/>
        <color theme="1"/>
        <rFont val="Aptos Narrow"/>
        <family val="2"/>
        <scheme val="minor"/>
      </rPr>
      <t xml:space="preserve">Risk Insights: </t>
    </r>
    <r>
      <rPr>
        <sz val="11"/>
        <color theme="1"/>
        <rFont val="Aptos Narrow"/>
        <family val="2"/>
        <scheme val="minor"/>
      </rPr>
      <t xml:space="preserve">Embedded decision models to prioritize and triage submissions, LLM powered risk summary, Pre-configured Gen AI prompts for risk insights
Integration with claims and policy systems for portfolio level insights
</t>
    </r>
    <r>
      <rPr>
        <b/>
        <sz val="11"/>
        <color theme="1"/>
        <rFont val="Aptos Narrow"/>
        <family val="2"/>
        <scheme val="minor"/>
      </rPr>
      <t xml:space="preserve">Workflow: </t>
    </r>
    <r>
      <rPr>
        <sz val="11"/>
        <color theme="1"/>
        <rFont val="Aptos Narrow"/>
        <family val="2"/>
        <scheme val="minor"/>
      </rPr>
      <t xml:space="preserve">Comprehensive workflow for Underwriters with built in business rules and validations, Integration with rating systems for seamless transfer of clean and enriched data for pricing purpose
</t>
    </r>
    <r>
      <rPr>
        <b/>
        <sz val="11"/>
        <color theme="1"/>
        <rFont val="Aptos Narrow"/>
        <family val="2"/>
        <scheme val="minor"/>
      </rPr>
      <t xml:space="preserve">Knowledge Management: </t>
    </r>
    <r>
      <rPr>
        <sz val="11"/>
        <color theme="1"/>
        <rFont val="Aptos Narrow"/>
        <family val="2"/>
        <scheme val="minor"/>
      </rPr>
      <t>Embedded knowledge management including proactive nudges (Next Best Action Recommendations)</t>
    </r>
  </si>
  <si>
    <t>Potential Solutions -2</t>
  </si>
  <si>
    <t>Agentic AI led UW Assist</t>
  </si>
  <si>
    <r>
      <rPr>
        <b/>
        <sz val="11"/>
        <color theme="1"/>
        <rFont val="Aptos Narrow"/>
        <family val="2"/>
        <scheme val="minor"/>
      </rPr>
      <t>Ingestion Agent</t>
    </r>
    <r>
      <rPr>
        <sz val="11"/>
        <color theme="1"/>
        <rFont val="Aptos Narrow"/>
        <family val="2"/>
        <scheme val="minor"/>
      </rPr>
      <t>: Extract submission information</t>
    </r>
  </si>
  <si>
    <r>
      <t xml:space="preserve">Data Validation Agent : </t>
    </r>
    <r>
      <rPr>
        <sz val="11"/>
        <color theme="1"/>
        <rFont val="Aptos Narrow"/>
        <family val="2"/>
        <scheme val="minor"/>
      </rPr>
      <t>Validate and communicate missing information</t>
    </r>
    <r>
      <rPr>
        <b/>
        <sz val="11"/>
        <color theme="1"/>
        <rFont val="Aptos Narrow"/>
        <family val="2"/>
        <scheme val="minor"/>
      </rPr>
      <t xml:space="preserve">
Risk Summarization Agent: </t>
    </r>
    <r>
      <rPr>
        <sz val="11"/>
        <color theme="1"/>
        <rFont val="Aptos Narrow"/>
        <family val="2"/>
        <scheme val="minor"/>
      </rPr>
      <t xml:space="preserve">Summarizes risk from submission documents and third-party datasets
</t>
    </r>
    <r>
      <rPr>
        <b/>
        <sz val="11"/>
        <color theme="1"/>
        <rFont val="Aptos Narrow"/>
        <family val="2"/>
        <scheme val="minor"/>
      </rPr>
      <t xml:space="preserve">Prioritization Agent: </t>
    </r>
    <r>
      <rPr>
        <sz val="11"/>
        <color theme="1"/>
        <rFont val="Aptos Narrow"/>
        <family val="2"/>
        <scheme val="minor"/>
      </rPr>
      <t xml:space="preserve">Take decision to accept/ decline/ prioritize risk </t>
    </r>
  </si>
  <si>
    <r>
      <t xml:space="preserve">Quote Agent: </t>
    </r>
    <r>
      <rPr>
        <sz val="11"/>
        <color theme="1"/>
        <rFont val="Aptos Narrow"/>
        <family val="2"/>
        <scheme val="minor"/>
      </rPr>
      <t>Price assessment and 
create quote based on risk profile</t>
    </r>
  </si>
  <si>
    <r>
      <t xml:space="preserve">Binder Agent: </t>
    </r>
    <r>
      <rPr>
        <sz val="11"/>
        <color theme="1"/>
        <rFont val="Aptos Narrow"/>
        <family val="2"/>
        <scheme val="minor"/>
      </rPr>
      <t>Prepare and send binders</t>
    </r>
  </si>
  <si>
    <t>Business Impact</t>
  </si>
  <si>
    <r>
      <t xml:space="preserve">Reduction in UW expense: </t>
    </r>
    <r>
      <rPr>
        <sz val="11"/>
        <color theme="1"/>
        <rFont val="Aptos Narrow"/>
        <family val="2"/>
        <scheme val="minor"/>
      </rPr>
      <t>20%-25%</t>
    </r>
    <r>
      <rPr>
        <b/>
        <sz val="11"/>
        <color theme="1"/>
        <rFont val="Aptos Narrow"/>
        <family val="2"/>
        <scheme val="minor"/>
      </rPr>
      <t xml:space="preserve">
Better risk identification: </t>
    </r>
    <r>
      <rPr>
        <sz val="11"/>
        <color theme="1"/>
        <rFont val="Aptos Narrow"/>
        <family val="2"/>
        <scheme val="minor"/>
      </rPr>
      <t>20%</t>
    </r>
    <r>
      <rPr>
        <b/>
        <sz val="11"/>
        <color theme="1"/>
        <rFont val="Aptos Narrow"/>
        <family val="2"/>
        <scheme val="minor"/>
      </rPr>
      <t xml:space="preserve">
Uplift in GWP: </t>
    </r>
    <r>
      <rPr>
        <sz val="11"/>
        <color theme="1"/>
        <rFont val="Aptos Narrow"/>
        <family val="2"/>
        <scheme val="minor"/>
      </rPr>
      <t>0.3% - 0.5%</t>
    </r>
    <r>
      <rPr>
        <b/>
        <sz val="11"/>
        <color theme="1"/>
        <rFont val="Aptos Narrow"/>
        <family val="2"/>
        <scheme val="minor"/>
      </rPr>
      <t xml:space="preserve">
Improved cycle time: </t>
    </r>
    <r>
      <rPr>
        <sz val="11"/>
        <color theme="1"/>
        <rFont val="Aptos Narrow"/>
        <family val="2"/>
        <scheme val="minor"/>
      </rPr>
      <t>25%-30%</t>
    </r>
    <r>
      <rPr>
        <b/>
        <sz val="11"/>
        <color theme="1"/>
        <rFont val="Aptos Narrow"/>
        <family val="2"/>
        <scheme val="minor"/>
      </rPr>
      <t xml:space="preserve">
</t>
    </r>
  </si>
  <si>
    <t>Personal Lines</t>
  </si>
  <si>
    <t>Highly Automated</t>
  </si>
  <si>
    <t>Commercial - Select</t>
  </si>
  <si>
    <t>Partially Automated with excepts reviewed by UW</t>
  </si>
  <si>
    <t>Commercial - Middle Large</t>
  </si>
  <si>
    <t>UW driven (Focus Area)</t>
  </si>
  <si>
    <t>Renewal Identification</t>
  </si>
  <si>
    <t>Exposure and Data Collection</t>
  </si>
  <si>
    <t>Loss Experience,Risk Assessment and Underwriting Review</t>
  </si>
  <si>
    <t>Broker Negotiation / Marketing</t>
  </si>
  <si>
    <t>renewal list generation
account prioritization
assignment to underwriter or renewal team.</t>
  </si>
  <si>
    <t>Renewal Solicitation</t>
  </si>
  <si>
    <t>Determining the right prioritization, often based on very rigid rules</t>
  </si>
  <si>
    <t>Manual  data gathering, limited use of refreshed thrird party data</t>
  </si>
  <si>
    <t>Loss review, exposure comparisons, and pricing often rely on manual analysis.
Limited insight into overall account (# of lines) because of fragmented systems
Underwriters frequently create manual summaries such as:
loss trend summaries
claim severity explanations.</t>
  </si>
  <si>
    <t>Potential Solutions</t>
  </si>
  <si>
    <t>Metric Impacted</t>
  </si>
  <si>
    <t>Hypothesis</t>
  </si>
  <si>
    <t>email is not the dominant servicing channel
digital self-service + call centers handle the majority of requests.</t>
  </si>
  <si>
    <t>Personal lines → consumer self-service → low document request volume</t>
  </si>
  <si>
    <t>High Volume--&gt;Contact Center</t>
  </si>
  <si>
    <t>Most Agents have the ability to do endorsements, however we continue to see large email volumes because of 
workflows are semi-structured
requests often involve documents
agents want human confirmation</t>
  </si>
  <si>
    <t>Small commercial → agent-driven → moderate document volume</t>
  </si>
  <si>
    <t>Manual- with requests received through emails</t>
  </si>
  <si>
    <t>Middle market / large commercial → broker-driven contractual ecosystem → very high document volume</t>
  </si>
  <si>
    <t>Policy Servicing</t>
  </si>
  <si>
    <t>Endorsements/Cancellations</t>
  </si>
  <si>
    <t>Document Generation</t>
  </si>
  <si>
    <t>Policy Enquiry/Billing and Payment Inquiry</t>
  </si>
  <si>
    <t xml:space="preserve">Request Intake &amp; Classification, Request review to validate 
Policy &amp; Coverage, gather missing information, Check for Underwriting Rules and route for UW review if needed; process endorsement on the policy admin system, send updated policy document 
</t>
  </si>
  <si>
    <t>Certificates of Insurance (COI), Loss Runs, Policy Copies, Certificates of Waiver of Subrogation / Additional Insured</t>
  </si>
  <si>
    <t xml:space="preserve"> 1. Email-driven workflow
2. Manual Triage
3. Missing information
4. Manual policy validation and data Entry
5. Underwriting handoffs
6. Compliance risk if endorsements are processed incorrectly</t>
  </si>
  <si>
    <t>they consume significant servicing resources
they slow response times to brokers
they create operational costs without generating revenue</t>
  </si>
  <si>
    <t>Several specialized agents orchestrated across the workflow.</t>
  </si>
  <si>
    <t>billing inquiry assistants
automated payment plan setup
invoice explanation.</t>
  </si>
  <si>
    <t>Investigation and Compensability Determination</t>
  </si>
  <si>
    <t>Medical and Indemnity Management</t>
  </si>
  <si>
    <t>WC Claims</t>
  </si>
  <si>
    <t xml:space="preserve">FNOL and Intake </t>
  </si>
  <si>
    <t>Claim Triage &amp; Severity Assessment</t>
  </si>
  <si>
    <t>Investigation</t>
  </si>
  <si>
    <t>Compensability Decision</t>
  </si>
  <si>
    <t>Medical Management</t>
  </si>
  <si>
    <t>Indemnity Management</t>
  </si>
  <si>
    <t>Return-to-Work (RTW)</t>
  </si>
  <si>
    <t>Litigation / Dispute Management</t>
  </si>
  <si>
    <t>Settlement &amp; Resolution</t>
  </si>
  <si>
    <t>Subrogation</t>
  </si>
  <si>
    <t>Claim Closure</t>
  </si>
  <si>
    <t>• Employer/Agent/Dr. reports injury (Portal/Fax/phone/email)
• Capture employee information
• Capture injury details (date, time, location, body part &amp; cause etc.)
• Record witnesses
• Generate claim number
• Create claim record in system
• Send acknowledgement</t>
  </si>
  <si>
    <t>• Verify policy coverage
• Confirm employer and jurisdiction
• Claim Coding
• Assign claims adjuster
• Create claim file
• Establish initial reserves
• Generate initial communications</t>
  </si>
  <si>
    <t>• Assess injury severity
• Classify medical-only vs lost-time claim
• Identify catastrophic injuries
• Apply triage rules
• Assign nurse case manager if needed</t>
  </si>
  <si>
    <t>• Contact &amp; collect injured worker statement
• Contact &amp; collect employer/ supervisor statement
• Interview witnesses
• Collect incident reports
• Verify employment status
• Review safety records
• Obtain medical records</t>
  </si>
  <si>
    <t>• Review investigation findings
• Evaluate medical evidence
• Confirm work-related injury
• Apply state regulations
• Review medical bills (CPT, ICD codes to make paymnt to medical provider)
• Approve or deny claim
• Issue decision letters</t>
  </si>
  <si>
    <t>• Assign nurse case manager
• Authorize treatments
• Monitor treatment plans
• Request IME if required
• Track recovery progress</t>
  </si>
  <si>
    <t xml:space="preserve">• Calculate Average Weekly Wage (AWW)
• Determine benefit eligibility
• Initiate disability payments
• Process ongoing payments
• Adjust payments during recovery
• State Forms and filing, injured worker communication </t>
  </si>
  <si>
    <t>• Monitor medical restrictions
• Coordinate modified duty with employer
• Track recovery timeline
• Communicate with HR and worker
• Arrange vocational rehabilitation if needed</t>
  </si>
  <si>
    <t>• Assign defense attorney
• File legal responses
• Prepare case documents
• Conduct discovery
• Attend hearings
• Negotiate settlements</t>
  </si>
  <si>
    <t>• Evaluate claim exposure
• Negotiate settlement amount
• Draft settlement agreement
• Obtain regulatory approval
• Issue settlement payment</t>
  </si>
  <si>
    <t>• Identify third-party liability
• Investigate responsibility
• Notify third party
• File recovery claim
• Coordinate legal recovery
• Recover funds</t>
  </si>
  <si>
    <t>• Confirm treatment completed
• Confirm payments completed
• Close reserves
• Archive documentation
• Submit final regulatory reports
• Close claim in system</t>
  </si>
  <si>
    <t>• Incomplete injury details
• Late reporting by Employer/Agent/Dr.
• Missing employee information
• Manual data entry errors
• Duplicate claim submissions</t>
  </si>
  <si>
    <t>• Coverage verification delays
• Incorrect claim coding
• Adjuster assignment delays
• Missing regulatory information</t>
  </si>
  <si>
    <t>• Insufficient injury details
• Misclassification of severity
• Delayed triage evaluation</t>
  </si>
  <si>
    <t>• Unresponsive parties
• Missing documentation
• Conflicting statements
• Delays in medical records</t>
  </si>
  <si>
    <t>• Insufficient medical evidence
• Conflicting witness reports
• Regulatory deadlines
• Employee or employer disputes</t>
  </si>
  <si>
    <t>• Delayed medical reports
• Unauthorized treatments
• Disputes over medical necessity
• Provider network issues</t>
  </si>
  <si>
    <t>• Incorrect wage data
• Payroll documentation delays
• Payment calculation errors
• Overpayment issues</t>
  </si>
  <si>
    <t>• Employer cannot provide modified duty
• Worker refusal to return
• Disputes over restrictions</t>
  </si>
  <si>
    <t>• Court scheduling delays
• Incomplete documentation
• Legal complexity across states</t>
  </si>
  <si>
    <t>• Settlement disagreements
• Delays in medical closure
• Regulatory approval delays</t>
  </si>
  <si>
    <t>• Insufficient liability evidence
• Third-party disputes
• Legal delays
• Statute of limitations</t>
  </si>
  <si>
    <t>• Outstanding medical bills
• Pending litigation
• Incomplete documentation</t>
  </si>
  <si>
    <t> </t>
  </si>
  <si>
    <t>New Business - Select</t>
  </si>
  <si>
    <t>FNOL and Intake</t>
  </si>
  <si>
    <t>Coverage Review</t>
  </si>
  <si>
    <t>Investigation &amp; Liability Determination</t>
  </si>
  <si>
    <t>Loss Evaluation</t>
  </si>
  <si>
    <t>Negotiation</t>
  </si>
  <si>
    <t>Payment</t>
  </si>
  <si>
    <t>Closure</t>
  </si>
  <si>
    <r>
      <rPr>
        <b/>
        <sz val="9"/>
        <color theme="1"/>
        <rFont val="Calibri"/>
        <family val="2"/>
      </rPr>
      <t xml:space="preserve">Capture Claim Notification
</t>
    </r>
    <r>
      <rPr>
        <sz val="9"/>
        <color theme="1"/>
        <rFont val="Calibri"/>
        <family val="2"/>
      </rPr>
      <t xml:space="preserve">Receive loss report and collect initial claim details.
</t>
    </r>
    <r>
      <rPr>
        <b/>
        <sz val="9"/>
        <color theme="1"/>
        <rFont val="Calibri"/>
        <family val="2"/>
      </rPr>
      <t xml:space="preserve">Create Claim Record
</t>
    </r>
    <r>
      <rPr>
        <sz val="9"/>
        <color theme="1"/>
        <rFont val="Calibri"/>
        <family val="2"/>
      </rPr>
      <t xml:space="preserve">Register the claim in the claims management system and generate a claim number.
</t>
    </r>
    <r>
      <rPr>
        <b/>
        <sz val="9"/>
        <color theme="1"/>
        <rFont val="Calibri"/>
        <family val="2"/>
      </rPr>
      <t xml:space="preserve">Initial Information Collection
</t>
    </r>
    <r>
      <rPr>
        <sz val="9"/>
        <color theme="1"/>
        <rFont val="Calibri"/>
        <family val="2"/>
      </rPr>
      <t xml:space="preserve">Gather key loss details, involved parties, and preliminary documentation.
</t>
    </r>
    <r>
      <rPr>
        <b/>
        <sz val="9"/>
        <color theme="1"/>
        <rFont val="Calibri"/>
        <family val="2"/>
      </rPr>
      <t xml:space="preserve">Claim Acknowledgement &amp; Triage Indicators
</t>
    </r>
    <r>
      <rPr>
        <sz val="9"/>
        <color theme="1"/>
        <rFont val="Calibri"/>
        <family val="2"/>
      </rPr>
      <t>Confirm claim receipt and capture initial indicators for complexity or severity.</t>
    </r>
  </si>
  <si>
    <r>
      <rPr>
        <b/>
        <sz val="9"/>
        <color theme="1"/>
        <rFont val="Calibri"/>
        <family val="2"/>
      </rPr>
      <t xml:space="preserve">Policy Verification
</t>
    </r>
    <r>
      <rPr>
        <sz val="9"/>
        <color theme="1"/>
        <rFont val="Calibri"/>
        <family val="2"/>
      </rPr>
      <t xml:space="preserve">Confirm policy status and coverage in force at time of loss.
</t>
    </r>
    <r>
      <rPr>
        <b/>
        <sz val="9"/>
        <color theme="1"/>
        <rFont val="Calibri"/>
        <family val="2"/>
      </rPr>
      <t>Coverage Analysis</t>
    </r>
    <r>
      <rPr>
        <sz val="9"/>
        <color theme="1"/>
        <rFont val="Calibri"/>
        <family val="2"/>
      </rPr>
      <t xml:space="preserve">
Review coverage types, endorsements, exclusions, deductibles, and limits.
</t>
    </r>
    <r>
      <rPr>
        <b/>
        <sz val="9"/>
        <color theme="1"/>
        <rFont val="Calibri"/>
        <family val="2"/>
      </rPr>
      <t xml:space="preserve">Coverage Determination
</t>
    </r>
    <r>
      <rPr>
        <sz val="9"/>
        <color theme="1"/>
        <rFont val="Calibri"/>
        <family val="2"/>
      </rPr>
      <t xml:space="preserve">Determine whether the claim is covered, partially covered, or denied.
</t>
    </r>
    <r>
      <rPr>
        <b/>
        <sz val="9"/>
        <color theme="1"/>
        <rFont val="Calibri"/>
        <family val="2"/>
      </rPr>
      <t xml:space="preserve">Coverage Communication
</t>
    </r>
    <r>
      <rPr>
        <sz val="9"/>
        <color theme="1"/>
        <rFont val="Calibri"/>
        <family val="2"/>
      </rPr>
      <t>Communicate coverage position to the policyholder or claimant.</t>
    </r>
  </si>
  <si>
    <r>
      <rPr>
        <b/>
        <sz val="9"/>
        <color theme="1"/>
        <rFont val="Calibri"/>
        <family val="2"/>
      </rPr>
      <t>Fact Gathering</t>
    </r>
    <r>
      <rPr>
        <sz val="9"/>
        <color theme="1"/>
        <rFont val="Calibri"/>
        <family val="2"/>
      </rPr>
      <t xml:space="preserve">
Collect statements, reports, documentation, and evidence related to the loss.
</t>
    </r>
    <r>
      <rPr>
        <b/>
        <sz val="9"/>
        <color theme="1"/>
        <rFont val="Calibri"/>
        <family val="2"/>
      </rPr>
      <t xml:space="preserve">Damage Inspection &amp; Expert Review
</t>
    </r>
    <r>
      <rPr>
        <sz val="9"/>
        <color theme="1"/>
        <rFont val="Calibri"/>
        <family val="2"/>
      </rPr>
      <t xml:space="preserve">Conduct inspections and engage third-party experts if needed.
</t>
    </r>
    <r>
      <rPr>
        <b/>
        <sz val="9"/>
        <color theme="1"/>
        <rFont val="Calibri"/>
        <family val="2"/>
      </rPr>
      <t xml:space="preserve">Fraud Screening
</t>
    </r>
    <r>
      <rPr>
        <sz val="9"/>
        <color theme="1"/>
        <rFont val="Calibri"/>
        <family val="2"/>
      </rPr>
      <t xml:space="preserve">Identify potential fraud indicators and escalate if necessary.
</t>
    </r>
    <r>
      <rPr>
        <b/>
        <sz val="9"/>
        <color theme="1"/>
        <rFont val="Calibri"/>
        <family val="2"/>
      </rPr>
      <t xml:space="preserve">Liability Determination
</t>
    </r>
    <r>
      <rPr>
        <sz val="9"/>
        <color theme="1"/>
        <rFont val="Calibri"/>
        <family val="2"/>
      </rPr>
      <t xml:space="preserve">Assess fault and determine legal responsibility for the loss.
</t>
    </r>
    <r>
      <rPr>
        <b/>
        <sz val="9"/>
        <color theme="1"/>
        <rFont val="Calibri"/>
        <family val="2"/>
      </rPr>
      <t xml:space="preserve">Subrogation Identification
</t>
    </r>
    <r>
      <rPr>
        <sz val="9"/>
        <color theme="1"/>
        <rFont val="Calibri"/>
        <family val="2"/>
      </rPr>
      <t xml:space="preserve">Identify claims where recovery from a responsible third party is possible.
</t>
    </r>
    <r>
      <rPr>
        <b/>
        <sz val="9"/>
        <color theme="1"/>
        <rFont val="Calibri"/>
        <family val="2"/>
      </rPr>
      <t xml:space="preserve">Recovery Pursuit
</t>
    </r>
    <r>
      <rPr>
        <sz val="9"/>
        <color theme="1"/>
        <rFont val="Calibri"/>
        <family val="2"/>
      </rPr>
      <t>Submit recovery demands and negotiate with third parties or insurers.</t>
    </r>
  </si>
  <si>
    <r>
      <rPr>
        <b/>
        <sz val="9"/>
        <color theme="1"/>
        <rFont val="Calibri"/>
        <family val="2"/>
      </rPr>
      <t>Damage Assessment</t>
    </r>
    <r>
      <rPr>
        <sz val="9"/>
        <color theme="1"/>
        <rFont val="Calibri"/>
        <family val="2"/>
      </rPr>
      <t xml:space="preserve">
Evaluate scope and extent of damages or injuries.
</t>
    </r>
    <r>
      <rPr>
        <b/>
        <sz val="9"/>
        <color theme="1"/>
        <rFont val="Calibri"/>
        <family val="2"/>
      </rPr>
      <t>Claim Valuation</t>
    </r>
    <r>
      <rPr>
        <sz val="9"/>
        <color theme="1"/>
        <rFont val="Calibri"/>
        <family val="2"/>
      </rPr>
      <t xml:space="preserve">
Estimate financial impact including repairs, medical costs, or replacement value.
</t>
    </r>
    <r>
      <rPr>
        <b/>
        <sz val="9"/>
        <color theme="1"/>
        <rFont val="Calibri"/>
        <family val="2"/>
      </rPr>
      <t xml:space="preserve">Reserve Establishment
</t>
    </r>
    <r>
      <rPr>
        <sz val="9"/>
        <color theme="1"/>
        <rFont val="Calibri"/>
        <family val="2"/>
      </rPr>
      <t xml:space="preserve">Set and adjust claim reserves based on expected liability.
</t>
    </r>
    <r>
      <rPr>
        <b/>
        <sz val="9"/>
        <color theme="1"/>
        <rFont val="Calibri"/>
        <family val="2"/>
      </rPr>
      <t>Valuation Documentation</t>
    </r>
    <r>
      <rPr>
        <sz val="9"/>
        <color theme="1"/>
        <rFont val="Calibri"/>
        <family val="2"/>
      </rPr>
      <t xml:space="preserve">
Document assumptions, estimates, and supporting rationale.</t>
    </r>
  </si>
  <si>
    <r>
      <rPr>
        <b/>
        <sz val="9"/>
        <color theme="1"/>
        <rFont val="Calibri"/>
        <family val="2"/>
      </rPr>
      <t>Settlement Strategy Development</t>
    </r>
    <r>
      <rPr>
        <sz val="9"/>
        <color theme="1"/>
        <rFont val="Calibri"/>
        <family val="2"/>
      </rPr>
      <t xml:space="preserve">
Establish negotiation position based on liability and claim valuation.
</t>
    </r>
    <r>
      <rPr>
        <b/>
        <sz val="9"/>
        <color theme="1"/>
        <rFont val="Calibri"/>
        <family val="2"/>
      </rPr>
      <t>Negotiation with Claimant or Vendors</t>
    </r>
    <r>
      <rPr>
        <sz val="9"/>
        <color theme="1"/>
        <rFont val="Calibri"/>
        <family val="2"/>
      </rPr>
      <t xml:space="preserve">
Conduct discussions to reach agreement on claim value.
</t>
    </r>
    <r>
      <rPr>
        <b/>
        <sz val="9"/>
        <color theme="1"/>
        <rFont val="Calibri"/>
        <family val="2"/>
      </rPr>
      <t>Dispute Resolution (if needed)</t>
    </r>
    <r>
      <rPr>
        <sz val="9"/>
        <color theme="1"/>
        <rFont val="Calibri"/>
        <family val="2"/>
      </rPr>
      <t xml:space="preserve">
Manage mediation, arbitration, or litigation involvement.
</t>
    </r>
    <r>
      <rPr>
        <b/>
        <sz val="9"/>
        <color theme="1"/>
        <rFont val="Calibri"/>
        <family val="2"/>
      </rPr>
      <t>Settlement Agreement Finalization</t>
    </r>
    <r>
      <rPr>
        <sz val="9"/>
        <color theme="1"/>
        <rFont val="Calibri"/>
        <family val="2"/>
      </rPr>
      <t xml:space="preserve">
Confirm settlement terms and obtain acceptance.</t>
    </r>
  </si>
  <si>
    <r>
      <rPr>
        <b/>
        <sz val="9"/>
        <color theme="1"/>
        <rFont val="Calibri"/>
        <family val="2"/>
      </rPr>
      <t xml:space="preserve">Payment Authorization
</t>
    </r>
    <r>
      <rPr>
        <sz val="9"/>
        <color theme="1"/>
        <rFont val="Calibri"/>
        <family val="2"/>
      </rPr>
      <t xml:space="preserve">Validate settlement documentation and payment approvals.
</t>
    </r>
    <r>
      <rPr>
        <b/>
        <sz val="9"/>
        <color theme="1"/>
        <rFont val="Calibri"/>
        <family val="2"/>
      </rPr>
      <t>Payment Processing</t>
    </r>
    <r>
      <rPr>
        <sz val="9"/>
        <color theme="1"/>
        <rFont val="Calibri"/>
        <family val="2"/>
      </rPr>
      <t xml:space="preserve">
Generate and issue payments to claimants, insured parties, or vendors.
</t>
    </r>
    <r>
      <rPr>
        <b/>
        <sz val="9"/>
        <color theme="1"/>
        <rFont val="Calibri"/>
        <family val="2"/>
      </rPr>
      <t xml:space="preserve">Payment Recording &amp; Notification
</t>
    </r>
    <r>
      <rPr>
        <sz val="9"/>
        <color theme="1"/>
        <rFont val="Calibri"/>
        <family val="2"/>
      </rPr>
      <t>Record payment transactions and notify relevant parties.</t>
    </r>
  </si>
  <si>
    <r>
      <rPr>
        <b/>
        <sz val="9"/>
        <color theme="1"/>
        <rFont val="Calibri"/>
        <family val="2"/>
      </rPr>
      <t xml:space="preserve">Final Claim Review
</t>
    </r>
    <r>
      <rPr>
        <sz val="9"/>
        <color theme="1"/>
        <rFont val="Calibri"/>
        <family val="2"/>
      </rPr>
      <t xml:space="preserve">Confirm all claim activities and payments are completed.
</t>
    </r>
    <r>
      <rPr>
        <b/>
        <sz val="9"/>
        <color theme="1"/>
        <rFont val="Calibri"/>
        <family val="2"/>
      </rPr>
      <t xml:space="preserve">Financial Reconciliation
</t>
    </r>
    <r>
      <rPr>
        <sz val="9"/>
        <color theme="1"/>
        <rFont val="Calibri"/>
        <family val="2"/>
      </rPr>
      <t xml:space="preserve">Finalize reserves and claim financials.
</t>
    </r>
    <r>
      <rPr>
        <b/>
        <sz val="9"/>
        <color theme="1"/>
        <rFont val="Calibri"/>
        <family val="2"/>
      </rPr>
      <t>Documentation &amp; Compliance Completion</t>
    </r>
    <r>
      <rPr>
        <sz val="9"/>
        <color theme="1"/>
        <rFont val="Calibri"/>
        <family val="2"/>
      </rPr>
      <t xml:space="preserve">
Ensure claim file documentation meets regulatory and internal standards.
</t>
    </r>
    <r>
      <rPr>
        <b/>
        <sz val="9"/>
        <color theme="1"/>
        <rFont val="Calibri"/>
        <family val="2"/>
      </rPr>
      <t>Claim Closure</t>
    </r>
    <r>
      <rPr>
        <sz val="9"/>
        <color theme="1"/>
        <rFont val="Calibri"/>
        <family val="2"/>
      </rPr>
      <t xml:space="preserve">
Close claim in the system and archive records.</t>
    </r>
  </si>
  <si>
    <t>- Incomplete or inaccurate claim information captured during intake
- Manual data entry from phone calls, emails, or agent submissions
- Fragmented intake channels (agent, phone, web, mobile) creating inconsistent data capture
- Duplicate claims or records due to poor validation checks
- Slow claim setup delaying downstream processing
- Limited digital self-service adoption by policyholders
- Customer frustration due to repetitive information requests</t>
  </si>
  <si>
    <t>- Complex policy language making coverage interpretation difficult
- Manual policy review required to determine coverage applicability
- Difficulty identifying endorsements and exclusions
- Policy data spread across multiple systems
- Inconsistent coverage decisions across adjusters
- Delayed coverage decisions that slow down the claim lifecycle
- Customer disputes around coverage denial or limitations</t>
  </si>
  <si>
    <t xml:space="preserve"> - Difficulty collecting complete documentation from policyholders or third parties
- Long cycle times for reports (police reports, medical records, inspections)
- Heavy reliance on manual investigation processes
- Limited visibility into claim progress across stakeholders
- Fraud detection occurring late in the process
- Inconsistent liability determination across adjusters
- Coordination challenges with external vendors and experts</t>
  </si>
  <si>
    <t>- Inaccurate or inconsistent damage estimates
- Over- or under-reserving due to limited information early in the claim
- Dependence on third-party estimators or repair networks
- Lack of standardized valuation methodologies
- Delayed reserve updates impacting financial reporting
- Limited use of data analytics to support valuation</t>
  </si>
  <si>
    <t>- Prolonged negotiations with claimants or attorneys
- High variability in settlement strategies across adjusters
- Litigation risk increasing claim duration and cost
- Lack of data-driven settlement benchmarks
- Customer dissatisfaction due to perceived low settlement offers
- Escalation to legal disputes or mediation
- Poor documentation of negotiation rationale</t>
  </si>
  <si>
    <t>- Manual payment approvals and processing
- Multiple payee complexities (insured, vendors, lienholders)
- Payment delays due to documentation gaps
- Fraud risks related to payment redirection or identity theft
- Limited digital payment options
- Reconciliation issues between claims and finance systems
- Customer frustration with slow disbursement</t>
  </si>
  <si>
    <t>- Claims left open longer than necessary due to unresolved tasks
- Incomplete documentation in claim files
- Manual claim closure processes
- Regulatory compliance checks requiring manual review
- Poor visibility into closure readiness
- Large backlog of aging claims
- Missed opportunities for post-claim insights or learning</t>
  </si>
  <si>
    <r>
      <t xml:space="preserve">Gen AI with autonomous agents 
</t>
    </r>
    <r>
      <rPr>
        <sz val="10"/>
        <color theme="1"/>
        <rFont val="Calibri"/>
        <family val="2"/>
      </rPr>
      <t>FNOL and Enquiry Assistant - Real time transcription, FNOL guidance and procedural nudges, Conduct and CX monitoring, Automated summarization
AI tools - NLP Models, Small LLMs, Communication Platform, Document Generation Tools
Claim Handling Assistant - Claim triage and summarization, Coverage validation, Next best action recommendations, Follow-ups
AI tools - Data Retrievers &amp; Aggregators, Data Validation Tools, Predictive ML Models
Data validation Systems
Senior Claim Handling Assistant - Damage and Total loss assessment, Personal injury reviews, Liability decisioning and negotiation support
AI tools - Domain &amp; Task Specific LLMs, Negotiation Interfaces</t>
    </r>
  </si>
  <si>
    <t>GL Accounting</t>
  </si>
  <si>
    <t xml:space="preserve">Journal Entry  </t>
  </si>
  <si>
    <t>Account Reconciliations</t>
  </si>
  <si>
    <t>Payroll</t>
  </si>
  <si>
    <t>Fixed Asset</t>
  </si>
  <si>
    <t>Ledger_Cube Uploads/Maintenance/Change Management</t>
  </si>
  <si>
    <t>Control Checks &amp; Interface Signoffs</t>
  </si>
  <si>
    <t>Pre/Post Close Reporting &amp; Other Activities</t>
  </si>
  <si>
    <t># Pull G/L reports or gather inputs from other departments
# Prepare and Post Statutory Adjustments like IEE JE, DAC, Premium, Losses, Claims etc.
# Conduct an internal review to ensure accuracy and completeness
#Save the journal entries (JEs) to the shared drive and send them to the onshore team for final review
# Perform the final review and share the JEs with the CAO mailbox for upload
# Upload, park, and post the JEs in ERP</t>
  </si>
  <si>
    <t># Pull ledger account balance from ARD to identify the assigned account recs
# Retrieve account balances from ERP and validate  with ARD balance
# Retrieve source balances from different system and JE’s
# Check the variance between GL and source balance,  perform research in case of unreconciled item and put commentary 
# Do the detailed discussion with onshore for open items and action plan
# Convert the account rec in PDF and prepare sign off, submit it for onshore review and approval</t>
  </si>
  <si>
    <t># Received data from payroll team to perform pre checks
# Validate all the information (cost centre, department code), if anything seems invalid or close in the system, Request input provider  to revise the data
# Perform post check run once updated files are shared by Input provider
# Share all the checks with onshore Manager/SME for final review
# Provide final go ahead to Payroll to run the Salary interface
# Perform all the checks and sign offs post interface run</t>
  </si>
  <si>
    <t># Fixed Assets Creation/ Addition or Retirement requests received
# Ensure proper approval are in place
# Validate the information with existing data in ERP
#  Execute the task
# Send confirmation to onshore
# Perform trend analysis post Depriciation run</t>
  </si>
  <si>
    <t># Open &amp; Close period in ERP
# Accounting String management
# Full Batch Run
# Ledger Roll
# Daily Balancing Signoff</t>
  </si>
  <si>
    <t># Pull G/L reports from ERP to compare with different sources
# Validate suspense kickouts and clear with in the same period
# Run financials of Subsidiaries
# Check if EBNR adjustment is required if it falls below permissible limits
# Post interface to ERP
# Validate all interfaces ran during the period to ensure correct reporting</t>
  </si>
  <si>
    <t xml:space="preserve"># Gather Inputs from various sources or G/L wherever required
# Perform IBNR Reserving activities (Balancing, Part 1/2/3, Short duration, Long duration Claim count etc)
# To match the CORP SR and GAAP cube, number are manually uploaded in mainframe. 
# IBNR reserving </t>
  </si>
  <si>
    <t># Incorrect and incomplete JE templates received from stakeholders, including issues such as incorrect Division Code, State Code, and District Code formats, mismatched debit and credit formulas, and incorrect subject lines or duplicate JE sequence numbers.
# High volume of JEs requires significant manual effort, especially during peak month-end periods, increasing the risk of errors and reducing accuracy, which ultimately impacts SLAs
# Unstructured or incorrect input data received from different sources.
# Continuous follow-ups with stakeholders required to ensure all park entries are posted before the close timeline.
# Lack of proper audit trail in JE postings</t>
  </si>
  <si>
    <t># Multiple source systems and lack of audit trail in ERP make it difficult to identify the appropriate contact person responsible for resolving variances.
# Large volume of source data, and converting the data into PDF format requires significant time and effort.
# Last-minute or incorrect assignment of account reconciliations, creating challenges in timely completion.
# Limited ageing buckets available in ARD, making it difficult to effectively prioritize long-aged items</t>
  </si>
  <si>
    <t># Frequent follow-ups with the Payroll team are required to obtain timely support or to address variances identified during the first run.
# Incorrect or partial postings of payroll interfaces lead to additional reconciliation work and follow-up</t>
  </si>
  <si>
    <t># Bulk upload functionality is not available in ERP for Fixed Asset (FA) change requests such as asset sales, purchases, or impairments.
# Receipt of sale proceeds even after the retirement of assets, requiring additional review and reconciliation.
# Delay in receiving input files, such as roll-forward templates, impacting timely processing.</t>
  </si>
  <si>
    <t># Tracking and monitoring requests for opening and closing prior accounting periods.
# Requests received to open attributes without proper approval or required authorization.
# Incorrect or incomplete mimics/instructions provided for opening an account</t>
  </si>
  <si>
    <t># Variances between GL balances and supporting files due to timing differences or adjustments, requiring follow-ups with multiple teams for resolution.
# High volume of backfeed kick-outs, resulting in significant manual effort for corrections.
# Frequent follow-ups with interface owners to ensure that all interfaces are executed and no pending runs remain.</t>
  </si>
  <si>
    <t># Latency issues in the reporting tool, impacting the efficiency of report generation and analysis.
# System limitations in accepting certain entities in loss cubes, which requires manual uploads in the mainframe system.
# Delayed receipt of working files from stakeholders, affecting the timeliness of processing.
# Dependencies on inputs from actuaries for IBNR adjustments.
# Tick and tie process is cumbersome and highly manual, requiring significant time and effort</t>
  </si>
  <si>
    <r>
      <rPr>
        <b/>
        <sz val="10"/>
        <color rgb="FF000000"/>
        <rFont val="Calibri"/>
        <family val="2"/>
      </rPr>
      <t xml:space="preserve">
# Deploy an AI validation agent</t>
    </r>
    <r>
      <rPr>
        <sz val="10"/>
        <color rgb="FF000000"/>
        <rFont val="Calibri"/>
        <family val="2"/>
      </rPr>
      <t xml:space="preserve"> that automatically reviews JE templates before submission.
  The agent would checks code block (Division, State, Department, accounts etc. ) against ERP master data, Debit = Credit validation, JE sequence duplication, Subject line standardization rules
  If errors are found, the agent :
  -Automatically sends correction requests to stakeholders
  -Suggests corrected codes using AI recommendations from historical data
# </t>
    </r>
    <r>
      <rPr>
        <b/>
        <sz val="10"/>
        <color rgb="FF000000"/>
        <rFont val="Calibri"/>
        <family val="2"/>
      </rPr>
      <t xml:space="preserve">AI Close Management Agent </t>
    </r>
    <r>
      <rPr>
        <sz val="10"/>
        <color rgb="FF000000"/>
        <rFont val="Calibri"/>
        <family val="2"/>
      </rPr>
      <t xml:space="preserve">which monitors:
  - Pending park entries
  - Approval status
  - Posting deadlines
# </t>
    </r>
    <r>
      <rPr>
        <b/>
        <sz val="10"/>
        <color rgb="FF000000"/>
        <rFont val="Calibri"/>
        <family val="2"/>
      </rPr>
      <t xml:space="preserve">Journal Entry Preparation / Upload &amp; Approval 
</t>
    </r>
    <r>
      <rPr>
        <sz val="10"/>
        <color rgb="FF000000"/>
        <rFont val="Calibri"/>
        <family val="2"/>
      </rPr>
      <t xml:space="preserve">  - BOT /ETL to extract data , perform calculations and update the JE Template
  - Bot/ETL to upload the Journals in ERP and save backups in the required location
  - Convert the JE templates in PDF and Save the Journal  backup to required location
  - Auto trigger from ERP for approval in ERP 
</t>
    </r>
    <r>
      <rPr>
        <b/>
        <sz val="10"/>
        <rFont val="Calibri"/>
        <family val="2"/>
      </rPr>
      <t xml:space="preserve"># Structured data &amp; Analysis </t>
    </r>
    <r>
      <rPr>
        <sz val="10"/>
        <rFont val="Calibri"/>
        <family val="2"/>
      </rPr>
      <t xml:space="preserve">
AI agent excels in environments where data is unstructured or where tasks require cognitive abilities, such as analysing financial trends or identifying anomalies in journal entries
</t>
    </r>
  </si>
  <si>
    <r>
      <t xml:space="preserve"># </t>
    </r>
    <r>
      <rPr>
        <b/>
        <sz val="10"/>
        <color theme="1"/>
        <rFont val="Calibri"/>
        <family val="2"/>
      </rPr>
      <t xml:space="preserve">Reconciliation Process - </t>
    </r>
    <r>
      <rPr>
        <sz val="10"/>
        <color theme="1"/>
        <rFont val="Calibri"/>
        <family val="2"/>
      </rPr>
      <t xml:space="preserve">Interface between Reconciliation Tool and GL to extract GL data into Reconciliation Tool.  Sub Ledger  data and Bank Statement data can also be interfaced  to Recon Tool from the relevant systems
</t>
    </r>
    <r>
      <rPr>
        <b/>
        <sz val="10"/>
        <color theme="1"/>
        <rFont val="Calibri"/>
        <family val="2"/>
      </rPr>
      <t xml:space="preserve">#  Reconciliation preparation - </t>
    </r>
    <r>
      <rPr>
        <sz val="10"/>
        <color theme="1"/>
        <rFont val="Calibri"/>
        <family val="2"/>
      </rPr>
      <t xml:space="preserve">Automated Matching between data sets using Reconciliation Tool Transactions Matching
Enhanced Matching using Fuzzy Logic (AI) available in Reconciliation tool or in  Bolt on Solutions
# Implementation of </t>
    </r>
    <r>
      <rPr>
        <b/>
        <sz val="10"/>
        <color theme="1"/>
        <rFont val="Calibri"/>
        <family val="2"/>
      </rPr>
      <t>BlackLine</t>
    </r>
    <r>
      <rPr>
        <sz val="10"/>
        <color theme="1"/>
        <rFont val="Calibri"/>
        <family val="2"/>
      </rPr>
      <t xml:space="preserve"> will help reduce the time and manual effort required for preparing sign-offs and generating PDF documentation.
</t>
    </r>
    <r>
      <rPr>
        <sz val="10"/>
        <rFont val="Calibri"/>
        <family val="2"/>
      </rPr>
      <t xml:space="preserve">Consolidate Reconciliations processes into Centre of Excellence (CoE). </t>
    </r>
  </si>
  <si>
    <r>
      <rPr>
        <b/>
        <sz val="10"/>
        <color theme="1"/>
        <rFont val="Calibri"/>
        <family val="2"/>
      </rPr>
      <t># Automated Payroll Interface Validation</t>
    </r>
    <r>
      <rPr>
        <sz val="10"/>
        <color theme="1"/>
        <rFont val="Calibri"/>
        <family val="2"/>
      </rPr>
      <t xml:space="preserve">
  - Create a pre-posting validation control system that checks payroll data before it hits the GL.
</t>
    </r>
    <r>
      <rPr>
        <b/>
        <sz val="10"/>
        <color theme="1"/>
        <rFont val="Calibri"/>
        <family val="2"/>
      </rPr>
      <t xml:space="preserve">  Automation Process :
  - </t>
    </r>
    <r>
      <rPr>
        <sz val="10"/>
        <color theme="1"/>
        <rFont val="Calibri"/>
        <family val="2"/>
      </rPr>
      <t xml:space="preserve">Extract payroll interface data.
  - Compare payroll totals with expected GL postings.
  - AI identifies discrepancies and validate if accounting strings (Cost center) used in payroll data is matching with code block.
  - Alerts are generated before posting.
</t>
    </r>
    <r>
      <rPr>
        <b/>
        <sz val="10"/>
        <color theme="1"/>
        <rFont val="Calibri"/>
        <family val="2"/>
      </rPr>
      <t xml:space="preserve">  Tools : </t>
    </r>
    <r>
      <rPr>
        <sz val="10"/>
        <color theme="1"/>
        <rFont val="Calibri"/>
        <family val="2"/>
      </rPr>
      <t xml:space="preserve">Alteryx data validation, Python validation scripts
</t>
    </r>
    <r>
      <rPr>
        <sz val="10"/>
        <rFont val="Calibri"/>
        <family val="2"/>
      </rPr>
      <t xml:space="preserve">
Alteryx  driven automation in Payroll reporting processes for loading, mapping, and formatting of multiple source files (e.g. End to end workflows for streamlining data preparation, validation, and report generation)</t>
    </r>
  </si>
  <si>
    <r>
      <t xml:space="preserve">#  Deployment of Fixed Assets Bot to process the Fixed Assets Request in ERP
# Intelligent Bulk Upload &amp; Validation
 </t>
    </r>
    <r>
      <rPr>
        <b/>
        <sz val="10"/>
        <color theme="1"/>
        <rFont val="Calibri"/>
        <family val="2"/>
      </rPr>
      <t>Automation Steps</t>
    </r>
    <r>
      <rPr>
        <sz val="10"/>
        <color theme="1"/>
        <rFont val="Calibri"/>
        <family val="2"/>
      </rPr>
      <t xml:space="preserve">
  - Create a pre-processing template in Excel or CSV with all FA changes.
  - Use RPA (Robotic Process Automation) to simulate ERP GUI entry for bulk uploads.
  Implement AI validation checks:
  - Check for duplicate asset entries
  - Verify correct account coding
  - Validate asset IDs and depreciation rules
  Tools : UiPath / Python for pre-processing validations
# Route all Fixed Asset (FA) requests through the JIRA ticketing system to ensure better tracking, transparency, and a proper audit trail</t>
    </r>
  </si>
  <si>
    <r>
      <rPr>
        <b/>
        <sz val="10"/>
        <color theme="1"/>
        <rFont val="Calibri"/>
        <family val="2"/>
      </rPr>
      <t># Centralized Ticketing / Workflow System</t>
    </r>
    <r>
      <rPr>
        <sz val="10"/>
        <color theme="1"/>
        <rFont val="Calibri"/>
        <family val="2"/>
      </rPr>
      <t xml:space="preserve"> to open or close period
# </t>
    </r>
    <r>
      <rPr>
        <b/>
        <sz val="10"/>
        <color theme="1"/>
        <rFont val="Calibri"/>
        <family val="2"/>
      </rPr>
      <t xml:space="preserve">Smart Approval Engine - </t>
    </r>
    <r>
      <rPr>
        <sz val="10"/>
        <color theme="1"/>
        <rFont val="Calibri"/>
        <family val="2"/>
      </rPr>
      <t>Configure a rule-based approval system that verifies:
  - Required approvers based on designation or  value threshold etc.
  - Mandatory approval sequence.
  - Requests without the required approvals are automatically rejected</t>
    </r>
  </si>
  <si>
    <r>
      <rPr>
        <b/>
        <sz val="10"/>
        <color theme="1"/>
        <rFont val="Calibri"/>
        <family val="2"/>
      </rPr>
      <t xml:space="preserve"># AI Error Detection Agent, </t>
    </r>
    <r>
      <rPr>
        <sz val="10"/>
        <color theme="1"/>
        <rFont val="Calibri"/>
        <family val="2"/>
      </rPr>
      <t xml:space="preserve">AI automatically analyzes kick-out logs and identifies common error patterns such as:
  - Invalid GL codes
  - Incorrect cost centers
  - Missing master data
# </t>
    </r>
    <r>
      <rPr>
        <b/>
        <sz val="10"/>
        <color theme="1"/>
        <rFont val="Calibri"/>
        <family val="2"/>
      </rPr>
      <t>Use workflow or monitoring tools</t>
    </r>
    <r>
      <rPr>
        <sz val="10"/>
        <color theme="1"/>
        <rFont val="Calibri"/>
        <family val="2"/>
      </rPr>
      <t xml:space="preserve"> to send alerts when interfaces fail or don't run</t>
    </r>
  </si>
  <si>
    <r>
      <t xml:space="preserve"># AI / Automation Solution
  Implement Automated Data Integration Pipeline.
 - Use ETL tools to automatically pull data from source system
 - Use AI to detect anomalies in incoming financial data.
How it works
  - Scheduled data extraction from systems.
  - Automatic consolidation into a central database.
  - AI-based validation checks.
Tools - Alteryx, Azure Data Factory, UiPath, Python scripts
# </t>
    </r>
    <r>
      <rPr>
        <b/>
        <sz val="10"/>
        <color theme="1"/>
        <rFont val="Calibri"/>
        <family val="2"/>
      </rPr>
      <t>Redesign the ERP cube model</t>
    </r>
    <r>
      <rPr>
        <sz val="10"/>
        <color theme="1"/>
        <rFont val="Calibri"/>
        <family val="2"/>
      </rPr>
      <t xml:space="preserve"> to accommodate all entities seamlessly.
- Providing First Level commentary for performance KPIs with </t>
    </r>
    <r>
      <rPr>
        <b/>
        <sz val="10"/>
        <color theme="1"/>
        <rFont val="Calibri"/>
        <family val="2"/>
      </rPr>
      <t>AI-generated narratives</t>
    </r>
    <r>
      <rPr>
        <sz val="10"/>
        <color theme="1"/>
        <rFont val="Calibri"/>
        <family val="2"/>
      </rPr>
      <t xml:space="preserve">.
- Empowering business users with real-time access to expense and performance data through </t>
    </r>
    <r>
      <rPr>
        <b/>
        <sz val="10"/>
        <color theme="1"/>
        <rFont val="Calibri"/>
        <family val="2"/>
      </rPr>
      <t>self-service dashboards</t>
    </r>
    <r>
      <rPr>
        <sz val="10"/>
        <color theme="1"/>
        <rFont val="Calibri"/>
        <family val="2"/>
      </rPr>
      <t xml:space="preserve">. 
Providing flexibility  of </t>
    </r>
    <r>
      <rPr>
        <b/>
        <sz val="10"/>
        <color theme="1"/>
        <rFont val="Calibri"/>
        <family val="2"/>
      </rPr>
      <t>Auto scheduling &amp; distribution of the reports</t>
    </r>
    <r>
      <rPr>
        <sz val="10"/>
        <color theme="1"/>
        <rFont val="Calibri"/>
        <family val="2"/>
      </rPr>
      <t>, , ensuring timely delivery without manual intervention.</t>
    </r>
  </si>
  <si>
    <r>
      <rPr>
        <sz val="10"/>
        <color rgb="FF000000"/>
        <rFont val="Calibri"/>
        <family val="2"/>
      </rPr>
      <t xml:space="preserve"># Automated JE's - 30% reduction in manual effort 
# Significant decrease in JE errors
# Faster month-end close (40%)
# Streamlined Journal Entry process across business units
# Improved SLA adherence
# Improved Controls with 100% Audit Trail
# Reduced stakeholder dependency
</t>
    </r>
    <r>
      <rPr>
        <sz val="10"/>
        <rFont val="Calibri"/>
        <family val="2"/>
      </rPr>
      <t xml:space="preserve">
# Realtime Insights
# Handling Unstructured Data
# Auto-Pilot Operation</t>
    </r>
  </si>
  <si>
    <r>
      <t xml:space="preserve">#  Automated Reconciliations - 40%
#  Close Acceleration - 30% 
# Capacity Creation - 20%
# </t>
    </r>
    <r>
      <rPr>
        <b/>
        <sz val="10"/>
        <color theme="1"/>
        <rFont val="Calibri"/>
        <family val="2"/>
      </rPr>
      <t xml:space="preserve">Ageing analysis - </t>
    </r>
    <r>
      <rPr>
        <sz val="10"/>
        <color theme="1"/>
        <rFont val="Calibri"/>
        <family val="2"/>
      </rPr>
      <t>Better prioritization of old items
#</t>
    </r>
    <r>
      <rPr>
        <b/>
        <sz val="10"/>
        <color theme="1"/>
        <rFont val="Calibri"/>
        <family val="2"/>
      </rPr>
      <t xml:space="preserve"> Accuracy</t>
    </r>
    <r>
      <rPr>
        <sz val="10"/>
        <color theme="1"/>
        <rFont val="Calibri"/>
        <family val="2"/>
      </rPr>
      <t xml:space="preserve"> - Reduced manual errors in reconciliations and posting
# Real-time dashboards and reporting
# Task Management &amp; Workflow Automation
# Streamlined Reconciliation process across business units</t>
    </r>
  </si>
  <si>
    <r>
      <t xml:space="preserve"># Follow-ups with ETS reduced significantly
# Payroll posting errors detected before GL posting
# Reconciliation time Reduced during month-end close
# </t>
    </r>
    <r>
      <rPr>
        <b/>
        <sz val="10"/>
        <color theme="1"/>
        <rFont val="Calibri"/>
        <family val="2"/>
      </rPr>
      <t>Audit readiness</t>
    </r>
    <r>
      <rPr>
        <sz val="10"/>
        <color theme="1"/>
        <rFont val="Calibri"/>
        <family val="2"/>
      </rPr>
      <t xml:space="preserve"> - Stronger control framework
</t>
    </r>
    <r>
      <rPr>
        <sz val="10"/>
        <rFont val="Calibri"/>
        <family val="2"/>
      </rPr>
      <t># Reduced manual efforts</t>
    </r>
  </si>
  <si>
    <r>
      <t xml:space="preserve">#  Close Acceleration - 10%
#  Capacity Creation - 40%
#  Improved Controls with 100% Audit Trail 
#  Streamlined  FA process across business units
</t>
    </r>
    <r>
      <rPr>
        <b/>
        <sz val="10"/>
        <color theme="1"/>
        <rFont val="Calibri"/>
        <family val="2"/>
      </rPr>
      <t xml:space="preserve"># Timely reporting </t>
    </r>
    <r>
      <rPr>
        <sz val="10"/>
        <color theme="1"/>
        <rFont val="Calibri"/>
        <family val="2"/>
      </rPr>
      <t>- On-time submissions consistently</t>
    </r>
  </si>
  <si>
    <t># Improved governance and compliance
# Reduced manual follow-ups
# Faster request turnaround
# Stronger audit trail
# Reduced operational risk</t>
  </si>
  <si>
    <t># Faster variance identification and resolution
# Reduced backfeed errors and kick-outs
# Improved interface monitoring and system reliability
# Stronger audit and compliance documentation</t>
  </si>
  <si>
    <r>
      <t xml:space="preserve"># Manual work reduced significantly
#Errors reduced through AI validation
# </t>
    </r>
    <r>
      <rPr>
        <b/>
        <sz val="10"/>
        <color theme="1"/>
        <rFont val="Calibri"/>
        <family val="2"/>
      </rPr>
      <t>Compliance</t>
    </r>
    <r>
      <rPr>
        <sz val="10"/>
        <color theme="1"/>
        <rFont val="Calibri"/>
        <family val="2"/>
      </rPr>
      <t xml:space="preserve"> - Improved regulatory accuracy
# </t>
    </r>
    <r>
      <rPr>
        <b/>
        <sz val="10"/>
        <color theme="1"/>
        <rFont val="Calibri"/>
        <family val="2"/>
      </rPr>
      <t>Reporting</t>
    </r>
    <r>
      <rPr>
        <sz val="10"/>
        <color theme="1"/>
        <rFont val="Calibri"/>
        <family val="2"/>
      </rPr>
      <t xml:space="preserve"> - Real-time dashboards
</t>
    </r>
    <r>
      <rPr>
        <sz val="10"/>
        <rFont val="Calibri"/>
        <family val="2"/>
      </rPr>
      <t># Faster business insights
# Self Service Reporting</t>
    </r>
  </si>
  <si>
    <t>O2C</t>
  </si>
  <si>
    <t>Premium Billing / Endorsements / Mid-Term Adjustments</t>
  </si>
  <si>
    <t>Collections (Part of Credit Control)</t>
  </si>
  <si>
    <t>Cash Application (Part of Credit Control)</t>
  </si>
  <si>
    <t>Cancellations / Write-Offs</t>
  </si>
  <si>
    <t>1. Generate the premium invoice based on the policy details updated in underwriting platform such as Gross premium, Taxes &amp; regulatory fees, Broker/agent commission etc.
2. Validate invoice accuracy (Internal maker-checker process
3. Endorsement request received by underwriting team based on which the updation to policy takes place. Determine whether the endorsement results in Additional Premium or Return Premium 
4. Email to broker/insured the premium invoice or the endorement document via via email, upload to broker portal, EDI channels.</t>
  </si>
  <si>
    <t>1. Identify and prioritize outstanding premiums based on value and ageing
2. Payment monitoring &amp; dunning reminders - Follow-up process to be adhered that can then be  shared as artifact to the UW showcasing non-responsiveness of the broker/insured
3. Broker/Insured outreach via broker relations or escalating it to underwriting - Involve high authority / escalation POC incase dunning chasers are ineffective</t>
  </si>
  <si>
    <t>1. Daily monitoring of cash received and uploading of bank statement to ERP
2. Identifying invoices/policy against which the payment is received with the help of remittance
3. Coordinate with underwriting team, incase of premium amount is not booked as per the policy document
4. Incase the premium is booked correctly, then coordinate with broker/customer for the reason of incorrect payment</t>
  </si>
  <si>
    <t>1. Inform the UW team before notice of cancellation is being generated as a last attempt to recovery based on the company's AR policy
2. Issue the NOC post incase no observation/feedback received from UW
3. Wait until the grace period provided to the broker/insured is over to instruct the UW for the policy cancellation</t>
  </si>
  <si>
    <t>1. Most updated information missing in UW platform leading to incorrect invoice generation / delays and disputes
2. Access to communicate trail between the UW and the broker/ insured
3. Manual invoicing leading the clerical errors</t>
  </si>
  <si>
    <t xml:space="preserve">
1. Broker's non-responsive behaviour leading to delayed payments and at time leading to transferring AR to bad debts
2. Prioritization of debt - Following up for small value invoices that are volume instensive rather than high value invoices that fewer in number
3. Premium often flows through brokers, not directly from insured hence there is delay is payment</t>
  </si>
  <si>
    <t>1. Brokers often submit bulk payments covering multiple policies and period creating complexity 
2. Remittance not being shared on time or payments with no clue of broker/insured due non-standard text in bank line
4. Suspense accounts grow when payments cannot be matched.
5. Policy yet to be bound by UW Ops however payment received
6. Receiving payments to wrong bank accounts (general issue) or even Lloyds/Synidicate payment to usual bank account (UK Specific issue)</t>
  </si>
  <si>
    <t xml:space="preserve">1. Underwriting team raising objection to cancel the policy even though the company's AR policy suggest cancellation post a certain deadline provided to the broker/insured to make the payment
2. Credit control not reviewing the debt appearing in closed year of account that should be written-off at regular intervals </t>
  </si>
  <si>
    <t>1. Integration between PAS, billing, and general ledger systems.
2. Auto-generate invoices upon policy issuance, renewal, or endorsement
3. Build pre-configured billing templates by product
4. Automate installment creation and due date reminders via macro enables solutions
5. RPA based automation for performing manual steps – Locating activity, Review Billing documents, Validation of policy &amp; Generating invoice</t>
  </si>
  <si>
    <t xml:space="preserve">1.  Debt prioritization using AI/ML solution to accelerate collections based on multiple parameters such as aging, premium amount and historical data etc.
2. ML / NLP led data driven automated dunning and collection management, Digital customer outreach and payment processing
3. Validate the invoice/premium value before following up with the broker/insured to avoid miscommunication
4. Standardized email templates for invoices, reminders, and payment confirmations.
5. Regular cadence with broker maintaining a clear line of communication and thoughts
</t>
  </si>
  <si>
    <t xml:space="preserve">
1. Agentic AI solution to automate cash application process – content extraction, validation, posting against policy and exception management, automated reminders and Deduction Management</t>
  </si>
  <si>
    <t>1. Regular cadence with underwriting team highlighting the challenges faced over recovery with specific broker
2. Introducing workflow that triggers &gt;90D invoices overdue to UW from cancellation standpoint</t>
  </si>
  <si>
    <t>1. Billing accuracy that avoid premium leakage
2. Impact to invoice cycle time</t>
  </si>
  <si>
    <t>1. Days Sales Outstanding - Faster collection efforts reduce the time premium stays unpaid
2. Better clarity on Promise-to-Pay
3. Reduced Write-Offs and Bad Debt scenarios
4. Improved KPIs such as "&gt;90D debt / Total Overdue" which should be &lt;15% as per industry standards</t>
  </si>
  <si>
    <t>1. Reduced manual cash application leading to the possible of errors
2. Current cash allocation percentage improvement
3. Lower value of cash remaining in suspense account for clearance
4. Reduced percentage of cash rollover to next month</t>
  </si>
  <si>
    <t>1. Creates a standard workflow across teams to follow based on the company's AR policy
2. Leads to better broker relations as the clear communication lead to improved clarity 
3. Reduced bad debt provision and final write-offs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</si>
</sst>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quot;$&quot;#,##0"/>
  </numFmts>
  <fonts count="32" x14ac:knownFonts="1">
    <font>
      <sz val="11"/>
      <color theme="1"/>
      <name val="Aptos Narrow"/>
      <family val="2"/>
      <scheme val="minor"/>
    </font>
    <font>
      <b/>
      <sz val="10"/>
      <color theme="0"/>
      <name val="Aptos"/>
      <family val="2"/>
    </font>
    <font>
      <b/>
      <sz val="10"/>
      <color theme="1"/>
      <name val="Aptos"/>
      <family val="2"/>
    </font>
    <font>
      <sz val="10"/>
      <color theme="1"/>
      <name val="Aptos"/>
      <family val="2"/>
    </font>
    <font>
      <sz val="9"/>
      <color theme="1"/>
      <name val="Aptos Narrow"/>
      <family val="2"/>
      <scheme val="minor"/>
    </font>
    <font>
      <b/>
      <sz val="11"/>
      <color theme="1"/>
      <name val="Aptos"/>
      <family val="2"/>
    </font>
    <font>
      <b/>
      <sz val="9"/>
      <color theme="3" tint="0.89999084444715716"/>
      <name val="Aptos"/>
      <family val="2"/>
    </font>
    <font>
      <b/>
      <sz val="9"/>
      <color theme="3" tint="0.89999084444715716"/>
      <name val="Aptos Narrow"/>
      <family val="2"/>
      <scheme val="minor"/>
    </font>
    <font>
      <b/>
      <sz val="8"/>
      <color theme="3" tint="0.89999084444715716"/>
      <name val="Aptos Narrow"/>
      <family val="2"/>
      <scheme val="minor"/>
    </font>
    <font>
      <b/>
      <sz val="10"/>
      <name val="Aptos Narrow"/>
      <family val="2"/>
      <scheme val="minor"/>
    </font>
    <font>
      <sz val="10"/>
      <color theme="1"/>
      <name val="Aptos Narrow"/>
      <family val="2"/>
      <scheme val="minor"/>
    </font>
    <font>
      <b/>
      <sz val="11"/>
      <color theme="0"/>
      <name val="Aptos Narrow"/>
      <family val="2"/>
      <scheme val="minor"/>
    </font>
    <font>
      <b/>
      <sz val="11"/>
      <color theme="1"/>
      <name val="Aptos Narrow"/>
      <family val="2"/>
      <scheme val="minor"/>
    </font>
    <font>
      <sz val="10"/>
      <color theme="1"/>
      <name val="Calibri"/>
      <family val="2"/>
    </font>
    <font>
      <b/>
      <sz val="10"/>
      <color theme="0"/>
      <name val="Calibri"/>
      <family val="2"/>
    </font>
    <font>
      <b/>
      <sz val="10"/>
      <color theme="1"/>
      <name val="Calibri"/>
      <family val="2"/>
    </font>
    <font>
      <b/>
      <sz val="9"/>
      <color rgb="FF000000"/>
      <name val="Calibri"/>
      <family val="2"/>
    </font>
    <font>
      <sz val="9"/>
      <color rgb="FF000000"/>
      <name val="Calibri"/>
      <family val="2"/>
    </font>
    <font>
      <sz val="9"/>
      <color theme="1"/>
      <name val="Calibri"/>
      <family val="2"/>
    </font>
    <font>
      <b/>
      <sz val="9"/>
      <color theme="1"/>
      <name val="Calibri"/>
      <family val="2"/>
    </font>
    <font>
      <b/>
      <sz val="12"/>
      <color theme="1"/>
      <name val="Calibri"/>
      <family val="2"/>
    </font>
    <font>
      <b/>
      <sz val="10"/>
      <color rgb="FF000000"/>
      <name val="Calibri"/>
      <family val="2"/>
    </font>
    <font>
      <sz val="10"/>
      <color rgb="FF000000"/>
      <name val="Calibri"/>
      <family val="2"/>
    </font>
    <font>
      <sz val="10"/>
      <name val="Calibri"/>
      <family val="2"/>
    </font>
    <font>
      <b/>
      <sz val="10"/>
      <name val="Calibri"/>
      <family val="2"/>
    </font>
    <font>
      <sz val="11"/>
      <color theme="1"/>
      <name val="Aptos Narrow"/>
      <family val="2"/>
      <scheme val="minor"/>
    </font>
    <font>
      <b/>
      <sz val="10"/>
      <color theme="1"/>
      <name val="Calibri"/>
    </font>
    <font>
      <sz val="10"/>
      <color theme="1"/>
      <name val="Calibri"/>
    </font>
    <font>
      <b/>
      <sz val="9"/>
      <color theme="0"/>
      <name val="Calibri"/>
      <family val="2"/>
    </font>
    <font>
      <u/>
      <sz val="11"/>
      <color theme="10"/>
      <name val="Aptos Narrow"/>
      <family val="2"/>
      <scheme val="minor"/>
    </font>
    <font>
      <b/>
      <u/>
      <sz val="11"/>
      <color theme="1"/>
      <name val="Aptos Narrow"/>
      <family val="2"/>
      <scheme val="minor"/>
    </font>
    <font>
      <b/>
      <u/>
      <sz val="12"/>
      <color theme="10"/>
      <name val="Aptos Narrow"/>
      <family val="2"/>
      <scheme val="minor"/>
    </font>
  </fonts>
  <fills count="18">
    <fill>
      <patternFill patternType="none"/>
    </fill>
    <fill>
      <patternFill patternType="gray125"/>
    </fill>
    <fill>
      <patternFill patternType="solid">
        <fgColor theme="3"/>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indexed="22"/>
        <bgColor indexed="64"/>
      </patternFill>
    </fill>
    <fill>
      <patternFill patternType="solid">
        <fgColor theme="0" tint="-4.9989318521683403E-2"/>
        <bgColor indexed="64"/>
      </patternFill>
    </fill>
    <fill>
      <patternFill patternType="solid">
        <fgColor theme="4"/>
        <bgColor indexed="64"/>
      </patternFill>
    </fill>
    <fill>
      <patternFill patternType="solid">
        <fgColor rgb="FFFF0000"/>
        <bgColor indexed="64"/>
      </patternFill>
    </fill>
    <fill>
      <patternFill patternType="solid">
        <fgColor theme="2"/>
        <bgColor indexed="64"/>
      </patternFill>
    </fill>
    <fill>
      <patternFill patternType="solid">
        <fgColor theme="7" tint="0.79998168889431442"/>
        <bgColor indexed="64"/>
      </patternFill>
    </fill>
    <fill>
      <patternFill patternType="solid">
        <fgColor theme="4"/>
        <bgColor rgb="FF000000"/>
      </patternFill>
    </fill>
    <fill>
      <patternFill patternType="solid">
        <fgColor theme="3" tint="0.89999084444715716"/>
        <bgColor rgb="FF000000"/>
      </patternFill>
    </fill>
    <fill>
      <patternFill patternType="solid">
        <fgColor theme="0" tint="-0.14999847407452621"/>
        <bgColor indexed="64"/>
      </patternFill>
    </fill>
    <fill>
      <patternFill patternType="solid">
        <fgColor theme="5"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44" fontId="25" fillId="0" borderId="0" applyFont="0" applyFill="0" applyBorder="0" applyAlignment="0" applyProtection="0"/>
    <xf numFmtId="9" fontId="25" fillId="0" borderId="0" applyFont="0" applyFill="0" applyBorder="0" applyAlignment="0" applyProtection="0"/>
    <xf numFmtId="0" fontId="29" fillId="0" borderId="0" applyNumberFormat="0" applyFill="0" applyBorder="0" applyAlignment="0" applyProtection="0"/>
  </cellStyleXfs>
  <cellXfs count="122">
    <xf numFmtId="0" fontId="0" fillId="0" borderId="0" xfId="0"/>
    <xf numFmtId="0" fontId="3" fillId="0" borderId="0" xfId="0" applyFont="1" applyAlignment="1">
      <alignment horizontal="center" vertical="center" wrapText="1"/>
    </xf>
    <xf numFmtId="0" fontId="5" fillId="3" borderId="1" xfId="0" applyFont="1" applyFill="1" applyBorder="1" applyAlignment="1">
      <alignment vertical="center" wrapText="1"/>
    </xf>
    <xf numFmtId="0" fontId="5" fillId="5" borderId="1" xfId="0" applyFont="1" applyFill="1" applyBorder="1" applyAlignment="1">
      <alignment vertical="center" wrapText="1"/>
    </xf>
    <xf numFmtId="0" fontId="6"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7" fillId="6"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vertical="center" wrapText="1"/>
    </xf>
    <xf numFmtId="0" fontId="4" fillId="0" borderId="1" xfId="0" quotePrefix="1" applyFont="1" applyBorder="1" applyAlignment="1">
      <alignment horizontal="left" vertical="center" wrapText="1"/>
    </xf>
    <xf numFmtId="0" fontId="5" fillId="7" borderId="1" xfId="0" applyFont="1" applyFill="1" applyBorder="1" applyAlignment="1">
      <alignment vertical="center" wrapText="1"/>
    </xf>
    <xf numFmtId="0" fontId="4" fillId="4" borderId="1" xfId="0" quotePrefix="1" applyFont="1" applyFill="1" applyBorder="1" applyAlignment="1">
      <alignment horizontal="left" vertical="center" wrapText="1"/>
    </xf>
    <xf numFmtId="0" fontId="9" fillId="8" borderId="1" xfId="0" applyFont="1" applyFill="1" applyBorder="1" applyAlignment="1" applyProtection="1">
      <alignment horizontal="center" vertical="center" wrapText="1"/>
      <protection locked="0"/>
    </xf>
    <xf numFmtId="0" fontId="10" fillId="0" borderId="1" xfId="0" applyFont="1" applyBorder="1"/>
    <xf numFmtId="0" fontId="0" fillId="0" borderId="1" xfId="0" applyBorder="1"/>
    <xf numFmtId="0" fontId="10"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10" fillId="4" borderId="1" xfId="0" applyFont="1" applyFill="1" applyBorder="1"/>
    <xf numFmtId="0" fontId="10" fillId="4" borderId="1" xfId="0" applyFont="1" applyFill="1" applyBorder="1" applyAlignment="1">
      <alignment horizontal="center" vertical="center"/>
    </xf>
    <xf numFmtId="0" fontId="0" fillId="0" borderId="0" xfId="0" pivotButton="1"/>
    <xf numFmtId="0" fontId="0" fillId="0" borderId="0" xfId="0" applyAlignment="1">
      <alignment horizontal="left"/>
    </xf>
    <xf numFmtId="0" fontId="10" fillId="0" borderId="1" xfId="0" applyFont="1" applyBorder="1" applyAlignment="1">
      <alignment wrapText="1"/>
    </xf>
    <xf numFmtId="0" fontId="12" fillId="0" borderId="0" xfId="0" applyFont="1"/>
    <xf numFmtId="0" fontId="10" fillId="0" borderId="0" xfId="0" applyFont="1" applyAlignment="1">
      <alignment vertical="center" wrapText="1"/>
    </xf>
    <xf numFmtId="0" fontId="0" fillId="0" borderId="0" xfId="0" applyAlignment="1">
      <alignment vertical="center"/>
    </xf>
    <xf numFmtId="0" fontId="10"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vertical="center"/>
    </xf>
    <xf numFmtId="0" fontId="14" fillId="10" borderId="1" xfId="0" applyFont="1" applyFill="1" applyBorder="1" applyAlignment="1">
      <alignment horizontal="left" vertical="center"/>
    </xf>
    <xf numFmtId="0" fontId="15" fillId="0" borderId="1" xfId="0" applyFont="1" applyBorder="1" applyAlignment="1">
      <alignment horizontal="left" vertical="center"/>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12" fillId="5" borderId="1"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left" vertical="center" wrapText="1"/>
    </xf>
    <xf numFmtId="0" fontId="0" fillId="0" borderId="1" xfId="0" applyBorder="1" applyAlignment="1">
      <alignment wrapText="1"/>
    </xf>
    <xf numFmtId="0" fontId="15" fillId="11" borderId="1" xfId="0" applyFont="1" applyFill="1" applyBorder="1" applyAlignment="1">
      <alignment horizontal="left" vertical="center"/>
    </xf>
    <xf numFmtId="0" fontId="12" fillId="0" borderId="1" xfId="0" applyFont="1" applyBorder="1" applyAlignment="1">
      <alignment horizontal="left" vertical="center" wrapText="1"/>
    </xf>
    <xf numFmtId="0" fontId="18" fillId="0" borderId="1" xfId="0" applyFont="1" applyBorder="1" applyAlignment="1">
      <alignment horizontal="left" vertical="center" wrapText="1"/>
    </xf>
    <xf numFmtId="0" fontId="14" fillId="10" borderId="1" xfId="0" applyFont="1" applyFill="1" applyBorder="1" applyAlignment="1">
      <alignment horizontal="left" vertical="center" wrapText="1"/>
    </xf>
    <xf numFmtId="0" fontId="15" fillId="0" borderId="1" xfId="0" applyFont="1" applyBorder="1" applyAlignment="1">
      <alignment horizontal="left" vertical="center" wrapText="1"/>
    </xf>
    <xf numFmtId="0" fontId="18" fillId="0" borderId="1" xfId="0" quotePrefix="1" applyFont="1" applyBorder="1" applyAlignment="1">
      <alignment horizontal="left" vertical="center" wrapText="1"/>
    </xf>
    <xf numFmtId="0" fontId="20" fillId="0" borderId="0" xfId="0" applyFont="1" applyAlignment="1">
      <alignment horizontal="center" vertical="center" readingOrder="1"/>
    </xf>
    <xf numFmtId="0" fontId="14" fillId="10" borderId="1" xfId="0" applyFont="1" applyFill="1" applyBorder="1" applyAlignment="1">
      <alignment horizontal="center" vertical="center"/>
    </xf>
    <xf numFmtId="0" fontId="0" fillId="0" borderId="0" xfId="0" applyAlignment="1">
      <alignment horizontal="center"/>
    </xf>
    <xf numFmtId="0" fontId="15" fillId="0" borderId="1" xfId="0" applyFont="1" applyBorder="1" applyAlignment="1">
      <alignment horizontal="center" vertical="center"/>
    </xf>
    <xf numFmtId="0" fontId="0" fillId="7" borderId="1" xfId="0" applyFill="1" applyBorder="1" applyAlignment="1">
      <alignment vertical="center"/>
    </xf>
    <xf numFmtId="0" fontId="27" fillId="0" borderId="1" xfId="0" applyFont="1" applyBorder="1" applyAlignment="1">
      <alignment horizontal="left" vertical="center" wrapText="1"/>
    </xf>
    <xf numFmtId="0" fontId="15" fillId="13" borderId="1" xfId="0" applyFont="1" applyFill="1" applyBorder="1" applyAlignment="1">
      <alignment horizontal="left" vertical="center"/>
    </xf>
    <xf numFmtId="0" fontId="16" fillId="0" borderId="1" xfId="0" applyFont="1" applyBorder="1" applyAlignment="1">
      <alignment wrapText="1"/>
    </xf>
    <xf numFmtId="0" fontId="17" fillId="0" borderId="1" xfId="0" applyFont="1" applyBorder="1" applyAlignment="1">
      <alignment wrapText="1"/>
    </xf>
    <xf numFmtId="0" fontId="28" fillId="14" borderId="1" xfId="0" applyFont="1" applyFill="1" applyBorder="1" applyAlignment="1">
      <alignment wrapText="1"/>
    </xf>
    <xf numFmtId="0" fontId="16" fillId="15" borderId="1" xfId="0" applyFont="1" applyFill="1" applyBorder="1" applyAlignment="1">
      <alignment wrapText="1"/>
    </xf>
    <xf numFmtId="0" fontId="15" fillId="5" borderId="1" xfId="0" applyFont="1" applyFill="1" applyBorder="1" applyAlignment="1">
      <alignment horizontal="center" vertical="center" wrapText="1"/>
    </xf>
    <xf numFmtId="0" fontId="15" fillId="5" borderId="1" xfId="0" applyFont="1" applyFill="1" applyBorder="1" applyAlignment="1">
      <alignment horizontal="left" vertical="center" wrapText="1"/>
    </xf>
    <xf numFmtId="0" fontId="26" fillId="5" borderId="1" xfId="0" applyFont="1" applyFill="1" applyBorder="1" applyAlignment="1">
      <alignment horizontal="left" vertical="center" wrapText="1"/>
    </xf>
    <xf numFmtId="0" fontId="15" fillId="5" borderId="1" xfId="0" applyFont="1" applyFill="1" applyBorder="1" applyAlignment="1">
      <alignment horizontal="center" vertical="center"/>
    </xf>
    <xf numFmtId="0" fontId="23" fillId="0" borderId="1" xfId="0" applyFont="1" applyBorder="1" applyAlignment="1">
      <alignment horizontal="left" vertical="center" wrapText="1"/>
    </xf>
    <xf numFmtId="0" fontId="0" fillId="4" borderId="0" xfId="0" applyFill="1" applyAlignment="1">
      <alignment vertical="center"/>
    </xf>
    <xf numFmtId="0" fontId="0" fillId="4" borderId="0" xfId="0" applyFill="1" applyAlignment="1">
      <alignment horizontal="center" vertical="center"/>
    </xf>
    <xf numFmtId="0" fontId="11" fillId="10"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9" fontId="0" fillId="0" borderId="0" xfId="0" applyNumberFormat="1" applyAlignment="1">
      <alignment vertical="center" wrapText="1"/>
    </xf>
    <xf numFmtId="9" fontId="0" fillId="0" borderId="0" xfId="2" applyFont="1"/>
    <xf numFmtId="0" fontId="0" fillId="7" borderId="0" xfId="0" applyFill="1" applyAlignment="1">
      <alignment vertical="center" wrapText="1"/>
    </xf>
    <xf numFmtId="9" fontId="0" fillId="7" borderId="0" xfId="0" applyNumberFormat="1" applyFill="1" applyAlignment="1">
      <alignment vertical="center" wrapText="1"/>
    </xf>
    <xf numFmtId="0" fontId="0" fillId="0" borderId="0" xfId="0" applyAlignment="1">
      <alignment horizontal="right" indent="1"/>
    </xf>
    <xf numFmtId="9" fontId="0" fillId="0" borderId="0" xfId="0" applyNumberFormat="1"/>
    <xf numFmtId="0" fontId="31" fillId="0" borderId="0" xfId="3" applyFont="1" applyAlignment="1">
      <alignment vertical="center"/>
    </xf>
    <xf numFmtId="0" fontId="31" fillId="0" borderId="0" xfId="3" applyFont="1"/>
    <xf numFmtId="0" fontId="0" fillId="0" borderId="0" xfId="0" applyAlignment="1">
      <alignment horizontal="right"/>
    </xf>
    <xf numFmtId="0" fontId="12" fillId="0" borderId="0" xfId="0" applyFont="1" applyAlignment="1">
      <alignment vertical="center" wrapText="1"/>
    </xf>
    <xf numFmtId="0" fontId="12" fillId="0" borderId="0" xfId="0" applyFont="1" applyAlignment="1">
      <alignment horizontal="right"/>
    </xf>
    <xf numFmtId="0" fontId="12" fillId="16" borderId="0" xfId="0" applyFont="1" applyFill="1" applyAlignment="1">
      <alignment horizontal="center"/>
    </xf>
    <xf numFmtId="0" fontId="12" fillId="16" borderId="0" xfId="0" applyFont="1" applyFill="1" applyAlignment="1">
      <alignment horizontal="center" vertical="center" wrapText="1"/>
    </xf>
    <xf numFmtId="0" fontId="12" fillId="16" borderId="0" xfId="0" applyFont="1" applyFill="1" applyAlignment="1">
      <alignment horizontal="right"/>
    </xf>
    <xf numFmtId="0" fontId="12" fillId="16" borderId="0" xfId="0" applyFont="1" applyFill="1" applyAlignment="1">
      <alignment vertical="center" wrapText="1"/>
    </xf>
    <xf numFmtId="9" fontId="10" fillId="0" borderId="0" xfId="0" applyNumberFormat="1" applyFont="1" applyAlignment="1">
      <alignment horizontal="left"/>
    </xf>
    <xf numFmtId="0" fontId="10" fillId="0" borderId="0" xfId="0" applyFont="1"/>
    <xf numFmtId="164" fontId="0" fillId="0" borderId="0" xfId="1" applyNumberFormat="1" applyFont="1"/>
    <xf numFmtId="164" fontId="0" fillId="0" borderId="0" xfId="0" applyNumberFormat="1" applyAlignment="1">
      <alignment horizontal="center"/>
    </xf>
    <xf numFmtId="165" fontId="0" fillId="0" borderId="0" xfId="1" applyNumberFormat="1" applyFont="1" applyAlignment="1">
      <alignment horizontal="center"/>
    </xf>
    <xf numFmtId="165" fontId="0" fillId="0" borderId="0" xfId="0" applyNumberFormat="1" applyAlignment="1">
      <alignment horizontal="center"/>
    </xf>
    <xf numFmtId="1" fontId="10" fillId="0" borderId="0" xfId="0" applyNumberFormat="1" applyFont="1"/>
    <xf numFmtId="0" fontId="0" fillId="17" borderId="0" xfId="0" applyFill="1" applyAlignment="1">
      <alignment horizontal="center"/>
    </xf>
    <xf numFmtId="0" fontId="10" fillId="17" borderId="0" xfId="0" applyFont="1" applyFill="1"/>
    <xf numFmtId="0" fontId="0" fillId="17" borderId="0" xfId="0" applyFill="1"/>
    <xf numFmtId="1" fontId="10" fillId="5" borderId="0" xfId="0" applyNumberFormat="1" applyFont="1" applyFill="1"/>
    <xf numFmtId="0" fontId="0" fillId="5" borderId="0" xfId="0" applyFill="1" applyAlignment="1">
      <alignment horizontal="center"/>
    </xf>
    <xf numFmtId="0" fontId="0" fillId="9" borderId="0" xfId="0" applyFill="1" applyAlignment="1">
      <alignment horizontal="center"/>
    </xf>
    <xf numFmtId="0" fontId="0" fillId="9" borderId="0" xfId="0" applyFill="1"/>
    <xf numFmtId="1" fontId="0" fillId="9" borderId="0" xfId="0" applyNumberFormat="1" applyFill="1" applyAlignment="1">
      <alignment horizontal="right"/>
    </xf>
    <xf numFmtId="0" fontId="0" fillId="7" borderId="0" xfId="0" applyFill="1" applyAlignment="1">
      <alignment horizontal="center"/>
    </xf>
    <xf numFmtId="0" fontId="0" fillId="7" borderId="0" xfId="0" applyFill="1"/>
    <xf numFmtId="164" fontId="0" fillId="0" borderId="0" xfId="0" applyNumberFormat="1" applyAlignment="1">
      <alignment horizontal="center" vertical="center"/>
    </xf>
    <xf numFmtId="164" fontId="0" fillId="0" borderId="0" xfId="0" applyNumberFormat="1"/>
    <xf numFmtId="0" fontId="13" fillId="0" borderId="4" xfId="0" applyFont="1" applyBorder="1" applyAlignment="1">
      <alignment vertical="center" wrapText="1"/>
    </xf>
    <xf numFmtId="0" fontId="13" fillId="0" borderId="5" xfId="0" applyFont="1" applyBorder="1" applyAlignment="1">
      <alignment vertical="center" wrapText="1"/>
    </xf>
    <xf numFmtId="0" fontId="2" fillId="0" borderId="0" xfId="0" applyFont="1" applyAlignment="1">
      <alignment horizontal="center" vertical="center" wrapText="1"/>
    </xf>
    <xf numFmtId="0" fontId="12" fillId="0" borderId="0" xfId="0" applyFont="1" applyAlignment="1">
      <alignment horizontal="center"/>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1" xfId="0" applyFont="1" applyBorder="1" applyAlignment="1">
      <alignment horizontal="left" vertical="center" wrapText="1"/>
    </xf>
    <xf numFmtId="0" fontId="12" fillId="12" borderId="3" xfId="0" applyFont="1" applyFill="1" applyBorder="1" applyAlignment="1">
      <alignment horizontal="center" vertical="center" wrapText="1"/>
    </xf>
    <xf numFmtId="0" fontId="12" fillId="12" borderId="4"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2" fillId="0" borderId="3" xfId="0" applyFont="1" applyBorder="1" applyAlignment="1">
      <alignment horizontal="left" vertical="center" wrapText="1"/>
    </xf>
    <xf numFmtId="0" fontId="12" fillId="0" borderId="5" xfId="0" applyFont="1" applyBorder="1" applyAlignment="1">
      <alignment horizontal="left" vertical="center" wrapText="1"/>
    </xf>
    <xf numFmtId="0" fontId="12" fillId="0" borderId="2" xfId="0" applyFont="1" applyBorder="1" applyAlignment="1">
      <alignment horizontal="left"/>
    </xf>
    <xf numFmtId="0" fontId="12" fillId="0" borderId="0" xfId="0" applyFont="1" applyAlignment="1">
      <alignment horizontal="left"/>
    </xf>
    <xf numFmtId="0" fontId="16" fillId="15" borderId="1" xfId="0" applyFont="1" applyFill="1" applyBorder="1" applyAlignment="1">
      <alignment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EXL" id="{366B0D7F-FF60-44F9-B748-0D44999AC0D1}" userId="EXL" providerId="None"/>
  <person displayName="Karan Vohra" id="{1C94E0D5-D73E-40BD-BFA7-FA07F1265FC4}" userId="Karan86492@exlservice.com" providerId="PeoplePicker"/>
  <person displayName="Rahul Misra" id="{EB38784F-BC1B-4814-9336-96A6F78E9F28}" userId="Rahul97467@exlservice.com" providerId="PeoplePicker"/>
  <person displayName="Rashmi Ashrafi" id="{3C540BDC-ABD8-42D9-9A2D-590043825A0D}" userId="Rashmi87319@exlservice.com" providerId="PeoplePicker"/>
  <person displayName="Suresh Murjani" id="{889AD666-9269-45F2-B30B-01D47CCA3E47}" userId="Suresh80391@exlservice.com" providerId="PeoplePicker"/>
  <person displayName="Drew Henson" id="{CA9CD0A0-5F32-4E63-84DA-BE2B91525C29}" userId="Adrian233705@exlservice.com" providerId="PeoplePicker"/>
  <person displayName="Yogesh Sarkhot" id="{35BA6D16-6356-4491-9BC4-9532ECC1F434}" userId="Yogesh259285@exlservice.com" providerId="PeoplePicker"/>
  <person displayName="Rahul Misra" id="{C4BD6681-7337-4B37-ABEF-3A0B1496EE49}" userId="S::Rahul97467@exlservice.com::29fa76ae-f950-4d8f-9108-dfe9a056380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L" refreshedDate="46087.700848263892" createdVersion="8" refreshedVersion="8" minRefreshableVersion="3" recordCount="53" xr:uid="{9AD8A60B-C214-4792-8889-ADC059C4BD28}">
  <cacheSource type="worksheet">
    <worksheetSource ref="B2:G55" sheet="Scope Details "/>
  </cacheSource>
  <cacheFields count="6">
    <cacheField name="Location" numFmtId="0">
      <sharedItems/>
    </cacheField>
    <cacheField name="LOB" numFmtId="0">
      <sharedItems count="5">
        <s v="Business Insurance"/>
        <s v="Business Insurance - Select"/>
        <s v="Claims"/>
        <s v="Financial Operations"/>
        <s v="Personal Insurance"/>
      </sharedItems>
    </cacheField>
    <cacheField name="Process Name" numFmtId="0">
      <sharedItems/>
    </cacheField>
    <cacheField name="Primary Shift" numFmtId="0">
      <sharedItems containsBlank="1"/>
    </cacheField>
    <cacheField name="Process Description" numFmtId="0">
      <sharedItems containsBlank="1"/>
    </cacheField>
    <cacheField name="FTE" numFmtId="0">
      <sharedItems containsSemiMixedTypes="0" containsString="0" containsNumber="1" minValue="1.5" maxValue="1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s v="Noida"/>
    <x v="0"/>
    <s v="RMD Service Center"/>
    <s v="02:30 PM - 02:30 AM"/>
    <m/>
    <n v="35"/>
  </r>
  <r>
    <s v="Noida"/>
    <x v="0"/>
    <s v="FOS"/>
    <s v="12:30 PM - 09:30 PM"/>
    <m/>
    <n v="19"/>
  </r>
  <r>
    <s v="Noida"/>
    <x v="0"/>
    <s v="BI Underwriting Suppport Phase 1"/>
    <s v="2:30 PM - 04:30 AM"/>
    <m/>
    <n v="32"/>
  </r>
  <r>
    <s v="Pune"/>
    <x v="0"/>
    <s v="Account Clearing"/>
    <s v="12:30 PM - 06:30 AM"/>
    <m/>
    <n v="67"/>
  </r>
  <r>
    <s v="Pune"/>
    <x v="0"/>
    <s v="PAC"/>
    <s v="12:30 PM - 09:30 PM"/>
    <m/>
    <n v="9"/>
  </r>
  <r>
    <s v="Pune"/>
    <x v="0"/>
    <s v="Policy Admin"/>
    <s v="12:30 PM - 06:30 AM"/>
    <m/>
    <n v="110"/>
  </r>
  <r>
    <s v="Noida"/>
    <x v="1"/>
    <s v="NBS"/>
    <s v="12:30 PM - 09:30 PM"/>
    <m/>
    <n v="12"/>
  </r>
  <r>
    <s v="Noida"/>
    <x v="1"/>
    <s v="BIP"/>
    <s v="12:30 PM - 09:30 PM"/>
    <m/>
    <n v="7"/>
  </r>
  <r>
    <s v="Noida"/>
    <x v="1"/>
    <s v="Endorsement"/>
    <s v="12:30 PM - 09:30 PM"/>
    <m/>
    <n v="34"/>
  </r>
  <r>
    <s v="Noida"/>
    <x v="1"/>
    <s v="Renewal"/>
    <s v="12:30 PM - 09:30 PM"/>
    <s v="  "/>
    <n v="96"/>
  </r>
  <r>
    <s v="Noida"/>
    <x v="1"/>
    <s v="Audit Endorsement"/>
    <s v="12:30 PM - 09:30 PM"/>
    <m/>
    <n v="7"/>
  </r>
  <r>
    <s v="Noida"/>
    <x v="1"/>
    <s v="Indexing"/>
    <s v="12:30 PM - 09:30 PM"/>
    <m/>
    <n v="2"/>
  </r>
  <r>
    <s v="Noida"/>
    <x v="1"/>
    <s v="DCS"/>
    <s v="12:30 PM - 09:30 PM"/>
    <m/>
    <n v="15"/>
  </r>
  <r>
    <s v="Noida"/>
    <x v="2"/>
    <s v="Claim Ops E Fax"/>
    <s v="02:30 PM - 08:30 AM"/>
    <m/>
    <n v="47"/>
  </r>
  <r>
    <s v="Noida"/>
    <x v="2"/>
    <s v="FSA1"/>
    <s v="4:30 PM- 02:30 AM"/>
    <m/>
    <n v="15"/>
  </r>
  <r>
    <s v="Noida"/>
    <x v="2"/>
    <s v="Claim AWW"/>
    <s v="12:30 PM - 10:30 PM"/>
    <m/>
    <n v="25"/>
  </r>
  <r>
    <s v="Noida"/>
    <x v="2"/>
    <s v="Claims JCC/Medicare"/>
    <s v="12:30 PM - 09:30 PM"/>
    <m/>
    <n v="10"/>
  </r>
  <r>
    <s v="Noida"/>
    <x v="2"/>
    <s v="Claim Non MBR"/>
    <s v="12:30 PM - 09:30 PM"/>
    <m/>
    <n v="18"/>
  </r>
  <r>
    <s v="Noida"/>
    <x v="2"/>
    <s v="Claim QM"/>
    <s v="12:30 PM - 09:30 PM"/>
    <m/>
    <n v="6"/>
  </r>
  <r>
    <s v="Noida"/>
    <x v="2"/>
    <s v="Claim- State Filing"/>
    <s v="5:30 PM - 05:30 AM"/>
    <m/>
    <n v="33"/>
  </r>
  <r>
    <s v="Noida"/>
    <x v="2"/>
    <s v="Claim Legal -CLMRS"/>
    <m/>
    <m/>
    <n v="120"/>
  </r>
  <r>
    <s v="Noida"/>
    <x v="2"/>
    <s v="Clam legal - CDRS"/>
    <m/>
    <m/>
    <n v="15"/>
  </r>
  <r>
    <s v="Noida"/>
    <x v="2"/>
    <s v="Medical Bill Entry"/>
    <s v="10:30 AM - 19:30 PM"/>
    <m/>
    <n v="27"/>
  </r>
  <r>
    <s v="Noida"/>
    <x v="2"/>
    <s v="Subrogation Collections"/>
    <s v="12:30 PM - 09:30 PM"/>
    <m/>
    <n v="5"/>
  </r>
  <r>
    <s v="Noida"/>
    <x v="2"/>
    <s v="Risk Control"/>
    <s v="10:30 AM - 19:30 PM"/>
    <m/>
    <n v="3"/>
  </r>
  <r>
    <s v="Noida"/>
    <x v="2"/>
    <s v="Subrogation STEP"/>
    <s v="05:30 PM - 02:30 AM"/>
    <m/>
    <n v="12"/>
  </r>
  <r>
    <s v="Noida"/>
    <x v="2"/>
    <s v="Subrogation NOL"/>
    <s v="04:30 PM - 01:30 AM"/>
    <m/>
    <n v="12"/>
  </r>
  <r>
    <s v="Noida"/>
    <x v="2"/>
    <s v="CCS Efax NOL"/>
    <s v="08:30 PM - 05:30 AM"/>
    <m/>
    <n v="12"/>
  </r>
  <r>
    <s v="Pune"/>
    <x v="2"/>
    <s v="Ops Efax Pune"/>
    <s v="8:30 PM - 05:30 AM"/>
    <m/>
    <n v="30"/>
  </r>
  <r>
    <s v="Noida"/>
    <x v="3"/>
    <s v="ABO - Account Current Reconciliation "/>
    <s v="12:30 PM - 09:30 PM"/>
    <m/>
    <n v="8"/>
  </r>
  <r>
    <s v="Noida"/>
    <x v="3"/>
    <s v="ABO - Payment Application "/>
    <s v="12:30 PM - 09:30 PM"/>
    <m/>
    <n v="8"/>
  </r>
  <r>
    <s v="Noida"/>
    <x v="3"/>
    <s v="ABO - Payment Reconciliation "/>
    <s v="12:30 PM - 09:30 PM"/>
    <m/>
    <n v="4"/>
  </r>
  <r>
    <s v="Noida"/>
    <x v="3"/>
    <s v="ABO - Remittance Advice Keying "/>
    <s v="12:30 PM - 09:30 PM"/>
    <m/>
    <n v="1.5"/>
  </r>
  <r>
    <s v="Noida"/>
    <x v="3"/>
    <s v="ABO - Account Current Keying "/>
    <s v="12:30 PM - 09:30 PM"/>
    <m/>
    <n v="1.5"/>
  </r>
  <r>
    <s v="Noida"/>
    <x v="3"/>
    <s v="ABO- Premium Statements "/>
    <s v="12:30 PM - 09:30 PM"/>
    <m/>
    <n v="10"/>
  </r>
  <r>
    <s v="Noida"/>
    <x v="3"/>
    <s v="ABO - Filler Tasks"/>
    <s v="12:30 PM - 09:30 PM"/>
    <m/>
    <n v="5"/>
  </r>
  <r>
    <s v="Noida"/>
    <x v="3"/>
    <s v="ABO - First Party Resolution "/>
    <s v="12:30 PM - 09:30 PM"/>
    <m/>
    <n v="4"/>
  </r>
  <r>
    <s v="Noida"/>
    <x v="3"/>
    <s v="ABO - PSPT"/>
    <s v="12:30 PM - 09:30 PM"/>
    <m/>
    <n v="2"/>
  </r>
  <r>
    <s v="Noida"/>
    <x v="3"/>
    <s v="Booked vs. Billed Reconciliation (BvB) "/>
    <s v="12:30 PM - 09:30 PM"/>
    <m/>
    <n v="15"/>
  </r>
  <r>
    <s v="Noida"/>
    <x v="3"/>
    <s v="LSRM "/>
    <s v="12:30 PM - 09:30 PM"/>
    <m/>
    <n v="14"/>
  </r>
  <r>
    <s v="Noida"/>
    <x v="3"/>
    <s v="Premium Audit Service Center (PASC) "/>
    <s v="12:30 PM - 09:30 PM"/>
    <m/>
    <n v="29"/>
  </r>
  <r>
    <s v="Noida"/>
    <x v="3"/>
    <s v="PASC Support"/>
    <s v="12:30 PM - 09:30 PM"/>
    <m/>
    <n v="4"/>
  </r>
  <r>
    <s v="Noida"/>
    <x v="4"/>
    <s v="Special Projects"/>
    <s v="12:45 PM - 02:30 AM"/>
    <m/>
    <n v="24"/>
  </r>
  <r>
    <s v="Noida"/>
    <x v="4"/>
    <s v="Underwriting Support"/>
    <s v="12:45 PM - 09:45 PM"/>
    <m/>
    <n v="28"/>
  </r>
  <r>
    <s v="Noida"/>
    <x v="4"/>
    <s v="Book Transfer"/>
    <s v="12:45 PM - 09:45 PM"/>
    <m/>
    <n v="34"/>
  </r>
  <r>
    <s v="Noida"/>
    <x v="4"/>
    <s v="Policy Change"/>
    <s v="08:30 AM - 05:30 AM"/>
    <m/>
    <n v="37"/>
  </r>
  <r>
    <s v="Noida"/>
    <x v="4"/>
    <s v="Policy Cancels"/>
    <s v="11:00 PM - 8:00 AM"/>
    <m/>
    <n v="16"/>
  </r>
  <r>
    <s v="Noida"/>
    <x v="4"/>
    <s v="New Business"/>
    <s v="08:30 AM - 03:30 AM"/>
    <m/>
    <n v="37"/>
  </r>
  <r>
    <s v="Noida"/>
    <x v="4"/>
    <s v="Marine AP"/>
    <s v="12:45 PM - 09:45 PM"/>
    <m/>
    <n v="3"/>
  </r>
  <r>
    <s v="Noida"/>
    <x v="4"/>
    <s v="Agency Audit"/>
    <s v="12:45 PM - 09:45 PM"/>
    <m/>
    <n v="5"/>
  </r>
  <r>
    <s v="Noida"/>
    <x v="4"/>
    <s v="Miscellaneous Transactions"/>
    <s v="12:45 PM - 09:45 PM"/>
    <m/>
    <n v="17"/>
  </r>
  <r>
    <s v="Noida"/>
    <x v="4"/>
    <s v="QAP"/>
    <s v="12:45 PM - 09:45 PM"/>
    <m/>
    <n v="24"/>
  </r>
  <r>
    <s v="Noida"/>
    <x v="4"/>
    <s v="Indexing - PI"/>
    <s v="12:45 PM - 10:30 PM"/>
    <m/>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B8E0AE-F847-427B-829F-9066D1E6D2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B">
  <location ref="A3:B9" firstHeaderRow="1" firstDataRow="1" firstDataCol="1"/>
  <pivotFields count="6">
    <pivotField showAll="0"/>
    <pivotField axis="axisRow" showAll="0">
      <items count="6">
        <item x="0"/>
        <item x="1"/>
        <item x="2"/>
        <item x="3"/>
        <item x="4"/>
        <item t="default"/>
      </items>
    </pivotField>
    <pivotField showAll="0"/>
    <pivotField showAll="0"/>
    <pivotField showAll="0"/>
    <pivotField dataField="1" showAll="0"/>
  </pivotFields>
  <rowFields count="1">
    <field x="1"/>
  </rowFields>
  <rowItems count="6">
    <i>
      <x/>
    </i>
    <i>
      <x v="1"/>
    </i>
    <i>
      <x v="2"/>
    </i>
    <i>
      <x v="3"/>
    </i>
    <i>
      <x v="4"/>
    </i>
    <i t="grand">
      <x/>
    </i>
  </rowItems>
  <colItems count="1">
    <i/>
  </colItems>
  <dataFields count="1">
    <dataField name="Sum of FT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7" dT="2026-03-10T14:11:38.05" personId="{366B0D7F-FF60-44F9-B748-0D44999AC0D1}" id="{9430F8ED-2677-41A1-8AB1-9C5B1D4173AC}">
    <text>@Rashmi Ashrafi Please update this table for Renewal flow</text>
    <mentions>
      <mention mentionpersonId="{3C540BDC-ABD8-42D9-9A2D-590043825A0D}" mentionId="{768D1949-AA5F-4BE1-AD52-ABF5A1A342B7}" startIndex="0" length="15"/>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5" dT="2026-03-10T14:12:00.83" personId="{366B0D7F-FF60-44F9-B748-0D44999AC0D1}" id="{05C55001-BAD8-4441-8B61-000EF3A3ED77}">
    <text>@Rashmi Ashrafi Please update this table for Policy Servicing flow</text>
    <mentions>
      <mention mentionpersonId="{3C540BDC-ABD8-42D9-9A2D-590043825A0D}" mentionId="{D38454C0-EE00-4D98-9A1C-8C9FE3288054}" startIndex="0" length="15"/>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6-03-10T14:12:58.90" personId="{366B0D7F-FF60-44F9-B748-0D44999AC0D1}" id="{CFFB5545-AB65-40C8-88B3-5AB8F73A0DD3}">
    <text>@Rahul Misra Please update this table for Claims - WC flow</text>
    <mentions>
      <mention mentionpersonId="{EB38784F-BC1B-4814-9336-96A6F78E9F28}" mentionId="{ED10A551-3202-432E-8E26-22448D22A1C4}" startIndex="0" length="12"/>
    </mentions>
  </threadedComment>
  <threadedComment ref="B2" dT="2026-03-12T13:07:20.82" personId="{C4BD6681-7337-4B37-ABEF-3A0B1496EE49}" id="{0F92BFC1-378D-4124-AF44-CBA2694ABB74}" parentId="{CFFB5545-AB65-40C8-88B3-5AB8F73A0DD3}">
    <text>Done</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6-03-10T14:13:28.90" personId="{366B0D7F-FF60-44F9-B748-0D44999AC0D1}" id="{00F0DF1D-5F81-4324-9A18-737D26A7D85F}">
    <text>@Karan Vohra  please update this table for Claims Non WC flow</text>
    <mentions>
      <mention mentionpersonId="{1C94E0D5-D73E-40BD-BFA7-FA07F1265FC4}" mentionId="{DCB999F8-6942-4027-BF27-E122BC8753E1}" startIndex="0" length="12"/>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B2" dT="2026-03-10T14:13:57.73" personId="{366B0D7F-FF60-44F9-B748-0D44999AC0D1}" id="{D6708A27-2C69-4E34-963F-B99A4EBAA960}">
    <text>@Suresh Murjani please update this table for F&amp;A - R2R flow</text>
    <mentions>
      <mention mentionpersonId="{889AD666-9269-45F2-B30B-01D47CCA3E47}" mentionId="{C732A862-68E0-408D-AC9C-690906B35FA0}" startIndex="0" length="15"/>
    </mentions>
  </threadedComment>
  <threadedComment ref="C2" dT="2026-03-16T18:57:12.11" personId="{366B0D7F-FF60-44F9-B748-0D44999AC0D1}" id="{976F87B4-F600-478E-ABB7-AB46E8AB584F}">
    <text>@Drew Henson @Yogesh Sarkhot for reviewing Potential solutions and Impact for F&amp;A scope</text>
    <mentions>
      <mention mentionpersonId="{CA9CD0A0-5F32-4E63-84DA-BE2B91525C29}" mentionId="{D595A1B8-B282-429E-9B45-CBC994D92AB9}" startIndex="0" length="12"/>
      <mention mentionpersonId="{35BA6D16-6356-4491-9BC4-9532ECC1F434}" mentionId="{C03CA327-1E62-4DD4-BD0B-9C6748A58A1A}" startIndex="13" length="15"/>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6-03-10T14:14:47.41" personId="{366B0D7F-FF60-44F9-B748-0D44999AC0D1}" id="{AAC3D91E-5BEC-4677-96AD-A3FACAE93729}">
    <text>@Suresh Murjani please update this table for F&amp;A O2C flow</text>
    <mentions>
      <mention mentionpersonId="{889AD666-9269-45F2-B30B-01D47CCA3E47}" mentionId="{3DF6E74E-3EB2-47F7-8A65-CEA8B6C3C4C7}" startIndex="0" length="15"/>
    </mentions>
  </threadedComment>
  <threadedComment ref="B1" dT="2026-03-16T18:57:35.53" personId="{366B0D7F-FF60-44F9-B748-0D44999AC0D1}" id="{02F91C9E-6D9B-47A3-A00B-9B86696128D6}">
    <text>@Drew Henson @Yogesh Sarkhot for reviewing Potential solutions and Impact for F&amp;A scope</text>
    <mentions>
      <mention mentionpersonId="{CA9CD0A0-5F32-4E63-84DA-BE2B91525C29}" mentionId="{91E1416B-BBCD-4F77-B849-11E227A915FF}" startIndex="0" length="12"/>
      <mention mentionpersonId="{35BA6D16-6356-4491-9BC4-9532ECC1F434}" mentionId="{60B7718A-5802-4C49-944F-47D6EAFDB176}" startIndex="13" length="15"/>
    </mentions>
  </threadedComment>
</ThreadedComments>
</file>

<file path=xl/worksheets/_rels/sheet2.xml.rels><?xml version="1.0" encoding="UTF-8" standalone="yes"?>
<Relationships xmlns="http://schemas.openxmlformats.org/package/2006/relationships"><Relationship Id="rId2" Type="http://schemas.openxmlformats.org/officeDocument/2006/relationships/hyperlink" Target="https://asset.trvstatic.com/download/assets/travelers_sustainabilityreport2019.pdf/7314eedcb97011ef9833be9c826b7e85?utm_source=chatgpt.com" TargetMode="External"/><Relationship Id="rId1" Type="http://schemas.openxmlformats.org/officeDocument/2006/relationships/hyperlink" Target="https://www.sec.gov/Archives/edgar/data/86312/000110465924042530/tm249142d1_ars.pdf?utm_source=chatgpt.com"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AF11-45A2-40F8-B909-6348CDE6FD40}">
  <dimension ref="A1:K21"/>
  <sheetViews>
    <sheetView showGridLines="0" zoomScale="90" zoomScaleNormal="90" workbookViewId="0">
      <pane xSplit="2" ySplit="3" topLeftCell="C4" activePane="bottomRight" state="frozen"/>
      <selection pane="topRight" activeCell="C1" sqref="C1"/>
      <selection pane="bottomLeft" activeCell="A4" sqref="A4"/>
      <selection pane="bottomRight" activeCell="F1" sqref="F1"/>
    </sheetView>
  </sheetViews>
  <sheetFormatPr defaultColWidth="8.7265625" defaultRowHeight="14.5" x14ac:dyDescent="0.35"/>
  <cols>
    <col min="1" max="1" width="1.7265625" style="7" customWidth="1"/>
    <col min="2" max="2" width="36.7265625" style="7" customWidth="1"/>
    <col min="3" max="4" width="14.7265625" style="7" customWidth="1"/>
    <col min="5" max="5" width="27.7265625" style="7" customWidth="1"/>
    <col min="6" max="6" width="21.7265625" style="7" customWidth="1"/>
    <col min="7" max="7" width="14.54296875" style="7" bestFit="1" customWidth="1"/>
    <col min="8" max="8" width="16.26953125" style="7" bestFit="1" customWidth="1"/>
    <col min="9" max="9" width="14.54296875" style="7" customWidth="1"/>
    <col min="10" max="10" width="18.7265625" style="7" customWidth="1"/>
    <col min="11" max="11" width="20.26953125" style="7" customWidth="1"/>
    <col min="12" max="16384" width="8.7265625" style="7"/>
  </cols>
  <sheetData>
    <row r="1" spans="1:11" s="6" customFormat="1" x14ac:dyDescent="0.35"/>
    <row r="2" spans="1:11" s="6" customFormat="1" ht="26" x14ac:dyDescent="0.35">
      <c r="B2" s="5" t="s">
        <v>0</v>
      </c>
      <c r="C2" s="104"/>
      <c r="D2" s="104"/>
    </row>
    <row r="3" spans="1:11" s="6" customFormat="1" ht="35.15" customHeight="1" x14ac:dyDescent="0.35">
      <c r="B3" s="1"/>
      <c r="C3" s="4" t="s">
        <v>1</v>
      </c>
      <c r="D3" s="4" t="s">
        <v>2</v>
      </c>
      <c r="E3" s="8" t="s">
        <v>3</v>
      </c>
      <c r="F3" s="8" t="s">
        <v>4</v>
      </c>
      <c r="G3" s="8" t="s">
        <v>5</v>
      </c>
      <c r="H3" s="8" t="s">
        <v>6</v>
      </c>
      <c r="I3" s="8" t="s">
        <v>7</v>
      </c>
      <c r="J3" s="8" t="s">
        <v>8</v>
      </c>
      <c r="K3" s="8" t="s">
        <v>9</v>
      </c>
    </row>
    <row r="4" spans="1:11" s="11" customFormat="1" ht="60" x14ac:dyDescent="0.35">
      <c r="A4" s="7"/>
      <c r="B4" s="2" t="s">
        <v>10</v>
      </c>
      <c r="C4" s="9" t="s">
        <v>11</v>
      </c>
      <c r="D4" s="14" t="s">
        <v>12</v>
      </c>
      <c r="E4" s="10" t="s">
        <v>13</v>
      </c>
      <c r="F4" s="10" t="s">
        <v>14</v>
      </c>
      <c r="G4" s="12" t="s">
        <v>15</v>
      </c>
      <c r="H4" s="10" t="s">
        <v>16</v>
      </c>
      <c r="I4" s="10" t="s">
        <v>17</v>
      </c>
      <c r="J4" s="12" t="s">
        <v>18</v>
      </c>
      <c r="K4" s="12" t="s">
        <v>19</v>
      </c>
    </row>
    <row r="5" spans="1:11" s="11" customFormat="1" ht="96" x14ac:dyDescent="0.35">
      <c r="A5" s="7"/>
      <c r="B5" s="3" t="s">
        <v>20</v>
      </c>
      <c r="C5" s="9">
        <v>1200</v>
      </c>
      <c r="D5" s="14" t="s">
        <v>21</v>
      </c>
      <c r="E5" s="12" t="s">
        <v>22</v>
      </c>
      <c r="F5" s="12" t="s">
        <v>23</v>
      </c>
      <c r="G5" s="12" t="s">
        <v>24</v>
      </c>
      <c r="H5" s="10" t="s">
        <v>16</v>
      </c>
      <c r="I5" s="10" t="s">
        <v>25</v>
      </c>
      <c r="J5" s="12" t="s">
        <v>26</v>
      </c>
      <c r="K5" s="10"/>
    </row>
    <row r="6" spans="1:11" s="11" customFormat="1" ht="48" x14ac:dyDescent="0.35">
      <c r="A6" s="7"/>
      <c r="B6" s="13" t="s">
        <v>27</v>
      </c>
      <c r="C6" s="9" t="s">
        <v>28</v>
      </c>
      <c r="D6" s="14" t="s">
        <v>29</v>
      </c>
      <c r="E6" s="10" t="s">
        <v>30</v>
      </c>
      <c r="F6" s="10"/>
      <c r="G6" s="12" t="s">
        <v>31</v>
      </c>
      <c r="H6" s="10"/>
      <c r="I6" s="10"/>
      <c r="J6" s="10"/>
      <c r="K6" s="10"/>
    </row>
    <row r="8" spans="1:11" x14ac:dyDescent="0.35">
      <c r="C8" s="70"/>
      <c r="D8" s="70" t="s">
        <v>32</v>
      </c>
      <c r="E8" s="7" t="s">
        <v>33</v>
      </c>
    </row>
    <row r="9" spans="1:11" x14ac:dyDescent="0.35">
      <c r="C9" s="71">
        <v>0.4</v>
      </c>
      <c r="D9" s="70" t="s">
        <v>34</v>
      </c>
      <c r="E9" s="7" t="s">
        <v>35</v>
      </c>
      <c r="F9" s="68">
        <v>0.5</v>
      </c>
    </row>
    <row r="10" spans="1:11" x14ac:dyDescent="0.35">
      <c r="C10" s="71">
        <v>0.15</v>
      </c>
      <c r="D10" s="70" t="s">
        <v>36</v>
      </c>
      <c r="E10" s="7" t="s">
        <v>36</v>
      </c>
      <c r="F10" s="68">
        <v>0.4</v>
      </c>
    </row>
    <row r="11" spans="1:11" x14ac:dyDescent="0.35">
      <c r="C11" s="71">
        <v>0.45</v>
      </c>
      <c r="D11" s="70" t="s">
        <v>37</v>
      </c>
      <c r="E11" s="7" t="s">
        <v>38</v>
      </c>
      <c r="F11" s="68">
        <v>0.1</v>
      </c>
    </row>
    <row r="12" spans="1:11" x14ac:dyDescent="0.35">
      <c r="D12" s="7" t="s">
        <v>39</v>
      </c>
      <c r="F12" s="7" t="s">
        <v>39</v>
      </c>
    </row>
    <row r="14" spans="1:11" x14ac:dyDescent="0.35">
      <c r="D14" s="7" t="s">
        <v>40</v>
      </c>
      <c r="E14" s="7" t="s">
        <v>41</v>
      </c>
      <c r="F14" s="7">
        <v>200</v>
      </c>
    </row>
    <row r="15" spans="1:11" x14ac:dyDescent="0.35">
      <c r="E15" s="7" t="s">
        <v>36</v>
      </c>
      <c r="F15" s="7">
        <v>200</v>
      </c>
      <c r="G15" s="7" t="s">
        <v>42</v>
      </c>
    </row>
    <row r="16" spans="1:11" x14ac:dyDescent="0.35">
      <c r="D16" s="7" t="s">
        <v>36</v>
      </c>
      <c r="E16" s="7" t="s">
        <v>43</v>
      </c>
      <c r="F16" s="7">
        <v>450</v>
      </c>
      <c r="G16" s="7" t="s">
        <v>44</v>
      </c>
    </row>
    <row r="17" spans="4:6" x14ac:dyDescent="0.35">
      <c r="D17" s="7" t="s">
        <v>37</v>
      </c>
      <c r="E17" s="7" t="s">
        <v>43</v>
      </c>
      <c r="F17" s="77">
        <v>400</v>
      </c>
    </row>
    <row r="18" spans="4:6" x14ac:dyDescent="0.35">
      <c r="D18" s="7" t="s">
        <v>41</v>
      </c>
      <c r="E18" s="7" t="s">
        <v>43</v>
      </c>
      <c r="F18" s="77">
        <v>250</v>
      </c>
    </row>
    <row r="19" spans="4:6" x14ac:dyDescent="0.35">
      <c r="D19" s="7" t="s">
        <v>45</v>
      </c>
      <c r="E19" s="7" t="s">
        <v>43</v>
      </c>
      <c r="F19" s="77">
        <v>500</v>
      </c>
    </row>
    <row r="21" spans="4:6" x14ac:dyDescent="0.35">
      <c r="F21" s="7">
        <f>SUM(F14:F20)</f>
        <v>2000</v>
      </c>
    </row>
  </sheetData>
  <mergeCells count="1">
    <mergeCell ref="C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1A1C-71F5-46FF-9D27-5003982914F0}">
  <dimension ref="B2:H88"/>
  <sheetViews>
    <sheetView tabSelected="1" zoomScale="80" zoomScaleNormal="80" workbookViewId="0">
      <pane xSplit="1" ySplit="1" topLeftCell="B2" activePane="bottomRight" state="frozen"/>
      <selection pane="topRight" activeCell="B1" sqref="B1"/>
      <selection pane="bottomLeft" activeCell="A2" sqref="A2"/>
      <selection pane="bottomRight" activeCell="E1" sqref="E1"/>
    </sheetView>
  </sheetViews>
  <sheetFormatPr defaultRowHeight="14.5" x14ac:dyDescent="0.35"/>
  <cols>
    <col min="1" max="1" width="7.81640625" customWidth="1"/>
    <col min="2" max="2" width="107.54296875" customWidth="1"/>
    <col min="3" max="3" width="26.26953125" customWidth="1"/>
    <col min="4" max="4" width="12.7265625" customWidth="1"/>
    <col min="5" max="6" width="15.1796875" bestFit="1" customWidth="1"/>
    <col min="7" max="7" width="11.453125" bestFit="1" customWidth="1"/>
  </cols>
  <sheetData>
    <row r="2" spans="2:5" ht="87" x14ac:dyDescent="0.35">
      <c r="B2" s="7" t="s">
        <v>46</v>
      </c>
      <c r="C2" s="74" t="s">
        <v>47</v>
      </c>
      <c r="E2" t="s">
        <v>48</v>
      </c>
    </row>
    <row r="3" spans="2:5" x14ac:dyDescent="0.35">
      <c r="B3" s="72" t="s">
        <v>49</v>
      </c>
      <c r="C3">
        <v>12500</v>
      </c>
    </row>
    <row r="4" spans="2:5" x14ac:dyDescent="0.35">
      <c r="B4" s="72" t="s">
        <v>50</v>
      </c>
      <c r="C4">
        <f>D4*C3</f>
        <v>3750</v>
      </c>
      <c r="D4" s="73">
        <v>0.3</v>
      </c>
      <c r="E4" t="s">
        <v>51</v>
      </c>
    </row>
    <row r="5" spans="2:5" x14ac:dyDescent="0.35">
      <c r="B5" s="72" t="s">
        <v>52</v>
      </c>
      <c r="C5" s="97">
        <f>D5*C4</f>
        <v>2812.5</v>
      </c>
      <c r="D5" s="73">
        <v>0.75</v>
      </c>
      <c r="E5" t="s">
        <v>51</v>
      </c>
    </row>
    <row r="7" spans="2:5" x14ac:dyDescent="0.35">
      <c r="B7" s="72" t="s">
        <v>53</v>
      </c>
      <c r="C7">
        <f>C3-C4</f>
        <v>8750</v>
      </c>
    </row>
    <row r="8" spans="2:5" x14ac:dyDescent="0.35">
      <c r="B8" s="72" t="s">
        <v>54</v>
      </c>
      <c r="C8" s="96">
        <f>D8*C7</f>
        <v>5250</v>
      </c>
      <c r="D8" s="73">
        <v>0.6</v>
      </c>
      <c r="E8" t="s">
        <v>51</v>
      </c>
    </row>
    <row r="11" spans="2:5" ht="29" x14ac:dyDescent="0.4">
      <c r="B11" s="7" t="s">
        <v>55</v>
      </c>
      <c r="C11" s="75" t="s">
        <v>56</v>
      </c>
    </row>
    <row r="12" spans="2:5" x14ac:dyDescent="0.35">
      <c r="B12" s="76" t="s">
        <v>57</v>
      </c>
      <c r="C12">
        <v>4200</v>
      </c>
    </row>
    <row r="13" spans="2:5" x14ac:dyDescent="0.35">
      <c r="B13" s="76" t="s">
        <v>35</v>
      </c>
      <c r="C13">
        <f>D13*C12</f>
        <v>3570</v>
      </c>
      <c r="D13" s="73">
        <v>0.85</v>
      </c>
      <c r="E13" t="s">
        <v>51</v>
      </c>
    </row>
    <row r="14" spans="2:5" x14ac:dyDescent="0.35">
      <c r="B14" s="76" t="s">
        <v>58</v>
      </c>
      <c r="C14" s="89">
        <f>D14*C13</f>
        <v>892.5</v>
      </c>
      <c r="D14" s="83">
        <v>0.25</v>
      </c>
    </row>
    <row r="15" spans="2:5" x14ac:dyDescent="0.35">
      <c r="B15" s="76" t="s">
        <v>59</v>
      </c>
      <c r="C15" s="93">
        <f>D15*C13</f>
        <v>1606.5</v>
      </c>
      <c r="D15" s="83">
        <v>0.45</v>
      </c>
    </row>
    <row r="16" spans="2:5" x14ac:dyDescent="0.35">
      <c r="B16" s="76" t="s">
        <v>60</v>
      </c>
      <c r="C16" s="93">
        <f>D16*C13</f>
        <v>1071</v>
      </c>
      <c r="D16" s="83">
        <v>0.3</v>
      </c>
    </row>
    <row r="17" spans="2:6" x14ac:dyDescent="0.35">
      <c r="B17" s="76" t="s">
        <v>38</v>
      </c>
      <c r="C17">
        <f>D17*C12</f>
        <v>630</v>
      </c>
      <c r="D17" s="73">
        <v>0.15</v>
      </c>
      <c r="E17" t="s">
        <v>51</v>
      </c>
    </row>
    <row r="18" spans="2:6" x14ac:dyDescent="0.35">
      <c r="B18" s="76"/>
    </row>
    <row r="19" spans="2:6" x14ac:dyDescent="0.35">
      <c r="B19" s="76" t="s">
        <v>61</v>
      </c>
      <c r="C19">
        <v>4000</v>
      </c>
    </row>
    <row r="20" spans="2:6" x14ac:dyDescent="0.35">
      <c r="B20" s="76" t="s">
        <v>35</v>
      </c>
      <c r="C20">
        <f>D20*C19</f>
        <v>2800</v>
      </c>
      <c r="D20" s="73">
        <v>0.7</v>
      </c>
      <c r="E20" t="s">
        <v>51</v>
      </c>
    </row>
    <row r="21" spans="2:6" x14ac:dyDescent="0.35">
      <c r="B21" s="76" t="s">
        <v>58</v>
      </c>
      <c r="C21" s="84">
        <f>D21*C20</f>
        <v>1400</v>
      </c>
      <c r="D21" s="83">
        <v>0.5</v>
      </c>
    </row>
    <row r="22" spans="2:6" x14ac:dyDescent="0.35">
      <c r="B22" s="76" t="s">
        <v>59</v>
      </c>
      <c r="C22" s="84">
        <f>D22*C20</f>
        <v>979.99999999999989</v>
      </c>
      <c r="D22" s="83">
        <v>0.35</v>
      </c>
    </row>
    <row r="23" spans="2:6" x14ac:dyDescent="0.35">
      <c r="B23" s="76" t="s">
        <v>60</v>
      </c>
      <c r="C23" s="91">
        <f>D23*C20</f>
        <v>420</v>
      </c>
      <c r="D23" s="83">
        <v>0.15</v>
      </c>
    </row>
    <row r="24" spans="2:6" x14ac:dyDescent="0.35">
      <c r="B24" s="76" t="s">
        <v>38</v>
      </c>
      <c r="C24" s="92">
        <f>D24*C19</f>
        <v>1200</v>
      </c>
      <c r="D24" s="73">
        <v>0.3</v>
      </c>
      <c r="E24" t="s">
        <v>51</v>
      </c>
    </row>
    <row r="26" spans="2:6" x14ac:dyDescent="0.35">
      <c r="B26" s="24" t="s">
        <v>62</v>
      </c>
    </row>
    <row r="27" spans="2:6" x14ac:dyDescent="0.35">
      <c r="B27" s="76" t="s">
        <v>63</v>
      </c>
      <c r="C27">
        <v>34000</v>
      </c>
    </row>
    <row r="28" spans="2:6" x14ac:dyDescent="0.35">
      <c r="B28" s="76" t="s">
        <v>37</v>
      </c>
      <c r="C28" s="99">
        <f>C27*D28</f>
        <v>2040</v>
      </c>
      <c r="D28" s="73">
        <v>0.06</v>
      </c>
      <c r="E28" t="s">
        <v>51</v>
      </c>
    </row>
    <row r="32" spans="2:6" x14ac:dyDescent="0.35">
      <c r="B32" s="81" t="s">
        <v>64</v>
      </c>
      <c r="C32" s="77" t="s">
        <v>40</v>
      </c>
      <c r="D32" s="77" t="s">
        <v>41</v>
      </c>
      <c r="E32" s="77">
        <v>200</v>
      </c>
      <c r="F32" s="77"/>
    </row>
    <row r="33" spans="2:8" x14ac:dyDescent="0.35">
      <c r="C33" s="77"/>
      <c r="D33" s="77" t="s">
        <v>36</v>
      </c>
      <c r="E33" s="77">
        <v>200</v>
      </c>
      <c r="F33" s="77" t="s">
        <v>42</v>
      </c>
    </row>
    <row r="34" spans="2:8" x14ac:dyDescent="0.35">
      <c r="C34" s="77" t="s">
        <v>36</v>
      </c>
      <c r="D34" s="77" t="s">
        <v>43</v>
      </c>
      <c r="E34" s="77">
        <v>450</v>
      </c>
      <c r="F34" s="77" t="s">
        <v>44</v>
      </c>
      <c r="G34">
        <f>40%*E34</f>
        <v>180</v>
      </c>
      <c r="H34">
        <f>E34-G34</f>
        <v>270</v>
      </c>
    </row>
    <row r="35" spans="2:8" x14ac:dyDescent="0.35">
      <c r="C35" s="77" t="s">
        <v>37</v>
      </c>
      <c r="D35" s="77" t="s">
        <v>43</v>
      </c>
      <c r="E35" s="77">
        <v>400</v>
      </c>
      <c r="F35" s="77"/>
    </row>
    <row r="36" spans="2:8" x14ac:dyDescent="0.35">
      <c r="C36" s="77" t="s">
        <v>41</v>
      </c>
      <c r="D36" s="77" t="s">
        <v>43</v>
      </c>
      <c r="E36" s="77">
        <v>250</v>
      </c>
      <c r="F36" s="77"/>
    </row>
    <row r="37" spans="2:8" x14ac:dyDescent="0.35">
      <c r="C37" s="77" t="s">
        <v>45</v>
      </c>
      <c r="D37" s="77" t="s">
        <v>43</v>
      </c>
      <c r="E37" s="77">
        <v>500</v>
      </c>
      <c r="F37" s="77"/>
    </row>
    <row r="38" spans="2:8" x14ac:dyDescent="0.35">
      <c r="C38" s="77"/>
      <c r="D38" s="82" t="s">
        <v>65</v>
      </c>
      <c r="E38" s="82">
        <f>SUM(E32:E37)</f>
        <v>2000</v>
      </c>
      <c r="F38" s="77"/>
    </row>
    <row r="40" spans="2:8" x14ac:dyDescent="0.35">
      <c r="B40" s="79" t="s">
        <v>66</v>
      </c>
      <c r="C40" s="80" t="s">
        <v>67</v>
      </c>
      <c r="D40" s="80" t="s">
        <v>68</v>
      </c>
    </row>
    <row r="41" spans="2:8" x14ac:dyDescent="0.35">
      <c r="B41" s="76" t="s">
        <v>69</v>
      </c>
      <c r="C41" s="94">
        <v>1500</v>
      </c>
      <c r="D41" s="48">
        <v>250</v>
      </c>
      <c r="E41" t="s">
        <v>70</v>
      </c>
    </row>
    <row r="42" spans="2:8" x14ac:dyDescent="0.35">
      <c r="B42" s="76" t="s">
        <v>71</v>
      </c>
      <c r="C42" s="94">
        <v>1100</v>
      </c>
      <c r="D42" s="48">
        <v>250</v>
      </c>
      <c r="E42" t="s">
        <v>70</v>
      </c>
    </row>
    <row r="43" spans="2:8" x14ac:dyDescent="0.35">
      <c r="B43" s="76" t="s">
        <v>72</v>
      </c>
      <c r="C43" s="90">
        <v>1600</v>
      </c>
      <c r="D43" s="48">
        <v>450</v>
      </c>
      <c r="E43" t="s">
        <v>73</v>
      </c>
    </row>
    <row r="44" spans="2:8" x14ac:dyDescent="0.35">
      <c r="B44" s="76" t="s">
        <v>74</v>
      </c>
      <c r="C44" s="95">
        <v>5200</v>
      </c>
      <c r="D44" s="48">
        <f>H34</f>
        <v>270</v>
      </c>
    </row>
    <row r="45" spans="2:8" x14ac:dyDescent="0.35">
      <c r="B45" s="76" t="s">
        <v>75</v>
      </c>
      <c r="C45" s="95">
        <v>2800</v>
      </c>
      <c r="D45" s="48">
        <f>E33+G34</f>
        <v>380</v>
      </c>
    </row>
    <row r="46" spans="2:8" x14ac:dyDescent="0.35">
      <c r="B46" s="76" t="s">
        <v>76</v>
      </c>
      <c r="C46" s="98">
        <v>1000</v>
      </c>
      <c r="D46" s="48">
        <v>200</v>
      </c>
    </row>
    <row r="47" spans="2:8" x14ac:dyDescent="0.35">
      <c r="B47" s="76" t="s">
        <v>77</v>
      </c>
      <c r="C47" s="98">
        <v>1000</v>
      </c>
      <c r="D47" s="48">
        <v>200</v>
      </c>
    </row>
    <row r="48" spans="2:8" x14ac:dyDescent="0.35">
      <c r="C48" s="48">
        <f>SUM(C41:C47)</f>
        <v>14200</v>
      </c>
      <c r="D48" s="48">
        <f>SUM(D41:D47)</f>
        <v>2000</v>
      </c>
    </row>
    <row r="50" spans="2:7" x14ac:dyDescent="0.35">
      <c r="B50" s="79" t="s">
        <v>66</v>
      </c>
      <c r="C50" s="80" t="s">
        <v>67</v>
      </c>
      <c r="D50" s="80" t="s">
        <v>68</v>
      </c>
      <c r="F50" t="s">
        <v>78</v>
      </c>
      <c r="G50" s="85">
        <v>24000</v>
      </c>
    </row>
    <row r="51" spans="2:7" x14ac:dyDescent="0.35">
      <c r="B51" s="76" t="s">
        <v>69</v>
      </c>
      <c r="C51" s="87">
        <f>C41*G51</f>
        <v>135000000</v>
      </c>
      <c r="D51" s="86">
        <f>D41*$G$50</f>
        <v>6000000</v>
      </c>
      <c r="F51" t="s">
        <v>79</v>
      </c>
      <c r="G51" s="85">
        <v>90000</v>
      </c>
    </row>
    <row r="52" spans="2:7" x14ac:dyDescent="0.35">
      <c r="B52" s="76" t="s">
        <v>71</v>
      </c>
      <c r="C52" s="87">
        <f>C42*G51</f>
        <v>99000000</v>
      </c>
      <c r="D52" s="86">
        <f t="shared" ref="D52:D57" si="0">D42*$G$50</f>
        <v>6000000</v>
      </c>
      <c r="F52" t="s">
        <v>80</v>
      </c>
      <c r="G52" s="85">
        <v>65000</v>
      </c>
    </row>
    <row r="53" spans="2:7" x14ac:dyDescent="0.35">
      <c r="B53" s="76" t="s">
        <v>72</v>
      </c>
      <c r="C53" s="87">
        <f>C43*G52</f>
        <v>104000000</v>
      </c>
      <c r="D53" s="86">
        <f t="shared" si="0"/>
        <v>10800000</v>
      </c>
      <c r="F53" t="s">
        <v>81</v>
      </c>
      <c r="G53" s="85">
        <v>80000</v>
      </c>
    </row>
    <row r="54" spans="2:7" x14ac:dyDescent="0.35">
      <c r="B54" s="76" t="s">
        <v>74</v>
      </c>
      <c r="C54" s="87">
        <f>C44*G53</f>
        <v>416000000</v>
      </c>
      <c r="D54" s="86">
        <f t="shared" si="0"/>
        <v>6480000</v>
      </c>
      <c r="F54" t="s">
        <v>82</v>
      </c>
      <c r="G54" s="85">
        <v>75000</v>
      </c>
    </row>
    <row r="55" spans="2:7" x14ac:dyDescent="0.35">
      <c r="B55" s="76" t="s">
        <v>75</v>
      </c>
      <c r="C55" s="87">
        <f>C45*G53</f>
        <v>224000000</v>
      </c>
      <c r="D55" s="86">
        <f t="shared" si="0"/>
        <v>9120000</v>
      </c>
    </row>
    <row r="56" spans="2:7" x14ac:dyDescent="0.35">
      <c r="B56" s="76" t="s">
        <v>76</v>
      </c>
      <c r="C56" s="87">
        <f>C46*G54</f>
        <v>75000000</v>
      </c>
      <c r="D56" s="86">
        <f t="shared" si="0"/>
        <v>4800000</v>
      </c>
    </row>
    <row r="57" spans="2:7" x14ac:dyDescent="0.35">
      <c r="B57" s="76" t="s">
        <v>77</v>
      </c>
      <c r="C57" s="87">
        <f>C47*G54</f>
        <v>75000000</v>
      </c>
      <c r="D57" s="86">
        <f t="shared" si="0"/>
        <v>4800000</v>
      </c>
    </row>
    <row r="58" spans="2:7" x14ac:dyDescent="0.35">
      <c r="C58" s="88">
        <f>SUM(C51:C57)</f>
        <v>1128000000</v>
      </c>
      <c r="D58" s="88">
        <f>SUM(D51:D57)</f>
        <v>48000000</v>
      </c>
    </row>
    <row r="61" spans="2:7" x14ac:dyDescent="0.35">
      <c r="B61" s="78" t="s">
        <v>83</v>
      </c>
      <c r="C61" s="20" t="s">
        <v>84</v>
      </c>
      <c r="D61" s="20" t="s">
        <v>85</v>
      </c>
      <c r="E61" s="20" t="s">
        <v>86</v>
      </c>
      <c r="F61" s="20" t="s">
        <v>87</v>
      </c>
    </row>
    <row r="62" spans="2:7" x14ac:dyDescent="0.35">
      <c r="B62" s="76" t="s">
        <v>69</v>
      </c>
      <c r="C62" s="20">
        <v>1400</v>
      </c>
      <c r="D62" s="20">
        <v>1600</v>
      </c>
      <c r="E62" s="100">
        <f>C62*G51</f>
        <v>126000000</v>
      </c>
      <c r="F62" s="100">
        <f>D62*G51</f>
        <v>144000000</v>
      </c>
    </row>
    <row r="63" spans="2:7" x14ac:dyDescent="0.35">
      <c r="B63" s="76" t="s">
        <v>71</v>
      </c>
      <c r="C63" s="20">
        <v>1000</v>
      </c>
      <c r="D63" s="20">
        <v>1200</v>
      </c>
      <c r="E63" s="100">
        <f>C63*G51</f>
        <v>90000000</v>
      </c>
      <c r="F63" s="100">
        <f>D63*G51</f>
        <v>108000000</v>
      </c>
    </row>
    <row r="64" spans="2:7" x14ac:dyDescent="0.35">
      <c r="B64" s="76" t="s">
        <v>72</v>
      </c>
      <c r="C64" s="20">
        <v>1500</v>
      </c>
      <c r="D64" s="20">
        <v>1700</v>
      </c>
      <c r="E64" s="100">
        <f>C64*G52</f>
        <v>97500000</v>
      </c>
      <c r="F64" s="100">
        <f>D64*G52</f>
        <v>110500000</v>
      </c>
    </row>
    <row r="65" spans="2:6" x14ac:dyDescent="0.35">
      <c r="B65" s="76" t="s">
        <v>74</v>
      </c>
      <c r="C65" s="20">
        <v>5000</v>
      </c>
      <c r="D65" s="20">
        <v>5500</v>
      </c>
      <c r="E65" s="100">
        <f>C65*G53</f>
        <v>400000000</v>
      </c>
      <c r="F65" s="100">
        <f>D65*G53</f>
        <v>440000000</v>
      </c>
    </row>
    <row r="66" spans="2:6" x14ac:dyDescent="0.35">
      <c r="B66" s="76" t="s">
        <v>75</v>
      </c>
      <c r="C66" s="20">
        <v>2500</v>
      </c>
      <c r="D66" s="20">
        <v>3000</v>
      </c>
      <c r="E66" s="100">
        <f>C66*G53</f>
        <v>200000000</v>
      </c>
      <c r="F66" s="100">
        <f>D66*G53</f>
        <v>240000000</v>
      </c>
    </row>
    <row r="67" spans="2:6" x14ac:dyDescent="0.35">
      <c r="B67" s="76" t="s">
        <v>76</v>
      </c>
      <c r="C67" s="20">
        <v>900</v>
      </c>
      <c r="D67" s="20">
        <v>1100</v>
      </c>
      <c r="E67" s="100">
        <f>C67*G54</f>
        <v>67500000</v>
      </c>
      <c r="F67" s="100">
        <f>D67*G54</f>
        <v>82500000</v>
      </c>
    </row>
    <row r="68" spans="2:6" x14ac:dyDescent="0.35">
      <c r="B68" s="76" t="s">
        <v>77</v>
      </c>
      <c r="C68" s="20">
        <v>900</v>
      </c>
      <c r="D68" s="20">
        <v>1100</v>
      </c>
      <c r="E68" s="100">
        <f>C68*G54</f>
        <v>67500000</v>
      </c>
      <c r="F68" s="100">
        <f>D68*G54</f>
        <v>82500000</v>
      </c>
    </row>
    <row r="69" spans="2:6" x14ac:dyDescent="0.35">
      <c r="C69" s="48">
        <f>SUM(C62:C68)</f>
        <v>13200</v>
      </c>
      <c r="D69" s="48">
        <f t="shared" ref="D69" si="1">SUM(D62:D68)</f>
        <v>15200</v>
      </c>
      <c r="E69" s="100">
        <f>SUM(E62:E68)</f>
        <v>1048500000</v>
      </c>
      <c r="F69" s="100">
        <f>SUM(F62:F68)</f>
        <v>1207500000</v>
      </c>
    </row>
    <row r="71" spans="2:6" x14ac:dyDescent="0.35">
      <c r="B71" s="78" t="s">
        <v>88</v>
      </c>
      <c r="C71" s="20" t="s">
        <v>84</v>
      </c>
      <c r="D71" s="20" t="s">
        <v>85</v>
      </c>
      <c r="E71" s="20" t="s">
        <v>86</v>
      </c>
      <c r="F71" s="20" t="s">
        <v>87</v>
      </c>
    </row>
    <row r="72" spans="2:6" x14ac:dyDescent="0.35">
      <c r="B72" s="76" t="s">
        <v>69</v>
      </c>
      <c r="C72" s="20">
        <v>250</v>
      </c>
      <c r="D72" s="20">
        <v>300</v>
      </c>
      <c r="E72" s="100">
        <f>C72*$G$50</f>
        <v>6000000</v>
      </c>
      <c r="F72" s="100">
        <f t="shared" ref="F72:F78" si="2">D72*$G$50</f>
        <v>7200000</v>
      </c>
    </row>
    <row r="73" spans="2:6" x14ac:dyDescent="0.35">
      <c r="B73" s="76" t="s">
        <v>71</v>
      </c>
      <c r="C73" s="20">
        <v>250</v>
      </c>
      <c r="D73" s="20">
        <v>300</v>
      </c>
      <c r="E73" s="100">
        <f t="shared" ref="E73:E78" si="3">C73*$G$50</f>
        <v>6000000</v>
      </c>
      <c r="F73" s="100">
        <f t="shared" si="2"/>
        <v>7200000</v>
      </c>
    </row>
    <row r="74" spans="2:6" x14ac:dyDescent="0.35">
      <c r="B74" s="76" t="s">
        <v>72</v>
      </c>
      <c r="C74" s="20">
        <v>450</v>
      </c>
      <c r="D74" s="20">
        <v>500</v>
      </c>
      <c r="E74" s="100">
        <f t="shared" si="3"/>
        <v>10800000</v>
      </c>
      <c r="F74" s="100">
        <f t="shared" si="2"/>
        <v>12000000</v>
      </c>
    </row>
    <row r="75" spans="2:6" x14ac:dyDescent="0.35">
      <c r="B75" s="76" t="s">
        <v>74</v>
      </c>
      <c r="C75" s="20">
        <v>250</v>
      </c>
      <c r="D75" s="20">
        <v>300</v>
      </c>
      <c r="E75" s="100">
        <f t="shared" si="3"/>
        <v>6000000</v>
      </c>
      <c r="F75" s="100">
        <f t="shared" si="2"/>
        <v>7200000</v>
      </c>
    </row>
    <row r="76" spans="2:6" x14ac:dyDescent="0.35">
      <c r="B76" s="76" t="s">
        <v>75</v>
      </c>
      <c r="C76" s="20">
        <v>400</v>
      </c>
      <c r="D76" s="20">
        <v>450</v>
      </c>
      <c r="E76" s="100">
        <f t="shared" si="3"/>
        <v>9600000</v>
      </c>
      <c r="F76" s="100">
        <f t="shared" si="2"/>
        <v>10800000</v>
      </c>
    </row>
    <row r="77" spans="2:6" x14ac:dyDescent="0.35">
      <c r="B77" s="76" t="s">
        <v>76</v>
      </c>
      <c r="C77" s="20">
        <v>200</v>
      </c>
      <c r="D77" s="20">
        <v>250</v>
      </c>
      <c r="E77" s="100">
        <f t="shared" si="3"/>
        <v>4800000</v>
      </c>
      <c r="F77" s="100">
        <f t="shared" si="2"/>
        <v>6000000</v>
      </c>
    </row>
    <row r="78" spans="2:6" x14ac:dyDescent="0.35">
      <c r="B78" s="76" t="s">
        <v>77</v>
      </c>
      <c r="C78" s="20">
        <v>200</v>
      </c>
      <c r="D78" s="20">
        <v>250</v>
      </c>
      <c r="E78" s="100">
        <f t="shared" si="3"/>
        <v>4800000</v>
      </c>
      <c r="F78" s="100">
        <f t="shared" si="2"/>
        <v>6000000</v>
      </c>
    </row>
    <row r="79" spans="2:6" x14ac:dyDescent="0.35">
      <c r="C79" s="48">
        <f>SUM(C72:C78)</f>
        <v>2000</v>
      </c>
      <c r="D79" s="48">
        <f t="shared" ref="D79" si="4">SUM(D72:D78)</f>
        <v>2350</v>
      </c>
      <c r="E79" s="100">
        <f>SUM(E72:E78)</f>
        <v>48000000</v>
      </c>
      <c r="F79" s="100">
        <f>SUM(F72:F78)</f>
        <v>56400000</v>
      </c>
    </row>
    <row r="81" spans="3:6" x14ac:dyDescent="0.35">
      <c r="C81" s="105" t="s">
        <v>89</v>
      </c>
      <c r="D81" s="105"/>
      <c r="E81" s="101">
        <f>E62+E72</f>
        <v>132000000</v>
      </c>
      <c r="F81" s="101">
        <f>F62+F72</f>
        <v>151200000</v>
      </c>
    </row>
    <row r="82" spans="3:6" x14ac:dyDescent="0.35">
      <c r="E82" s="101">
        <f t="shared" ref="E82:F82" si="5">E63+E73</f>
        <v>96000000</v>
      </c>
      <c r="F82" s="101">
        <f t="shared" si="5"/>
        <v>115200000</v>
      </c>
    </row>
    <row r="83" spans="3:6" x14ac:dyDescent="0.35">
      <c r="E83" s="101">
        <f t="shared" ref="E83:F83" si="6">E64+E74</f>
        <v>108300000</v>
      </c>
      <c r="F83" s="101">
        <f t="shared" si="6"/>
        <v>122500000</v>
      </c>
    </row>
    <row r="84" spans="3:6" x14ac:dyDescent="0.35">
      <c r="E84" s="101">
        <f t="shared" ref="E84:F84" si="7">E65+E75</f>
        <v>406000000</v>
      </c>
      <c r="F84" s="101">
        <f t="shared" si="7"/>
        <v>447200000</v>
      </c>
    </row>
    <row r="85" spans="3:6" x14ac:dyDescent="0.35">
      <c r="E85" s="101">
        <f t="shared" ref="E85:F85" si="8">E66+E76</f>
        <v>209600000</v>
      </c>
      <c r="F85" s="101">
        <f t="shared" si="8"/>
        <v>250800000</v>
      </c>
    </row>
    <row r="86" spans="3:6" x14ac:dyDescent="0.35">
      <c r="E86" s="101">
        <f t="shared" ref="E86:F86" si="9">E67+E77</f>
        <v>72300000</v>
      </c>
      <c r="F86" s="101">
        <f t="shared" si="9"/>
        <v>88500000</v>
      </c>
    </row>
    <row r="87" spans="3:6" x14ac:dyDescent="0.35">
      <c r="E87" s="101">
        <f t="shared" ref="E87:F87" si="10">E68+E78</f>
        <v>72300000</v>
      </c>
      <c r="F87" s="101">
        <f t="shared" si="10"/>
        <v>88500000</v>
      </c>
    </row>
    <row r="88" spans="3:6" x14ac:dyDescent="0.35">
      <c r="E88" s="100">
        <f>SUM(E81:E87)</f>
        <v>1096500000</v>
      </c>
      <c r="F88" s="100">
        <f>SUM(F81:F87)</f>
        <v>1263900000</v>
      </c>
    </row>
  </sheetData>
  <mergeCells count="1">
    <mergeCell ref="C81:D81"/>
  </mergeCells>
  <hyperlinks>
    <hyperlink ref="C2" r:id="rId1" display="https://www.sec.gov/Archives/edgar/data/86312/000110465924042530/tm249142d1_ars.pdf?utm_source=chatgpt.com" xr:uid="{02780F83-253C-4585-BB19-4F73C7CE6A77}"/>
    <hyperlink ref="C11" r:id="rId2" xr:uid="{1F0AD2E3-FC57-482B-850B-F19BE9F996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19B0-3983-40C2-BBB3-9BF298E347FE}">
  <dimension ref="A3:C9"/>
  <sheetViews>
    <sheetView showGridLines="0" workbookViewId="0">
      <selection activeCell="B8" sqref="B8"/>
    </sheetView>
  </sheetViews>
  <sheetFormatPr defaultColWidth="19.1796875" defaultRowHeight="14.5" x14ac:dyDescent="0.35"/>
  <cols>
    <col min="1" max="1" width="23.26953125" bestFit="1" customWidth="1"/>
  </cols>
  <sheetData>
    <row r="3" spans="1:3" x14ac:dyDescent="0.35">
      <c r="A3" s="23" t="s">
        <v>91</v>
      </c>
      <c r="B3" t="s">
        <v>112</v>
      </c>
    </row>
    <row r="4" spans="1:3" x14ac:dyDescent="0.35">
      <c r="A4" s="24" t="s">
        <v>113</v>
      </c>
      <c r="B4">
        <v>272</v>
      </c>
      <c r="C4" s="69">
        <f>445/GETPIVOTDATA("FTE",$A$3)</f>
        <v>0.37904599659284499</v>
      </c>
    </row>
    <row r="5" spans="1:3" x14ac:dyDescent="0.35">
      <c r="A5" s="24" t="s">
        <v>114</v>
      </c>
      <c r="B5">
        <v>173</v>
      </c>
    </row>
    <row r="6" spans="1:3" x14ac:dyDescent="0.35">
      <c r="A6" s="24" t="s">
        <v>36</v>
      </c>
      <c r="B6">
        <v>390</v>
      </c>
      <c r="C6" s="69">
        <f>GETPIVOTDATA("FTE",$A$3,"LOB","Claims")/GETPIVOTDATA("FTE",$A$3)</f>
        <v>0.33219761499148209</v>
      </c>
    </row>
    <row r="7" spans="1:3" x14ac:dyDescent="0.35">
      <c r="A7" s="24" t="s">
        <v>97</v>
      </c>
      <c r="B7">
        <v>106</v>
      </c>
      <c r="C7" s="69">
        <f>GETPIVOTDATA("FTE",$A$3,"LOB","Financial Operations")/GETPIVOTDATA("FTE",$A$3)</f>
        <v>9.0289608177172062E-2</v>
      </c>
    </row>
    <row r="8" spans="1:3" x14ac:dyDescent="0.35">
      <c r="A8" s="24" t="s">
        <v>115</v>
      </c>
      <c r="B8">
        <v>233</v>
      </c>
    </row>
    <row r="9" spans="1:3" x14ac:dyDescent="0.35">
      <c r="A9" s="24" t="s">
        <v>116</v>
      </c>
      <c r="B9">
        <v>1174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EAF1E-3E35-416C-B5D9-12AEB66D80DD}">
  <sheetPr filterMode="1"/>
  <dimension ref="B2:G55"/>
  <sheetViews>
    <sheetView showGridLines="0" topLeftCell="B1" workbookViewId="0">
      <selection activeCell="D46" sqref="D46"/>
    </sheetView>
  </sheetViews>
  <sheetFormatPr defaultRowHeight="14.5" x14ac:dyDescent="0.35"/>
  <cols>
    <col min="1" max="1" width="2.26953125" customWidth="1"/>
    <col min="2" max="2" width="7.54296875" bestFit="1" customWidth="1"/>
    <col min="3" max="3" width="21.7265625" bestFit="1" customWidth="1"/>
    <col min="4" max="4" width="29.7265625" bestFit="1" customWidth="1"/>
    <col min="5" max="5" width="17.26953125" hidden="1" customWidth="1"/>
    <col min="6" max="6" width="35.26953125" customWidth="1"/>
    <col min="7" max="7" width="19.54296875" style="20" customWidth="1"/>
  </cols>
  <sheetData>
    <row r="2" spans="2:7" x14ac:dyDescent="0.35">
      <c r="B2" s="15" t="s">
        <v>90</v>
      </c>
      <c r="C2" s="15" t="s">
        <v>91</v>
      </c>
      <c r="D2" s="15" t="s">
        <v>92</v>
      </c>
      <c r="E2" s="15" t="s">
        <v>93</v>
      </c>
      <c r="F2" s="15" t="s">
        <v>94</v>
      </c>
      <c r="G2" s="15" t="s">
        <v>95</v>
      </c>
    </row>
    <row r="3" spans="2:7" hidden="1" x14ac:dyDescent="0.35">
      <c r="B3" s="16" t="s">
        <v>96</v>
      </c>
      <c r="C3" s="16" t="s">
        <v>113</v>
      </c>
      <c r="D3" s="16" t="s">
        <v>117</v>
      </c>
      <c r="E3" s="16" t="s">
        <v>118</v>
      </c>
      <c r="F3" s="16"/>
      <c r="G3" s="18">
        <v>35</v>
      </c>
    </row>
    <row r="4" spans="2:7" hidden="1" x14ac:dyDescent="0.35">
      <c r="B4" s="16" t="s">
        <v>96</v>
      </c>
      <c r="C4" s="16" t="s">
        <v>113</v>
      </c>
      <c r="D4" s="16" t="s">
        <v>119</v>
      </c>
      <c r="E4" s="16" t="s">
        <v>99</v>
      </c>
      <c r="F4" s="16"/>
      <c r="G4" s="18">
        <v>19</v>
      </c>
    </row>
    <row r="5" spans="2:7" hidden="1" x14ac:dyDescent="0.35">
      <c r="B5" s="16" t="s">
        <v>96</v>
      </c>
      <c r="C5" s="16" t="s">
        <v>113</v>
      </c>
      <c r="D5" s="16" t="s">
        <v>120</v>
      </c>
      <c r="E5" s="16" t="s">
        <v>121</v>
      </c>
      <c r="F5" s="16"/>
      <c r="G5" s="18">
        <v>32</v>
      </c>
    </row>
    <row r="6" spans="2:7" hidden="1" x14ac:dyDescent="0.35">
      <c r="B6" s="16" t="s">
        <v>122</v>
      </c>
      <c r="C6" s="16" t="s">
        <v>113</v>
      </c>
      <c r="D6" s="16" t="s">
        <v>123</v>
      </c>
      <c r="E6" s="16" t="s">
        <v>124</v>
      </c>
      <c r="F6" s="16"/>
      <c r="G6" s="18">
        <v>67</v>
      </c>
    </row>
    <row r="7" spans="2:7" hidden="1" x14ac:dyDescent="0.35">
      <c r="B7" s="16" t="s">
        <v>122</v>
      </c>
      <c r="C7" s="16" t="s">
        <v>113</v>
      </c>
      <c r="D7" s="16" t="s">
        <v>125</v>
      </c>
      <c r="E7" s="16" t="s">
        <v>99</v>
      </c>
      <c r="F7" s="16"/>
      <c r="G7" s="18">
        <v>9</v>
      </c>
    </row>
    <row r="8" spans="2:7" hidden="1" x14ac:dyDescent="0.35">
      <c r="B8" s="16" t="s">
        <v>122</v>
      </c>
      <c r="C8" s="16" t="s">
        <v>113</v>
      </c>
      <c r="D8" s="16" t="s">
        <v>126</v>
      </c>
      <c r="E8" s="16" t="s">
        <v>124</v>
      </c>
      <c r="F8" s="16"/>
      <c r="G8" s="19">
        <v>110</v>
      </c>
    </row>
    <row r="9" spans="2:7" hidden="1" x14ac:dyDescent="0.35">
      <c r="B9" s="16" t="s">
        <v>96</v>
      </c>
      <c r="C9" s="16" t="s">
        <v>114</v>
      </c>
      <c r="D9" s="16" t="s">
        <v>127</v>
      </c>
      <c r="E9" s="16" t="s">
        <v>99</v>
      </c>
      <c r="F9" s="16"/>
      <c r="G9" s="18">
        <v>12</v>
      </c>
    </row>
    <row r="10" spans="2:7" hidden="1" x14ac:dyDescent="0.35">
      <c r="B10" s="16" t="s">
        <v>96</v>
      </c>
      <c r="C10" s="16" t="s">
        <v>114</v>
      </c>
      <c r="D10" s="16" t="s">
        <v>128</v>
      </c>
      <c r="E10" s="16" t="s">
        <v>99</v>
      </c>
      <c r="F10" s="16"/>
      <c r="G10" s="18">
        <v>7</v>
      </c>
    </row>
    <row r="11" spans="2:7" ht="273.5" hidden="1" x14ac:dyDescent="0.35">
      <c r="B11" s="16" t="s">
        <v>96</v>
      </c>
      <c r="C11" s="16" t="s">
        <v>114</v>
      </c>
      <c r="D11" s="16" t="s">
        <v>129</v>
      </c>
      <c r="E11" s="16" t="s">
        <v>99</v>
      </c>
      <c r="F11" s="25" t="s">
        <v>130</v>
      </c>
      <c r="G11" s="18">
        <v>34</v>
      </c>
    </row>
    <row r="12" spans="2:7" hidden="1" x14ac:dyDescent="0.35">
      <c r="B12" s="16" t="s">
        <v>96</v>
      </c>
      <c r="C12" s="16" t="s">
        <v>114</v>
      </c>
      <c r="D12" s="16" t="s">
        <v>131</v>
      </c>
      <c r="E12" s="16" t="s">
        <v>99</v>
      </c>
      <c r="F12" s="16" t="s">
        <v>132</v>
      </c>
      <c r="G12" s="18">
        <v>96</v>
      </c>
    </row>
    <row r="13" spans="2:7" hidden="1" x14ac:dyDescent="0.35">
      <c r="B13" s="16" t="s">
        <v>96</v>
      </c>
      <c r="C13" s="16" t="s">
        <v>114</v>
      </c>
      <c r="D13" s="16" t="s">
        <v>133</v>
      </c>
      <c r="E13" s="16" t="s">
        <v>99</v>
      </c>
      <c r="F13" s="16"/>
      <c r="G13" s="18">
        <v>7</v>
      </c>
    </row>
    <row r="14" spans="2:7" hidden="1" x14ac:dyDescent="0.35">
      <c r="B14" s="16" t="s">
        <v>96</v>
      </c>
      <c r="C14" s="16" t="s">
        <v>114</v>
      </c>
      <c r="D14" s="16" t="s">
        <v>134</v>
      </c>
      <c r="E14" s="16" t="s">
        <v>99</v>
      </c>
      <c r="F14" s="16"/>
      <c r="G14" s="18">
        <v>2</v>
      </c>
    </row>
    <row r="15" spans="2:7" hidden="1" x14ac:dyDescent="0.35">
      <c r="B15" s="16" t="s">
        <v>96</v>
      </c>
      <c r="C15" s="16" t="s">
        <v>114</v>
      </c>
      <c r="D15" s="16" t="s">
        <v>135</v>
      </c>
      <c r="E15" s="16" t="s">
        <v>99</v>
      </c>
      <c r="F15" s="16"/>
      <c r="G15" s="18">
        <v>15</v>
      </c>
    </row>
    <row r="16" spans="2:7" hidden="1" x14ac:dyDescent="0.35">
      <c r="B16" s="16" t="s">
        <v>96</v>
      </c>
      <c r="C16" s="16" t="s">
        <v>36</v>
      </c>
      <c r="D16" s="16" t="s">
        <v>136</v>
      </c>
      <c r="E16" s="16" t="s">
        <v>137</v>
      </c>
      <c r="F16" s="16"/>
      <c r="G16" s="18">
        <v>47</v>
      </c>
    </row>
    <row r="17" spans="2:7" hidden="1" x14ac:dyDescent="0.35">
      <c r="B17" s="16" t="s">
        <v>96</v>
      </c>
      <c r="C17" s="16" t="s">
        <v>36</v>
      </c>
      <c r="D17" s="16" t="s">
        <v>138</v>
      </c>
      <c r="E17" s="16" t="s">
        <v>139</v>
      </c>
      <c r="F17" s="16"/>
      <c r="G17" s="18">
        <v>15</v>
      </c>
    </row>
    <row r="18" spans="2:7" hidden="1" x14ac:dyDescent="0.35">
      <c r="B18" s="16" t="s">
        <v>96</v>
      </c>
      <c r="C18" s="16" t="s">
        <v>36</v>
      </c>
      <c r="D18" s="16" t="s">
        <v>140</v>
      </c>
      <c r="E18" s="16" t="s">
        <v>141</v>
      </c>
      <c r="F18" s="16"/>
      <c r="G18" s="18">
        <v>25</v>
      </c>
    </row>
    <row r="19" spans="2:7" hidden="1" x14ac:dyDescent="0.35">
      <c r="B19" s="16" t="s">
        <v>96</v>
      </c>
      <c r="C19" s="16" t="s">
        <v>36</v>
      </c>
      <c r="D19" s="16" t="s">
        <v>142</v>
      </c>
      <c r="E19" s="16" t="s">
        <v>99</v>
      </c>
      <c r="F19" s="16"/>
      <c r="G19" s="18">
        <v>10</v>
      </c>
    </row>
    <row r="20" spans="2:7" hidden="1" x14ac:dyDescent="0.35">
      <c r="B20" s="16" t="s">
        <v>96</v>
      </c>
      <c r="C20" s="16" t="s">
        <v>36</v>
      </c>
      <c r="D20" s="16" t="s">
        <v>143</v>
      </c>
      <c r="E20" s="16" t="s">
        <v>99</v>
      </c>
      <c r="F20" s="16"/>
      <c r="G20" s="18">
        <v>18</v>
      </c>
    </row>
    <row r="21" spans="2:7" hidden="1" x14ac:dyDescent="0.35">
      <c r="B21" s="16" t="s">
        <v>96</v>
      </c>
      <c r="C21" s="16" t="s">
        <v>36</v>
      </c>
      <c r="D21" s="16" t="s">
        <v>144</v>
      </c>
      <c r="E21" s="16" t="s">
        <v>99</v>
      </c>
      <c r="F21" s="16"/>
      <c r="G21" s="18">
        <v>6</v>
      </c>
    </row>
    <row r="22" spans="2:7" hidden="1" x14ac:dyDescent="0.35">
      <c r="B22" s="16" t="s">
        <v>96</v>
      </c>
      <c r="C22" s="16" t="s">
        <v>36</v>
      </c>
      <c r="D22" s="16" t="s">
        <v>145</v>
      </c>
      <c r="E22" s="16" t="s">
        <v>146</v>
      </c>
      <c r="F22" s="16"/>
      <c r="G22" s="18">
        <v>33</v>
      </c>
    </row>
    <row r="23" spans="2:7" hidden="1" x14ac:dyDescent="0.35">
      <c r="B23" s="21" t="s">
        <v>96</v>
      </c>
      <c r="C23" s="21" t="s">
        <v>36</v>
      </c>
      <c r="D23" s="21" t="s">
        <v>147</v>
      </c>
      <c r="E23" s="21"/>
      <c r="F23" s="21"/>
      <c r="G23" s="22">
        <v>120</v>
      </c>
    </row>
    <row r="24" spans="2:7" hidden="1" x14ac:dyDescent="0.35">
      <c r="B24" s="21" t="s">
        <v>96</v>
      </c>
      <c r="C24" s="21" t="s">
        <v>36</v>
      </c>
      <c r="D24" s="21" t="s">
        <v>148</v>
      </c>
      <c r="E24" s="21"/>
      <c r="F24" s="21"/>
      <c r="G24" s="22">
        <v>15</v>
      </c>
    </row>
    <row r="25" spans="2:7" hidden="1" x14ac:dyDescent="0.35">
      <c r="B25" s="16" t="s">
        <v>96</v>
      </c>
      <c r="C25" s="16" t="s">
        <v>36</v>
      </c>
      <c r="D25" s="16" t="s">
        <v>149</v>
      </c>
      <c r="E25" s="16" t="s">
        <v>150</v>
      </c>
      <c r="F25" s="16"/>
      <c r="G25" s="18">
        <v>27</v>
      </c>
    </row>
    <row r="26" spans="2:7" hidden="1" x14ac:dyDescent="0.35">
      <c r="B26" s="16" t="s">
        <v>96</v>
      </c>
      <c r="C26" s="16" t="s">
        <v>36</v>
      </c>
      <c r="D26" s="16" t="s">
        <v>151</v>
      </c>
      <c r="E26" s="16" t="s">
        <v>99</v>
      </c>
      <c r="F26" s="16"/>
      <c r="G26" s="18">
        <v>5</v>
      </c>
    </row>
    <row r="27" spans="2:7" hidden="1" x14ac:dyDescent="0.35">
      <c r="B27" s="16" t="s">
        <v>96</v>
      </c>
      <c r="C27" s="16" t="s">
        <v>36</v>
      </c>
      <c r="D27" s="16" t="s">
        <v>152</v>
      </c>
      <c r="E27" s="16" t="s">
        <v>150</v>
      </c>
      <c r="F27" s="16"/>
      <c r="G27" s="18">
        <v>3</v>
      </c>
    </row>
    <row r="28" spans="2:7" hidden="1" x14ac:dyDescent="0.35">
      <c r="B28" s="16" t="s">
        <v>96</v>
      </c>
      <c r="C28" s="16" t="s">
        <v>36</v>
      </c>
      <c r="D28" s="16" t="s">
        <v>153</v>
      </c>
      <c r="E28" s="16" t="s">
        <v>154</v>
      </c>
      <c r="F28" s="16"/>
      <c r="G28" s="18">
        <v>12</v>
      </c>
    </row>
    <row r="29" spans="2:7" hidden="1" x14ac:dyDescent="0.35">
      <c r="B29" s="16" t="s">
        <v>96</v>
      </c>
      <c r="C29" s="16" t="s">
        <v>36</v>
      </c>
      <c r="D29" s="16" t="s">
        <v>155</v>
      </c>
      <c r="E29" s="16" t="s">
        <v>156</v>
      </c>
      <c r="F29" s="16"/>
      <c r="G29" s="18">
        <v>12</v>
      </c>
    </row>
    <row r="30" spans="2:7" hidden="1" x14ac:dyDescent="0.35">
      <c r="B30" s="16" t="s">
        <v>96</v>
      </c>
      <c r="C30" s="16" t="s">
        <v>36</v>
      </c>
      <c r="D30" s="16" t="s">
        <v>157</v>
      </c>
      <c r="E30" s="16" t="s">
        <v>158</v>
      </c>
      <c r="F30" s="16"/>
      <c r="G30" s="18">
        <v>12</v>
      </c>
    </row>
    <row r="31" spans="2:7" hidden="1" x14ac:dyDescent="0.35">
      <c r="B31" s="16" t="s">
        <v>122</v>
      </c>
      <c r="C31" s="16" t="s">
        <v>36</v>
      </c>
      <c r="D31" s="16" t="s">
        <v>159</v>
      </c>
      <c r="E31" s="17" t="s">
        <v>160</v>
      </c>
      <c r="F31" s="17"/>
      <c r="G31" s="18">
        <v>30</v>
      </c>
    </row>
    <row r="32" spans="2:7" hidden="1" x14ac:dyDescent="0.35">
      <c r="B32" s="16" t="s">
        <v>96</v>
      </c>
      <c r="C32" s="16" t="s">
        <v>97</v>
      </c>
      <c r="D32" s="16" t="s">
        <v>111</v>
      </c>
      <c r="E32" s="16" t="s">
        <v>99</v>
      </c>
      <c r="F32" s="16"/>
      <c r="G32" s="18">
        <v>8</v>
      </c>
    </row>
    <row r="33" spans="2:7" hidden="1" x14ac:dyDescent="0.35">
      <c r="B33" s="16" t="s">
        <v>96</v>
      </c>
      <c r="C33" s="16" t="s">
        <v>97</v>
      </c>
      <c r="D33" s="16" t="s">
        <v>110</v>
      </c>
      <c r="E33" s="16" t="s">
        <v>99</v>
      </c>
      <c r="F33" s="16"/>
      <c r="G33" s="18">
        <v>8</v>
      </c>
    </row>
    <row r="34" spans="2:7" hidden="1" x14ac:dyDescent="0.35">
      <c r="B34" s="16" t="s">
        <v>96</v>
      </c>
      <c r="C34" s="16" t="s">
        <v>97</v>
      </c>
      <c r="D34" s="16" t="s">
        <v>109</v>
      </c>
      <c r="E34" s="16" t="s">
        <v>99</v>
      </c>
      <c r="F34" s="16"/>
      <c r="G34" s="18">
        <v>4</v>
      </c>
    </row>
    <row r="35" spans="2:7" hidden="1" x14ac:dyDescent="0.35">
      <c r="B35" s="16" t="s">
        <v>96</v>
      </c>
      <c r="C35" s="16" t="s">
        <v>97</v>
      </c>
      <c r="D35" s="16" t="s">
        <v>108</v>
      </c>
      <c r="E35" s="16" t="s">
        <v>99</v>
      </c>
      <c r="F35" s="16"/>
      <c r="G35" s="18">
        <v>1.5</v>
      </c>
    </row>
    <row r="36" spans="2:7" hidden="1" x14ac:dyDescent="0.35">
      <c r="B36" s="16" t="s">
        <v>96</v>
      </c>
      <c r="C36" s="16" t="s">
        <v>97</v>
      </c>
      <c r="D36" s="16" t="s">
        <v>107</v>
      </c>
      <c r="E36" s="16" t="s">
        <v>99</v>
      </c>
      <c r="F36" s="16"/>
      <c r="G36" s="18">
        <v>1.5</v>
      </c>
    </row>
    <row r="37" spans="2:7" hidden="1" x14ac:dyDescent="0.35">
      <c r="B37" s="16" t="s">
        <v>96</v>
      </c>
      <c r="C37" s="16" t="s">
        <v>97</v>
      </c>
      <c r="D37" s="16" t="s">
        <v>106</v>
      </c>
      <c r="E37" s="16" t="s">
        <v>99</v>
      </c>
      <c r="F37" s="16"/>
      <c r="G37" s="18">
        <v>10</v>
      </c>
    </row>
    <row r="38" spans="2:7" hidden="1" x14ac:dyDescent="0.35">
      <c r="B38" s="16" t="s">
        <v>96</v>
      </c>
      <c r="C38" s="16" t="s">
        <v>97</v>
      </c>
      <c r="D38" s="16" t="s">
        <v>105</v>
      </c>
      <c r="E38" s="16" t="s">
        <v>99</v>
      </c>
      <c r="F38" s="16"/>
      <c r="G38" s="18">
        <v>5</v>
      </c>
    </row>
    <row r="39" spans="2:7" hidden="1" x14ac:dyDescent="0.35">
      <c r="B39" s="16" t="s">
        <v>96</v>
      </c>
      <c r="C39" s="16" t="s">
        <v>97</v>
      </c>
      <c r="D39" s="16" t="s">
        <v>104</v>
      </c>
      <c r="E39" s="16" t="s">
        <v>99</v>
      </c>
      <c r="F39" s="16"/>
      <c r="G39" s="18">
        <v>4</v>
      </c>
    </row>
    <row r="40" spans="2:7" hidden="1" x14ac:dyDescent="0.35">
      <c r="B40" s="16" t="s">
        <v>96</v>
      </c>
      <c r="C40" s="16" t="s">
        <v>97</v>
      </c>
      <c r="D40" s="16" t="s">
        <v>103</v>
      </c>
      <c r="E40" s="16" t="s">
        <v>99</v>
      </c>
      <c r="F40" s="16"/>
      <c r="G40" s="18">
        <v>2</v>
      </c>
    </row>
    <row r="41" spans="2:7" hidden="1" x14ac:dyDescent="0.35">
      <c r="B41" s="16" t="s">
        <v>96</v>
      </c>
      <c r="C41" s="16" t="s">
        <v>97</v>
      </c>
      <c r="D41" s="16" t="s">
        <v>102</v>
      </c>
      <c r="E41" s="16" t="s">
        <v>99</v>
      </c>
      <c r="F41" s="16"/>
      <c r="G41" s="18">
        <v>15</v>
      </c>
    </row>
    <row r="42" spans="2:7" hidden="1" x14ac:dyDescent="0.35">
      <c r="B42" s="16" t="s">
        <v>96</v>
      </c>
      <c r="C42" s="16" t="s">
        <v>97</v>
      </c>
      <c r="D42" s="16" t="s">
        <v>101</v>
      </c>
      <c r="E42" s="16" t="s">
        <v>99</v>
      </c>
      <c r="F42" s="16"/>
      <c r="G42" s="18">
        <v>14</v>
      </c>
    </row>
    <row r="43" spans="2:7" hidden="1" x14ac:dyDescent="0.35">
      <c r="B43" s="16" t="s">
        <v>96</v>
      </c>
      <c r="C43" s="16" t="s">
        <v>97</v>
      </c>
      <c r="D43" s="16" t="s">
        <v>100</v>
      </c>
      <c r="E43" s="16" t="s">
        <v>99</v>
      </c>
      <c r="F43" s="16"/>
      <c r="G43" s="18">
        <v>29</v>
      </c>
    </row>
    <row r="44" spans="2:7" hidden="1" x14ac:dyDescent="0.35">
      <c r="B44" s="16" t="s">
        <v>96</v>
      </c>
      <c r="C44" s="16" t="s">
        <v>97</v>
      </c>
      <c r="D44" s="16" t="s">
        <v>98</v>
      </c>
      <c r="E44" s="16" t="s">
        <v>99</v>
      </c>
      <c r="F44" s="16"/>
      <c r="G44" s="18">
        <v>4</v>
      </c>
    </row>
    <row r="45" spans="2:7" hidden="1" x14ac:dyDescent="0.35">
      <c r="B45" s="16" t="s">
        <v>96</v>
      </c>
      <c r="C45" s="16" t="s">
        <v>115</v>
      </c>
      <c r="D45" s="16" t="s">
        <v>161</v>
      </c>
      <c r="E45" s="16" t="s">
        <v>162</v>
      </c>
      <c r="F45" s="16"/>
      <c r="G45" s="18">
        <v>24</v>
      </c>
    </row>
    <row r="46" spans="2:7" x14ac:dyDescent="0.35">
      <c r="B46" s="16" t="s">
        <v>96</v>
      </c>
      <c r="C46" s="16" t="s">
        <v>115</v>
      </c>
      <c r="D46" s="16" t="s">
        <v>163</v>
      </c>
      <c r="E46" s="16" t="s">
        <v>164</v>
      </c>
      <c r="F46" s="16"/>
      <c r="G46" s="18">
        <v>28</v>
      </c>
    </row>
    <row r="47" spans="2:7" hidden="1" x14ac:dyDescent="0.35">
      <c r="B47" s="16" t="s">
        <v>96</v>
      </c>
      <c r="C47" s="16" t="s">
        <v>115</v>
      </c>
      <c r="D47" s="16" t="s">
        <v>165</v>
      </c>
      <c r="E47" s="16" t="s">
        <v>164</v>
      </c>
      <c r="F47" s="16"/>
      <c r="G47" s="18">
        <v>34</v>
      </c>
    </row>
    <row r="48" spans="2:7" hidden="1" x14ac:dyDescent="0.35">
      <c r="B48" s="16" t="s">
        <v>96</v>
      </c>
      <c r="C48" s="16" t="s">
        <v>115</v>
      </c>
      <c r="D48" s="16" t="s">
        <v>166</v>
      </c>
      <c r="E48" s="16" t="s">
        <v>167</v>
      </c>
      <c r="F48" s="16"/>
      <c r="G48" s="18">
        <v>37</v>
      </c>
    </row>
    <row r="49" spans="2:7" hidden="1" x14ac:dyDescent="0.35">
      <c r="B49" s="16" t="s">
        <v>96</v>
      </c>
      <c r="C49" s="16" t="s">
        <v>115</v>
      </c>
      <c r="D49" s="16" t="s">
        <v>168</v>
      </c>
      <c r="E49" s="16" t="s">
        <v>169</v>
      </c>
      <c r="F49" s="16"/>
      <c r="G49" s="18">
        <v>16</v>
      </c>
    </row>
    <row r="50" spans="2:7" hidden="1" x14ac:dyDescent="0.35">
      <c r="B50" s="16" t="s">
        <v>96</v>
      </c>
      <c r="C50" s="16" t="s">
        <v>115</v>
      </c>
      <c r="D50" s="16" t="s">
        <v>170</v>
      </c>
      <c r="E50" s="16" t="s">
        <v>171</v>
      </c>
      <c r="F50" s="16"/>
      <c r="G50" s="18">
        <v>37</v>
      </c>
    </row>
    <row r="51" spans="2:7" hidden="1" x14ac:dyDescent="0.35">
      <c r="B51" s="16" t="s">
        <v>96</v>
      </c>
      <c r="C51" s="16" t="s">
        <v>115</v>
      </c>
      <c r="D51" s="16" t="s">
        <v>172</v>
      </c>
      <c r="E51" s="16" t="s">
        <v>164</v>
      </c>
      <c r="F51" s="16"/>
      <c r="G51" s="18">
        <v>3</v>
      </c>
    </row>
    <row r="52" spans="2:7" hidden="1" x14ac:dyDescent="0.35">
      <c r="B52" s="16" t="s">
        <v>96</v>
      </c>
      <c r="C52" s="16" t="s">
        <v>115</v>
      </c>
      <c r="D52" s="16" t="s">
        <v>173</v>
      </c>
      <c r="E52" s="16" t="s">
        <v>164</v>
      </c>
      <c r="F52" s="16"/>
      <c r="G52" s="18">
        <v>5</v>
      </c>
    </row>
    <row r="53" spans="2:7" hidden="1" x14ac:dyDescent="0.35">
      <c r="B53" s="16" t="s">
        <v>96</v>
      </c>
      <c r="C53" s="16" t="s">
        <v>115</v>
      </c>
      <c r="D53" s="16" t="s">
        <v>174</v>
      </c>
      <c r="E53" s="16" t="s">
        <v>164</v>
      </c>
      <c r="F53" s="16"/>
      <c r="G53" s="18">
        <v>17</v>
      </c>
    </row>
    <row r="54" spans="2:7" hidden="1" x14ac:dyDescent="0.35">
      <c r="B54" s="16" t="s">
        <v>96</v>
      </c>
      <c r="C54" s="16" t="s">
        <v>115</v>
      </c>
      <c r="D54" s="16" t="s">
        <v>175</v>
      </c>
      <c r="E54" s="16" t="s">
        <v>164</v>
      </c>
      <c r="F54" s="16"/>
      <c r="G54" s="18">
        <v>24</v>
      </c>
    </row>
    <row r="55" spans="2:7" hidden="1" x14ac:dyDescent="0.35">
      <c r="B55" s="16" t="s">
        <v>96</v>
      </c>
      <c r="C55" s="16" t="s">
        <v>115</v>
      </c>
      <c r="D55" s="16" t="s">
        <v>176</v>
      </c>
      <c r="E55" s="16" t="s">
        <v>177</v>
      </c>
      <c r="F55" s="16"/>
      <c r="G55" s="18">
        <v>8</v>
      </c>
    </row>
  </sheetData>
  <autoFilter ref="B2:G55" xr:uid="{784EAF1E-3E35-416C-B5D9-12AEB66D80DD}">
    <filterColumn colId="1">
      <filters>
        <filter val="Business Insurance"/>
        <filter val="Business Insurance - Select"/>
        <filter val="Personal Insurance"/>
      </filters>
    </filterColumn>
    <filterColumn colId="2">
      <filters>
        <filter val="Underwriting Support"/>
      </filters>
    </filterColumn>
    <sortState xmlns:xlrd2="http://schemas.microsoft.com/office/spreadsheetml/2017/richdata2" ref="B3:G55">
      <sortCondition ref="C2:C55"/>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D7F00-77EE-4E1C-9F58-FFF56FB70605}">
  <dimension ref="B2:O35"/>
  <sheetViews>
    <sheetView showGridLines="0" zoomScale="70" zoomScaleNormal="70" workbookViewId="0">
      <pane xSplit="2" ySplit="3" topLeftCell="C9" activePane="bottomRight" state="frozen"/>
      <selection pane="topRight" activeCell="C1" sqref="C1"/>
      <selection pane="bottomLeft" activeCell="A4" sqref="A4"/>
      <selection pane="bottomRight" activeCell="B11" sqref="B11"/>
    </sheetView>
  </sheetViews>
  <sheetFormatPr defaultColWidth="8.7265625" defaultRowHeight="14.5" x14ac:dyDescent="0.35"/>
  <cols>
    <col min="1" max="1" width="8.453125" style="28" customWidth="1"/>
    <col min="2" max="2" width="37.26953125" style="28" customWidth="1"/>
    <col min="3" max="3" width="32.26953125" style="28" bestFit="1" customWidth="1"/>
    <col min="4" max="4" width="29.26953125" style="28" customWidth="1"/>
    <col min="5" max="5" width="22.54296875" style="28" customWidth="1"/>
    <col min="6" max="6" width="26.81640625" style="28" customWidth="1"/>
    <col min="7" max="7" width="23.26953125" style="28" customWidth="1"/>
    <col min="8" max="8" width="27.26953125" style="28" customWidth="1"/>
    <col min="9" max="9" width="18.7265625" style="28" customWidth="1"/>
    <col min="10" max="10" width="24.26953125" style="28" customWidth="1"/>
    <col min="11" max="14" width="8.7265625" style="28"/>
    <col min="15" max="15" width="31.26953125" style="28" customWidth="1"/>
    <col min="16" max="16384" width="8.7265625" style="28"/>
  </cols>
  <sheetData>
    <row r="2" spans="2:15" ht="67.900000000000006" customHeight="1" x14ac:dyDescent="0.35">
      <c r="B2" s="36" t="s">
        <v>178</v>
      </c>
      <c r="C2" s="36" t="s">
        <v>179</v>
      </c>
      <c r="D2" s="36" t="s">
        <v>79</v>
      </c>
      <c r="E2" s="36" t="s">
        <v>79</v>
      </c>
      <c r="F2" s="36" t="s">
        <v>79</v>
      </c>
      <c r="G2" s="36" t="s">
        <v>179</v>
      </c>
      <c r="H2" s="36" t="s">
        <v>179</v>
      </c>
      <c r="I2" s="36" t="s">
        <v>79</v>
      </c>
      <c r="J2" s="36" t="s">
        <v>179</v>
      </c>
    </row>
    <row r="3" spans="2:15" s="20" customFormat="1" x14ac:dyDescent="0.35">
      <c r="B3" s="64" t="s">
        <v>170</v>
      </c>
      <c r="C3" s="65" t="s">
        <v>180</v>
      </c>
      <c r="D3" s="65" t="s">
        <v>181</v>
      </c>
      <c r="E3" s="65" t="s">
        <v>182</v>
      </c>
      <c r="F3" s="65" t="s">
        <v>183</v>
      </c>
      <c r="G3" s="65" t="s">
        <v>184</v>
      </c>
      <c r="H3" s="65" t="s">
        <v>185</v>
      </c>
      <c r="I3" s="65" t="s">
        <v>186</v>
      </c>
      <c r="J3" s="65" t="s">
        <v>187</v>
      </c>
    </row>
    <row r="4" spans="2:15" ht="159" customHeight="1" x14ac:dyDescent="0.35">
      <c r="B4" s="66" t="s">
        <v>188</v>
      </c>
      <c r="C4" s="29" t="s">
        <v>189</v>
      </c>
      <c r="D4" s="29" t="s">
        <v>190</v>
      </c>
      <c r="E4" s="29" t="s">
        <v>191</v>
      </c>
      <c r="F4" s="29" t="s">
        <v>192</v>
      </c>
      <c r="G4" s="29" t="s">
        <v>193</v>
      </c>
      <c r="H4" s="29" t="s">
        <v>194</v>
      </c>
      <c r="I4" s="29" t="s">
        <v>195</v>
      </c>
      <c r="J4" s="29" t="s">
        <v>196</v>
      </c>
    </row>
    <row r="5" spans="2:15" ht="348" x14ac:dyDescent="0.35">
      <c r="B5" s="66" t="s">
        <v>197</v>
      </c>
      <c r="C5" s="30" t="s">
        <v>198</v>
      </c>
      <c r="D5" s="29" t="s">
        <v>199</v>
      </c>
      <c r="E5" s="30" t="s">
        <v>200</v>
      </c>
      <c r="F5" s="30" t="s">
        <v>201</v>
      </c>
      <c r="G5" s="30" t="s">
        <v>202</v>
      </c>
      <c r="H5" s="30" t="s">
        <v>203</v>
      </c>
      <c r="I5" s="30"/>
      <c r="J5" s="30" t="s">
        <v>204</v>
      </c>
      <c r="O5" s="27" t="s">
        <v>205</v>
      </c>
    </row>
    <row r="6" spans="2:15" ht="278.25" customHeight="1" x14ac:dyDescent="0.35">
      <c r="B6" s="30"/>
      <c r="C6" s="30"/>
      <c r="D6" s="30" t="s">
        <v>206</v>
      </c>
      <c r="E6" s="30"/>
      <c r="F6" s="30"/>
      <c r="G6" s="30"/>
      <c r="H6" s="30"/>
      <c r="I6" s="30"/>
      <c r="J6" s="30"/>
    </row>
    <row r="7" spans="2:15" x14ac:dyDescent="0.35">
      <c r="B7" s="106" t="s">
        <v>207</v>
      </c>
      <c r="C7" s="109" t="s">
        <v>208</v>
      </c>
      <c r="D7" s="110"/>
      <c r="E7" s="110"/>
      <c r="F7" s="110"/>
      <c r="G7" s="111"/>
      <c r="H7" s="30"/>
      <c r="I7" s="30"/>
      <c r="J7" s="30"/>
    </row>
    <row r="8" spans="2:15" ht="203.25" customHeight="1" x14ac:dyDescent="0.35">
      <c r="B8" s="107"/>
      <c r="C8" s="112" t="s">
        <v>209</v>
      </c>
      <c r="D8" s="113"/>
      <c r="E8" s="113"/>
      <c r="F8" s="113"/>
      <c r="G8" s="114"/>
      <c r="H8" s="30"/>
      <c r="I8" s="30"/>
      <c r="J8" s="30"/>
    </row>
    <row r="9" spans="2:15" x14ac:dyDescent="0.35">
      <c r="B9" s="106" t="s">
        <v>210</v>
      </c>
      <c r="C9" s="109" t="s">
        <v>211</v>
      </c>
      <c r="D9" s="110"/>
      <c r="E9" s="110"/>
      <c r="F9" s="110"/>
      <c r="G9" s="110"/>
      <c r="H9" s="110"/>
      <c r="I9" s="110"/>
      <c r="J9" s="111"/>
    </row>
    <row r="10" spans="2:15" s="7" customFormat="1" ht="159" customHeight="1" x14ac:dyDescent="0.35">
      <c r="B10" s="107"/>
      <c r="C10" s="30" t="s">
        <v>212</v>
      </c>
      <c r="D10" s="115" t="s">
        <v>213</v>
      </c>
      <c r="E10" s="116"/>
      <c r="F10" s="41" t="s">
        <v>214</v>
      </c>
      <c r="G10" s="41"/>
      <c r="H10" s="41" t="s">
        <v>214</v>
      </c>
      <c r="I10" s="41" t="s">
        <v>215</v>
      </c>
      <c r="J10" s="38"/>
    </row>
    <row r="11" spans="2:15" ht="75" customHeight="1" x14ac:dyDescent="0.35">
      <c r="B11" s="67" t="s">
        <v>216</v>
      </c>
      <c r="C11" s="108" t="s">
        <v>217</v>
      </c>
      <c r="D11" s="108"/>
      <c r="E11" s="108"/>
      <c r="F11" s="108"/>
      <c r="G11" s="108"/>
      <c r="H11" s="108"/>
      <c r="I11" s="108"/>
      <c r="J11" s="108"/>
    </row>
    <row r="21" spans="2:5" x14ac:dyDescent="0.35">
      <c r="B21" s="62"/>
      <c r="C21" s="62"/>
      <c r="D21" s="62"/>
      <c r="E21" s="62"/>
    </row>
    <row r="22" spans="2:5" x14ac:dyDescent="0.35">
      <c r="B22" s="62"/>
      <c r="C22" s="62"/>
      <c r="D22" s="62"/>
      <c r="E22" s="62"/>
    </row>
    <row r="23" spans="2:5" x14ac:dyDescent="0.35">
      <c r="B23" s="63"/>
      <c r="C23" s="63"/>
      <c r="D23" s="63"/>
      <c r="E23" s="62"/>
    </row>
    <row r="24" spans="2:5" x14ac:dyDescent="0.35">
      <c r="B24" s="63"/>
      <c r="C24" s="63"/>
      <c r="D24" s="63"/>
      <c r="E24" s="62"/>
    </row>
    <row r="25" spans="2:5" x14ac:dyDescent="0.35">
      <c r="B25" s="63"/>
      <c r="C25" s="63"/>
      <c r="D25" s="63"/>
      <c r="E25" s="62"/>
    </row>
    <row r="26" spans="2:5" x14ac:dyDescent="0.35">
      <c r="B26" s="62"/>
      <c r="C26" s="62"/>
      <c r="D26" s="62"/>
      <c r="E26" s="62"/>
    </row>
    <row r="27" spans="2:5" x14ac:dyDescent="0.35">
      <c r="B27" s="62"/>
      <c r="C27" s="62"/>
      <c r="D27" s="62"/>
      <c r="E27" s="62"/>
    </row>
    <row r="28" spans="2:5" x14ac:dyDescent="0.35">
      <c r="B28" s="62"/>
      <c r="C28" s="62"/>
      <c r="D28" s="62"/>
      <c r="E28" s="62"/>
    </row>
    <row r="29" spans="2:5" x14ac:dyDescent="0.35">
      <c r="B29" s="62"/>
      <c r="C29" s="62"/>
      <c r="D29" s="62"/>
      <c r="E29" s="62"/>
    </row>
    <row r="30" spans="2:5" x14ac:dyDescent="0.35">
      <c r="B30" s="62"/>
      <c r="C30" s="62"/>
      <c r="D30" s="62"/>
      <c r="E30" s="62"/>
    </row>
    <row r="31" spans="2:5" x14ac:dyDescent="0.35">
      <c r="B31" s="62"/>
      <c r="C31" s="62"/>
      <c r="D31" s="62"/>
      <c r="E31" s="62"/>
    </row>
    <row r="32" spans="2:5" x14ac:dyDescent="0.35">
      <c r="B32" s="62"/>
      <c r="C32" s="62"/>
      <c r="D32" s="62"/>
      <c r="E32" s="62"/>
    </row>
    <row r="33" spans="2:5" x14ac:dyDescent="0.35">
      <c r="B33" s="62"/>
      <c r="C33" s="62"/>
      <c r="D33" s="62"/>
      <c r="E33" s="62"/>
    </row>
    <row r="34" spans="2:5" x14ac:dyDescent="0.35">
      <c r="B34" s="62"/>
      <c r="C34" s="62"/>
      <c r="D34" s="62"/>
      <c r="E34" s="62"/>
    </row>
    <row r="35" spans="2:5" x14ac:dyDescent="0.35">
      <c r="B35" s="62"/>
      <c r="C35" s="62"/>
      <c r="D35" s="62"/>
      <c r="E35" s="62"/>
    </row>
  </sheetData>
  <mergeCells count="7">
    <mergeCell ref="B7:B8"/>
    <mergeCell ref="B9:B10"/>
    <mergeCell ref="C11:J11"/>
    <mergeCell ref="C7:G7"/>
    <mergeCell ref="C9:J9"/>
    <mergeCell ref="C8:G8"/>
    <mergeCell ref="D10:E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75B74-A3CB-4B80-AA35-4C28C769BB2C}">
  <dimension ref="B3:J11"/>
  <sheetViews>
    <sheetView showGridLines="0" topLeftCell="A2" zoomScale="76" zoomScaleNormal="76" workbookViewId="0">
      <selection activeCell="E9" sqref="E9"/>
    </sheetView>
  </sheetViews>
  <sheetFormatPr defaultRowHeight="14.5" x14ac:dyDescent="0.35"/>
  <cols>
    <col min="1" max="1" width="5.7265625" customWidth="1"/>
    <col min="2" max="2" width="22.81640625" bestFit="1" customWidth="1"/>
    <col min="3" max="3" width="32.453125" bestFit="1" customWidth="1"/>
    <col min="4" max="4" width="25.26953125" bestFit="1" customWidth="1"/>
    <col min="5" max="5" width="47.81640625" bestFit="1" customWidth="1"/>
    <col min="6" max="6" width="39.54296875" bestFit="1" customWidth="1"/>
    <col min="7" max="7" width="38.453125" bestFit="1" customWidth="1"/>
    <col min="8" max="8" width="30" bestFit="1" customWidth="1"/>
    <col min="9" max="9" width="14.7265625" bestFit="1" customWidth="1"/>
    <col min="10" max="10" width="23" bestFit="1" customWidth="1"/>
  </cols>
  <sheetData>
    <row r="3" spans="2:10" x14ac:dyDescent="0.35">
      <c r="B3" s="31" t="s">
        <v>218</v>
      </c>
      <c r="C3" s="117" t="s">
        <v>219</v>
      </c>
      <c r="D3" s="118"/>
      <c r="E3" s="118"/>
      <c r="F3" s="118"/>
      <c r="G3" s="118"/>
      <c r="H3" s="118"/>
      <c r="I3" s="118"/>
      <c r="J3" s="118"/>
    </row>
    <row r="4" spans="2:10" x14ac:dyDescent="0.35">
      <c r="B4" s="50" t="s">
        <v>220</v>
      </c>
      <c r="C4" s="117" t="s">
        <v>221</v>
      </c>
      <c r="D4" s="118"/>
      <c r="E4" s="118"/>
      <c r="F4" s="118"/>
      <c r="G4" s="118"/>
      <c r="H4" s="118"/>
      <c r="I4" s="118"/>
      <c r="J4" s="118"/>
    </row>
    <row r="5" spans="2:10" x14ac:dyDescent="0.35">
      <c r="B5" s="50" t="s">
        <v>222</v>
      </c>
      <c r="C5" s="26" t="s">
        <v>223</v>
      </c>
    </row>
    <row r="7" spans="2:10" x14ac:dyDescent="0.35">
      <c r="B7" s="32" t="s">
        <v>131</v>
      </c>
      <c r="C7" s="52" t="s">
        <v>224</v>
      </c>
      <c r="D7" s="52" t="s">
        <v>225</v>
      </c>
      <c r="E7" s="52" t="s">
        <v>226</v>
      </c>
      <c r="F7" s="52" t="s">
        <v>183</v>
      </c>
      <c r="G7" s="52" t="s">
        <v>227</v>
      </c>
      <c r="H7" s="52" t="s">
        <v>185</v>
      </c>
      <c r="I7" s="52" t="s">
        <v>186</v>
      </c>
      <c r="J7" s="52" t="s">
        <v>187</v>
      </c>
    </row>
    <row r="8" spans="2:10" ht="117" x14ac:dyDescent="0.35">
      <c r="B8" s="33" t="s">
        <v>188</v>
      </c>
      <c r="C8" s="34" t="s">
        <v>228</v>
      </c>
      <c r="D8" s="34" t="s">
        <v>229</v>
      </c>
      <c r="E8" s="34" t="s">
        <v>191</v>
      </c>
      <c r="F8" s="34" t="s">
        <v>192</v>
      </c>
      <c r="G8" s="34" t="s">
        <v>193</v>
      </c>
      <c r="H8" s="34" t="s">
        <v>194</v>
      </c>
      <c r="I8" s="34" t="s">
        <v>195</v>
      </c>
      <c r="J8" s="34" t="s">
        <v>196</v>
      </c>
    </row>
    <row r="9" spans="2:10" ht="221" x14ac:dyDescent="0.35">
      <c r="B9" s="33" t="s">
        <v>197</v>
      </c>
      <c r="C9" s="34" t="s">
        <v>230</v>
      </c>
      <c r="D9" s="34" t="s">
        <v>231</v>
      </c>
      <c r="E9" s="34" t="s">
        <v>232</v>
      </c>
      <c r="F9" s="34" t="s">
        <v>201</v>
      </c>
      <c r="G9" s="34" t="s">
        <v>202</v>
      </c>
      <c r="H9" s="34" t="s">
        <v>203</v>
      </c>
      <c r="I9" s="35"/>
      <c r="J9" s="34" t="s">
        <v>204</v>
      </c>
    </row>
    <row r="10" spans="2:10" x14ac:dyDescent="0.35">
      <c r="B10" s="33" t="s">
        <v>233</v>
      </c>
      <c r="C10" s="35"/>
      <c r="D10" s="35"/>
      <c r="E10" s="35"/>
      <c r="F10" s="35"/>
      <c r="G10" s="35"/>
      <c r="H10" s="35"/>
      <c r="I10" s="35"/>
      <c r="J10" s="35"/>
    </row>
    <row r="11" spans="2:10" x14ac:dyDescent="0.35">
      <c r="B11" s="33" t="s">
        <v>234</v>
      </c>
      <c r="C11" s="35"/>
      <c r="D11" s="35"/>
      <c r="E11" s="35"/>
      <c r="F11" s="35"/>
      <c r="G11" s="35"/>
      <c r="H11" s="35"/>
      <c r="I11" s="35"/>
      <c r="J11" s="35"/>
    </row>
  </sheetData>
  <mergeCells count="2">
    <mergeCell ref="C3:J3"/>
    <mergeCell ref="C4:J4"/>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56CA3-0D09-449E-A793-6816FD232B7B}">
  <dimension ref="B1:E9"/>
  <sheetViews>
    <sheetView showGridLines="0" zoomScale="90" zoomScaleNormal="90" workbookViewId="0">
      <selection activeCell="B9" sqref="B9"/>
    </sheetView>
  </sheetViews>
  <sheetFormatPr defaultRowHeight="14.5" x14ac:dyDescent="0.35"/>
  <cols>
    <col min="2" max="2" width="39.26953125" customWidth="1"/>
    <col min="3" max="3" width="46.7265625" customWidth="1"/>
    <col min="4" max="4" width="42.1796875" customWidth="1"/>
    <col min="5" max="5" width="37.54296875" customWidth="1"/>
  </cols>
  <sheetData>
    <row r="1" spans="2:5" x14ac:dyDescent="0.35">
      <c r="C1" s="26" t="s">
        <v>235</v>
      </c>
    </row>
    <row r="2" spans="2:5" ht="66.650000000000006" customHeight="1" x14ac:dyDescent="0.35">
      <c r="B2" s="31" t="s">
        <v>218</v>
      </c>
      <c r="C2" s="38" t="s">
        <v>236</v>
      </c>
      <c r="D2" s="30" t="s">
        <v>237</v>
      </c>
      <c r="E2" s="30" t="s">
        <v>238</v>
      </c>
    </row>
    <row r="3" spans="2:5" ht="87" x14ac:dyDescent="0.35">
      <c r="B3" s="31" t="s">
        <v>220</v>
      </c>
      <c r="C3" s="30" t="s">
        <v>239</v>
      </c>
      <c r="D3" s="30" t="s">
        <v>240</v>
      </c>
    </row>
    <row r="4" spans="2:5" ht="50.5" customHeight="1" x14ac:dyDescent="0.35">
      <c r="B4" s="31" t="s">
        <v>222</v>
      </c>
      <c r="C4" s="31" t="s">
        <v>241</v>
      </c>
      <c r="D4" s="30" t="s">
        <v>242</v>
      </c>
    </row>
    <row r="5" spans="2:5" x14ac:dyDescent="0.35">
      <c r="B5" s="32" t="s">
        <v>243</v>
      </c>
      <c r="C5" s="52" t="s">
        <v>244</v>
      </c>
      <c r="D5" s="52" t="s">
        <v>245</v>
      </c>
      <c r="E5" s="40" t="s">
        <v>246</v>
      </c>
    </row>
    <row r="6" spans="2:5" ht="78" x14ac:dyDescent="0.35">
      <c r="B6" s="33" t="s">
        <v>188</v>
      </c>
      <c r="C6" s="34" t="s">
        <v>247</v>
      </c>
      <c r="D6" s="34" t="s">
        <v>248</v>
      </c>
    </row>
    <row r="7" spans="2:5" ht="119.5" customHeight="1" x14ac:dyDescent="0.35">
      <c r="B7" s="33" t="s">
        <v>197</v>
      </c>
      <c r="C7" s="34" t="s">
        <v>249</v>
      </c>
      <c r="D7" s="34" t="s">
        <v>250</v>
      </c>
      <c r="E7" s="37"/>
    </row>
    <row r="8" spans="2:5" ht="102" customHeight="1" x14ac:dyDescent="0.35">
      <c r="B8" s="33" t="s">
        <v>233</v>
      </c>
      <c r="C8" s="34" t="s">
        <v>251</v>
      </c>
      <c r="D8" s="35"/>
      <c r="E8" s="39" t="s">
        <v>252</v>
      </c>
    </row>
    <row r="9" spans="2:5" x14ac:dyDescent="0.35">
      <c r="B9" s="33" t="s">
        <v>234</v>
      </c>
      <c r="C9" s="35"/>
      <c r="D9" s="35"/>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5D8A3-C717-42C9-B24A-97D7C0A5FAB8}">
  <dimension ref="B1:N6"/>
  <sheetViews>
    <sheetView showGridLines="0" workbookViewId="0">
      <pane xSplit="4" ySplit="2" topLeftCell="L3" activePane="bottomRight" state="frozen"/>
      <selection pane="topRight" activeCell="E1" sqref="E1"/>
      <selection pane="bottomLeft" activeCell="A3" sqref="A3"/>
      <selection pane="bottomRight" activeCell="N4" sqref="N4"/>
    </sheetView>
  </sheetViews>
  <sheetFormatPr defaultRowHeight="14.5" x14ac:dyDescent="0.35"/>
  <cols>
    <col min="2" max="2" width="21.26953125" bestFit="1" customWidth="1"/>
    <col min="3" max="3" width="30.453125" bestFit="1" customWidth="1"/>
    <col min="4" max="4" width="26.26953125" bestFit="1" customWidth="1"/>
    <col min="5" max="5" width="22" bestFit="1" customWidth="1"/>
    <col min="6" max="6" width="26" bestFit="1" customWidth="1"/>
    <col min="7" max="7" width="22.453125" bestFit="1" customWidth="1"/>
    <col min="8" max="8" width="26.7265625" bestFit="1" customWidth="1"/>
    <col min="9" max="9" width="18.26953125" bestFit="1" customWidth="1"/>
    <col min="10" max="14" width="26.7265625" customWidth="1"/>
  </cols>
  <sheetData>
    <row r="1" spans="2:14" x14ac:dyDescent="0.35">
      <c r="F1" t="s">
        <v>253</v>
      </c>
      <c r="H1" t="s">
        <v>254</v>
      </c>
    </row>
    <row r="2" spans="2:14" ht="24.5" x14ac:dyDescent="0.35">
      <c r="B2" s="55" t="s">
        <v>255</v>
      </c>
      <c r="C2" s="119" t="s">
        <v>256</v>
      </c>
      <c r="D2" s="119"/>
      <c r="E2" s="56" t="s">
        <v>257</v>
      </c>
      <c r="F2" s="56" t="s">
        <v>258</v>
      </c>
      <c r="G2" s="56" t="s">
        <v>259</v>
      </c>
      <c r="H2" s="56" t="s">
        <v>260</v>
      </c>
      <c r="I2" s="56" t="s">
        <v>261</v>
      </c>
      <c r="J2" s="56" t="s">
        <v>262</v>
      </c>
      <c r="K2" s="56" t="s">
        <v>263</v>
      </c>
      <c r="L2" s="56" t="s">
        <v>264</v>
      </c>
      <c r="M2" s="56" t="s">
        <v>265</v>
      </c>
      <c r="N2" s="56" t="s">
        <v>266</v>
      </c>
    </row>
    <row r="3" spans="2:14" ht="156.5" x14ac:dyDescent="0.35">
      <c r="B3" s="53" t="s">
        <v>188</v>
      </c>
      <c r="C3" s="54" t="s">
        <v>267</v>
      </c>
      <c r="D3" s="54" t="s">
        <v>268</v>
      </c>
      <c r="E3" s="54" t="s">
        <v>269</v>
      </c>
      <c r="F3" s="54" t="s">
        <v>270</v>
      </c>
      <c r="G3" s="54" t="s">
        <v>271</v>
      </c>
      <c r="H3" s="54" t="s">
        <v>272</v>
      </c>
      <c r="I3" s="54" t="s">
        <v>273</v>
      </c>
      <c r="J3" s="54" t="s">
        <v>274</v>
      </c>
      <c r="K3" s="54" t="s">
        <v>275</v>
      </c>
      <c r="L3" s="54" t="s">
        <v>276</v>
      </c>
      <c r="M3" s="54" t="s">
        <v>277</v>
      </c>
      <c r="N3" s="54" t="s">
        <v>278</v>
      </c>
    </row>
    <row r="4" spans="2:14" ht="72.5" x14ac:dyDescent="0.35">
      <c r="B4" s="53" t="s">
        <v>197</v>
      </c>
      <c r="C4" s="54" t="s">
        <v>279</v>
      </c>
      <c r="D4" s="54" t="s">
        <v>280</v>
      </c>
      <c r="E4" s="54" t="s">
        <v>281</v>
      </c>
      <c r="F4" s="54" t="s">
        <v>282</v>
      </c>
      <c r="G4" s="54" t="s">
        <v>283</v>
      </c>
      <c r="H4" s="54" t="s">
        <v>284</v>
      </c>
      <c r="I4" s="54" t="s">
        <v>285</v>
      </c>
      <c r="J4" s="54" t="s">
        <v>286</v>
      </c>
      <c r="K4" s="54" t="s">
        <v>287</v>
      </c>
      <c r="L4" s="54" t="s">
        <v>288</v>
      </c>
      <c r="M4" s="54" t="s">
        <v>289</v>
      </c>
      <c r="N4" s="54" t="s">
        <v>290</v>
      </c>
    </row>
    <row r="5" spans="2:14" x14ac:dyDescent="0.35">
      <c r="B5" s="53" t="s">
        <v>233</v>
      </c>
      <c r="C5" s="54" t="s">
        <v>291</v>
      </c>
      <c r="D5" s="54" t="s">
        <v>291</v>
      </c>
      <c r="E5" s="54" t="s">
        <v>291</v>
      </c>
      <c r="F5" s="54" t="s">
        <v>291</v>
      </c>
      <c r="G5" s="54" t="s">
        <v>291</v>
      </c>
      <c r="H5" s="54" t="s">
        <v>291</v>
      </c>
      <c r="I5" s="54" t="s">
        <v>291</v>
      </c>
      <c r="J5" s="54" t="s">
        <v>291</v>
      </c>
      <c r="K5" s="54" t="s">
        <v>291</v>
      </c>
      <c r="L5" s="54" t="s">
        <v>291</v>
      </c>
      <c r="M5" s="54" t="s">
        <v>291</v>
      </c>
      <c r="N5" s="54" t="s">
        <v>291</v>
      </c>
    </row>
    <row r="6" spans="2:14" x14ac:dyDescent="0.35">
      <c r="B6" s="53" t="s">
        <v>234</v>
      </c>
      <c r="C6" s="54" t="s">
        <v>291</v>
      </c>
      <c r="D6" s="54" t="s">
        <v>291</v>
      </c>
      <c r="E6" s="54" t="s">
        <v>291</v>
      </c>
      <c r="F6" s="54" t="s">
        <v>291</v>
      </c>
      <c r="G6" s="54" t="s">
        <v>291</v>
      </c>
      <c r="H6" s="54" t="s">
        <v>291</v>
      </c>
      <c r="I6" s="54" t="s">
        <v>291</v>
      </c>
      <c r="J6" s="54" t="s">
        <v>291</v>
      </c>
      <c r="K6" s="54" t="s">
        <v>291</v>
      </c>
      <c r="L6" s="54" t="s">
        <v>291</v>
      </c>
      <c r="M6" s="54" t="s">
        <v>291</v>
      </c>
      <c r="N6" s="54" t="s">
        <v>291</v>
      </c>
    </row>
  </sheetData>
  <mergeCells count="1">
    <mergeCell ref="C2:D2"/>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11E0F-0C61-4F65-8B7A-4CA2F8B060C1}">
  <dimension ref="B2:I6"/>
  <sheetViews>
    <sheetView showGridLines="0" zoomScale="90" workbookViewId="0">
      <pane xSplit="2" ySplit="2" topLeftCell="F3" activePane="bottomRight" state="frozen"/>
      <selection pane="topRight" activeCell="C1" sqref="C1"/>
      <selection pane="bottomLeft" activeCell="A3" sqref="A3"/>
      <selection pane="bottomRight" activeCell="I5" sqref="I5"/>
    </sheetView>
  </sheetViews>
  <sheetFormatPr defaultColWidth="9.1796875" defaultRowHeight="14.5" x14ac:dyDescent="0.35"/>
  <cols>
    <col min="1" max="1" width="9.1796875" style="37"/>
    <col min="2" max="2" width="21.26953125" style="37" bestFit="1" customWidth="1"/>
    <col min="3" max="3" width="30.453125" style="37" bestFit="1" customWidth="1"/>
    <col min="4" max="4" width="34.1796875" style="37" customWidth="1"/>
    <col min="5" max="5" width="32.26953125" style="37" customWidth="1"/>
    <col min="6" max="6" width="26" style="37" bestFit="1" customWidth="1"/>
    <col min="7" max="7" width="33.81640625" style="37" customWidth="1"/>
    <col min="8" max="8" width="33.7265625" style="37" customWidth="1"/>
    <col min="9" max="9" width="48.7265625" style="37" customWidth="1"/>
    <col min="10" max="16384" width="9.1796875" style="37"/>
  </cols>
  <sheetData>
    <row r="2" spans="2:9" x14ac:dyDescent="0.35">
      <c r="B2" s="43" t="s">
        <v>292</v>
      </c>
      <c r="C2" s="57" t="s">
        <v>293</v>
      </c>
      <c r="D2" s="57" t="s">
        <v>294</v>
      </c>
      <c r="E2" s="57" t="s">
        <v>295</v>
      </c>
      <c r="F2" s="57" t="s">
        <v>296</v>
      </c>
      <c r="G2" s="57" t="s">
        <v>297</v>
      </c>
      <c r="H2" s="57" t="s">
        <v>298</v>
      </c>
      <c r="I2" s="57" t="s">
        <v>299</v>
      </c>
    </row>
    <row r="3" spans="2:9" ht="216" x14ac:dyDescent="0.35">
      <c r="B3" s="44" t="s">
        <v>188</v>
      </c>
      <c r="C3" s="42" t="s">
        <v>300</v>
      </c>
      <c r="D3" s="42" t="s">
        <v>301</v>
      </c>
      <c r="E3" s="42" t="s">
        <v>302</v>
      </c>
      <c r="F3" s="42" t="s">
        <v>303</v>
      </c>
      <c r="G3" s="42" t="s">
        <v>304</v>
      </c>
      <c r="H3" s="42" t="s">
        <v>305</v>
      </c>
      <c r="I3" s="42" t="s">
        <v>306</v>
      </c>
    </row>
    <row r="4" spans="2:9" ht="180" x14ac:dyDescent="0.35">
      <c r="B4" s="44" t="s">
        <v>197</v>
      </c>
      <c r="C4" s="45" t="s">
        <v>307</v>
      </c>
      <c r="D4" s="45" t="s">
        <v>308</v>
      </c>
      <c r="E4" s="45" t="s">
        <v>309</v>
      </c>
      <c r="F4" s="45" t="s">
        <v>310</v>
      </c>
      <c r="G4" s="45" t="s">
        <v>311</v>
      </c>
      <c r="H4" s="45" t="s">
        <v>312</v>
      </c>
      <c r="I4" s="45" t="s">
        <v>313</v>
      </c>
    </row>
    <row r="5" spans="2:9" ht="100" customHeight="1" x14ac:dyDescent="0.35">
      <c r="B5" s="44" t="s">
        <v>233</v>
      </c>
      <c r="C5" s="120" t="s">
        <v>314</v>
      </c>
      <c r="D5" s="121"/>
      <c r="E5" s="121"/>
      <c r="F5" s="121"/>
      <c r="G5" s="121"/>
      <c r="H5" s="102"/>
      <c r="I5" s="103"/>
    </row>
    <row r="6" spans="2:9" x14ac:dyDescent="0.35">
      <c r="B6" s="44" t="s">
        <v>234</v>
      </c>
      <c r="C6" s="34"/>
      <c r="D6" s="34"/>
      <c r="E6" s="34"/>
      <c r="F6" s="34"/>
      <c r="G6" s="34"/>
      <c r="H6" s="34"/>
      <c r="I6" s="34"/>
    </row>
  </sheetData>
  <mergeCells count="1">
    <mergeCell ref="C5:G5"/>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D8160-52E3-4B9C-BC5E-A106867A2A66}">
  <sheetPr>
    <tabColor rgb="FF92D050"/>
  </sheetPr>
  <dimension ref="B1:I6"/>
  <sheetViews>
    <sheetView showGridLines="0" topLeftCell="B5" zoomScaleNormal="100" workbookViewId="0">
      <selection activeCell="B5" sqref="B5"/>
    </sheetView>
  </sheetViews>
  <sheetFormatPr defaultRowHeight="14.5" x14ac:dyDescent="0.35"/>
  <cols>
    <col min="2" max="2" width="21.1796875" bestFit="1" customWidth="1"/>
    <col min="3" max="3" width="57.7265625" customWidth="1"/>
    <col min="4" max="4" width="47.54296875" customWidth="1"/>
    <col min="5" max="5" width="47.1796875" customWidth="1"/>
    <col min="6" max="6" width="47.26953125" customWidth="1"/>
    <col min="7" max="7" width="33" customWidth="1"/>
    <col min="8" max="8" width="20.1796875" customWidth="1"/>
    <col min="9" max="9" width="24.453125" customWidth="1"/>
  </cols>
  <sheetData>
    <row r="1" spans="2:9" ht="15.5" x14ac:dyDescent="0.35">
      <c r="C1" s="46"/>
      <c r="D1" s="46"/>
      <c r="E1" s="46"/>
      <c r="F1" s="46"/>
    </row>
    <row r="2" spans="2:9" s="37" customFormat="1" ht="39.75" customHeight="1" x14ac:dyDescent="0.35">
      <c r="B2" s="43" t="s">
        <v>315</v>
      </c>
      <c r="C2" s="58" t="s">
        <v>316</v>
      </c>
      <c r="D2" s="58" t="s">
        <v>317</v>
      </c>
      <c r="E2" s="58" t="s">
        <v>318</v>
      </c>
      <c r="F2" s="58" t="s">
        <v>319</v>
      </c>
      <c r="G2" s="59" t="s">
        <v>320</v>
      </c>
      <c r="H2" s="59" t="s">
        <v>321</v>
      </c>
      <c r="I2" s="59" t="s">
        <v>322</v>
      </c>
    </row>
    <row r="3" spans="2:9" ht="208" x14ac:dyDescent="0.35">
      <c r="B3" s="33" t="s">
        <v>188</v>
      </c>
      <c r="C3" s="34" t="s">
        <v>323</v>
      </c>
      <c r="D3" s="34" t="s">
        <v>324</v>
      </c>
      <c r="E3" s="34" t="s">
        <v>325</v>
      </c>
      <c r="F3" s="34" t="s">
        <v>326</v>
      </c>
      <c r="G3" s="51" t="s">
        <v>327</v>
      </c>
      <c r="H3" s="51" t="s">
        <v>328</v>
      </c>
      <c r="I3" s="51" t="s">
        <v>329</v>
      </c>
    </row>
    <row r="4" spans="2:9" ht="312" x14ac:dyDescent="0.35">
      <c r="B4" s="33" t="s">
        <v>197</v>
      </c>
      <c r="C4" s="34" t="s">
        <v>330</v>
      </c>
      <c r="D4" s="34" t="s">
        <v>331</v>
      </c>
      <c r="E4" s="34" t="s">
        <v>332</v>
      </c>
      <c r="F4" s="34" t="s">
        <v>333</v>
      </c>
      <c r="G4" s="51" t="s">
        <v>334</v>
      </c>
      <c r="H4" s="51" t="s">
        <v>335</v>
      </c>
      <c r="I4" s="51" t="s">
        <v>336</v>
      </c>
    </row>
    <row r="5" spans="2:9" ht="409.5" x14ac:dyDescent="0.35">
      <c r="B5" s="33" t="s">
        <v>233</v>
      </c>
      <c r="C5" s="34" t="s">
        <v>337</v>
      </c>
      <c r="D5" s="34" t="s">
        <v>338</v>
      </c>
      <c r="E5" s="34" t="s">
        <v>339</v>
      </c>
      <c r="F5" s="34" t="s">
        <v>340</v>
      </c>
      <c r="G5" s="51" t="s">
        <v>341</v>
      </c>
      <c r="H5" s="51" t="s">
        <v>342</v>
      </c>
      <c r="I5" s="51" t="s">
        <v>343</v>
      </c>
    </row>
    <row r="6" spans="2:9" ht="247" x14ac:dyDescent="0.35">
      <c r="B6" s="33" t="s">
        <v>234</v>
      </c>
      <c r="C6" s="34" t="s">
        <v>344</v>
      </c>
      <c r="D6" s="34" t="s">
        <v>345</v>
      </c>
      <c r="E6" s="34" t="s">
        <v>346</v>
      </c>
      <c r="F6" s="34" t="s">
        <v>347</v>
      </c>
      <c r="G6" s="51" t="s">
        <v>348</v>
      </c>
      <c r="H6" s="51" t="s">
        <v>349</v>
      </c>
      <c r="I6" s="51" t="s">
        <v>350</v>
      </c>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5A-FD3B-40AC-9885-E28F4C64C189}">
  <sheetPr>
    <tabColor rgb="FF92D050"/>
  </sheetPr>
  <dimension ref="A1:E5"/>
  <sheetViews>
    <sheetView showGridLines="0" zoomScale="80" zoomScaleNormal="80" workbookViewId="0">
      <pane xSplit="1" ySplit="1" topLeftCell="C4" activePane="bottomRight" state="frozen"/>
      <selection pane="topRight" activeCell="C1" sqref="C1"/>
      <selection pane="bottomLeft" activeCell="A3" sqref="A3"/>
      <selection pane="bottomRight" activeCell="C6" sqref="C6"/>
    </sheetView>
  </sheetViews>
  <sheetFormatPr defaultRowHeight="14.5" x14ac:dyDescent="0.35"/>
  <cols>
    <col min="1" max="1" width="21.1796875" style="48" bestFit="1" customWidth="1"/>
    <col min="2" max="5" width="48.54296875" customWidth="1"/>
  </cols>
  <sheetData>
    <row r="1" spans="1:5" s="48" customFormat="1" x14ac:dyDescent="0.35">
      <c r="A1" s="47" t="s">
        <v>351</v>
      </c>
      <c r="B1" s="57" t="s">
        <v>352</v>
      </c>
      <c r="C1" s="60" t="s">
        <v>353</v>
      </c>
      <c r="D1" s="60" t="s">
        <v>354</v>
      </c>
      <c r="E1" s="60" t="s">
        <v>355</v>
      </c>
    </row>
    <row r="2" spans="1:5" ht="239.25" customHeight="1" x14ac:dyDescent="0.35">
      <c r="A2" s="49" t="s">
        <v>188</v>
      </c>
      <c r="B2" s="34" t="s">
        <v>356</v>
      </c>
      <c r="C2" s="34" t="s">
        <v>357</v>
      </c>
      <c r="D2" s="34" t="s">
        <v>358</v>
      </c>
      <c r="E2" s="34" t="s">
        <v>359</v>
      </c>
    </row>
    <row r="3" spans="1:5" ht="234.75" customHeight="1" x14ac:dyDescent="0.35">
      <c r="A3" s="49" t="s">
        <v>197</v>
      </c>
      <c r="B3" s="34" t="s">
        <v>360</v>
      </c>
      <c r="C3" s="34" t="s">
        <v>361</v>
      </c>
      <c r="D3" s="34" t="s">
        <v>362</v>
      </c>
      <c r="E3" s="34" t="s">
        <v>363</v>
      </c>
    </row>
    <row r="4" spans="1:5" ht="265.5" customHeight="1" x14ac:dyDescent="0.35">
      <c r="A4" s="49" t="s">
        <v>233</v>
      </c>
      <c r="B4" s="61" t="s">
        <v>364</v>
      </c>
      <c r="C4" s="34" t="s">
        <v>365</v>
      </c>
      <c r="D4" s="61" t="s">
        <v>366</v>
      </c>
      <c r="E4" s="34" t="s">
        <v>367</v>
      </c>
    </row>
    <row r="5" spans="1:5" ht="154.5" customHeight="1" x14ac:dyDescent="0.35">
      <c r="A5" s="49" t="s">
        <v>234</v>
      </c>
      <c r="B5" s="34" t="s">
        <v>368</v>
      </c>
      <c r="C5" s="34" t="s">
        <v>369</v>
      </c>
      <c r="D5" s="34" t="s">
        <v>370</v>
      </c>
      <c r="E5" s="34" t="s">
        <v>371</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F4DF23ED6664419D4A06703766999F" ma:contentTypeVersion="3" ma:contentTypeDescription="Create a new document." ma:contentTypeScope="" ma:versionID="885aa60399e06c9c482266b1a816d0aa">
  <xsd:schema xmlns:xsd="http://www.w3.org/2001/XMLSchema" xmlns:xs="http://www.w3.org/2001/XMLSchema" xmlns:p="http://schemas.microsoft.com/office/2006/metadata/properties" xmlns:ns2="84c0c7ce-dece-4871-95a7-43a70fb39fa1" targetNamespace="http://schemas.microsoft.com/office/2006/metadata/properties" ma:root="true" ma:fieldsID="3ac5a563cad32b3f441f831b8f27327e" ns2:_="">
    <xsd:import namespace="84c0c7ce-dece-4871-95a7-43a70fb39fa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c0c7ce-dece-4871-95a7-43a70fb39f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CF183F-CE9C-43B2-A9A5-EE3C261FE51F}">
  <ds:schemaRefs>
    <ds:schemaRef ds:uri="84c0c7ce-dece-4871-95a7-43a70fb39fa1"/>
    <ds:schemaRef ds:uri="http://purl.org/dc/terms/"/>
    <ds:schemaRef ds:uri="http://schemas.microsoft.com/office/2006/documentManagement/types"/>
    <ds:schemaRef ds:uri="http://purl.org/dc/elements/1.1/"/>
    <ds:schemaRef ds:uri="http://www.w3.org/XML/1998/namespace"/>
    <ds:schemaRef ds:uri="http://schemas.openxmlformats.org/package/2006/metadata/core-properties"/>
    <ds:schemaRef ds:uri="http://schemas.microsoft.com/office/infopath/2007/PartnerControls"/>
    <ds:schemaRef ds:uri="http://purl.org/dc/dcmitype/"/>
    <ds:schemaRef ds:uri="http://schemas.microsoft.com/office/2006/metadata/properties"/>
  </ds:schemaRefs>
</ds:datastoreItem>
</file>

<file path=customXml/itemProps2.xml><?xml version="1.0" encoding="utf-8"?>
<ds:datastoreItem xmlns:ds="http://schemas.openxmlformats.org/officeDocument/2006/customXml" ds:itemID="{B2ED3632-5C8B-4EAB-BE5F-9E584A4DF354}">
  <ds:schemaRefs>
    <ds:schemaRef ds:uri="http://schemas.microsoft.com/sharepoint/v3/contenttype/forms"/>
  </ds:schemaRefs>
</ds:datastoreItem>
</file>

<file path=customXml/itemProps3.xml><?xml version="1.0" encoding="utf-8"?>
<ds:datastoreItem xmlns:ds="http://schemas.openxmlformats.org/officeDocument/2006/customXml" ds:itemID="{80DBAD4F-C880-4111-AFA5-EAE7509818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c0c7ce-dece-4871-95a7-43a70fb39f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Outsourcing Landscape</vt:lpstr>
      <vt:lpstr>Numbers Rationale</vt:lpstr>
      <vt:lpstr>Scope Summary</vt:lpstr>
      <vt:lpstr>Scope Details </vt:lpstr>
      <vt:lpstr>NB Flow</vt:lpstr>
      <vt:lpstr>Renewal Flow</vt:lpstr>
      <vt:lpstr>Policy Servicing Flow</vt:lpstr>
      <vt:lpstr>Claims - WC Flow</vt:lpstr>
      <vt:lpstr>Claims - Non WC Flow</vt:lpstr>
      <vt:lpstr>F&amp;A - R2R Flow Acc. Ops</vt:lpstr>
      <vt:lpstr>F&amp;A - O2C 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Karan Vohra</dc:creator>
  <cp:keywords/>
  <dc:description/>
  <cp:lastModifiedBy>Karan Vohra</cp:lastModifiedBy>
  <cp:revision/>
  <dcterms:created xsi:type="dcterms:W3CDTF">2026-02-25T19:38:36Z</dcterms:created>
  <dcterms:modified xsi:type="dcterms:W3CDTF">2026-04-21T17:23:00Z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0x01010023F4DF23ED6664419D4A06703766999F</vt:lpwstr>
  </property>
</Properties>
</file>